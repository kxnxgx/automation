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esuzuki\Downloads\"/>
    </mc:Choice>
  </mc:AlternateContent>
  <xr:revisionPtr revIDLastSave="0" documentId="13_ncr:1_{A6872F34-7CF5-4A43-888F-17649063A41A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店舗コード" sheetId="6" r:id="rId1"/>
    <sheet name="営業日付別売上分析 貼り付け" sheetId="5" r:id="rId2"/>
    <sheet name="pivot" sheetId="7" r:id="rId3"/>
    <sheet name="ZOZOOIOI" sheetId="27" r:id="rId4"/>
    <sheet name="EC_ORDER" sheetId="28" r:id="rId5"/>
    <sheet name="EC_PIVOT" sheetId="29" r:id="rId6"/>
    <sheet name="計算式2026" sheetId="25" r:id="rId7"/>
    <sheet name="手順" sheetId="30" r:id="rId8"/>
  </sheets>
  <definedNames>
    <definedName name="_xlnm._FilterDatabase" localSheetId="4" hidden="1">EC_ORDER!$A$1:$AP$220</definedName>
    <definedName name="_xlnm._FilterDatabase" localSheetId="1" hidden="1">'営業日付別売上分析 貼り付け'!$A$1:$P$1259</definedName>
    <definedName name="_xlnm._FilterDatabase" localSheetId="0" hidden="1">店舗コード!$A$2:$B$2</definedName>
  </definedNames>
  <calcPr calcId="191029"/>
  <pivotCaches>
    <pivotCache cacheId="12" r:id="rId9"/>
    <pivotCache cacheId="16" r:id="rId10"/>
    <pivotCache cacheId="20" r:id="rId11"/>
    <pivotCache cacheId="24" r:id="rId12"/>
  </pivotCaches>
</workbook>
</file>

<file path=xl/calcChain.xml><?xml version="1.0" encoding="utf-8"?>
<calcChain xmlns="http://schemas.openxmlformats.org/spreadsheetml/2006/main">
  <c r="H4" i="7" l="1"/>
  <c r="AH4" i="25" l="1"/>
  <c r="AU4" i="25" s="1"/>
  <c r="B1" i="29"/>
  <c r="AG4" i="25"/>
  <c r="AT4" i="25" s="1"/>
  <c r="AE4" i="25"/>
  <c r="AR4" i="25" s="1"/>
  <c r="O2" i="27"/>
  <c r="A2" i="27"/>
  <c r="G4" i="7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2" i="5"/>
  <c r="AQ4" i="25"/>
  <c r="BD4" i="25" s="1"/>
  <c r="AP4" i="25"/>
  <c r="AO4" i="25"/>
  <c r="AN4" i="25"/>
  <c r="AM4" i="25"/>
  <c r="AL4" i="25"/>
  <c r="AY4" i="25" s="1"/>
  <c r="AK4" i="25"/>
  <c r="AJ4" i="25"/>
  <c r="AI4" i="25"/>
  <c r="AF4" i="25"/>
  <c r="K4" i="7"/>
  <c r="J4" i="7"/>
  <c r="I4" i="7"/>
  <c r="AL2593" i="25"/>
  <c r="AK2593" i="25"/>
  <c r="AJ2593" i="25"/>
  <c r="AI2593" i="25"/>
  <c r="AF2593" i="25"/>
  <c r="AE2593" i="25"/>
  <c r="AL2592" i="25"/>
  <c r="AK2592" i="25"/>
  <c r="AJ2592" i="25"/>
  <c r="AI2592" i="25"/>
  <c r="AF2592" i="25"/>
  <c r="AE2592" i="25"/>
  <c r="AL2591" i="25"/>
  <c r="AK2591" i="25"/>
  <c r="AJ2591" i="25"/>
  <c r="AI2591" i="25"/>
  <c r="AF2591" i="25"/>
  <c r="AE2591" i="25"/>
  <c r="AL2590" i="25"/>
  <c r="AK2590" i="25"/>
  <c r="AJ2590" i="25"/>
  <c r="AI2590" i="25"/>
  <c r="AF2590" i="25"/>
  <c r="AE2590" i="25"/>
  <c r="AL2589" i="25"/>
  <c r="AK2589" i="25"/>
  <c r="AJ2589" i="25"/>
  <c r="AI2589" i="25"/>
  <c r="AF2589" i="25"/>
  <c r="AE2589" i="25"/>
  <c r="AL2588" i="25"/>
  <c r="AK2588" i="25"/>
  <c r="AJ2588" i="25"/>
  <c r="AI2588" i="25"/>
  <c r="AF2588" i="25"/>
  <c r="AE2588" i="25"/>
  <c r="AL2587" i="25"/>
  <c r="AK2587" i="25"/>
  <c r="AJ2587" i="25"/>
  <c r="AI2587" i="25"/>
  <c r="AF2587" i="25"/>
  <c r="AE2587" i="25"/>
  <c r="AL2586" i="25"/>
  <c r="AK2586" i="25"/>
  <c r="AJ2586" i="25"/>
  <c r="AI2586" i="25"/>
  <c r="AF2586" i="25"/>
  <c r="AE2586" i="25"/>
  <c r="AL2585" i="25"/>
  <c r="AK2585" i="25"/>
  <c r="AJ2585" i="25"/>
  <c r="AI2585" i="25"/>
  <c r="AF2585" i="25"/>
  <c r="AE2585" i="25"/>
  <c r="AL2584" i="25"/>
  <c r="AK2584" i="25"/>
  <c r="AJ2584" i="25"/>
  <c r="AI2584" i="25"/>
  <c r="AF2584" i="25"/>
  <c r="AE2584" i="25"/>
  <c r="AL2583" i="25"/>
  <c r="AK2583" i="25"/>
  <c r="AJ2583" i="25"/>
  <c r="AI2583" i="25"/>
  <c r="AF2583" i="25"/>
  <c r="AE2583" i="25"/>
  <c r="AL2582" i="25"/>
  <c r="AK2582" i="25"/>
  <c r="AJ2582" i="25"/>
  <c r="AI2582" i="25"/>
  <c r="AF2582" i="25"/>
  <c r="AE2582" i="25"/>
  <c r="AL2581" i="25"/>
  <c r="AK2581" i="25"/>
  <c r="AJ2581" i="25"/>
  <c r="AI2581" i="25"/>
  <c r="AF2581" i="25"/>
  <c r="AE2581" i="25"/>
  <c r="AL2580" i="25"/>
  <c r="AK2580" i="25"/>
  <c r="AJ2580" i="25"/>
  <c r="AI2580" i="25"/>
  <c r="AF2580" i="25"/>
  <c r="AE2580" i="25"/>
  <c r="AL2579" i="25"/>
  <c r="AK2579" i="25"/>
  <c r="AJ2579" i="25"/>
  <c r="AI2579" i="25"/>
  <c r="AF2579" i="25"/>
  <c r="AE2579" i="25"/>
  <c r="AL2578" i="25"/>
  <c r="AK2578" i="25"/>
  <c r="AJ2578" i="25"/>
  <c r="AI2578" i="25"/>
  <c r="AF2578" i="25"/>
  <c r="AE2578" i="25"/>
  <c r="AL2577" i="25"/>
  <c r="AK2577" i="25"/>
  <c r="AJ2577" i="25"/>
  <c r="AI2577" i="25"/>
  <c r="AF2577" i="25"/>
  <c r="AE2577" i="25"/>
  <c r="AL2576" i="25"/>
  <c r="AK2576" i="25"/>
  <c r="AJ2576" i="25"/>
  <c r="AI2576" i="25"/>
  <c r="AF2576" i="25"/>
  <c r="AE2576" i="25"/>
  <c r="AL2575" i="25"/>
  <c r="AK2575" i="25"/>
  <c r="AJ2575" i="25"/>
  <c r="AI2575" i="25"/>
  <c r="AF2575" i="25"/>
  <c r="AE2575" i="25"/>
  <c r="AL2574" i="25"/>
  <c r="AK2574" i="25"/>
  <c r="AJ2574" i="25"/>
  <c r="AI2574" i="25"/>
  <c r="AF2574" i="25"/>
  <c r="AE2574" i="25"/>
  <c r="AL2573" i="25"/>
  <c r="AK2573" i="25"/>
  <c r="AJ2573" i="25"/>
  <c r="AI2573" i="25"/>
  <c r="AF2573" i="25"/>
  <c r="AE2573" i="25"/>
  <c r="AL2572" i="25"/>
  <c r="AK2572" i="25"/>
  <c r="AJ2572" i="25"/>
  <c r="AI2572" i="25"/>
  <c r="AF2572" i="25"/>
  <c r="AE2572" i="25"/>
  <c r="AL2571" i="25"/>
  <c r="AK2571" i="25"/>
  <c r="AJ2571" i="25"/>
  <c r="AI2571" i="25"/>
  <c r="AF2571" i="25"/>
  <c r="AE2571" i="25"/>
  <c r="AL2570" i="25"/>
  <c r="AK2570" i="25"/>
  <c r="AJ2570" i="25"/>
  <c r="AI2570" i="25"/>
  <c r="AF2570" i="25"/>
  <c r="AE2570" i="25"/>
  <c r="AL2569" i="25"/>
  <c r="AK2569" i="25"/>
  <c r="AJ2569" i="25"/>
  <c r="AI2569" i="25"/>
  <c r="AF2569" i="25"/>
  <c r="AE2569" i="25"/>
  <c r="AL2568" i="25"/>
  <c r="AK2568" i="25"/>
  <c r="AJ2568" i="25"/>
  <c r="AI2568" i="25"/>
  <c r="AF2568" i="25"/>
  <c r="AE2568" i="25"/>
  <c r="AL2567" i="25"/>
  <c r="AK2567" i="25"/>
  <c r="AJ2567" i="25"/>
  <c r="AI2567" i="25"/>
  <c r="AF2567" i="25"/>
  <c r="AE2567" i="25"/>
  <c r="AL2566" i="25"/>
  <c r="AK2566" i="25"/>
  <c r="AJ2566" i="25"/>
  <c r="AI2566" i="25"/>
  <c r="AF2566" i="25"/>
  <c r="AE2566" i="25"/>
  <c r="AL2565" i="25"/>
  <c r="AK2565" i="25"/>
  <c r="AJ2565" i="25"/>
  <c r="AI2565" i="25"/>
  <c r="AF2565" i="25"/>
  <c r="AE2565" i="25"/>
  <c r="AL2564" i="25"/>
  <c r="AK2564" i="25"/>
  <c r="AJ2564" i="25"/>
  <c r="AI2564" i="25"/>
  <c r="AF2564" i="25"/>
  <c r="AE2564" i="25"/>
  <c r="AL2563" i="25"/>
  <c r="AK2563" i="25"/>
  <c r="AJ2563" i="25"/>
  <c r="AI2563" i="25"/>
  <c r="AF2563" i="25"/>
  <c r="AE2563" i="25"/>
  <c r="AL2562" i="25"/>
  <c r="AK2562" i="25"/>
  <c r="AJ2562" i="25"/>
  <c r="AI2562" i="25"/>
  <c r="AF2562" i="25"/>
  <c r="AE2562" i="25"/>
  <c r="AL2561" i="25"/>
  <c r="AK2561" i="25"/>
  <c r="AJ2561" i="25"/>
  <c r="AI2561" i="25"/>
  <c r="AF2561" i="25"/>
  <c r="AE2561" i="25"/>
  <c r="AL2560" i="25"/>
  <c r="AK2560" i="25"/>
  <c r="AJ2560" i="25"/>
  <c r="AI2560" i="25"/>
  <c r="AF2560" i="25"/>
  <c r="AE2560" i="25"/>
  <c r="AL2559" i="25"/>
  <c r="AK2559" i="25"/>
  <c r="AJ2559" i="25"/>
  <c r="AI2559" i="25"/>
  <c r="AF2559" i="25"/>
  <c r="AE2559" i="25"/>
  <c r="AL2558" i="25"/>
  <c r="AK2558" i="25"/>
  <c r="AJ2558" i="25"/>
  <c r="AI2558" i="25"/>
  <c r="AF2558" i="25"/>
  <c r="AE2558" i="25"/>
  <c r="AL2557" i="25"/>
  <c r="AK2557" i="25"/>
  <c r="AJ2557" i="25"/>
  <c r="AI2557" i="25"/>
  <c r="AF2557" i="25"/>
  <c r="AE2557" i="25"/>
  <c r="AL2556" i="25"/>
  <c r="AK2556" i="25"/>
  <c r="AJ2556" i="25"/>
  <c r="AI2556" i="25"/>
  <c r="AF2556" i="25"/>
  <c r="AE2556" i="25"/>
  <c r="AL2555" i="25"/>
  <c r="AK2555" i="25"/>
  <c r="AJ2555" i="25"/>
  <c r="AI2555" i="25"/>
  <c r="AF2555" i="25"/>
  <c r="AE2555" i="25"/>
  <c r="AL2554" i="25"/>
  <c r="AK2554" i="25"/>
  <c r="AJ2554" i="25"/>
  <c r="AI2554" i="25"/>
  <c r="AF2554" i="25"/>
  <c r="AE2554" i="25"/>
  <c r="AL2553" i="25"/>
  <c r="AK2553" i="25"/>
  <c r="AJ2553" i="25"/>
  <c r="AI2553" i="25"/>
  <c r="AF2553" i="25"/>
  <c r="AE2553" i="25"/>
  <c r="AL2552" i="25"/>
  <c r="AK2552" i="25"/>
  <c r="AJ2552" i="25"/>
  <c r="AI2552" i="25"/>
  <c r="AF2552" i="25"/>
  <c r="AE2552" i="25"/>
  <c r="AL2551" i="25"/>
  <c r="AK2551" i="25"/>
  <c r="AJ2551" i="25"/>
  <c r="AI2551" i="25"/>
  <c r="AF2551" i="25"/>
  <c r="AE2551" i="25"/>
  <c r="AL2550" i="25"/>
  <c r="AK2550" i="25"/>
  <c r="AJ2550" i="25"/>
  <c r="AI2550" i="25"/>
  <c r="AF2550" i="25"/>
  <c r="AE2550" i="25"/>
  <c r="AL2549" i="25"/>
  <c r="AK2549" i="25"/>
  <c r="AJ2549" i="25"/>
  <c r="AI2549" i="25"/>
  <c r="AF2549" i="25"/>
  <c r="AE2549" i="25"/>
  <c r="AL2548" i="25"/>
  <c r="AK2548" i="25"/>
  <c r="AJ2548" i="25"/>
  <c r="AI2548" i="25"/>
  <c r="AF2548" i="25"/>
  <c r="AE2548" i="25"/>
  <c r="AL2547" i="25"/>
  <c r="AK2547" i="25"/>
  <c r="AJ2547" i="25"/>
  <c r="AI2547" i="25"/>
  <c r="AF2547" i="25"/>
  <c r="AE2547" i="25"/>
  <c r="AL2546" i="25"/>
  <c r="AK2546" i="25"/>
  <c r="AJ2546" i="25"/>
  <c r="AI2546" i="25"/>
  <c r="AF2546" i="25"/>
  <c r="AE2546" i="25"/>
  <c r="AL2545" i="25"/>
  <c r="AK2545" i="25"/>
  <c r="AJ2545" i="25"/>
  <c r="AI2545" i="25"/>
  <c r="AF2545" i="25"/>
  <c r="AE2545" i="25"/>
  <c r="AL2544" i="25"/>
  <c r="AK2544" i="25"/>
  <c r="AJ2544" i="25"/>
  <c r="AI2544" i="25"/>
  <c r="AF2544" i="25"/>
  <c r="AE2544" i="25"/>
  <c r="AL2543" i="25"/>
  <c r="AK2543" i="25"/>
  <c r="AJ2543" i="25"/>
  <c r="AI2543" i="25"/>
  <c r="AF2543" i="25"/>
  <c r="AE2543" i="25"/>
  <c r="AL2542" i="25"/>
  <c r="AK2542" i="25"/>
  <c r="AJ2542" i="25"/>
  <c r="AI2542" i="25"/>
  <c r="AF2542" i="25"/>
  <c r="AE2542" i="25"/>
  <c r="AL2541" i="25"/>
  <c r="AK2541" i="25"/>
  <c r="AJ2541" i="25"/>
  <c r="AI2541" i="25"/>
  <c r="AF2541" i="25"/>
  <c r="AE2541" i="25"/>
  <c r="AL2540" i="25"/>
  <c r="AK2540" i="25"/>
  <c r="AJ2540" i="25"/>
  <c r="AI2540" i="25"/>
  <c r="AF2540" i="25"/>
  <c r="AE2540" i="25"/>
  <c r="AL2539" i="25"/>
  <c r="AK2539" i="25"/>
  <c r="AJ2539" i="25"/>
  <c r="AI2539" i="25"/>
  <c r="AF2539" i="25"/>
  <c r="AE2539" i="25"/>
  <c r="AL2538" i="25"/>
  <c r="AK2538" i="25"/>
  <c r="AJ2538" i="25"/>
  <c r="AI2538" i="25"/>
  <c r="AF2538" i="25"/>
  <c r="AE2538" i="25"/>
  <c r="AL2537" i="25"/>
  <c r="AK2537" i="25"/>
  <c r="AJ2537" i="25"/>
  <c r="AI2537" i="25"/>
  <c r="AF2537" i="25"/>
  <c r="AE2537" i="25"/>
  <c r="AL2536" i="25"/>
  <c r="AK2536" i="25"/>
  <c r="AJ2536" i="25"/>
  <c r="AI2536" i="25"/>
  <c r="AF2536" i="25"/>
  <c r="AE2536" i="25"/>
  <c r="AL2535" i="25"/>
  <c r="AK2535" i="25"/>
  <c r="AJ2535" i="25"/>
  <c r="AI2535" i="25"/>
  <c r="AF2535" i="25"/>
  <c r="AE2535" i="25"/>
  <c r="AL2534" i="25"/>
  <c r="AK2534" i="25"/>
  <c r="AJ2534" i="25"/>
  <c r="AI2534" i="25"/>
  <c r="AF2534" i="25"/>
  <c r="AE2534" i="25"/>
  <c r="AL2533" i="25"/>
  <c r="AK2533" i="25"/>
  <c r="AJ2533" i="25"/>
  <c r="AI2533" i="25"/>
  <c r="AF2533" i="25"/>
  <c r="AE2533" i="25"/>
  <c r="AL2532" i="25"/>
  <c r="AK2532" i="25"/>
  <c r="AJ2532" i="25"/>
  <c r="AI2532" i="25"/>
  <c r="AF2532" i="25"/>
  <c r="AE2532" i="25"/>
  <c r="AL2531" i="25"/>
  <c r="AK2531" i="25"/>
  <c r="AJ2531" i="25"/>
  <c r="AI2531" i="25"/>
  <c r="AF2531" i="25"/>
  <c r="AE2531" i="25"/>
  <c r="AL2530" i="25"/>
  <c r="AK2530" i="25"/>
  <c r="AJ2530" i="25"/>
  <c r="AI2530" i="25"/>
  <c r="AF2530" i="25"/>
  <c r="AE2530" i="25"/>
  <c r="AL2529" i="25"/>
  <c r="AK2529" i="25"/>
  <c r="AJ2529" i="25"/>
  <c r="AI2529" i="25"/>
  <c r="AF2529" i="25"/>
  <c r="AE2529" i="25"/>
  <c r="AL2528" i="25"/>
  <c r="AK2528" i="25"/>
  <c r="AJ2528" i="25"/>
  <c r="AI2528" i="25"/>
  <c r="AF2528" i="25"/>
  <c r="AE2528" i="25"/>
  <c r="AL2527" i="25"/>
  <c r="AK2527" i="25"/>
  <c r="AJ2527" i="25"/>
  <c r="AI2527" i="25"/>
  <c r="AF2527" i="25"/>
  <c r="AE2527" i="25"/>
  <c r="AL2526" i="25"/>
  <c r="AK2526" i="25"/>
  <c r="AJ2526" i="25"/>
  <c r="AI2526" i="25"/>
  <c r="AF2526" i="25"/>
  <c r="AE2526" i="25"/>
  <c r="AL2525" i="25"/>
  <c r="AK2525" i="25"/>
  <c r="AJ2525" i="25"/>
  <c r="AI2525" i="25"/>
  <c r="AF2525" i="25"/>
  <c r="AE2525" i="25"/>
  <c r="AL2524" i="25"/>
  <c r="AK2524" i="25"/>
  <c r="AJ2524" i="25"/>
  <c r="AI2524" i="25"/>
  <c r="AF2524" i="25"/>
  <c r="AE2524" i="25"/>
  <c r="AL2523" i="25"/>
  <c r="AK2523" i="25"/>
  <c r="AJ2523" i="25"/>
  <c r="AI2523" i="25"/>
  <c r="AF2523" i="25"/>
  <c r="AE2523" i="25"/>
  <c r="AL2522" i="25"/>
  <c r="AK2522" i="25"/>
  <c r="AJ2522" i="25"/>
  <c r="AI2522" i="25"/>
  <c r="AF2522" i="25"/>
  <c r="AE2522" i="25"/>
  <c r="AL2521" i="25"/>
  <c r="AK2521" i="25"/>
  <c r="AJ2521" i="25"/>
  <c r="AI2521" i="25"/>
  <c r="AF2521" i="25"/>
  <c r="AE2521" i="25"/>
  <c r="AL2520" i="25"/>
  <c r="AK2520" i="25"/>
  <c r="AJ2520" i="25"/>
  <c r="AI2520" i="25"/>
  <c r="AF2520" i="25"/>
  <c r="AE2520" i="25"/>
  <c r="AL2519" i="25"/>
  <c r="AK2519" i="25"/>
  <c r="AJ2519" i="25"/>
  <c r="AI2519" i="25"/>
  <c r="AF2519" i="25"/>
  <c r="AE2519" i="25"/>
  <c r="AL2518" i="25"/>
  <c r="AK2518" i="25"/>
  <c r="AJ2518" i="25"/>
  <c r="AI2518" i="25"/>
  <c r="AF2518" i="25"/>
  <c r="AE2518" i="25"/>
  <c r="AL2517" i="25"/>
  <c r="AK2517" i="25"/>
  <c r="AJ2517" i="25"/>
  <c r="AI2517" i="25"/>
  <c r="AF2517" i="25"/>
  <c r="AE2517" i="25"/>
  <c r="AL2516" i="25"/>
  <c r="AK2516" i="25"/>
  <c r="AJ2516" i="25"/>
  <c r="AI2516" i="25"/>
  <c r="AF2516" i="25"/>
  <c r="AE2516" i="25"/>
  <c r="AL2515" i="25"/>
  <c r="AK2515" i="25"/>
  <c r="AJ2515" i="25"/>
  <c r="AI2515" i="25"/>
  <c r="AF2515" i="25"/>
  <c r="AE2515" i="25"/>
  <c r="AL2514" i="25"/>
  <c r="AK2514" i="25"/>
  <c r="AJ2514" i="25"/>
  <c r="AI2514" i="25"/>
  <c r="AF2514" i="25"/>
  <c r="AE2514" i="25"/>
  <c r="AL2513" i="25"/>
  <c r="AK2513" i="25"/>
  <c r="AJ2513" i="25"/>
  <c r="AI2513" i="25"/>
  <c r="AF2513" i="25"/>
  <c r="AE2513" i="25"/>
  <c r="AL2512" i="25"/>
  <c r="AK2512" i="25"/>
  <c r="AJ2512" i="25"/>
  <c r="AI2512" i="25"/>
  <c r="AF2512" i="25"/>
  <c r="AE2512" i="25"/>
  <c r="AL2511" i="25"/>
  <c r="AK2511" i="25"/>
  <c r="AJ2511" i="25"/>
  <c r="AI2511" i="25"/>
  <c r="AF2511" i="25"/>
  <c r="AE2511" i="25"/>
  <c r="AL2510" i="25"/>
  <c r="AK2510" i="25"/>
  <c r="AJ2510" i="25"/>
  <c r="AI2510" i="25"/>
  <c r="AF2510" i="25"/>
  <c r="AE2510" i="25"/>
  <c r="AL2509" i="25"/>
  <c r="AK2509" i="25"/>
  <c r="AJ2509" i="25"/>
  <c r="AI2509" i="25"/>
  <c r="AF2509" i="25"/>
  <c r="AE2509" i="25"/>
  <c r="AL2508" i="25"/>
  <c r="AK2508" i="25"/>
  <c r="AJ2508" i="25"/>
  <c r="AI2508" i="25"/>
  <c r="AF2508" i="25"/>
  <c r="AE2508" i="25"/>
  <c r="AL2507" i="25"/>
  <c r="AK2507" i="25"/>
  <c r="AJ2507" i="25"/>
  <c r="AI2507" i="25"/>
  <c r="AF2507" i="25"/>
  <c r="AE2507" i="25"/>
  <c r="AL2506" i="25"/>
  <c r="AK2506" i="25"/>
  <c r="AJ2506" i="25"/>
  <c r="AI2506" i="25"/>
  <c r="AF2506" i="25"/>
  <c r="AE2506" i="25"/>
  <c r="AL2505" i="25"/>
  <c r="AK2505" i="25"/>
  <c r="AJ2505" i="25"/>
  <c r="AI2505" i="25"/>
  <c r="AF2505" i="25"/>
  <c r="AE2505" i="25"/>
  <c r="AL2504" i="25"/>
  <c r="AK2504" i="25"/>
  <c r="AJ2504" i="25"/>
  <c r="AI2504" i="25"/>
  <c r="AF2504" i="25"/>
  <c r="AE2504" i="25"/>
  <c r="AL2503" i="25"/>
  <c r="AK2503" i="25"/>
  <c r="AJ2503" i="25"/>
  <c r="AI2503" i="25"/>
  <c r="AF2503" i="25"/>
  <c r="AE2503" i="25"/>
  <c r="AL2502" i="25"/>
  <c r="AK2502" i="25"/>
  <c r="AJ2502" i="25"/>
  <c r="AI2502" i="25"/>
  <c r="AF2502" i="25"/>
  <c r="AE2502" i="25"/>
  <c r="AL2501" i="25"/>
  <c r="AK2501" i="25"/>
  <c r="AJ2501" i="25"/>
  <c r="AI2501" i="25"/>
  <c r="AF2501" i="25"/>
  <c r="AE2501" i="25"/>
  <c r="AL2500" i="25"/>
  <c r="AK2500" i="25"/>
  <c r="AJ2500" i="25"/>
  <c r="AI2500" i="25"/>
  <c r="AF2500" i="25"/>
  <c r="AE2500" i="25"/>
  <c r="AL2499" i="25"/>
  <c r="AK2499" i="25"/>
  <c r="AJ2499" i="25"/>
  <c r="AI2499" i="25"/>
  <c r="AF2499" i="25"/>
  <c r="AE2499" i="25"/>
  <c r="AL2498" i="25"/>
  <c r="AK2498" i="25"/>
  <c r="AJ2498" i="25"/>
  <c r="AI2498" i="25"/>
  <c r="AF2498" i="25"/>
  <c r="AE2498" i="25"/>
  <c r="AL2497" i="25"/>
  <c r="AK2497" i="25"/>
  <c r="AJ2497" i="25"/>
  <c r="AI2497" i="25"/>
  <c r="AF2497" i="25"/>
  <c r="AE2497" i="25"/>
  <c r="AL2496" i="25"/>
  <c r="AK2496" i="25"/>
  <c r="AJ2496" i="25"/>
  <c r="AI2496" i="25"/>
  <c r="AF2496" i="25"/>
  <c r="AE2496" i="25"/>
  <c r="AL2495" i="25"/>
  <c r="AK2495" i="25"/>
  <c r="AJ2495" i="25"/>
  <c r="AI2495" i="25"/>
  <c r="AF2495" i="25"/>
  <c r="AE2495" i="25"/>
  <c r="AL2494" i="25"/>
  <c r="AK2494" i="25"/>
  <c r="AJ2494" i="25"/>
  <c r="AI2494" i="25"/>
  <c r="AF2494" i="25"/>
  <c r="AE2494" i="25"/>
  <c r="AL2493" i="25"/>
  <c r="AK2493" i="25"/>
  <c r="AJ2493" i="25"/>
  <c r="AI2493" i="25"/>
  <c r="AF2493" i="25"/>
  <c r="AE2493" i="25"/>
  <c r="AL2492" i="25"/>
  <c r="AK2492" i="25"/>
  <c r="AJ2492" i="25"/>
  <c r="AI2492" i="25"/>
  <c r="AF2492" i="25"/>
  <c r="AE2492" i="25"/>
  <c r="AL2491" i="25"/>
  <c r="AK2491" i="25"/>
  <c r="AJ2491" i="25"/>
  <c r="AI2491" i="25"/>
  <c r="AF2491" i="25"/>
  <c r="AE2491" i="25"/>
  <c r="AL2490" i="25"/>
  <c r="AK2490" i="25"/>
  <c r="AJ2490" i="25"/>
  <c r="AI2490" i="25"/>
  <c r="AF2490" i="25"/>
  <c r="AE2490" i="25"/>
  <c r="AL2489" i="25"/>
  <c r="AK2489" i="25"/>
  <c r="AJ2489" i="25"/>
  <c r="AI2489" i="25"/>
  <c r="AF2489" i="25"/>
  <c r="AE2489" i="25"/>
  <c r="AL2488" i="25"/>
  <c r="AK2488" i="25"/>
  <c r="AJ2488" i="25"/>
  <c r="AI2488" i="25"/>
  <c r="AF2488" i="25"/>
  <c r="AE2488" i="25"/>
  <c r="AL2487" i="25"/>
  <c r="AK2487" i="25"/>
  <c r="AJ2487" i="25"/>
  <c r="AI2487" i="25"/>
  <c r="AF2487" i="25"/>
  <c r="AE2487" i="25"/>
  <c r="AL2486" i="25"/>
  <c r="AK2486" i="25"/>
  <c r="AJ2486" i="25"/>
  <c r="AI2486" i="25"/>
  <c r="AF2486" i="25"/>
  <c r="AE2486" i="25"/>
  <c r="AL2485" i="25"/>
  <c r="AK2485" i="25"/>
  <c r="AJ2485" i="25"/>
  <c r="AI2485" i="25"/>
  <c r="AF2485" i="25"/>
  <c r="AE2485" i="25"/>
  <c r="AL2484" i="25"/>
  <c r="AK2484" i="25"/>
  <c r="AJ2484" i="25"/>
  <c r="AI2484" i="25"/>
  <c r="AF2484" i="25"/>
  <c r="AE2484" i="25"/>
  <c r="AL2483" i="25"/>
  <c r="AK2483" i="25"/>
  <c r="AJ2483" i="25"/>
  <c r="AI2483" i="25"/>
  <c r="AF2483" i="25"/>
  <c r="AE2483" i="25"/>
  <c r="AL2482" i="25"/>
  <c r="AK2482" i="25"/>
  <c r="AJ2482" i="25"/>
  <c r="AI2482" i="25"/>
  <c r="AF2482" i="25"/>
  <c r="AE2482" i="25"/>
  <c r="AL2481" i="25"/>
  <c r="AK2481" i="25"/>
  <c r="AJ2481" i="25"/>
  <c r="AI2481" i="25"/>
  <c r="AF2481" i="25"/>
  <c r="AE2481" i="25"/>
  <c r="AL2480" i="25"/>
  <c r="AK2480" i="25"/>
  <c r="AJ2480" i="25"/>
  <c r="AI2480" i="25"/>
  <c r="AF2480" i="25"/>
  <c r="AE2480" i="25"/>
  <c r="AL2479" i="25"/>
  <c r="AK2479" i="25"/>
  <c r="AJ2479" i="25"/>
  <c r="AI2479" i="25"/>
  <c r="AF2479" i="25"/>
  <c r="AE2479" i="25"/>
  <c r="AL2478" i="25"/>
  <c r="AK2478" i="25"/>
  <c r="AJ2478" i="25"/>
  <c r="AI2478" i="25"/>
  <c r="AF2478" i="25"/>
  <c r="AE2478" i="25"/>
  <c r="AL2477" i="25"/>
  <c r="AK2477" i="25"/>
  <c r="AJ2477" i="25"/>
  <c r="AI2477" i="25"/>
  <c r="AF2477" i="25"/>
  <c r="AE2477" i="25"/>
  <c r="AL2476" i="25"/>
  <c r="AK2476" i="25"/>
  <c r="AJ2476" i="25"/>
  <c r="AI2476" i="25"/>
  <c r="AF2476" i="25"/>
  <c r="AE2476" i="25"/>
  <c r="AL2475" i="25"/>
  <c r="AK2475" i="25"/>
  <c r="AJ2475" i="25"/>
  <c r="AI2475" i="25"/>
  <c r="AF2475" i="25"/>
  <c r="AE2475" i="25"/>
  <c r="AL2474" i="25"/>
  <c r="AK2474" i="25"/>
  <c r="AJ2474" i="25"/>
  <c r="AI2474" i="25"/>
  <c r="AF2474" i="25"/>
  <c r="AE2474" i="25"/>
  <c r="AL2473" i="25"/>
  <c r="AK2473" i="25"/>
  <c r="AJ2473" i="25"/>
  <c r="AI2473" i="25"/>
  <c r="AF2473" i="25"/>
  <c r="AE2473" i="25"/>
  <c r="AL2472" i="25"/>
  <c r="AK2472" i="25"/>
  <c r="AJ2472" i="25"/>
  <c r="AI2472" i="25"/>
  <c r="AF2472" i="25"/>
  <c r="AE2472" i="25"/>
  <c r="AL2471" i="25"/>
  <c r="AK2471" i="25"/>
  <c r="AJ2471" i="25"/>
  <c r="AI2471" i="25"/>
  <c r="AF2471" i="25"/>
  <c r="AE2471" i="25"/>
  <c r="AL2470" i="25"/>
  <c r="AK2470" i="25"/>
  <c r="AJ2470" i="25"/>
  <c r="AI2470" i="25"/>
  <c r="AF2470" i="25"/>
  <c r="AE2470" i="25"/>
  <c r="AL2469" i="25"/>
  <c r="AK2469" i="25"/>
  <c r="AJ2469" i="25"/>
  <c r="AI2469" i="25"/>
  <c r="AF2469" i="25"/>
  <c r="AE2469" i="25"/>
  <c r="AL2468" i="25"/>
  <c r="AK2468" i="25"/>
  <c r="AJ2468" i="25"/>
  <c r="AI2468" i="25"/>
  <c r="AF2468" i="25"/>
  <c r="AE2468" i="25"/>
  <c r="AL2467" i="25"/>
  <c r="AK2467" i="25"/>
  <c r="AJ2467" i="25"/>
  <c r="AI2467" i="25"/>
  <c r="AF2467" i="25"/>
  <c r="AE2467" i="25"/>
  <c r="AL2466" i="25"/>
  <c r="AK2466" i="25"/>
  <c r="AJ2466" i="25"/>
  <c r="AI2466" i="25"/>
  <c r="AF2466" i="25"/>
  <c r="AE2466" i="25"/>
  <c r="AL2465" i="25"/>
  <c r="AK2465" i="25"/>
  <c r="AJ2465" i="25"/>
  <c r="AI2465" i="25"/>
  <c r="AF2465" i="25"/>
  <c r="AE2465" i="25"/>
  <c r="AL2464" i="25"/>
  <c r="AK2464" i="25"/>
  <c r="AJ2464" i="25"/>
  <c r="AI2464" i="25"/>
  <c r="AF2464" i="25"/>
  <c r="AE2464" i="25"/>
  <c r="AL2463" i="25"/>
  <c r="AK2463" i="25"/>
  <c r="AJ2463" i="25"/>
  <c r="AI2463" i="25"/>
  <c r="AF2463" i="25"/>
  <c r="AE2463" i="25"/>
  <c r="AL2462" i="25"/>
  <c r="AK2462" i="25"/>
  <c r="AJ2462" i="25"/>
  <c r="AI2462" i="25"/>
  <c r="AF2462" i="25"/>
  <c r="AE2462" i="25"/>
  <c r="AL2461" i="25"/>
  <c r="AK2461" i="25"/>
  <c r="AJ2461" i="25"/>
  <c r="AI2461" i="25"/>
  <c r="AF2461" i="25"/>
  <c r="AE2461" i="25"/>
  <c r="AL2460" i="25"/>
  <c r="AK2460" i="25"/>
  <c r="AJ2460" i="25"/>
  <c r="AI2460" i="25"/>
  <c r="AF2460" i="25"/>
  <c r="AE2460" i="25"/>
  <c r="AL2459" i="25"/>
  <c r="AK2459" i="25"/>
  <c r="AJ2459" i="25"/>
  <c r="AI2459" i="25"/>
  <c r="AF2459" i="25"/>
  <c r="AE2459" i="25"/>
  <c r="AL2458" i="25"/>
  <c r="AK2458" i="25"/>
  <c r="AJ2458" i="25"/>
  <c r="AI2458" i="25"/>
  <c r="AF2458" i="25"/>
  <c r="AE2458" i="25"/>
  <c r="AL2457" i="25"/>
  <c r="AK2457" i="25"/>
  <c r="AJ2457" i="25"/>
  <c r="AI2457" i="25"/>
  <c r="AF2457" i="25"/>
  <c r="AE2457" i="25"/>
  <c r="AL2456" i="25"/>
  <c r="AK2456" i="25"/>
  <c r="AJ2456" i="25"/>
  <c r="AI2456" i="25"/>
  <c r="AF2456" i="25"/>
  <c r="AE2456" i="25"/>
  <c r="AL2455" i="25"/>
  <c r="AK2455" i="25"/>
  <c r="AJ2455" i="25"/>
  <c r="AI2455" i="25"/>
  <c r="AF2455" i="25"/>
  <c r="AE2455" i="25"/>
  <c r="AL2454" i="25"/>
  <c r="AK2454" i="25"/>
  <c r="AJ2454" i="25"/>
  <c r="AI2454" i="25"/>
  <c r="AF2454" i="25"/>
  <c r="AE2454" i="25"/>
  <c r="AL2453" i="25"/>
  <c r="AK2453" i="25"/>
  <c r="AJ2453" i="25"/>
  <c r="AI2453" i="25"/>
  <c r="AF2453" i="25"/>
  <c r="AE2453" i="25"/>
  <c r="AL2452" i="25"/>
  <c r="AK2452" i="25"/>
  <c r="AJ2452" i="25"/>
  <c r="AI2452" i="25"/>
  <c r="AF2452" i="25"/>
  <c r="AE2452" i="25"/>
  <c r="AL2451" i="25"/>
  <c r="AK2451" i="25"/>
  <c r="AJ2451" i="25"/>
  <c r="AI2451" i="25"/>
  <c r="AF2451" i="25"/>
  <c r="AE2451" i="25"/>
  <c r="AL2450" i="25"/>
  <c r="AK2450" i="25"/>
  <c r="AJ2450" i="25"/>
  <c r="AI2450" i="25"/>
  <c r="AF2450" i="25"/>
  <c r="AE2450" i="25"/>
  <c r="AL2449" i="25"/>
  <c r="AK2449" i="25"/>
  <c r="AJ2449" i="25"/>
  <c r="AI2449" i="25"/>
  <c r="AF2449" i="25"/>
  <c r="AE2449" i="25"/>
  <c r="AL2448" i="25"/>
  <c r="AK2448" i="25"/>
  <c r="AJ2448" i="25"/>
  <c r="AI2448" i="25"/>
  <c r="AF2448" i="25"/>
  <c r="AE2448" i="25"/>
  <c r="AL2447" i="25"/>
  <c r="AK2447" i="25"/>
  <c r="AJ2447" i="25"/>
  <c r="AI2447" i="25"/>
  <c r="AF2447" i="25"/>
  <c r="AE2447" i="25"/>
  <c r="AL2446" i="25"/>
  <c r="AK2446" i="25"/>
  <c r="AJ2446" i="25"/>
  <c r="AI2446" i="25"/>
  <c r="AF2446" i="25"/>
  <c r="AE2446" i="25"/>
  <c r="AL2445" i="25"/>
  <c r="AK2445" i="25"/>
  <c r="AJ2445" i="25"/>
  <c r="AI2445" i="25"/>
  <c r="AF2445" i="25"/>
  <c r="AE2445" i="25"/>
  <c r="AL2444" i="25"/>
  <c r="AK2444" i="25"/>
  <c r="AJ2444" i="25"/>
  <c r="AI2444" i="25"/>
  <c r="AF2444" i="25"/>
  <c r="AE2444" i="25"/>
  <c r="AL2443" i="25"/>
  <c r="AK2443" i="25"/>
  <c r="AJ2443" i="25"/>
  <c r="AI2443" i="25"/>
  <c r="AF2443" i="25"/>
  <c r="AE2443" i="25"/>
  <c r="AL2442" i="25"/>
  <c r="AK2442" i="25"/>
  <c r="AJ2442" i="25"/>
  <c r="AI2442" i="25"/>
  <c r="AF2442" i="25"/>
  <c r="AE2442" i="25"/>
  <c r="AL2441" i="25"/>
  <c r="AK2441" i="25"/>
  <c r="AJ2441" i="25"/>
  <c r="AI2441" i="25"/>
  <c r="AF2441" i="25"/>
  <c r="AE2441" i="25"/>
  <c r="AL2440" i="25"/>
  <c r="AK2440" i="25"/>
  <c r="AJ2440" i="25"/>
  <c r="AI2440" i="25"/>
  <c r="AF2440" i="25"/>
  <c r="AE2440" i="25"/>
  <c r="AL2439" i="25"/>
  <c r="AK2439" i="25"/>
  <c r="AJ2439" i="25"/>
  <c r="AI2439" i="25"/>
  <c r="AF2439" i="25"/>
  <c r="AE2439" i="25"/>
  <c r="AL2438" i="25"/>
  <c r="AK2438" i="25"/>
  <c r="AJ2438" i="25"/>
  <c r="AI2438" i="25"/>
  <c r="AF2438" i="25"/>
  <c r="AE2438" i="25"/>
  <c r="AL2437" i="25"/>
  <c r="AK2437" i="25"/>
  <c r="AJ2437" i="25"/>
  <c r="AI2437" i="25"/>
  <c r="AF2437" i="25"/>
  <c r="AE2437" i="25"/>
  <c r="AL2436" i="25"/>
  <c r="AK2436" i="25"/>
  <c r="AJ2436" i="25"/>
  <c r="AI2436" i="25"/>
  <c r="AF2436" i="25"/>
  <c r="AE2436" i="25"/>
  <c r="AL2435" i="25"/>
  <c r="AK2435" i="25"/>
  <c r="AJ2435" i="25"/>
  <c r="AI2435" i="25"/>
  <c r="AF2435" i="25"/>
  <c r="AE2435" i="25"/>
  <c r="AL2434" i="25"/>
  <c r="AK2434" i="25"/>
  <c r="AJ2434" i="25"/>
  <c r="AI2434" i="25"/>
  <c r="AF2434" i="25"/>
  <c r="AE2434" i="25"/>
  <c r="AL2433" i="25"/>
  <c r="AK2433" i="25"/>
  <c r="AJ2433" i="25"/>
  <c r="AI2433" i="25"/>
  <c r="AF2433" i="25"/>
  <c r="AE2433" i="25"/>
  <c r="AL2432" i="25"/>
  <c r="AK2432" i="25"/>
  <c r="AJ2432" i="25"/>
  <c r="AI2432" i="25"/>
  <c r="AF2432" i="25"/>
  <c r="AE2432" i="25"/>
  <c r="AL2431" i="25"/>
  <c r="AK2431" i="25"/>
  <c r="AJ2431" i="25"/>
  <c r="AI2431" i="25"/>
  <c r="AF2431" i="25"/>
  <c r="AE2431" i="25"/>
  <c r="AL2430" i="25"/>
  <c r="AK2430" i="25"/>
  <c r="AJ2430" i="25"/>
  <c r="AI2430" i="25"/>
  <c r="AF2430" i="25"/>
  <c r="AE2430" i="25"/>
  <c r="AL2429" i="25"/>
  <c r="AK2429" i="25"/>
  <c r="AJ2429" i="25"/>
  <c r="AI2429" i="25"/>
  <c r="AF2429" i="25"/>
  <c r="AE2429" i="25"/>
  <c r="AL2428" i="25"/>
  <c r="AK2428" i="25"/>
  <c r="AJ2428" i="25"/>
  <c r="AI2428" i="25"/>
  <c r="AF2428" i="25"/>
  <c r="AE2428" i="25"/>
  <c r="AL2427" i="25"/>
  <c r="AK2427" i="25"/>
  <c r="AJ2427" i="25"/>
  <c r="AI2427" i="25"/>
  <c r="AF2427" i="25"/>
  <c r="AE2427" i="25"/>
  <c r="AL2426" i="25"/>
  <c r="AK2426" i="25"/>
  <c r="AJ2426" i="25"/>
  <c r="AI2426" i="25"/>
  <c r="AF2426" i="25"/>
  <c r="AE2426" i="25"/>
  <c r="AL2425" i="25"/>
  <c r="AK2425" i="25"/>
  <c r="AJ2425" i="25"/>
  <c r="AI2425" i="25"/>
  <c r="AF2425" i="25"/>
  <c r="AE2425" i="25"/>
  <c r="AL2424" i="25"/>
  <c r="AK2424" i="25"/>
  <c r="AJ2424" i="25"/>
  <c r="AI2424" i="25"/>
  <c r="AF2424" i="25"/>
  <c r="AE2424" i="25"/>
  <c r="AL2423" i="25"/>
  <c r="AK2423" i="25"/>
  <c r="AJ2423" i="25"/>
  <c r="AI2423" i="25"/>
  <c r="AF2423" i="25"/>
  <c r="AE2423" i="25"/>
  <c r="AL2422" i="25"/>
  <c r="AK2422" i="25"/>
  <c r="AJ2422" i="25"/>
  <c r="AI2422" i="25"/>
  <c r="AF2422" i="25"/>
  <c r="AE2422" i="25"/>
  <c r="AL2421" i="25"/>
  <c r="AK2421" i="25"/>
  <c r="AJ2421" i="25"/>
  <c r="AI2421" i="25"/>
  <c r="AF2421" i="25"/>
  <c r="AE2421" i="25"/>
  <c r="AL2420" i="25"/>
  <c r="AK2420" i="25"/>
  <c r="AJ2420" i="25"/>
  <c r="AI2420" i="25"/>
  <c r="AF2420" i="25"/>
  <c r="AE2420" i="25"/>
  <c r="AL2419" i="25"/>
  <c r="AK2419" i="25"/>
  <c r="AJ2419" i="25"/>
  <c r="AI2419" i="25"/>
  <c r="AF2419" i="25"/>
  <c r="AE2419" i="25"/>
  <c r="AL2418" i="25"/>
  <c r="AK2418" i="25"/>
  <c r="AJ2418" i="25"/>
  <c r="AI2418" i="25"/>
  <c r="AF2418" i="25"/>
  <c r="AE2418" i="25"/>
  <c r="AL2417" i="25"/>
  <c r="AK2417" i="25"/>
  <c r="AJ2417" i="25"/>
  <c r="AI2417" i="25"/>
  <c r="AF2417" i="25"/>
  <c r="AE2417" i="25"/>
  <c r="AL2416" i="25"/>
  <c r="AK2416" i="25"/>
  <c r="AJ2416" i="25"/>
  <c r="AI2416" i="25"/>
  <c r="AF2416" i="25"/>
  <c r="AE2416" i="25"/>
  <c r="AL2415" i="25"/>
  <c r="AK2415" i="25"/>
  <c r="AJ2415" i="25"/>
  <c r="AI2415" i="25"/>
  <c r="AF2415" i="25"/>
  <c r="AE2415" i="25"/>
  <c r="AL2414" i="25"/>
  <c r="AK2414" i="25"/>
  <c r="AJ2414" i="25"/>
  <c r="AI2414" i="25"/>
  <c r="AF2414" i="25"/>
  <c r="AE2414" i="25"/>
  <c r="AL2413" i="25"/>
  <c r="AK2413" i="25"/>
  <c r="AJ2413" i="25"/>
  <c r="AI2413" i="25"/>
  <c r="AF2413" i="25"/>
  <c r="AE2413" i="25"/>
  <c r="AL2412" i="25"/>
  <c r="AK2412" i="25"/>
  <c r="AJ2412" i="25"/>
  <c r="AI2412" i="25"/>
  <c r="AF2412" i="25"/>
  <c r="AE2412" i="25"/>
  <c r="AL2411" i="25"/>
  <c r="AK2411" i="25"/>
  <c r="AJ2411" i="25"/>
  <c r="AI2411" i="25"/>
  <c r="AF2411" i="25"/>
  <c r="AE2411" i="25"/>
  <c r="AL2410" i="25"/>
  <c r="AK2410" i="25"/>
  <c r="AJ2410" i="25"/>
  <c r="AI2410" i="25"/>
  <c r="AF2410" i="25"/>
  <c r="AE2410" i="25"/>
  <c r="AL2409" i="25"/>
  <c r="AK2409" i="25"/>
  <c r="AJ2409" i="25"/>
  <c r="AI2409" i="25"/>
  <c r="AF2409" i="25"/>
  <c r="AE2409" i="25"/>
  <c r="AL2408" i="25"/>
  <c r="AK2408" i="25"/>
  <c r="AJ2408" i="25"/>
  <c r="AI2408" i="25"/>
  <c r="AF2408" i="25"/>
  <c r="AE2408" i="25"/>
  <c r="AL2407" i="25"/>
  <c r="AK2407" i="25"/>
  <c r="AJ2407" i="25"/>
  <c r="AI2407" i="25"/>
  <c r="AF2407" i="25"/>
  <c r="AE2407" i="25"/>
  <c r="AL2406" i="25"/>
  <c r="AK2406" i="25"/>
  <c r="AJ2406" i="25"/>
  <c r="AI2406" i="25"/>
  <c r="AF2406" i="25"/>
  <c r="AE2406" i="25"/>
  <c r="AL2405" i="25"/>
  <c r="AK2405" i="25"/>
  <c r="AJ2405" i="25"/>
  <c r="AI2405" i="25"/>
  <c r="AF2405" i="25"/>
  <c r="AE2405" i="25"/>
  <c r="AE2404" i="25"/>
  <c r="AL2403" i="25"/>
  <c r="AK2403" i="25"/>
  <c r="AJ2403" i="25"/>
  <c r="AI2403" i="25"/>
  <c r="AF2403" i="25"/>
  <c r="AE2403" i="25"/>
  <c r="AL2402" i="25"/>
  <c r="AK2402" i="25"/>
  <c r="AJ2402" i="25"/>
  <c r="AI2402" i="25"/>
  <c r="AF2402" i="25"/>
  <c r="AE2402" i="25"/>
  <c r="AL2401" i="25"/>
  <c r="AK2401" i="25"/>
  <c r="AJ2401" i="25"/>
  <c r="AI2401" i="25"/>
  <c r="AF2401" i="25"/>
  <c r="AE2401" i="25"/>
  <c r="AL2400" i="25"/>
  <c r="AK2400" i="25"/>
  <c r="AJ2400" i="25"/>
  <c r="AI2400" i="25"/>
  <c r="AF2400" i="25"/>
  <c r="AE2400" i="25"/>
  <c r="AL2399" i="25"/>
  <c r="AK2399" i="25"/>
  <c r="AJ2399" i="25"/>
  <c r="AI2399" i="25"/>
  <c r="AF2399" i="25"/>
  <c r="AE2399" i="25"/>
  <c r="AL2398" i="25"/>
  <c r="AK2398" i="25"/>
  <c r="AJ2398" i="25"/>
  <c r="AI2398" i="25"/>
  <c r="AF2398" i="25"/>
  <c r="AE2398" i="25"/>
  <c r="AL2397" i="25"/>
  <c r="AK2397" i="25"/>
  <c r="AJ2397" i="25"/>
  <c r="AI2397" i="25"/>
  <c r="AF2397" i="25"/>
  <c r="AE2397" i="25"/>
  <c r="AL2396" i="25"/>
  <c r="AK2396" i="25"/>
  <c r="AJ2396" i="25"/>
  <c r="AI2396" i="25"/>
  <c r="AF2396" i="25"/>
  <c r="AE2396" i="25"/>
  <c r="AL2395" i="25"/>
  <c r="AK2395" i="25"/>
  <c r="AJ2395" i="25"/>
  <c r="AI2395" i="25"/>
  <c r="AF2395" i="25"/>
  <c r="AE2395" i="25"/>
  <c r="AL2394" i="25"/>
  <c r="AK2394" i="25"/>
  <c r="AJ2394" i="25"/>
  <c r="AI2394" i="25"/>
  <c r="AF2394" i="25"/>
  <c r="AE2394" i="25"/>
  <c r="AL2393" i="25"/>
  <c r="AK2393" i="25"/>
  <c r="AJ2393" i="25"/>
  <c r="AI2393" i="25"/>
  <c r="AF2393" i="25"/>
  <c r="AE2393" i="25"/>
  <c r="AL2392" i="25"/>
  <c r="AK2392" i="25"/>
  <c r="AJ2392" i="25"/>
  <c r="AI2392" i="25"/>
  <c r="AF2392" i="25"/>
  <c r="AE2392" i="25"/>
  <c r="AL2391" i="25"/>
  <c r="AK2391" i="25"/>
  <c r="AJ2391" i="25"/>
  <c r="AI2391" i="25"/>
  <c r="AF2391" i="25"/>
  <c r="AE2391" i="25"/>
  <c r="AL2390" i="25"/>
  <c r="AK2390" i="25"/>
  <c r="AJ2390" i="25"/>
  <c r="AI2390" i="25"/>
  <c r="AF2390" i="25"/>
  <c r="AE2390" i="25"/>
  <c r="AL2389" i="25"/>
  <c r="AK2389" i="25"/>
  <c r="AJ2389" i="25"/>
  <c r="AI2389" i="25"/>
  <c r="AF2389" i="25"/>
  <c r="AE2389" i="25"/>
  <c r="AE2388" i="25"/>
  <c r="AL2387" i="25"/>
  <c r="AK2387" i="25"/>
  <c r="AJ2387" i="25"/>
  <c r="AI2387" i="25"/>
  <c r="AF2387" i="25"/>
  <c r="AE2387" i="25"/>
  <c r="AL2386" i="25"/>
  <c r="AK2386" i="25"/>
  <c r="AJ2386" i="25"/>
  <c r="AI2386" i="25"/>
  <c r="AF2386" i="25"/>
  <c r="AE2386" i="25"/>
  <c r="AL2385" i="25"/>
  <c r="AK2385" i="25"/>
  <c r="AJ2385" i="25"/>
  <c r="AI2385" i="25"/>
  <c r="AF2385" i="25"/>
  <c r="AE2385" i="25"/>
  <c r="AL2384" i="25"/>
  <c r="AK2384" i="25"/>
  <c r="AJ2384" i="25"/>
  <c r="AI2384" i="25"/>
  <c r="AF2384" i="25"/>
  <c r="AE2384" i="25"/>
  <c r="AL2383" i="25"/>
  <c r="AK2383" i="25"/>
  <c r="AJ2383" i="25"/>
  <c r="AI2383" i="25"/>
  <c r="AF2383" i="25"/>
  <c r="AE2383" i="25"/>
  <c r="AL2382" i="25"/>
  <c r="AK2382" i="25"/>
  <c r="AJ2382" i="25"/>
  <c r="AI2382" i="25"/>
  <c r="AF2382" i="25"/>
  <c r="AE2382" i="25"/>
  <c r="AL2381" i="25"/>
  <c r="AK2381" i="25"/>
  <c r="AJ2381" i="25"/>
  <c r="AI2381" i="25"/>
  <c r="AF2381" i="25"/>
  <c r="AE2381" i="25"/>
  <c r="AL2380" i="25"/>
  <c r="AK2380" i="25"/>
  <c r="AJ2380" i="25"/>
  <c r="AI2380" i="25"/>
  <c r="AF2380" i="25"/>
  <c r="AE2380" i="25"/>
  <c r="AL2379" i="25"/>
  <c r="AK2379" i="25"/>
  <c r="AJ2379" i="25"/>
  <c r="AI2379" i="25"/>
  <c r="AF2379" i="25"/>
  <c r="AE2379" i="25"/>
  <c r="AL2378" i="25"/>
  <c r="AK2378" i="25"/>
  <c r="AJ2378" i="25"/>
  <c r="AI2378" i="25"/>
  <c r="AF2378" i="25"/>
  <c r="AE2378" i="25"/>
  <c r="AL2377" i="25"/>
  <c r="AK2377" i="25"/>
  <c r="AJ2377" i="25"/>
  <c r="AI2377" i="25"/>
  <c r="AF2377" i="25"/>
  <c r="AE2377" i="25"/>
  <c r="AL2376" i="25"/>
  <c r="AK2376" i="25"/>
  <c r="AJ2376" i="25"/>
  <c r="AI2376" i="25"/>
  <c r="AF2376" i="25"/>
  <c r="AE2376" i="25"/>
  <c r="AL2375" i="25"/>
  <c r="AK2375" i="25"/>
  <c r="AJ2375" i="25"/>
  <c r="AI2375" i="25"/>
  <c r="AF2375" i="25"/>
  <c r="AE2375" i="25"/>
  <c r="AL2374" i="25"/>
  <c r="AK2374" i="25"/>
  <c r="AJ2374" i="25"/>
  <c r="AI2374" i="25"/>
  <c r="AF2374" i="25"/>
  <c r="AE2374" i="25"/>
  <c r="AL2373" i="25"/>
  <c r="AK2373" i="25"/>
  <c r="AJ2373" i="25"/>
  <c r="AI2373" i="25"/>
  <c r="AF2373" i="25"/>
  <c r="AE2373" i="25"/>
  <c r="AL2372" i="25"/>
  <c r="AK2372" i="25"/>
  <c r="AJ2372" i="25"/>
  <c r="AI2372" i="25"/>
  <c r="AF2372" i="25"/>
  <c r="AE2372" i="25"/>
  <c r="AL2371" i="25"/>
  <c r="AK2371" i="25"/>
  <c r="AJ2371" i="25"/>
  <c r="AI2371" i="25"/>
  <c r="AF2371" i="25"/>
  <c r="AE2371" i="25"/>
  <c r="AL2370" i="25"/>
  <c r="AK2370" i="25"/>
  <c r="AJ2370" i="25"/>
  <c r="AI2370" i="25"/>
  <c r="AF2370" i="25"/>
  <c r="AE2370" i="25"/>
  <c r="AL2369" i="25"/>
  <c r="AK2369" i="25"/>
  <c r="AJ2369" i="25"/>
  <c r="AI2369" i="25"/>
  <c r="AF2369" i="25"/>
  <c r="AE2369" i="25"/>
  <c r="AL2368" i="25"/>
  <c r="AK2368" i="25"/>
  <c r="AJ2368" i="25"/>
  <c r="AI2368" i="25"/>
  <c r="AF2368" i="25"/>
  <c r="AE2368" i="25"/>
  <c r="AL2367" i="25"/>
  <c r="AK2367" i="25"/>
  <c r="AJ2367" i="25"/>
  <c r="AI2367" i="25"/>
  <c r="AF2367" i="25"/>
  <c r="AE2367" i="25"/>
  <c r="AL2366" i="25"/>
  <c r="AK2366" i="25"/>
  <c r="AJ2366" i="25"/>
  <c r="AI2366" i="25"/>
  <c r="AF2366" i="25"/>
  <c r="AE2366" i="25"/>
  <c r="AL2365" i="25"/>
  <c r="AK2365" i="25"/>
  <c r="AJ2365" i="25"/>
  <c r="AI2365" i="25"/>
  <c r="AF2365" i="25"/>
  <c r="AE2365" i="25"/>
  <c r="AL2364" i="25"/>
  <c r="AK2364" i="25"/>
  <c r="AJ2364" i="25"/>
  <c r="AI2364" i="25"/>
  <c r="AF2364" i="25"/>
  <c r="AE2364" i="25"/>
  <c r="AL2363" i="25"/>
  <c r="AK2363" i="25"/>
  <c r="AJ2363" i="25"/>
  <c r="AI2363" i="25"/>
  <c r="AF2363" i="25"/>
  <c r="AE2363" i="25"/>
  <c r="AL2362" i="25"/>
  <c r="AK2362" i="25"/>
  <c r="AJ2362" i="25"/>
  <c r="AI2362" i="25"/>
  <c r="AF2362" i="25"/>
  <c r="AE2362" i="25"/>
  <c r="AL2361" i="25"/>
  <c r="AK2361" i="25"/>
  <c r="AJ2361" i="25"/>
  <c r="AI2361" i="25"/>
  <c r="AF2361" i="25"/>
  <c r="AE2361" i="25"/>
  <c r="AL2360" i="25"/>
  <c r="AK2360" i="25"/>
  <c r="AJ2360" i="25"/>
  <c r="AI2360" i="25"/>
  <c r="AF2360" i="25"/>
  <c r="AE2360" i="25"/>
  <c r="AL2359" i="25"/>
  <c r="AK2359" i="25"/>
  <c r="AJ2359" i="25"/>
  <c r="AI2359" i="25"/>
  <c r="AF2359" i="25"/>
  <c r="AE2359" i="25"/>
  <c r="AL2358" i="25"/>
  <c r="AK2358" i="25"/>
  <c r="AJ2358" i="25"/>
  <c r="AI2358" i="25"/>
  <c r="AF2358" i="25"/>
  <c r="AE2358" i="25"/>
  <c r="AL2357" i="25"/>
  <c r="AK2357" i="25"/>
  <c r="AJ2357" i="25"/>
  <c r="AI2357" i="25"/>
  <c r="AF2357" i="25"/>
  <c r="AE2357" i="25"/>
  <c r="AL2356" i="25"/>
  <c r="AK2356" i="25"/>
  <c r="AJ2356" i="25"/>
  <c r="AI2356" i="25"/>
  <c r="AF2356" i="25"/>
  <c r="AE2356" i="25"/>
  <c r="AL2355" i="25"/>
  <c r="AK2355" i="25"/>
  <c r="AJ2355" i="25"/>
  <c r="AI2355" i="25"/>
  <c r="AF2355" i="25"/>
  <c r="AE2355" i="25"/>
  <c r="AL2354" i="25"/>
  <c r="AK2354" i="25"/>
  <c r="AJ2354" i="25"/>
  <c r="AI2354" i="25"/>
  <c r="AF2354" i="25"/>
  <c r="AE2354" i="25"/>
  <c r="AL2353" i="25"/>
  <c r="AK2353" i="25"/>
  <c r="AJ2353" i="25"/>
  <c r="AI2353" i="25"/>
  <c r="AF2353" i="25"/>
  <c r="AE2353" i="25"/>
  <c r="AL2352" i="25"/>
  <c r="AK2352" i="25"/>
  <c r="AJ2352" i="25"/>
  <c r="AI2352" i="25"/>
  <c r="AF2352" i="25"/>
  <c r="AE2352" i="25"/>
  <c r="AL2351" i="25"/>
  <c r="AK2351" i="25"/>
  <c r="AJ2351" i="25"/>
  <c r="AI2351" i="25"/>
  <c r="AF2351" i="25"/>
  <c r="AE2351" i="25"/>
  <c r="AL2350" i="25"/>
  <c r="AK2350" i="25"/>
  <c r="AJ2350" i="25"/>
  <c r="AI2350" i="25"/>
  <c r="AF2350" i="25"/>
  <c r="AE2350" i="25"/>
  <c r="AL2349" i="25"/>
  <c r="AK2349" i="25"/>
  <c r="AJ2349" i="25"/>
  <c r="AI2349" i="25"/>
  <c r="AF2349" i="25"/>
  <c r="AE2349" i="25"/>
  <c r="AL2348" i="25"/>
  <c r="AK2348" i="25"/>
  <c r="AJ2348" i="25"/>
  <c r="AI2348" i="25"/>
  <c r="AF2348" i="25"/>
  <c r="AE2348" i="25"/>
  <c r="AL2347" i="25"/>
  <c r="AK2347" i="25"/>
  <c r="AJ2347" i="25"/>
  <c r="AI2347" i="25"/>
  <c r="AF2347" i="25"/>
  <c r="AE2347" i="25"/>
  <c r="AL2346" i="25"/>
  <c r="AK2346" i="25"/>
  <c r="AJ2346" i="25"/>
  <c r="AI2346" i="25"/>
  <c r="AF2346" i="25"/>
  <c r="AE2346" i="25"/>
  <c r="AL2345" i="25"/>
  <c r="AK2345" i="25"/>
  <c r="AJ2345" i="25"/>
  <c r="AI2345" i="25"/>
  <c r="AF2345" i="25"/>
  <c r="AE2345" i="25"/>
  <c r="AL2344" i="25"/>
  <c r="AK2344" i="25"/>
  <c r="AJ2344" i="25"/>
  <c r="AI2344" i="25"/>
  <c r="AF2344" i="25"/>
  <c r="AE2344" i="25"/>
  <c r="AL2343" i="25"/>
  <c r="AK2343" i="25"/>
  <c r="AJ2343" i="25"/>
  <c r="AI2343" i="25"/>
  <c r="AF2343" i="25"/>
  <c r="AE2343" i="25"/>
  <c r="AL2342" i="25"/>
  <c r="AK2342" i="25"/>
  <c r="AJ2342" i="25"/>
  <c r="AI2342" i="25"/>
  <c r="AF2342" i="25"/>
  <c r="AE2342" i="25"/>
  <c r="AL2341" i="25"/>
  <c r="AK2341" i="25"/>
  <c r="AJ2341" i="25"/>
  <c r="AI2341" i="25"/>
  <c r="AF2341" i="25"/>
  <c r="AE2341" i="25"/>
  <c r="AL2340" i="25"/>
  <c r="AK2340" i="25"/>
  <c r="AJ2340" i="25"/>
  <c r="AI2340" i="25"/>
  <c r="AF2340" i="25"/>
  <c r="AE2340" i="25"/>
  <c r="AL2339" i="25"/>
  <c r="AK2339" i="25"/>
  <c r="AJ2339" i="25"/>
  <c r="AI2339" i="25"/>
  <c r="AF2339" i="25"/>
  <c r="AE2339" i="25"/>
  <c r="AL2338" i="25"/>
  <c r="AK2338" i="25"/>
  <c r="AJ2338" i="25"/>
  <c r="AI2338" i="25"/>
  <c r="AF2338" i="25"/>
  <c r="AE2338" i="25"/>
  <c r="AL2337" i="25"/>
  <c r="AK2337" i="25"/>
  <c r="AJ2337" i="25"/>
  <c r="AI2337" i="25"/>
  <c r="AF2337" i="25"/>
  <c r="AE2337" i="25"/>
  <c r="AL2336" i="25"/>
  <c r="AK2336" i="25"/>
  <c r="AJ2336" i="25"/>
  <c r="AI2336" i="25"/>
  <c r="AF2336" i="25"/>
  <c r="AE2336" i="25"/>
  <c r="AL2335" i="25"/>
  <c r="AK2335" i="25"/>
  <c r="AJ2335" i="25"/>
  <c r="AI2335" i="25"/>
  <c r="AF2335" i="25"/>
  <c r="AE2335" i="25"/>
  <c r="AL2334" i="25"/>
  <c r="AK2334" i="25"/>
  <c r="AJ2334" i="25"/>
  <c r="AI2334" i="25"/>
  <c r="AF2334" i="25"/>
  <c r="AE2334" i="25"/>
  <c r="AL2333" i="25"/>
  <c r="AK2333" i="25"/>
  <c r="AJ2333" i="25"/>
  <c r="AI2333" i="25"/>
  <c r="AF2333" i="25"/>
  <c r="AE2333" i="25"/>
  <c r="AL2332" i="25"/>
  <c r="AK2332" i="25"/>
  <c r="AJ2332" i="25"/>
  <c r="AI2332" i="25"/>
  <c r="AF2332" i="25"/>
  <c r="AE2332" i="25"/>
  <c r="AL2331" i="25"/>
  <c r="AK2331" i="25"/>
  <c r="AJ2331" i="25"/>
  <c r="AI2331" i="25"/>
  <c r="AF2331" i="25"/>
  <c r="AE2331" i="25"/>
  <c r="AL2330" i="25"/>
  <c r="AK2330" i="25"/>
  <c r="AJ2330" i="25"/>
  <c r="AI2330" i="25"/>
  <c r="AF2330" i="25"/>
  <c r="AE2330" i="25"/>
  <c r="AL2329" i="25"/>
  <c r="AK2329" i="25"/>
  <c r="AJ2329" i="25"/>
  <c r="AI2329" i="25"/>
  <c r="AF2329" i="25"/>
  <c r="AE2329" i="25"/>
  <c r="AL2328" i="25"/>
  <c r="AK2328" i="25"/>
  <c r="AJ2328" i="25"/>
  <c r="AI2328" i="25"/>
  <c r="AF2328" i="25"/>
  <c r="AE2328" i="25"/>
  <c r="AL2327" i="25"/>
  <c r="AK2327" i="25"/>
  <c r="AJ2327" i="25"/>
  <c r="AI2327" i="25"/>
  <c r="AF2327" i="25"/>
  <c r="AE2327" i="25"/>
  <c r="AL2326" i="25"/>
  <c r="AK2326" i="25"/>
  <c r="AJ2326" i="25"/>
  <c r="AI2326" i="25"/>
  <c r="AF2326" i="25"/>
  <c r="AE2326" i="25"/>
  <c r="AL2325" i="25"/>
  <c r="AK2325" i="25"/>
  <c r="AJ2325" i="25"/>
  <c r="AI2325" i="25"/>
  <c r="AF2325" i="25"/>
  <c r="AE2325" i="25"/>
  <c r="AL2324" i="25"/>
  <c r="AK2324" i="25"/>
  <c r="AJ2324" i="25"/>
  <c r="AI2324" i="25"/>
  <c r="AF2324" i="25"/>
  <c r="AE2324" i="25"/>
  <c r="AL2323" i="25"/>
  <c r="AK2323" i="25"/>
  <c r="AJ2323" i="25"/>
  <c r="AI2323" i="25"/>
  <c r="AF2323" i="25"/>
  <c r="AE2323" i="25"/>
  <c r="AL2322" i="25"/>
  <c r="AK2322" i="25"/>
  <c r="AJ2322" i="25"/>
  <c r="AI2322" i="25"/>
  <c r="AF2322" i="25"/>
  <c r="AE2322" i="25"/>
  <c r="AL2321" i="25"/>
  <c r="AK2321" i="25"/>
  <c r="AJ2321" i="25"/>
  <c r="AI2321" i="25"/>
  <c r="AF2321" i="25"/>
  <c r="AE2321" i="25"/>
  <c r="AL2320" i="25"/>
  <c r="AK2320" i="25"/>
  <c r="AJ2320" i="25"/>
  <c r="AI2320" i="25"/>
  <c r="AF2320" i="25"/>
  <c r="AE2320" i="25"/>
  <c r="AL2319" i="25"/>
  <c r="AK2319" i="25"/>
  <c r="AJ2319" i="25"/>
  <c r="AI2319" i="25"/>
  <c r="AF2319" i="25"/>
  <c r="AE2319" i="25"/>
  <c r="AL2318" i="25"/>
  <c r="AK2318" i="25"/>
  <c r="AJ2318" i="25"/>
  <c r="AI2318" i="25"/>
  <c r="AF2318" i="25"/>
  <c r="AE2318" i="25"/>
  <c r="AL2317" i="25"/>
  <c r="AK2317" i="25"/>
  <c r="AJ2317" i="25"/>
  <c r="AI2317" i="25"/>
  <c r="AF2317" i="25"/>
  <c r="AE2317" i="25"/>
  <c r="AL2316" i="25"/>
  <c r="AK2316" i="25"/>
  <c r="AJ2316" i="25"/>
  <c r="AI2316" i="25"/>
  <c r="AF2316" i="25"/>
  <c r="AE2316" i="25"/>
  <c r="AL2315" i="25"/>
  <c r="AK2315" i="25"/>
  <c r="AJ2315" i="25"/>
  <c r="AI2315" i="25"/>
  <c r="AF2315" i="25"/>
  <c r="AE2315" i="25"/>
  <c r="AL2314" i="25"/>
  <c r="AK2314" i="25"/>
  <c r="AJ2314" i="25"/>
  <c r="AI2314" i="25"/>
  <c r="AF2314" i="25"/>
  <c r="AE2314" i="25"/>
  <c r="AL2313" i="25"/>
  <c r="AK2313" i="25"/>
  <c r="AJ2313" i="25"/>
  <c r="AI2313" i="25"/>
  <c r="AF2313" i="25"/>
  <c r="AE2313" i="25"/>
  <c r="AL2312" i="25"/>
  <c r="AK2312" i="25"/>
  <c r="AJ2312" i="25"/>
  <c r="AI2312" i="25"/>
  <c r="AF2312" i="25"/>
  <c r="AE2312" i="25"/>
  <c r="AL2311" i="25"/>
  <c r="AK2311" i="25"/>
  <c r="AJ2311" i="25"/>
  <c r="AI2311" i="25"/>
  <c r="AF2311" i="25"/>
  <c r="AE2311" i="25"/>
  <c r="AL2310" i="25"/>
  <c r="AK2310" i="25"/>
  <c r="AJ2310" i="25"/>
  <c r="AI2310" i="25"/>
  <c r="AF2310" i="25"/>
  <c r="AE2310" i="25"/>
  <c r="AL2309" i="25"/>
  <c r="AK2309" i="25"/>
  <c r="AJ2309" i="25"/>
  <c r="AI2309" i="25"/>
  <c r="AF2309" i="25"/>
  <c r="AE2309" i="25"/>
  <c r="AL2308" i="25"/>
  <c r="AK2308" i="25"/>
  <c r="AJ2308" i="25"/>
  <c r="AI2308" i="25"/>
  <c r="AF2308" i="25"/>
  <c r="AE2308" i="25"/>
  <c r="AL2307" i="25"/>
  <c r="AK2307" i="25"/>
  <c r="AJ2307" i="25"/>
  <c r="AI2307" i="25"/>
  <c r="AF2307" i="25"/>
  <c r="AE2307" i="25"/>
  <c r="AL2306" i="25"/>
  <c r="AK2306" i="25"/>
  <c r="AJ2306" i="25"/>
  <c r="AI2306" i="25"/>
  <c r="AF2306" i="25"/>
  <c r="AE2306" i="25"/>
  <c r="AL2305" i="25"/>
  <c r="AK2305" i="25"/>
  <c r="AJ2305" i="25"/>
  <c r="AI2305" i="25"/>
  <c r="AF2305" i="25"/>
  <c r="AE2305" i="25"/>
  <c r="AL2304" i="25"/>
  <c r="AK2304" i="25"/>
  <c r="AJ2304" i="25"/>
  <c r="AI2304" i="25"/>
  <c r="AF2304" i="25"/>
  <c r="AE2304" i="25"/>
  <c r="AL2303" i="25"/>
  <c r="AK2303" i="25"/>
  <c r="AJ2303" i="25"/>
  <c r="AI2303" i="25"/>
  <c r="AF2303" i="25"/>
  <c r="AE2303" i="25"/>
  <c r="AL2302" i="25"/>
  <c r="AK2302" i="25"/>
  <c r="AJ2302" i="25"/>
  <c r="AI2302" i="25"/>
  <c r="AF2302" i="25"/>
  <c r="AE2302" i="25"/>
  <c r="AL2301" i="25"/>
  <c r="AK2301" i="25"/>
  <c r="AJ2301" i="25"/>
  <c r="AI2301" i="25"/>
  <c r="AF2301" i="25"/>
  <c r="AE2301" i="25"/>
  <c r="AL2300" i="25"/>
  <c r="AK2300" i="25"/>
  <c r="AJ2300" i="25"/>
  <c r="AI2300" i="25"/>
  <c r="AF2300" i="25"/>
  <c r="AE2300" i="25"/>
  <c r="AL2299" i="25"/>
  <c r="AK2299" i="25"/>
  <c r="AJ2299" i="25"/>
  <c r="AI2299" i="25"/>
  <c r="AF2299" i="25"/>
  <c r="AE2299" i="25"/>
  <c r="AL2298" i="25"/>
  <c r="AK2298" i="25"/>
  <c r="AJ2298" i="25"/>
  <c r="AI2298" i="25"/>
  <c r="AF2298" i="25"/>
  <c r="AE2298" i="25"/>
  <c r="AL2297" i="25"/>
  <c r="AK2297" i="25"/>
  <c r="AJ2297" i="25"/>
  <c r="AI2297" i="25"/>
  <c r="AF2297" i="25"/>
  <c r="AE2297" i="25"/>
  <c r="AL2296" i="25"/>
  <c r="AK2296" i="25"/>
  <c r="AJ2296" i="25"/>
  <c r="AI2296" i="25"/>
  <c r="AF2296" i="25"/>
  <c r="AE2296" i="25"/>
  <c r="AE2295" i="25"/>
  <c r="AL2294" i="25"/>
  <c r="AK2294" i="25"/>
  <c r="AJ2294" i="25"/>
  <c r="AI2294" i="25"/>
  <c r="AF2294" i="25"/>
  <c r="AE2294" i="25"/>
  <c r="AL2293" i="25"/>
  <c r="AK2293" i="25"/>
  <c r="AJ2293" i="25"/>
  <c r="AI2293" i="25"/>
  <c r="AF2293" i="25"/>
  <c r="AE2293" i="25"/>
  <c r="AL2292" i="25"/>
  <c r="AK2292" i="25"/>
  <c r="AJ2292" i="25"/>
  <c r="AI2292" i="25"/>
  <c r="AF2292" i="25"/>
  <c r="AE2292" i="25"/>
  <c r="AL2291" i="25"/>
  <c r="AK2291" i="25"/>
  <c r="AJ2291" i="25"/>
  <c r="AI2291" i="25"/>
  <c r="AF2291" i="25"/>
  <c r="AE2291" i="25"/>
  <c r="AL2290" i="25"/>
  <c r="AK2290" i="25"/>
  <c r="AJ2290" i="25"/>
  <c r="AI2290" i="25"/>
  <c r="AF2290" i="25"/>
  <c r="AE2290" i="25"/>
  <c r="AL2289" i="25"/>
  <c r="AK2289" i="25"/>
  <c r="AJ2289" i="25"/>
  <c r="AI2289" i="25"/>
  <c r="AF2289" i="25"/>
  <c r="AE2289" i="25"/>
  <c r="AL2288" i="25"/>
  <c r="AK2288" i="25"/>
  <c r="AJ2288" i="25"/>
  <c r="AI2288" i="25"/>
  <c r="AF2288" i="25"/>
  <c r="AE2288" i="25"/>
  <c r="AL2287" i="25"/>
  <c r="AK2287" i="25"/>
  <c r="AJ2287" i="25"/>
  <c r="AI2287" i="25"/>
  <c r="AF2287" i="25"/>
  <c r="AE2287" i="25"/>
  <c r="AL2286" i="25"/>
  <c r="AK2286" i="25"/>
  <c r="AJ2286" i="25"/>
  <c r="AI2286" i="25"/>
  <c r="AF2286" i="25"/>
  <c r="AE2286" i="25"/>
  <c r="AL2285" i="25"/>
  <c r="AK2285" i="25"/>
  <c r="AJ2285" i="25"/>
  <c r="AI2285" i="25"/>
  <c r="AF2285" i="25"/>
  <c r="AE2285" i="25"/>
  <c r="AL2284" i="25"/>
  <c r="AK2284" i="25"/>
  <c r="AJ2284" i="25"/>
  <c r="AI2284" i="25"/>
  <c r="AF2284" i="25"/>
  <c r="AE2284" i="25"/>
  <c r="AL2283" i="25"/>
  <c r="AK2283" i="25"/>
  <c r="AJ2283" i="25"/>
  <c r="AI2283" i="25"/>
  <c r="AF2283" i="25"/>
  <c r="AE2283" i="25"/>
  <c r="AL2282" i="25"/>
  <c r="AK2282" i="25"/>
  <c r="AJ2282" i="25"/>
  <c r="AI2282" i="25"/>
  <c r="AF2282" i="25"/>
  <c r="AE2282" i="25"/>
  <c r="AL2281" i="25"/>
  <c r="AK2281" i="25"/>
  <c r="AJ2281" i="25"/>
  <c r="AI2281" i="25"/>
  <c r="AF2281" i="25"/>
  <c r="AE2281" i="25"/>
  <c r="AL2280" i="25"/>
  <c r="AK2280" i="25"/>
  <c r="AJ2280" i="25"/>
  <c r="AI2280" i="25"/>
  <c r="AF2280" i="25"/>
  <c r="AE2280" i="25"/>
  <c r="AL2279" i="25"/>
  <c r="AK2279" i="25"/>
  <c r="AJ2279" i="25"/>
  <c r="AI2279" i="25"/>
  <c r="AF2279" i="25"/>
  <c r="AE2279" i="25"/>
  <c r="AL2278" i="25"/>
  <c r="AK2278" i="25"/>
  <c r="AJ2278" i="25"/>
  <c r="AI2278" i="25"/>
  <c r="AF2278" i="25"/>
  <c r="AE2278" i="25"/>
  <c r="AL2277" i="25"/>
  <c r="AK2277" i="25"/>
  <c r="AJ2277" i="25"/>
  <c r="AI2277" i="25"/>
  <c r="AF2277" i="25"/>
  <c r="AE2277" i="25"/>
  <c r="AL2276" i="25"/>
  <c r="AK2276" i="25"/>
  <c r="AJ2276" i="25"/>
  <c r="AI2276" i="25"/>
  <c r="AF2276" i="25"/>
  <c r="AE2276" i="25"/>
  <c r="AL2275" i="25"/>
  <c r="AK2275" i="25"/>
  <c r="AJ2275" i="25"/>
  <c r="AI2275" i="25"/>
  <c r="AF2275" i="25"/>
  <c r="AE2275" i="25"/>
  <c r="AL2274" i="25"/>
  <c r="AK2274" i="25"/>
  <c r="AJ2274" i="25"/>
  <c r="AI2274" i="25"/>
  <c r="AF2274" i="25"/>
  <c r="AE2274" i="25"/>
  <c r="AL2273" i="25"/>
  <c r="AK2273" i="25"/>
  <c r="AJ2273" i="25"/>
  <c r="AI2273" i="25"/>
  <c r="AF2273" i="25"/>
  <c r="AE2273" i="25"/>
  <c r="AL2272" i="25"/>
  <c r="AK2272" i="25"/>
  <c r="AJ2272" i="25"/>
  <c r="AI2272" i="25"/>
  <c r="AF2272" i="25"/>
  <c r="AE2272" i="25"/>
  <c r="AL2271" i="25"/>
  <c r="AK2271" i="25"/>
  <c r="AJ2271" i="25"/>
  <c r="AI2271" i="25"/>
  <c r="AF2271" i="25"/>
  <c r="AE2271" i="25"/>
  <c r="AL2270" i="25"/>
  <c r="AK2270" i="25"/>
  <c r="AJ2270" i="25"/>
  <c r="AI2270" i="25"/>
  <c r="AF2270" i="25"/>
  <c r="AE2270" i="25"/>
  <c r="AL2269" i="25"/>
  <c r="AK2269" i="25"/>
  <c r="AJ2269" i="25"/>
  <c r="AI2269" i="25"/>
  <c r="AF2269" i="25"/>
  <c r="AE2269" i="25"/>
  <c r="AL2268" i="25"/>
  <c r="AK2268" i="25"/>
  <c r="AJ2268" i="25"/>
  <c r="AI2268" i="25"/>
  <c r="AF2268" i="25"/>
  <c r="AE2268" i="25"/>
  <c r="AL2267" i="25"/>
  <c r="AK2267" i="25"/>
  <c r="AJ2267" i="25"/>
  <c r="AI2267" i="25"/>
  <c r="AF2267" i="25"/>
  <c r="AE2267" i="25"/>
  <c r="AL2266" i="25"/>
  <c r="AK2266" i="25"/>
  <c r="AJ2266" i="25"/>
  <c r="AI2266" i="25"/>
  <c r="AF2266" i="25"/>
  <c r="AE2266" i="25"/>
  <c r="AL2265" i="25"/>
  <c r="AK2265" i="25"/>
  <c r="AJ2265" i="25"/>
  <c r="AI2265" i="25"/>
  <c r="AF2265" i="25"/>
  <c r="AE2265" i="25"/>
  <c r="AL2264" i="25"/>
  <c r="AK2264" i="25"/>
  <c r="AJ2264" i="25"/>
  <c r="AI2264" i="25"/>
  <c r="AF2264" i="25"/>
  <c r="AE2264" i="25"/>
  <c r="AL2263" i="25"/>
  <c r="AK2263" i="25"/>
  <c r="AJ2263" i="25"/>
  <c r="AI2263" i="25"/>
  <c r="AF2263" i="25"/>
  <c r="AE2263" i="25"/>
  <c r="AL2262" i="25"/>
  <c r="AK2262" i="25"/>
  <c r="AJ2262" i="25"/>
  <c r="AI2262" i="25"/>
  <c r="AF2262" i="25"/>
  <c r="AE2262" i="25"/>
  <c r="AL2261" i="25"/>
  <c r="AK2261" i="25"/>
  <c r="AJ2261" i="25"/>
  <c r="AI2261" i="25"/>
  <c r="AF2261" i="25"/>
  <c r="AE2261" i="25"/>
  <c r="AL2260" i="25"/>
  <c r="AK2260" i="25"/>
  <c r="AJ2260" i="25"/>
  <c r="AI2260" i="25"/>
  <c r="AF2260" i="25"/>
  <c r="AE2260" i="25"/>
  <c r="AL2259" i="25"/>
  <c r="AK2259" i="25"/>
  <c r="AJ2259" i="25"/>
  <c r="AI2259" i="25"/>
  <c r="AF2259" i="25"/>
  <c r="AE2259" i="25"/>
  <c r="AL2258" i="25"/>
  <c r="AK2258" i="25"/>
  <c r="AJ2258" i="25"/>
  <c r="AI2258" i="25"/>
  <c r="AF2258" i="25"/>
  <c r="AE2258" i="25"/>
  <c r="AL2257" i="25"/>
  <c r="AK2257" i="25"/>
  <c r="AJ2257" i="25"/>
  <c r="AI2257" i="25"/>
  <c r="AF2257" i="25"/>
  <c r="AE2257" i="25"/>
  <c r="AL2256" i="25"/>
  <c r="AK2256" i="25"/>
  <c r="AJ2256" i="25"/>
  <c r="AI2256" i="25"/>
  <c r="AF2256" i="25"/>
  <c r="AE2256" i="25"/>
  <c r="AL2255" i="25"/>
  <c r="AK2255" i="25"/>
  <c r="AJ2255" i="25"/>
  <c r="AI2255" i="25"/>
  <c r="AF2255" i="25"/>
  <c r="AE2255" i="25"/>
  <c r="AL2254" i="25"/>
  <c r="AK2254" i="25"/>
  <c r="AJ2254" i="25"/>
  <c r="AI2254" i="25"/>
  <c r="AF2254" i="25"/>
  <c r="AE2254" i="25"/>
  <c r="AL2253" i="25"/>
  <c r="AK2253" i="25"/>
  <c r="AJ2253" i="25"/>
  <c r="AI2253" i="25"/>
  <c r="AF2253" i="25"/>
  <c r="AE2253" i="25"/>
  <c r="AL2252" i="25"/>
  <c r="AK2252" i="25"/>
  <c r="AJ2252" i="25"/>
  <c r="AI2252" i="25"/>
  <c r="AF2252" i="25"/>
  <c r="AE2252" i="25"/>
  <c r="AL2251" i="25"/>
  <c r="AK2251" i="25"/>
  <c r="AJ2251" i="25"/>
  <c r="AI2251" i="25"/>
  <c r="AF2251" i="25"/>
  <c r="AE2251" i="25"/>
  <c r="AL2250" i="25"/>
  <c r="AK2250" i="25"/>
  <c r="AJ2250" i="25"/>
  <c r="AI2250" i="25"/>
  <c r="AF2250" i="25"/>
  <c r="AE2250" i="25"/>
  <c r="AE2249" i="25"/>
  <c r="AL2248" i="25"/>
  <c r="AK2248" i="25"/>
  <c r="AJ2248" i="25"/>
  <c r="AI2248" i="25"/>
  <c r="AF2248" i="25"/>
  <c r="AE2248" i="25"/>
  <c r="AL2247" i="25"/>
  <c r="AK2247" i="25"/>
  <c r="AJ2247" i="25"/>
  <c r="AI2247" i="25"/>
  <c r="AF2247" i="25"/>
  <c r="AE2247" i="25"/>
  <c r="AL2246" i="25"/>
  <c r="AK2246" i="25"/>
  <c r="AJ2246" i="25"/>
  <c r="AI2246" i="25"/>
  <c r="AF2246" i="25"/>
  <c r="AE2246" i="25"/>
  <c r="AE2245" i="25"/>
  <c r="AL2244" i="25"/>
  <c r="AK2244" i="25"/>
  <c r="AJ2244" i="25"/>
  <c r="AI2244" i="25"/>
  <c r="AF2244" i="25"/>
  <c r="AE2244" i="25"/>
  <c r="AL2243" i="25"/>
  <c r="AK2243" i="25"/>
  <c r="AJ2243" i="25"/>
  <c r="AI2243" i="25"/>
  <c r="AF2243" i="25"/>
  <c r="AE2243" i="25"/>
  <c r="AL2242" i="25"/>
  <c r="AK2242" i="25"/>
  <c r="AJ2242" i="25"/>
  <c r="AI2242" i="25"/>
  <c r="AF2242" i="25"/>
  <c r="AE2242" i="25"/>
  <c r="AL2241" i="25"/>
  <c r="AK2241" i="25"/>
  <c r="AJ2241" i="25"/>
  <c r="AI2241" i="25"/>
  <c r="AF2241" i="25"/>
  <c r="AE2241" i="25"/>
  <c r="AL2240" i="25"/>
  <c r="AK2240" i="25"/>
  <c r="AJ2240" i="25"/>
  <c r="AI2240" i="25"/>
  <c r="AF2240" i="25"/>
  <c r="AE2240" i="25"/>
  <c r="AL2239" i="25"/>
  <c r="AK2239" i="25"/>
  <c r="AJ2239" i="25"/>
  <c r="AI2239" i="25"/>
  <c r="AF2239" i="25"/>
  <c r="AE2239" i="25"/>
  <c r="AL2238" i="25"/>
  <c r="AK2238" i="25"/>
  <c r="AJ2238" i="25"/>
  <c r="AI2238" i="25"/>
  <c r="AF2238" i="25"/>
  <c r="AE2238" i="25"/>
  <c r="AL2237" i="25"/>
  <c r="AK2237" i="25"/>
  <c r="AJ2237" i="25"/>
  <c r="AI2237" i="25"/>
  <c r="AF2237" i="25"/>
  <c r="AE2237" i="25"/>
  <c r="AL2236" i="25"/>
  <c r="AK2236" i="25"/>
  <c r="AJ2236" i="25"/>
  <c r="AI2236" i="25"/>
  <c r="AF2236" i="25"/>
  <c r="AE2236" i="25"/>
  <c r="AL2235" i="25"/>
  <c r="AK2235" i="25"/>
  <c r="AJ2235" i="25"/>
  <c r="AI2235" i="25"/>
  <c r="AF2235" i="25"/>
  <c r="AE2235" i="25"/>
  <c r="AL2234" i="25"/>
  <c r="AK2234" i="25"/>
  <c r="AJ2234" i="25"/>
  <c r="AI2234" i="25"/>
  <c r="AF2234" i="25"/>
  <c r="AE2234" i="25"/>
  <c r="AL2233" i="25"/>
  <c r="AK2233" i="25"/>
  <c r="AJ2233" i="25"/>
  <c r="AI2233" i="25"/>
  <c r="AF2233" i="25"/>
  <c r="AE2233" i="25"/>
  <c r="AL2232" i="25"/>
  <c r="AK2232" i="25"/>
  <c r="AJ2232" i="25"/>
  <c r="AI2232" i="25"/>
  <c r="AF2232" i="25"/>
  <c r="AE2232" i="25"/>
  <c r="AL2231" i="25"/>
  <c r="AK2231" i="25"/>
  <c r="AJ2231" i="25"/>
  <c r="AI2231" i="25"/>
  <c r="AF2231" i="25"/>
  <c r="AE2231" i="25"/>
  <c r="AL2230" i="25"/>
  <c r="AK2230" i="25"/>
  <c r="AJ2230" i="25"/>
  <c r="AI2230" i="25"/>
  <c r="AF2230" i="25"/>
  <c r="AE2230" i="25"/>
  <c r="AL2229" i="25"/>
  <c r="AK2229" i="25"/>
  <c r="AJ2229" i="25"/>
  <c r="AI2229" i="25"/>
  <c r="AF2229" i="25"/>
  <c r="AE2229" i="25"/>
  <c r="AL2228" i="25"/>
  <c r="AK2228" i="25"/>
  <c r="AJ2228" i="25"/>
  <c r="AI2228" i="25"/>
  <c r="AF2228" i="25"/>
  <c r="AE2228" i="25"/>
  <c r="AL2227" i="25"/>
  <c r="AK2227" i="25"/>
  <c r="AJ2227" i="25"/>
  <c r="AI2227" i="25"/>
  <c r="AF2227" i="25"/>
  <c r="AE2227" i="25"/>
  <c r="AL2226" i="25"/>
  <c r="AK2226" i="25"/>
  <c r="AJ2226" i="25"/>
  <c r="AI2226" i="25"/>
  <c r="AF2226" i="25"/>
  <c r="AE2226" i="25"/>
  <c r="AL2225" i="25"/>
  <c r="AK2225" i="25"/>
  <c r="AJ2225" i="25"/>
  <c r="AI2225" i="25"/>
  <c r="AF2225" i="25"/>
  <c r="AE2225" i="25"/>
  <c r="AL2224" i="25"/>
  <c r="AK2224" i="25"/>
  <c r="AJ2224" i="25"/>
  <c r="AI2224" i="25"/>
  <c r="AF2224" i="25"/>
  <c r="AE2224" i="25"/>
  <c r="AL2223" i="25"/>
  <c r="AK2223" i="25"/>
  <c r="AJ2223" i="25"/>
  <c r="AI2223" i="25"/>
  <c r="AF2223" i="25"/>
  <c r="AE2223" i="25"/>
  <c r="AL2222" i="25"/>
  <c r="AK2222" i="25"/>
  <c r="AJ2222" i="25"/>
  <c r="AI2222" i="25"/>
  <c r="AF2222" i="25"/>
  <c r="AE2222" i="25"/>
  <c r="AL2221" i="25"/>
  <c r="AK2221" i="25"/>
  <c r="AJ2221" i="25"/>
  <c r="AI2221" i="25"/>
  <c r="AF2221" i="25"/>
  <c r="AE2221" i="25"/>
  <c r="AL2220" i="25"/>
  <c r="AK2220" i="25"/>
  <c r="AJ2220" i="25"/>
  <c r="AI2220" i="25"/>
  <c r="AF2220" i="25"/>
  <c r="AE2220" i="25"/>
  <c r="AL2219" i="25"/>
  <c r="AK2219" i="25"/>
  <c r="AJ2219" i="25"/>
  <c r="AI2219" i="25"/>
  <c r="AF2219" i="25"/>
  <c r="AE2219" i="25"/>
  <c r="AL2218" i="25"/>
  <c r="AK2218" i="25"/>
  <c r="AJ2218" i="25"/>
  <c r="AI2218" i="25"/>
  <c r="AF2218" i="25"/>
  <c r="AE2218" i="25"/>
  <c r="AL2217" i="25"/>
  <c r="AK2217" i="25"/>
  <c r="AJ2217" i="25"/>
  <c r="AI2217" i="25"/>
  <c r="AF2217" i="25"/>
  <c r="AE2217" i="25"/>
  <c r="AE2216" i="25"/>
  <c r="AE2215" i="25"/>
  <c r="AL2214" i="25"/>
  <c r="AK2214" i="25"/>
  <c r="AJ2214" i="25"/>
  <c r="AI2214" i="25"/>
  <c r="AF2214" i="25"/>
  <c r="AE2214" i="25"/>
  <c r="AL2213" i="25"/>
  <c r="AK2213" i="25"/>
  <c r="AJ2213" i="25"/>
  <c r="AI2213" i="25"/>
  <c r="AF2213" i="25"/>
  <c r="AE2213" i="25"/>
  <c r="AE2212" i="25"/>
  <c r="AE2211" i="25"/>
  <c r="AL2210" i="25"/>
  <c r="AK2210" i="25"/>
  <c r="AJ2210" i="25"/>
  <c r="AI2210" i="25"/>
  <c r="AF2210" i="25"/>
  <c r="AE2210" i="25"/>
  <c r="AL2209" i="25"/>
  <c r="AK2209" i="25"/>
  <c r="AJ2209" i="25"/>
  <c r="AI2209" i="25"/>
  <c r="AF2209" i="25"/>
  <c r="AE2209" i="25"/>
  <c r="AL2208" i="25"/>
  <c r="AK2208" i="25"/>
  <c r="AJ2208" i="25"/>
  <c r="AI2208" i="25"/>
  <c r="AF2208" i="25"/>
  <c r="AE2208" i="25"/>
  <c r="AL2207" i="25"/>
  <c r="AK2207" i="25"/>
  <c r="AJ2207" i="25"/>
  <c r="AI2207" i="25"/>
  <c r="AF2207" i="25"/>
  <c r="AE2207" i="25"/>
  <c r="AL2206" i="25"/>
  <c r="AK2206" i="25"/>
  <c r="AJ2206" i="25"/>
  <c r="AI2206" i="25"/>
  <c r="AF2206" i="25"/>
  <c r="AE2206" i="25"/>
  <c r="AL2205" i="25"/>
  <c r="AK2205" i="25"/>
  <c r="AJ2205" i="25"/>
  <c r="AI2205" i="25"/>
  <c r="AF2205" i="25"/>
  <c r="AE2205" i="25"/>
  <c r="AL2204" i="25"/>
  <c r="AK2204" i="25"/>
  <c r="AJ2204" i="25"/>
  <c r="AI2204" i="25"/>
  <c r="AF2204" i="25"/>
  <c r="AE2204" i="25"/>
  <c r="AL2203" i="25"/>
  <c r="AK2203" i="25"/>
  <c r="AJ2203" i="25"/>
  <c r="AI2203" i="25"/>
  <c r="AF2203" i="25"/>
  <c r="AE2203" i="25"/>
  <c r="AL2202" i="25"/>
  <c r="AK2202" i="25"/>
  <c r="AJ2202" i="25"/>
  <c r="AI2202" i="25"/>
  <c r="AF2202" i="25"/>
  <c r="AE2202" i="25"/>
  <c r="AL2201" i="25"/>
  <c r="AK2201" i="25"/>
  <c r="AJ2201" i="25"/>
  <c r="AI2201" i="25"/>
  <c r="AF2201" i="25"/>
  <c r="AE2201" i="25"/>
  <c r="AL2200" i="25"/>
  <c r="AK2200" i="25"/>
  <c r="AJ2200" i="25"/>
  <c r="AI2200" i="25"/>
  <c r="AF2200" i="25"/>
  <c r="AE2200" i="25"/>
  <c r="AL2199" i="25"/>
  <c r="AK2199" i="25"/>
  <c r="AJ2199" i="25"/>
  <c r="AI2199" i="25"/>
  <c r="AF2199" i="25"/>
  <c r="AE2199" i="25"/>
  <c r="AL2198" i="25"/>
  <c r="AK2198" i="25"/>
  <c r="AJ2198" i="25"/>
  <c r="AI2198" i="25"/>
  <c r="AF2198" i="25"/>
  <c r="AE2198" i="25"/>
  <c r="AL2197" i="25"/>
  <c r="AK2197" i="25"/>
  <c r="AJ2197" i="25"/>
  <c r="AI2197" i="25"/>
  <c r="AF2197" i="25"/>
  <c r="AE2197" i="25"/>
  <c r="AL2196" i="25"/>
  <c r="AK2196" i="25"/>
  <c r="AJ2196" i="25"/>
  <c r="AI2196" i="25"/>
  <c r="AF2196" i="25"/>
  <c r="AE2196" i="25"/>
  <c r="AL2195" i="25"/>
  <c r="AK2195" i="25"/>
  <c r="AJ2195" i="25"/>
  <c r="AI2195" i="25"/>
  <c r="AF2195" i="25"/>
  <c r="AE2195" i="25"/>
  <c r="AL2194" i="25"/>
  <c r="AK2194" i="25"/>
  <c r="AJ2194" i="25"/>
  <c r="AI2194" i="25"/>
  <c r="AF2194" i="25"/>
  <c r="AE2194" i="25"/>
  <c r="AL2193" i="25"/>
  <c r="AK2193" i="25"/>
  <c r="AJ2193" i="25"/>
  <c r="AI2193" i="25"/>
  <c r="AF2193" i="25"/>
  <c r="AE2193" i="25"/>
  <c r="AL2192" i="25"/>
  <c r="AK2192" i="25"/>
  <c r="AJ2192" i="25"/>
  <c r="AI2192" i="25"/>
  <c r="AF2192" i="25"/>
  <c r="AE2192" i="25"/>
  <c r="AL2191" i="25"/>
  <c r="AK2191" i="25"/>
  <c r="AJ2191" i="25"/>
  <c r="AI2191" i="25"/>
  <c r="AF2191" i="25"/>
  <c r="AE2191" i="25"/>
  <c r="AL2190" i="25"/>
  <c r="AK2190" i="25"/>
  <c r="AJ2190" i="25"/>
  <c r="AI2190" i="25"/>
  <c r="AF2190" i="25"/>
  <c r="AE2190" i="25"/>
  <c r="AL2189" i="25"/>
  <c r="AK2189" i="25"/>
  <c r="AJ2189" i="25"/>
  <c r="AI2189" i="25"/>
  <c r="AF2189" i="25"/>
  <c r="AE2189" i="25"/>
  <c r="AL2188" i="25"/>
  <c r="AK2188" i="25"/>
  <c r="AJ2188" i="25"/>
  <c r="AI2188" i="25"/>
  <c r="AF2188" i="25"/>
  <c r="AE2188" i="25"/>
  <c r="AL2187" i="25"/>
  <c r="AK2187" i="25"/>
  <c r="AJ2187" i="25"/>
  <c r="AI2187" i="25"/>
  <c r="AF2187" i="25"/>
  <c r="AE2187" i="25"/>
  <c r="AL2186" i="25"/>
  <c r="AK2186" i="25"/>
  <c r="AJ2186" i="25"/>
  <c r="AI2186" i="25"/>
  <c r="AF2186" i="25"/>
  <c r="AE2186" i="25"/>
  <c r="AL2185" i="25"/>
  <c r="AK2185" i="25"/>
  <c r="AJ2185" i="25"/>
  <c r="AI2185" i="25"/>
  <c r="AF2185" i="25"/>
  <c r="AE2185" i="25"/>
  <c r="AL2184" i="25"/>
  <c r="AK2184" i="25"/>
  <c r="AJ2184" i="25"/>
  <c r="AI2184" i="25"/>
  <c r="AF2184" i="25"/>
  <c r="AE2184" i="25"/>
  <c r="AL2183" i="25"/>
  <c r="AK2183" i="25"/>
  <c r="AJ2183" i="25"/>
  <c r="AI2183" i="25"/>
  <c r="AF2183" i="25"/>
  <c r="AE2183" i="25"/>
  <c r="AL2182" i="25"/>
  <c r="AK2182" i="25"/>
  <c r="AJ2182" i="25"/>
  <c r="AI2182" i="25"/>
  <c r="AF2182" i="25"/>
  <c r="AE2182" i="25"/>
  <c r="AL2181" i="25"/>
  <c r="AK2181" i="25"/>
  <c r="AJ2181" i="25"/>
  <c r="AI2181" i="25"/>
  <c r="AF2181" i="25"/>
  <c r="AE2181" i="25"/>
  <c r="AL2180" i="25"/>
  <c r="AK2180" i="25"/>
  <c r="AJ2180" i="25"/>
  <c r="AI2180" i="25"/>
  <c r="AF2180" i="25"/>
  <c r="AE2180" i="25"/>
  <c r="AL2179" i="25"/>
  <c r="AK2179" i="25"/>
  <c r="AJ2179" i="25"/>
  <c r="AI2179" i="25"/>
  <c r="AF2179" i="25"/>
  <c r="AE2179" i="25"/>
  <c r="AL2178" i="25"/>
  <c r="AK2178" i="25"/>
  <c r="AJ2178" i="25"/>
  <c r="AI2178" i="25"/>
  <c r="AF2178" i="25"/>
  <c r="AE2178" i="25"/>
  <c r="AL2177" i="25"/>
  <c r="AK2177" i="25"/>
  <c r="AJ2177" i="25"/>
  <c r="AI2177" i="25"/>
  <c r="AF2177" i="25"/>
  <c r="AE2177" i="25"/>
  <c r="AL2176" i="25"/>
  <c r="AK2176" i="25"/>
  <c r="AJ2176" i="25"/>
  <c r="AI2176" i="25"/>
  <c r="AF2176" i="25"/>
  <c r="AE2176" i="25"/>
  <c r="AL2175" i="25"/>
  <c r="AK2175" i="25"/>
  <c r="AJ2175" i="25"/>
  <c r="AI2175" i="25"/>
  <c r="AF2175" i="25"/>
  <c r="AE2175" i="25"/>
  <c r="AL2174" i="25"/>
  <c r="AK2174" i="25"/>
  <c r="AJ2174" i="25"/>
  <c r="AI2174" i="25"/>
  <c r="AF2174" i="25"/>
  <c r="AE2174" i="25"/>
  <c r="AL2173" i="25"/>
  <c r="AK2173" i="25"/>
  <c r="AJ2173" i="25"/>
  <c r="AI2173" i="25"/>
  <c r="AF2173" i="25"/>
  <c r="AE2173" i="25"/>
  <c r="AL2172" i="25"/>
  <c r="AK2172" i="25"/>
  <c r="AJ2172" i="25"/>
  <c r="AI2172" i="25"/>
  <c r="AF2172" i="25"/>
  <c r="AE2172" i="25"/>
  <c r="AL2171" i="25"/>
  <c r="AK2171" i="25"/>
  <c r="AJ2171" i="25"/>
  <c r="AI2171" i="25"/>
  <c r="AF2171" i="25"/>
  <c r="AE2171" i="25"/>
  <c r="AL2170" i="25"/>
  <c r="AK2170" i="25"/>
  <c r="AJ2170" i="25"/>
  <c r="AI2170" i="25"/>
  <c r="AF2170" i="25"/>
  <c r="AE2170" i="25"/>
  <c r="AL2169" i="25"/>
  <c r="AK2169" i="25"/>
  <c r="AJ2169" i="25"/>
  <c r="AI2169" i="25"/>
  <c r="AF2169" i="25"/>
  <c r="AE2169" i="25"/>
  <c r="AL2168" i="25"/>
  <c r="AK2168" i="25"/>
  <c r="AJ2168" i="25"/>
  <c r="AI2168" i="25"/>
  <c r="AF2168" i="25"/>
  <c r="AE2168" i="25"/>
  <c r="AL2167" i="25"/>
  <c r="AK2167" i="25"/>
  <c r="AJ2167" i="25"/>
  <c r="AI2167" i="25"/>
  <c r="AF2167" i="25"/>
  <c r="AE2167" i="25"/>
  <c r="AL2166" i="25"/>
  <c r="AK2166" i="25"/>
  <c r="AJ2166" i="25"/>
  <c r="AI2166" i="25"/>
  <c r="AF2166" i="25"/>
  <c r="AE2166" i="25"/>
  <c r="AL2165" i="25"/>
  <c r="AK2165" i="25"/>
  <c r="AJ2165" i="25"/>
  <c r="AI2165" i="25"/>
  <c r="AF2165" i="25"/>
  <c r="AE2165" i="25"/>
  <c r="AL2164" i="25"/>
  <c r="AK2164" i="25"/>
  <c r="AJ2164" i="25"/>
  <c r="AI2164" i="25"/>
  <c r="AF2164" i="25"/>
  <c r="AE2164" i="25"/>
  <c r="AL2163" i="25"/>
  <c r="AK2163" i="25"/>
  <c r="AJ2163" i="25"/>
  <c r="AI2163" i="25"/>
  <c r="AF2163" i="25"/>
  <c r="AE2163" i="25"/>
  <c r="AL2162" i="25"/>
  <c r="AK2162" i="25"/>
  <c r="AJ2162" i="25"/>
  <c r="AI2162" i="25"/>
  <c r="AF2162" i="25"/>
  <c r="AE2162" i="25"/>
  <c r="AL2161" i="25"/>
  <c r="AK2161" i="25"/>
  <c r="AJ2161" i="25"/>
  <c r="AI2161" i="25"/>
  <c r="AF2161" i="25"/>
  <c r="AE2161" i="25"/>
  <c r="AL2160" i="25"/>
  <c r="AK2160" i="25"/>
  <c r="AJ2160" i="25"/>
  <c r="AI2160" i="25"/>
  <c r="AF2160" i="25"/>
  <c r="AE2160" i="25"/>
  <c r="AL2159" i="25"/>
  <c r="AK2159" i="25"/>
  <c r="AJ2159" i="25"/>
  <c r="AI2159" i="25"/>
  <c r="AF2159" i="25"/>
  <c r="AE2159" i="25"/>
  <c r="AL2158" i="25"/>
  <c r="AK2158" i="25"/>
  <c r="AJ2158" i="25"/>
  <c r="AI2158" i="25"/>
  <c r="AF2158" i="25"/>
  <c r="AE2158" i="25"/>
  <c r="AL2157" i="25"/>
  <c r="AK2157" i="25"/>
  <c r="AJ2157" i="25"/>
  <c r="AI2157" i="25"/>
  <c r="AF2157" i="25"/>
  <c r="AE2157" i="25"/>
  <c r="AL2156" i="25"/>
  <c r="AK2156" i="25"/>
  <c r="AJ2156" i="25"/>
  <c r="AI2156" i="25"/>
  <c r="AF2156" i="25"/>
  <c r="AE2156" i="25"/>
  <c r="AL2155" i="25"/>
  <c r="AK2155" i="25"/>
  <c r="AJ2155" i="25"/>
  <c r="AI2155" i="25"/>
  <c r="AF2155" i="25"/>
  <c r="AE2155" i="25"/>
  <c r="AL2154" i="25"/>
  <c r="AK2154" i="25"/>
  <c r="AJ2154" i="25"/>
  <c r="AI2154" i="25"/>
  <c r="AF2154" i="25"/>
  <c r="AE2154" i="25"/>
  <c r="AL2153" i="25"/>
  <c r="AK2153" i="25"/>
  <c r="AJ2153" i="25"/>
  <c r="AI2153" i="25"/>
  <c r="AF2153" i="25"/>
  <c r="AE2153" i="25"/>
  <c r="AL2152" i="25"/>
  <c r="AK2152" i="25"/>
  <c r="AJ2152" i="25"/>
  <c r="AI2152" i="25"/>
  <c r="AF2152" i="25"/>
  <c r="AE2152" i="25"/>
  <c r="AL2151" i="25"/>
  <c r="AK2151" i="25"/>
  <c r="AJ2151" i="25"/>
  <c r="AI2151" i="25"/>
  <c r="AF2151" i="25"/>
  <c r="AE2151" i="25"/>
  <c r="AL2150" i="25"/>
  <c r="AK2150" i="25"/>
  <c r="AJ2150" i="25"/>
  <c r="AI2150" i="25"/>
  <c r="AF2150" i="25"/>
  <c r="AE2150" i="25"/>
  <c r="AL2149" i="25"/>
  <c r="AK2149" i="25"/>
  <c r="AJ2149" i="25"/>
  <c r="AI2149" i="25"/>
  <c r="AF2149" i="25"/>
  <c r="AE2149" i="25"/>
  <c r="AL2148" i="25"/>
  <c r="AK2148" i="25"/>
  <c r="AJ2148" i="25"/>
  <c r="AI2148" i="25"/>
  <c r="AF2148" i="25"/>
  <c r="AE2148" i="25"/>
  <c r="AL2147" i="25"/>
  <c r="AK2147" i="25"/>
  <c r="AJ2147" i="25"/>
  <c r="AI2147" i="25"/>
  <c r="AF2147" i="25"/>
  <c r="AE2147" i="25"/>
  <c r="AL2146" i="25"/>
  <c r="AK2146" i="25"/>
  <c r="AJ2146" i="25"/>
  <c r="AI2146" i="25"/>
  <c r="AF2146" i="25"/>
  <c r="AE2146" i="25"/>
  <c r="AL2145" i="25"/>
  <c r="AK2145" i="25"/>
  <c r="AJ2145" i="25"/>
  <c r="AI2145" i="25"/>
  <c r="AF2145" i="25"/>
  <c r="AE2145" i="25"/>
  <c r="AL2144" i="25"/>
  <c r="AK2144" i="25"/>
  <c r="AJ2144" i="25"/>
  <c r="AI2144" i="25"/>
  <c r="AF2144" i="25"/>
  <c r="AE2144" i="25"/>
  <c r="AL2143" i="25"/>
  <c r="AK2143" i="25"/>
  <c r="AJ2143" i="25"/>
  <c r="AI2143" i="25"/>
  <c r="AF2143" i="25"/>
  <c r="AE2143" i="25"/>
  <c r="AL2142" i="25"/>
  <c r="AK2142" i="25"/>
  <c r="AJ2142" i="25"/>
  <c r="AI2142" i="25"/>
  <c r="AF2142" i="25"/>
  <c r="AE2142" i="25"/>
  <c r="AL2141" i="25"/>
  <c r="AK2141" i="25"/>
  <c r="AJ2141" i="25"/>
  <c r="AI2141" i="25"/>
  <c r="AF2141" i="25"/>
  <c r="AE2141" i="25"/>
  <c r="AL2140" i="25"/>
  <c r="AK2140" i="25"/>
  <c r="AJ2140" i="25"/>
  <c r="AI2140" i="25"/>
  <c r="AF2140" i="25"/>
  <c r="AE2140" i="25"/>
  <c r="AL2139" i="25"/>
  <c r="AK2139" i="25"/>
  <c r="AJ2139" i="25"/>
  <c r="AI2139" i="25"/>
  <c r="AF2139" i="25"/>
  <c r="AE2139" i="25"/>
  <c r="AL2138" i="25"/>
  <c r="AK2138" i="25"/>
  <c r="AJ2138" i="25"/>
  <c r="AI2138" i="25"/>
  <c r="AF2138" i="25"/>
  <c r="AE2138" i="25"/>
  <c r="AL2137" i="25"/>
  <c r="AK2137" i="25"/>
  <c r="AJ2137" i="25"/>
  <c r="AI2137" i="25"/>
  <c r="AF2137" i="25"/>
  <c r="AE2137" i="25"/>
  <c r="AL2136" i="25"/>
  <c r="AK2136" i="25"/>
  <c r="AJ2136" i="25"/>
  <c r="AI2136" i="25"/>
  <c r="AF2136" i="25"/>
  <c r="AE2136" i="25"/>
  <c r="AL2135" i="25"/>
  <c r="AK2135" i="25"/>
  <c r="AJ2135" i="25"/>
  <c r="AI2135" i="25"/>
  <c r="AF2135" i="25"/>
  <c r="AE2135" i="25"/>
  <c r="AL2134" i="25"/>
  <c r="AK2134" i="25"/>
  <c r="AJ2134" i="25"/>
  <c r="AI2134" i="25"/>
  <c r="AF2134" i="25"/>
  <c r="AE2134" i="25"/>
  <c r="AL2133" i="25"/>
  <c r="AK2133" i="25"/>
  <c r="AJ2133" i="25"/>
  <c r="AI2133" i="25"/>
  <c r="AF2133" i="25"/>
  <c r="AE2133" i="25"/>
  <c r="AL2132" i="25"/>
  <c r="AK2132" i="25"/>
  <c r="AJ2132" i="25"/>
  <c r="AI2132" i="25"/>
  <c r="AF2132" i="25"/>
  <c r="AE2132" i="25"/>
  <c r="AL2131" i="25"/>
  <c r="AK2131" i="25"/>
  <c r="AJ2131" i="25"/>
  <c r="AI2131" i="25"/>
  <c r="AF2131" i="25"/>
  <c r="AE2131" i="25"/>
  <c r="AL2130" i="25"/>
  <c r="AK2130" i="25"/>
  <c r="AJ2130" i="25"/>
  <c r="AI2130" i="25"/>
  <c r="AF2130" i="25"/>
  <c r="AE2130" i="25"/>
  <c r="AL2129" i="25"/>
  <c r="AK2129" i="25"/>
  <c r="AJ2129" i="25"/>
  <c r="AI2129" i="25"/>
  <c r="AF2129" i="25"/>
  <c r="AE2129" i="25"/>
  <c r="AL2128" i="25"/>
  <c r="AK2128" i="25"/>
  <c r="AJ2128" i="25"/>
  <c r="AI2128" i="25"/>
  <c r="AF2128" i="25"/>
  <c r="AE2128" i="25"/>
  <c r="AL2127" i="25"/>
  <c r="AK2127" i="25"/>
  <c r="AJ2127" i="25"/>
  <c r="AI2127" i="25"/>
  <c r="AF2127" i="25"/>
  <c r="AE2127" i="25"/>
  <c r="AL2126" i="25"/>
  <c r="AK2126" i="25"/>
  <c r="AJ2126" i="25"/>
  <c r="AI2126" i="25"/>
  <c r="AF2126" i="25"/>
  <c r="AE2126" i="25"/>
  <c r="AL2125" i="25"/>
  <c r="AK2125" i="25"/>
  <c r="AJ2125" i="25"/>
  <c r="AI2125" i="25"/>
  <c r="AF2125" i="25"/>
  <c r="AE2125" i="25"/>
  <c r="AL2124" i="25"/>
  <c r="AK2124" i="25"/>
  <c r="AJ2124" i="25"/>
  <c r="AI2124" i="25"/>
  <c r="AF2124" i="25"/>
  <c r="AE2124" i="25"/>
  <c r="AL2123" i="25"/>
  <c r="AK2123" i="25"/>
  <c r="AJ2123" i="25"/>
  <c r="AI2123" i="25"/>
  <c r="AF2123" i="25"/>
  <c r="AE2123" i="25"/>
  <c r="AL2122" i="25"/>
  <c r="AK2122" i="25"/>
  <c r="AJ2122" i="25"/>
  <c r="AI2122" i="25"/>
  <c r="AF2122" i="25"/>
  <c r="AE2122" i="25"/>
  <c r="AL2121" i="25"/>
  <c r="AK2121" i="25"/>
  <c r="AJ2121" i="25"/>
  <c r="AI2121" i="25"/>
  <c r="AF2121" i="25"/>
  <c r="AE2121" i="25"/>
  <c r="AL2120" i="25"/>
  <c r="AK2120" i="25"/>
  <c r="AJ2120" i="25"/>
  <c r="AI2120" i="25"/>
  <c r="AF2120" i="25"/>
  <c r="AE2120" i="25"/>
  <c r="AL2119" i="25"/>
  <c r="AK2119" i="25"/>
  <c r="AJ2119" i="25"/>
  <c r="AI2119" i="25"/>
  <c r="AF2119" i="25"/>
  <c r="AE2119" i="25"/>
  <c r="AL2118" i="25"/>
  <c r="AK2118" i="25"/>
  <c r="AJ2118" i="25"/>
  <c r="AI2118" i="25"/>
  <c r="AF2118" i="25"/>
  <c r="AE2118" i="25"/>
  <c r="AL2117" i="25"/>
  <c r="AK2117" i="25"/>
  <c r="AJ2117" i="25"/>
  <c r="AI2117" i="25"/>
  <c r="AF2117" i="25"/>
  <c r="AE2117" i="25"/>
  <c r="AL2116" i="25"/>
  <c r="AK2116" i="25"/>
  <c r="AJ2116" i="25"/>
  <c r="AI2116" i="25"/>
  <c r="AF2116" i="25"/>
  <c r="AE2116" i="25"/>
  <c r="AL2115" i="25"/>
  <c r="AK2115" i="25"/>
  <c r="AJ2115" i="25"/>
  <c r="AI2115" i="25"/>
  <c r="AF2115" i="25"/>
  <c r="AE2115" i="25"/>
  <c r="AL2114" i="25"/>
  <c r="AK2114" i="25"/>
  <c r="AJ2114" i="25"/>
  <c r="AI2114" i="25"/>
  <c r="AF2114" i="25"/>
  <c r="AE2114" i="25"/>
  <c r="AL2113" i="25"/>
  <c r="AK2113" i="25"/>
  <c r="AJ2113" i="25"/>
  <c r="AI2113" i="25"/>
  <c r="AF2113" i="25"/>
  <c r="AE2113" i="25"/>
  <c r="AL2112" i="25"/>
  <c r="AK2112" i="25"/>
  <c r="AJ2112" i="25"/>
  <c r="AI2112" i="25"/>
  <c r="AF2112" i="25"/>
  <c r="AE2112" i="25"/>
  <c r="AL2111" i="25"/>
  <c r="AK2111" i="25"/>
  <c r="AJ2111" i="25"/>
  <c r="AI2111" i="25"/>
  <c r="AF2111" i="25"/>
  <c r="AE2111" i="25"/>
  <c r="AL2110" i="25"/>
  <c r="AK2110" i="25"/>
  <c r="AJ2110" i="25"/>
  <c r="AI2110" i="25"/>
  <c r="AF2110" i="25"/>
  <c r="AE2110" i="25"/>
  <c r="AL2109" i="25"/>
  <c r="AK2109" i="25"/>
  <c r="AJ2109" i="25"/>
  <c r="AI2109" i="25"/>
  <c r="AF2109" i="25"/>
  <c r="AE2109" i="25"/>
  <c r="AL2108" i="25"/>
  <c r="AK2108" i="25"/>
  <c r="AJ2108" i="25"/>
  <c r="AI2108" i="25"/>
  <c r="AF2108" i="25"/>
  <c r="AE2108" i="25"/>
  <c r="AL2107" i="25"/>
  <c r="AK2107" i="25"/>
  <c r="AJ2107" i="25"/>
  <c r="AI2107" i="25"/>
  <c r="AF2107" i="25"/>
  <c r="AE2107" i="25"/>
  <c r="AL2106" i="25"/>
  <c r="AK2106" i="25"/>
  <c r="AJ2106" i="25"/>
  <c r="AI2106" i="25"/>
  <c r="AF2106" i="25"/>
  <c r="AE2106" i="25"/>
  <c r="AL2105" i="25"/>
  <c r="AK2105" i="25"/>
  <c r="AJ2105" i="25"/>
  <c r="AI2105" i="25"/>
  <c r="AF2105" i="25"/>
  <c r="AE2105" i="25"/>
  <c r="AL2104" i="25"/>
  <c r="AK2104" i="25"/>
  <c r="AJ2104" i="25"/>
  <c r="AI2104" i="25"/>
  <c r="AF2104" i="25"/>
  <c r="AE2104" i="25"/>
  <c r="AL2103" i="25"/>
  <c r="AK2103" i="25"/>
  <c r="AJ2103" i="25"/>
  <c r="AI2103" i="25"/>
  <c r="AF2103" i="25"/>
  <c r="AE2103" i="25"/>
  <c r="AL2102" i="25"/>
  <c r="AK2102" i="25"/>
  <c r="AJ2102" i="25"/>
  <c r="AI2102" i="25"/>
  <c r="AF2102" i="25"/>
  <c r="AE2102" i="25"/>
  <c r="AL2101" i="25"/>
  <c r="AK2101" i="25"/>
  <c r="AJ2101" i="25"/>
  <c r="AI2101" i="25"/>
  <c r="AF2101" i="25"/>
  <c r="AE2101" i="25"/>
  <c r="AL2100" i="25"/>
  <c r="AK2100" i="25"/>
  <c r="AJ2100" i="25"/>
  <c r="AI2100" i="25"/>
  <c r="AF2100" i="25"/>
  <c r="AE2100" i="25"/>
  <c r="AL2099" i="25"/>
  <c r="AK2099" i="25"/>
  <c r="AJ2099" i="25"/>
  <c r="AI2099" i="25"/>
  <c r="AF2099" i="25"/>
  <c r="AE2099" i="25"/>
  <c r="AL2098" i="25"/>
  <c r="AK2098" i="25"/>
  <c r="AJ2098" i="25"/>
  <c r="AI2098" i="25"/>
  <c r="AF2098" i="25"/>
  <c r="AE2098" i="25"/>
  <c r="AL2097" i="25"/>
  <c r="AK2097" i="25"/>
  <c r="AJ2097" i="25"/>
  <c r="AI2097" i="25"/>
  <c r="AF2097" i="25"/>
  <c r="AE2097" i="25"/>
  <c r="AL2096" i="25"/>
  <c r="AK2096" i="25"/>
  <c r="AJ2096" i="25"/>
  <c r="AI2096" i="25"/>
  <c r="AF2096" i="25"/>
  <c r="AE2096" i="25"/>
  <c r="AL2095" i="25"/>
  <c r="AK2095" i="25"/>
  <c r="AJ2095" i="25"/>
  <c r="AI2095" i="25"/>
  <c r="AF2095" i="25"/>
  <c r="AE2095" i="25"/>
  <c r="AL2094" i="25"/>
  <c r="AK2094" i="25"/>
  <c r="AJ2094" i="25"/>
  <c r="AI2094" i="25"/>
  <c r="AF2094" i="25"/>
  <c r="AE2094" i="25"/>
  <c r="AL2093" i="25"/>
  <c r="AK2093" i="25"/>
  <c r="AJ2093" i="25"/>
  <c r="AI2093" i="25"/>
  <c r="AF2093" i="25"/>
  <c r="AE2093" i="25"/>
  <c r="AL2092" i="25"/>
  <c r="AK2092" i="25"/>
  <c r="AJ2092" i="25"/>
  <c r="AI2092" i="25"/>
  <c r="AF2092" i="25"/>
  <c r="AE2092" i="25"/>
  <c r="AL2091" i="25"/>
  <c r="AK2091" i="25"/>
  <c r="AJ2091" i="25"/>
  <c r="AI2091" i="25"/>
  <c r="AF2091" i="25"/>
  <c r="AE2091" i="25"/>
  <c r="AL2090" i="25"/>
  <c r="AK2090" i="25"/>
  <c r="AJ2090" i="25"/>
  <c r="AI2090" i="25"/>
  <c r="AF2090" i="25"/>
  <c r="AE2090" i="25"/>
  <c r="AL2089" i="25"/>
  <c r="AK2089" i="25"/>
  <c r="AJ2089" i="25"/>
  <c r="AI2089" i="25"/>
  <c r="AF2089" i="25"/>
  <c r="AE2089" i="25"/>
  <c r="AL2088" i="25"/>
  <c r="AK2088" i="25"/>
  <c r="AJ2088" i="25"/>
  <c r="AI2088" i="25"/>
  <c r="AF2088" i="25"/>
  <c r="AE2088" i="25"/>
  <c r="AL2087" i="25"/>
  <c r="AK2087" i="25"/>
  <c r="AJ2087" i="25"/>
  <c r="AI2087" i="25"/>
  <c r="AF2087" i="25"/>
  <c r="AE2087" i="25"/>
  <c r="AL2086" i="25"/>
  <c r="AK2086" i="25"/>
  <c r="AJ2086" i="25"/>
  <c r="AI2086" i="25"/>
  <c r="AF2086" i="25"/>
  <c r="AE2086" i="25"/>
  <c r="AL2085" i="25"/>
  <c r="AK2085" i="25"/>
  <c r="AJ2085" i="25"/>
  <c r="AI2085" i="25"/>
  <c r="AF2085" i="25"/>
  <c r="AE2085" i="25"/>
  <c r="AL2084" i="25"/>
  <c r="AK2084" i="25"/>
  <c r="AJ2084" i="25"/>
  <c r="AI2084" i="25"/>
  <c r="AF2084" i="25"/>
  <c r="AE2084" i="25"/>
  <c r="AL2083" i="25"/>
  <c r="AK2083" i="25"/>
  <c r="AJ2083" i="25"/>
  <c r="AI2083" i="25"/>
  <c r="AF2083" i="25"/>
  <c r="AE2083" i="25"/>
  <c r="AL2082" i="25"/>
  <c r="AK2082" i="25"/>
  <c r="AJ2082" i="25"/>
  <c r="AI2082" i="25"/>
  <c r="AF2082" i="25"/>
  <c r="AE2082" i="25"/>
  <c r="AL2081" i="25"/>
  <c r="AK2081" i="25"/>
  <c r="AJ2081" i="25"/>
  <c r="AI2081" i="25"/>
  <c r="AF2081" i="25"/>
  <c r="AE2081" i="25"/>
  <c r="AL2080" i="25"/>
  <c r="AK2080" i="25"/>
  <c r="AJ2080" i="25"/>
  <c r="AI2080" i="25"/>
  <c r="AF2080" i="25"/>
  <c r="AE2080" i="25"/>
  <c r="AL2079" i="25"/>
  <c r="AK2079" i="25"/>
  <c r="AJ2079" i="25"/>
  <c r="AI2079" i="25"/>
  <c r="AF2079" i="25"/>
  <c r="AE2079" i="25"/>
  <c r="AL2078" i="25"/>
  <c r="AK2078" i="25"/>
  <c r="AJ2078" i="25"/>
  <c r="AI2078" i="25"/>
  <c r="AF2078" i="25"/>
  <c r="AE2078" i="25"/>
  <c r="AL2077" i="25"/>
  <c r="AK2077" i="25"/>
  <c r="AJ2077" i="25"/>
  <c r="AI2077" i="25"/>
  <c r="AF2077" i="25"/>
  <c r="AE2077" i="25"/>
  <c r="AL2076" i="25"/>
  <c r="AK2076" i="25"/>
  <c r="AJ2076" i="25"/>
  <c r="AI2076" i="25"/>
  <c r="AF2076" i="25"/>
  <c r="AE2076" i="25"/>
  <c r="AL2075" i="25"/>
  <c r="AK2075" i="25"/>
  <c r="AJ2075" i="25"/>
  <c r="AI2075" i="25"/>
  <c r="AF2075" i="25"/>
  <c r="AE2075" i="25"/>
  <c r="AL2074" i="25"/>
  <c r="AK2074" i="25"/>
  <c r="AJ2074" i="25"/>
  <c r="AI2074" i="25"/>
  <c r="AF2074" i="25"/>
  <c r="AE2074" i="25"/>
  <c r="AL2073" i="25"/>
  <c r="AK2073" i="25"/>
  <c r="AJ2073" i="25"/>
  <c r="AI2073" i="25"/>
  <c r="AF2073" i="25"/>
  <c r="AE2073" i="25"/>
  <c r="AL2072" i="25"/>
  <c r="AK2072" i="25"/>
  <c r="AJ2072" i="25"/>
  <c r="AI2072" i="25"/>
  <c r="AF2072" i="25"/>
  <c r="AE2072" i="25"/>
  <c r="AL2071" i="25"/>
  <c r="AK2071" i="25"/>
  <c r="AJ2071" i="25"/>
  <c r="AI2071" i="25"/>
  <c r="AF2071" i="25"/>
  <c r="AE2071" i="25"/>
  <c r="AL2070" i="25"/>
  <c r="AK2070" i="25"/>
  <c r="AJ2070" i="25"/>
  <c r="AI2070" i="25"/>
  <c r="AF2070" i="25"/>
  <c r="AE2070" i="25"/>
  <c r="AL2069" i="25"/>
  <c r="AK2069" i="25"/>
  <c r="AJ2069" i="25"/>
  <c r="AI2069" i="25"/>
  <c r="AF2069" i="25"/>
  <c r="AE2069" i="25"/>
  <c r="AL2068" i="25"/>
  <c r="AK2068" i="25"/>
  <c r="AJ2068" i="25"/>
  <c r="AI2068" i="25"/>
  <c r="AF2068" i="25"/>
  <c r="AE2068" i="25"/>
  <c r="AL2067" i="25"/>
  <c r="AK2067" i="25"/>
  <c r="AJ2067" i="25"/>
  <c r="AI2067" i="25"/>
  <c r="AF2067" i="25"/>
  <c r="AE2067" i="25"/>
  <c r="AL2066" i="25"/>
  <c r="AK2066" i="25"/>
  <c r="AJ2066" i="25"/>
  <c r="AI2066" i="25"/>
  <c r="AF2066" i="25"/>
  <c r="AE2066" i="25"/>
  <c r="AL2065" i="25"/>
  <c r="AK2065" i="25"/>
  <c r="AJ2065" i="25"/>
  <c r="AI2065" i="25"/>
  <c r="AF2065" i="25"/>
  <c r="AE2065" i="25"/>
  <c r="AE2064" i="25"/>
  <c r="AE2063" i="25"/>
  <c r="AL2062" i="25"/>
  <c r="AK2062" i="25"/>
  <c r="AJ2062" i="25"/>
  <c r="AI2062" i="25"/>
  <c r="AF2062" i="25"/>
  <c r="AE2062" i="25"/>
  <c r="AL2061" i="25"/>
  <c r="AK2061" i="25"/>
  <c r="AJ2061" i="25"/>
  <c r="AI2061" i="25"/>
  <c r="AF2061" i="25"/>
  <c r="AE2061" i="25"/>
  <c r="AL2060" i="25"/>
  <c r="AK2060" i="25"/>
  <c r="AJ2060" i="25"/>
  <c r="AI2060" i="25"/>
  <c r="AF2060" i="25"/>
  <c r="AE2060" i="25"/>
  <c r="AL2059" i="25"/>
  <c r="AK2059" i="25"/>
  <c r="AJ2059" i="25"/>
  <c r="AI2059" i="25"/>
  <c r="AF2059" i="25"/>
  <c r="AE2059" i="25"/>
  <c r="AL2058" i="25"/>
  <c r="AK2058" i="25"/>
  <c r="AJ2058" i="25"/>
  <c r="AI2058" i="25"/>
  <c r="AF2058" i="25"/>
  <c r="AE2058" i="25"/>
  <c r="AL2057" i="25"/>
  <c r="AK2057" i="25"/>
  <c r="AJ2057" i="25"/>
  <c r="AI2057" i="25"/>
  <c r="AF2057" i="25"/>
  <c r="AE2057" i="25"/>
  <c r="AL2056" i="25"/>
  <c r="AK2056" i="25"/>
  <c r="AJ2056" i="25"/>
  <c r="AI2056" i="25"/>
  <c r="AF2056" i="25"/>
  <c r="AE2056" i="25"/>
  <c r="AE2055" i="25"/>
  <c r="AL2054" i="25"/>
  <c r="AK2054" i="25"/>
  <c r="AJ2054" i="25"/>
  <c r="AI2054" i="25"/>
  <c r="AF2054" i="25"/>
  <c r="AE2054" i="25"/>
  <c r="AL2053" i="25"/>
  <c r="AK2053" i="25"/>
  <c r="AJ2053" i="25"/>
  <c r="AI2053" i="25"/>
  <c r="AF2053" i="25"/>
  <c r="AE2053" i="25"/>
  <c r="AL2052" i="25"/>
  <c r="AK2052" i="25"/>
  <c r="AJ2052" i="25"/>
  <c r="AI2052" i="25"/>
  <c r="AF2052" i="25"/>
  <c r="AE2052" i="25"/>
  <c r="AL2051" i="25"/>
  <c r="AK2051" i="25"/>
  <c r="AJ2051" i="25"/>
  <c r="AI2051" i="25"/>
  <c r="AF2051" i="25"/>
  <c r="AE2051" i="25"/>
  <c r="AL2050" i="25"/>
  <c r="AK2050" i="25"/>
  <c r="AJ2050" i="25"/>
  <c r="AI2050" i="25"/>
  <c r="AF2050" i="25"/>
  <c r="AE2050" i="25"/>
  <c r="AL2049" i="25"/>
  <c r="AK2049" i="25"/>
  <c r="AJ2049" i="25"/>
  <c r="AI2049" i="25"/>
  <c r="AF2049" i="25"/>
  <c r="AE2049" i="25"/>
  <c r="AL2048" i="25"/>
  <c r="AK2048" i="25"/>
  <c r="AJ2048" i="25"/>
  <c r="AI2048" i="25"/>
  <c r="AF2048" i="25"/>
  <c r="AE2048" i="25"/>
  <c r="AL2047" i="25"/>
  <c r="AK2047" i="25"/>
  <c r="AJ2047" i="25"/>
  <c r="AI2047" i="25"/>
  <c r="AF2047" i="25"/>
  <c r="AE2047" i="25"/>
  <c r="AL2046" i="25"/>
  <c r="AK2046" i="25"/>
  <c r="AJ2046" i="25"/>
  <c r="AI2046" i="25"/>
  <c r="AF2046" i="25"/>
  <c r="AE2046" i="25"/>
  <c r="AL2045" i="25"/>
  <c r="AK2045" i="25"/>
  <c r="AJ2045" i="25"/>
  <c r="AI2045" i="25"/>
  <c r="AF2045" i="25"/>
  <c r="AE2045" i="25"/>
  <c r="AL2044" i="25"/>
  <c r="AK2044" i="25"/>
  <c r="AJ2044" i="25"/>
  <c r="AI2044" i="25"/>
  <c r="AF2044" i="25"/>
  <c r="AE2044" i="25"/>
  <c r="AL2043" i="25"/>
  <c r="AK2043" i="25"/>
  <c r="AJ2043" i="25"/>
  <c r="AI2043" i="25"/>
  <c r="AF2043" i="25"/>
  <c r="AE2043" i="25"/>
  <c r="AL2042" i="25"/>
  <c r="AK2042" i="25"/>
  <c r="AJ2042" i="25"/>
  <c r="AI2042" i="25"/>
  <c r="AF2042" i="25"/>
  <c r="AE2042" i="25"/>
  <c r="AL2041" i="25"/>
  <c r="AK2041" i="25"/>
  <c r="AJ2041" i="25"/>
  <c r="AI2041" i="25"/>
  <c r="AF2041" i="25"/>
  <c r="AE2041" i="25"/>
  <c r="AL2040" i="25"/>
  <c r="AK2040" i="25"/>
  <c r="AJ2040" i="25"/>
  <c r="AI2040" i="25"/>
  <c r="AF2040" i="25"/>
  <c r="AE2040" i="25"/>
  <c r="AL2039" i="25"/>
  <c r="AK2039" i="25"/>
  <c r="AJ2039" i="25"/>
  <c r="AI2039" i="25"/>
  <c r="AF2039" i="25"/>
  <c r="AE2039" i="25"/>
  <c r="AL2038" i="25"/>
  <c r="AK2038" i="25"/>
  <c r="AJ2038" i="25"/>
  <c r="AI2038" i="25"/>
  <c r="AF2038" i="25"/>
  <c r="AE2038" i="25"/>
  <c r="AL2037" i="25"/>
  <c r="AK2037" i="25"/>
  <c r="AJ2037" i="25"/>
  <c r="AI2037" i="25"/>
  <c r="AF2037" i="25"/>
  <c r="AE2037" i="25"/>
  <c r="AL2036" i="25"/>
  <c r="AK2036" i="25"/>
  <c r="AJ2036" i="25"/>
  <c r="AI2036" i="25"/>
  <c r="AF2036" i="25"/>
  <c r="AE2036" i="25"/>
  <c r="AL2035" i="25"/>
  <c r="AK2035" i="25"/>
  <c r="AJ2035" i="25"/>
  <c r="AI2035" i="25"/>
  <c r="AF2035" i="25"/>
  <c r="AE2035" i="25"/>
  <c r="AL2034" i="25"/>
  <c r="AK2034" i="25"/>
  <c r="AJ2034" i="25"/>
  <c r="AI2034" i="25"/>
  <c r="AF2034" i="25"/>
  <c r="AE2034" i="25"/>
  <c r="AL2033" i="25"/>
  <c r="AK2033" i="25"/>
  <c r="AJ2033" i="25"/>
  <c r="AI2033" i="25"/>
  <c r="AF2033" i="25"/>
  <c r="AE2033" i="25"/>
  <c r="AL2032" i="25"/>
  <c r="AK2032" i="25"/>
  <c r="AJ2032" i="25"/>
  <c r="AI2032" i="25"/>
  <c r="AF2032" i="25"/>
  <c r="AE2032" i="25"/>
  <c r="AL2031" i="25"/>
  <c r="AK2031" i="25"/>
  <c r="AJ2031" i="25"/>
  <c r="AI2031" i="25"/>
  <c r="AF2031" i="25"/>
  <c r="AE2031" i="25"/>
  <c r="AL2030" i="25"/>
  <c r="AK2030" i="25"/>
  <c r="AJ2030" i="25"/>
  <c r="AI2030" i="25"/>
  <c r="AF2030" i="25"/>
  <c r="AE2030" i="25"/>
  <c r="AL2029" i="25"/>
  <c r="AK2029" i="25"/>
  <c r="AJ2029" i="25"/>
  <c r="AI2029" i="25"/>
  <c r="AF2029" i="25"/>
  <c r="AE2029" i="25"/>
  <c r="AL2028" i="25"/>
  <c r="AK2028" i="25"/>
  <c r="AJ2028" i="25"/>
  <c r="AI2028" i="25"/>
  <c r="AF2028" i="25"/>
  <c r="AE2028" i="25"/>
  <c r="AL2027" i="25"/>
  <c r="AK2027" i="25"/>
  <c r="AJ2027" i="25"/>
  <c r="AI2027" i="25"/>
  <c r="AF2027" i="25"/>
  <c r="AE2027" i="25"/>
  <c r="AL2026" i="25"/>
  <c r="AK2026" i="25"/>
  <c r="AJ2026" i="25"/>
  <c r="AI2026" i="25"/>
  <c r="AF2026" i="25"/>
  <c r="AE2026" i="25"/>
  <c r="AL2025" i="25"/>
  <c r="AK2025" i="25"/>
  <c r="AJ2025" i="25"/>
  <c r="AI2025" i="25"/>
  <c r="AF2025" i="25"/>
  <c r="AE2025" i="25"/>
  <c r="AL2024" i="25"/>
  <c r="AK2024" i="25"/>
  <c r="AJ2024" i="25"/>
  <c r="AI2024" i="25"/>
  <c r="AF2024" i="25"/>
  <c r="AE2024" i="25"/>
  <c r="AL2023" i="25"/>
  <c r="AK2023" i="25"/>
  <c r="AJ2023" i="25"/>
  <c r="AI2023" i="25"/>
  <c r="AF2023" i="25"/>
  <c r="AE2023" i="25"/>
  <c r="AL2022" i="25"/>
  <c r="AK2022" i="25"/>
  <c r="AJ2022" i="25"/>
  <c r="AI2022" i="25"/>
  <c r="AF2022" i="25"/>
  <c r="AE2022" i="25"/>
  <c r="AL2021" i="25"/>
  <c r="AK2021" i="25"/>
  <c r="AJ2021" i="25"/>
  <c r="AI2021" i="25"/>
  <c r="AF2021" i="25"/>
  <c r="AE2021" i="25"/>
  <c r="AE2020" i="25"/>
  <c r="AL2019" i="25"/>
  <c r="AK2019" i="25"/>
  <c r="AJ2019" i="25"/>
  <c r="AI2019" i="25"/>
  <c r="AF2019" i="25"/>
  <c r="AE2019" i="25"/>
  <c r="AL2018" i="25"/>
  <c r="AK2018" i="25"/>
  <c r="AJ2018" i="25"/>
  <c r="AI2018" i="25"/>
  <c r="AF2018" i="25"/>
  <c r="AE2018" i="25"/>
  <c r="AL2017" i="25"/>
  <c r="AK2017" i="25"/>
  <c r="AJ2017" i="25"/>
  <c r="AI2017" i="25"/>
  <c r="AF2017" i="25"/>
  <c r="AE2017" i="25"/>
  <c r="AL2016" i="25"/>
  <c r="AK2016" i="25"/>
  <c r="AJ2016" i="25"/>
  <c r="AI2016" i="25"/>
  <c r="AF2016" i="25"/>
  <c r="AE2016" i="25"/>
  <c r="AL2015" i="25"/>
  <c r="AK2015" i="25"/>
  <c r="AJ2015" i="25"/>
  <c r="AI2015" i="25"/>
  <c r="AF2015" i="25"/>
  <c r="AE2015" i="25"/>
  <c r="AL2014" i="25"/>
  <c r="AK2014" i="25"/>
  <c r="AJ2014" i="25"/>
  <c r="AI2014" i="25"/>
  <c r="AF2014" i="25"/>
  <c r="AE2014" i="25"/>
  <c r="AL2013" i="25"/>
  <c r="AK2013" i="25"/>
  <c r="AJ2013" i="25"/>
  <c r="AI2013" i="25"/>
  <c r="AF2013" i="25"/>
  <c r="AE2013" i="25"/>
  <c r="AL2012" i="25"/>
  <c r="AK2012" i="25"/>
  <c r="AJ2012" i="25"/>
  <c r="AI2012" i="25"/>
  <c r="AF2012" i="25"/>
  <c r="AE2012" i="25"/>
  <c r="AL2011" i="25"/>
  <c r="AK2011" i="25"/>
  <c r="AJ2011" i="25"/>
  <c r="AI2011" i="25"/>
  <c r="AF2011" i="25"/>
  <c r="AE2011" i="25"/>
  <c r="AL2010" i="25"/>
  <c r="AK2010" i="25"/>
  <c r="AJ2010" i="25"/>
  <c r="AI2010" i="25"/>
  <c r="AF2010" i="25"/>
  <c r="AE2010" i="25"/>
  <c r="AL2009" i="25"/>
  <c r="AK2009" i="25"/>
  <c r="AJ2009" i="25"/>
  <c r="AI2009" i="25"/>
  <c r="AF2009" i="25"/>
  <c r="AE2009" i="25"/>
  <c r="AL2008" i="25"/>
  <c r="AK2008" i="25"/>
  <c r="AJ2008" i="25"/>
  <c r="AI2008" i="25"/>
  <c r="AF2008" i="25"/>
  <c r="AE2008" i="25"/>
  <c r="AL2007" i="25"/>
  <c r="AK2007" i="25"/>
  <c r="AJ2007" i="25"/>
  <c r="AI2007" i="25"/>
  <c r="AF2007" i="25"/>
  <c r="AE2007" i="25"/>
  <c r="AL2006" i="25"/>
  <c r="AK2006" i="25"/>
  <c r="AJ2006" i="25"/>
  <c r="AI2006" i="25"/>
  <c r="AF2006" i="25"/>
  <c r="AE2006" i="25"/>
  <c r="AL2005" i="25"/>
  <c r="AK2005" i="25"/>
  <c r="AJ2005" i="25"/>
  <c r="AI2005" i="25"/>
  <c r="AF2005" i="25"/>
  <c r="AE2005" i="25"/>
  <c r="AL2004" i="25"/>
  <c r="AK2004" i="25"/>
  <c r="AJ2004" i="25"/>
  <c r="AI2004" i="25"/>
  <c r="AF2004" i="25"/>
  <c r="AE2004" i="25"/>
  <c r="AL2003" i="25"/>
  <c r="AK2003" i="25"/>
  <c r="AJ2003" i="25"/>
  <c r="AI2003" i="25"/>
  <c r="AF2003" i="25"/>
  <c r="AE2003" i="25"/>
  <c r="AL2002" i="25"/>
  <c r="AK2002" i="25"/>
  <c r="AJ2002" i="25"/>
  <c r="AI2002" i="25"/>
  <c r="AF2002" i="25"/>
  <c r="AE2002" i="25"/>
  <c r="AL2001" i="25"/>
  <c r="AK2001" i="25"/>
  <c r="AJ2001" i="25"/>
  <c r="AI2001" i="25"/>
  <c r="AF2001" i="25"/>
  <c r="AE2001" i="25"/>
  <c r="AL2000" i="25"/>
  <c r="AK2000" i="25"/>
  <c r="AJ2000" i="25"/>
  <c r="AI2000" i="25"/>
  <c r="AF2000" i="25"/>
  <c r="AE2000" i="25"/>
  <c r="AL1999" i="25"/>
  <c r="AK1999" i="25"/>
  <c r="AJ1999" i="25"/>
  <c r="AI1999" i="25"/>
  <c r="AF1999" i="25"/>
  <c r="AE1999" i="25"/>
  <c r="AL1998" i="25"/>
  <c r="AK1998" i="25"/>
  <c r="AJ1998" i="25"/>
  <c r="AI1998" i="25"/>
  <c r="AF1998" i="25"/>
  <c r="AE1998" i="25"/>
  <c r="AL1997" i="25"/>
  <c r="AK1997" i="25"/>
  <c r="AJ1997" i="25"/>
  <c r="AI1997" i="25"/>
  <c r="AF1997" i="25"/>
  <c r="AE1997" i="25"/>
  <c r="AL1996" i="25"/>
  <c r="AK1996" i="25"/>
  <c r="AJ1996" i="25"/>
  <c r="AI1996" i="25"/>
  <c r="AF1996" i="25"/>
  <c r="AE1996" i="25"/>
  <c r="AL1995" i="25"/>
  <c r="AK1995" i="25"/>
  <c r="AJ1995" i="25"/>
  <c r="AI1995" i="25"/>
  <c r="AF1995" i="25"/>
  <c r="AE1995" i="25"/>
  <c r="AL1994" i="25"/>
  <c r="AK1994" i="25"/>
  <c r="AJ1994" i="25"/>
  <c r="AI1994" i="25"/>
  <c r="AF1994" i="25"/>
  <c r="AE1994" i="25"/>
  <c r="AL1993" i="25"/>
  <c r="AK1993" i="25"/>
  <c r="AJ1993" i="25"/>
  <c r="AI1993" i="25"/>
  <c r="AF1993" i="25"/>
  <c r="AE1993" i="25"/>
  <c r="AL1992" i="25"/>
  <c r="AK1992" i="25"/>
  <c r="AJ1992" i="25"/>
  <c r="AI1992" i="25"/>
  <c r="AF1992" i="25"/>
  <c r="AE1992" i="25"/>
  <c r="AL1991" i="25"/>
  <c r="AK1991" i="25"/>
  <c r="AJ1991" i="25"/>
  <c r="AI1991" i="25"/>
  <c r="AF1991" i="25"/>
  <c r="AE1991" i="25"/>
  <c r="AL1990" i="25"/>
  <c r="AK1990" i="25"/>
  <c r="AJ1990" i="25"/>
  <c r="AI1990" i="25"/>
  <c r="AF1990" i="25"/>
  <c r="AE1990" i="25"/>
  <c r="AL1989" i="25"/>
  <c r="AK1989" i="25"/>
  <c r="AJ1989" i="25"/>
  <c r="AI1989" i="25"/>
  <c r="AF1989" i="25"/>
  <c r="AE1989" i="25"/>
  <c r="AL1988" i="25"/>
  <c r="AK1988" i="25"/>
  <c r="AJ1988" i="25"/>
  <c r="AI1988" i="25"/>
  <c r="AF1988" i="25"/>
  <c r="AE1988" i="25"/>
  <c r="AL1987" i="25"/>
  <c r="AK1987" i="25"/>
  <c r="AJ1987" i="25"/>
  <c r="AI1987" i="25"/>
  <c r="AF1987" i="25"/>
  <c r="AE1987" i="25"/>
  <c r="AL1986" i="25"/>
  <c r="AK1986" i="25"/>
  <c r="AJ1986" i="25"/>
  <c r="AI1986" i="25"/>
  <c r="AF1986" i="25"/>
  <c r="AE1986" i="25"/>
  <c r="AL1985" i="25"/>
  <c r="AK1985" i="25"/>
  <c r="AJ1985" i="25"/>
  <c r="AI1985" i="25"/>
  <c r="AF1985" i="25"/>
  <c r="AE1985" i="25"/>
  <c r="AL1984" i="25"/>
  <c r="AK1984" i="25"/>
  <c r="AJ1984" i="25"/>
  <c r="AI1984" i="25"/>
  <c r="AF1984" i="25"/>
  <c r="AE1984" i="25"/>
  <c r="AL1983" i="25"/>
  <c r="AK1983" i="25"/>
  <c r="AJ1983" i="25"/>
  <c r="AI1983" i="25"/>
  <c r="AF1983" i="25"/>
  <c r="AE1983" i="25"/>
  <c r="AL1982" i="25"/>
  <c r="AK1982" i="25"/>
  <c r="AJ1982" i="25"/>
  <c r="AI1982" i="25"/>
  <c r="AF1982" i="25"/>
  <c r="AE1982" i="25"/>
  <c r="AL1981" i="25"/>
  <c r="AK1981" i="25"/>
  <c r="AJ1981" i="25"/>
  <c r="AI1981" i="25"/>
  <c r="AF1981" i="25"/>
  <c r="AE1981" i="25"/>
  <c r="AL1980" i="25"/>
  <c r="AK1980" i="25"/>
  <c r="AJ1980" i="25"/>
  <c r="AI1980" i="25"/>
  <c r="AF1980" i="25"/>
  <c r="AE1980" i="25"/>
  <c r="AL1979" i="25"/>
  <c r="AK1979" i="25"/>
  <c r="AJ1979" i="25"/>
  <c r="AI1979" i="25"/>
  <c r="AF1979" i="25"/>
  <c r="AE1979" i="25"/>
  <c r="AL1978" i="25"/>
  <c r="AK1978" i="25"/>
  <c r="AJ1978" i="25"/>
  <c r="AI1978" i="25"/>
  <c r="AF1978" i="25"/>
  <c r="AE1978" i="25"/>
  <c r="AL1977" i="25"/>
  <c r="AK1977" i="25"/>
  <c r="AJ1977" i="25"/>
  <c r="AI1977" i="25"/>
  <c r="AF1977" i="25"/>
  <c r="AE1977" i="25"/>
  <c r="AL1976" i="25"/>
  <c r="AK1976" i="25"/>
  <c r="AJ1976" i="25"/>
  <c r="AI1976" i="25"/>
  <c r="AF1976" i="25"/>
  <c r="AE1976" i="25"/>
  <c r="AL1975" i="25"/>
  <c r="AK1975" i="25"/>
  <c r="AJ1975" i="25"/>
  <c r="AI1975" i="25"/>
  <c r="AF1975" i="25"/>
  <c r="AE1975" i="25"/>
  <c r="AL1974" i="25"/>
  <c r="AK1974" i="25"/>
  <c r="AJ1974" i="25"/>
  <c r="AI1974" i="25"/>
  <c r="AF1974" i="25"/>
  <c r="AE1974" i="25"/>
  <c r="AL1973" i="25"/>
  <c r="AK1973" i="25"/>
  <c r="AJ1973" i="25"/>
  <c r="AI1973" i="25"/>
  <c r="AF1973" i="25"/>
  <c r="AE1973" i="25"/>
  <c r="AL1972" i="25"/>
  <c r="AK1972" i="25"/>
  <c r="AJ1972" i="25"/>
  <c r="AI1972" i="25"/>
  <c r="AF1972" i="25"/>
  <c r="AE1972" i="25"/>
  <c r="AL1971" i="25"/>
  <c r="AK1971" i="25"/>
  <c r="AJ1971" i="25"/>
  <c r="AI1971" i="25"/>
  <c r="AF1971" i="25"/>
  <c r="AE1971" i="25"/>
  <c r="AL1970" i="25"/>
  <c r="AK1970" i="25"/>
  <c r="AJ1970" i="25"/>
  <c r="AI1970" i="25"/>
  <c r="AF1970" i="25"/>
  <c r="AE1970" i="25"/>
  <c r="AL1969" i="25"/>
  <c r="AK1969" i="25"/>
  <c r="AJ1969" i="25"/>
  <c r="AI1969" i="25"/>
  <c r="AF1969" i="25"/>
  <c r="AE1969" i="25"/>
  <c r="AL1968" i="25"/>
  <c r="AK1968" i="25"/>
  <c r="AJ1968" i="25"/>
  <c r="AI1968" i="25"/>
  <c r="AF1968" i="25"/>
  <c r="AE1968" i="25"/>
  <c r="AL1967" i="25"/>
  <c r="AK1967" i="25"/>
  <c r="AJ1967" i="25"/>
  <c r="AI1967" i="25"/>
  <c r="AF1967" i="25"/>
  <c r="AE1967" i="25"/>
  <c r="AL1966" i="25"/>
  <c r="AK1966" i="25"/>
  <c r="AJ1966" i="25"/>
  <c r="AI1966" i="25"/>
  <c r="AF1966" i="25"/>
  <c r="AE1966" i="25"/>
  <c r="AL1965" i="25"/>
  <c r="AK1965" i="25"/>
  <c r="AJ1965" i="25"/>
  <c r="AI1965" i="25"/>
  <c r="AF1965" i="25"/>
  <c r="AE1965" i="25"/>
  <c r="AL1964" i="25"/>
  <c r="AK1964" i="25"/>
  <c r="AJ1964" i="25"/>
  <c r="AI1964" i="25"/>
  <c r="AF1964" i="25"/>
  <c r="AE1964" i="25"/>
  <c r="AL1963" i="25"/>
  <c r="AK1963" i="25"/>
  <c r="AJ1963" i="25"/>
  <c r="AI1963" i="25"/>
  <c r="AF1963" i="25"/>
  <c r="AE1963" i="25"/>
  <c r="AL1962" i="25"/>
  <c r="AK1962" i="25"/>
  <c r="AJ1962" i="25"/>
  <c r="AI1962" i="25"/>
  <c r="AF1962" i="25"/>
  <c r="AE1962" i="25"/>
  <c r="AL1961" i="25"/>
  <c r="AK1961" i="25"/>
  <c r="AJ1961" i="25"/>
  <c r="AI1961" i="25"/>
  <c r="AF1961" i="25"/>
  <c r="AE1961" i="25"/>
  <c r="AL1960" i="25"/>
  <c r="AK1960" i="25"/>
  <c r="AJ1960" i="25"/>
  <c r="AI1960" i="25"/>
  <c r="AF1960" i="25"/>
  <c r="AE1960" i="25"/>
  <c r="AL1959" i="25"/>
  <c r="AK1959" i="25"/>
  <c r="AJ1959" i="25"/>
  <c r="AI1959" i="25"/>
  <c r="AF1959" i="25"/>
  <c r="AE1959" i="25"/>
  <c r="AE1958" i="25"/>
  <c r="AL1957" i="25"/>
  <c r="AK1957" i="25"/>
  <c r="AJ1957" i="25"/>
  <c r="AI1957" i="25"/>
  <c r="AF1957" i="25"/>
  <c r="AE1957" i="25"/>
  <c r="AE1956" i="25"/>
  <c r="AE1955" i="25"/>
  <c r="AL1954" i="25"/>
  <c r="AK1954" i="25"/>
  <c r="AJ1954" i="25"/>
  <c r="AI1954" i="25"/>
  <c r="AF1954" i="25"/>
  <c r="AE1954" i="25"/>
  <c r="AL1953" i="25"/>
  <c r="AK1953" i="25"/>
  <c r="AJ1953" i="25"/>
  <c r="AI1953" i="25"/>
  <c r="AF1953" i="25"/>
  <c r="AE1953" i="25"/>
  <c r="AL1952" i="25"/>
  <c r="AK1952" i="25"/>
  <c r="AJ1952" i="25"/>
  <c r="AI1952" i="25"/>
  <c r="AF1952" i="25"/>
  <c r="AE1952" i="25"/>
  <c r="AL1951" i="25"/>
  <c r="AK1951" i="25"/>
  <c r="AJ1951" i="25"/>
  <c r="AI1951" i="25"/>
  <c r="AF1951" i="25"/>
  <c r="AE1951" i="25"/>
  <c r="AL1950" i="25"/>
  <c r="AK1950" i="25"/>
  <c r="AJ1950" i="25"/>
  <c r="AI1950" i="25"/>
  <c r="AF1950" i="25"/>
  <c r="AE1950" i="25"/>
  <c r="AL1949" i="25"/>
  <c r="AK1949" i="25"/>
  <c r="AJ1949" i="25"/>
  <c r="AI1949" i="25"/>
  <c r="AF1949" i="25"/>
  <c r="AE1949" i="25"/>
  <c r="AL1948" i="25"/>
  <c r="AK1948" i="25"/>
  <c r="AJ1948" i="25"/>
  <c r="AI1948" i="25"/>
  <c r="AF1948" i="25"/>
  <c r="AE1948" i="25"/>
  <c r="AL1947" i="25"/>
  <c r="AK1947" i="25"/>
  <c r="AJ1947" i="25"/>
  <c r="AI1947" i="25"/>
  <c r="AF1947" i="25"/>
  <c r="AE1947" i="25"/>
  <c r="AL1946" i="25"/>
  <c r="AK1946" i="25"/>
  <c r="AJ1946" i="25"/>
  <c r="AI1946" i="25"/>
  <c r="AF1946" i="25"/>
  <c r="AE1946" i="25"/>
  <c r="AL1945" i="25"/>
  <c r="AK1945" i="25"/>
  <c r="AJ1945" i="25"/>
  <c r="AI1945" i="25"/>
  <c r="AF1945" i="25"/>
  <c r="AE1945" i="25"/>
  <c r="AL1944" i="25"/>
  <c r="AK1944" i="25"/>
  <c r="AJ1944" i="25"/>
  <c r="AI1944" i="25"/>
  <c r="AF1944" i="25"/>
  <c r="AE1944" i="25"/>
  <c r="AL1943" i="25"/>
  <c r="AK1943" i="25"/>
  <c r="AJ1943" i="25"/>
  <c r="AI1943" i="25"/>
  <c r="AF1943" i="25"/>
  <c r="AE1943" i="25"/>
  <c r="AL1942" i="25"/>
  <c r="AK1942" i="25"/>
  <c r="AJ1942" i="25"/>
  <c r="AI1942" i="25"/>
  <c r="AF1942" i="25"/>
  <c r="AE1942" i="25"/>
  <c r="AL1941" i="25"/>
  <c r="AK1941" i="25"/>
  <c r="AJ1941" i="25"/>
  <c r="AI1941" i="25"/>
  <c r="AF1941" i="25"/>
  <c r="AE1941" i="25"/>
  <c r="AL1940" i="25"/>
  <c r="AK1940" i="25"/>
  <c r="AJ1940" i="25"/>
  <c r="AI1940" i="25"/>
  <c r="AF1940" i="25"/>
  <c r="AE1940" i="25"/>
  <c r="AL1939" i="25"/>
  <c r="AK1939" i="25"/>
  <c r="AJ1939" i="25"/>
  <c r="AI1939" i="25"/>
  <c r="AF1939" i="25"/>
  <c r="AE1939" i="25"/>
  <c r="AL1938" i="25"/>
  <c r="AK1938" i="25"/>
  <c r="AJ1938" i="25"/>
  <c r="AI1938" i="25"/>
  <c r="AF1938" i="25"/>
  <c r="AE1938" i="25"/>
  <c r="AL1937" i="25"/>
  <c r="AK1937" i="25"/>
  <c r="AJ1937" i="25"/>
  <c r="AI1937" i="25"/>
  <c r="AF1937" i="25"/>
  <c r="AE1937" i="25"/>
  <c r="AE1936" i="25"/>
  <c r="AL1935" i="25"/>
  <c r="AK1935" i="25"/>
  <c r="AJ1935" i="25"/>
  <c r="AI1935" i="25"/>
  <c r="AF1935" i="25"/>
  <c r="AE1935" i="25"/>
  <c r="AL1934" i="25"/>
  <c r="AK1934" i="25"/>
  <c r="AJ1934" i="25"/>
  <c r="AI1934" i="25"/>
  <c r="AF1934" i="25"/>
  <c r="AE1934" i="25"/>
  <c r="AL1933" i="25"/>
  <c r="AK1933" i="25"/>
  <c r="AJ1933" i="25"/>
  <c r="AI1933" i="25"/>
  <c r="AF1933" i="25"/>
  <c r="AE1933" i="25"/>
  <c r="AL1932" i="25"/>
  <c r="AK1932" i="25"/>
  <c r="AJ1932" i="25"/>
  <c r="AI1932" i="25"/>
  <c r="AF1932" i="25"/>
  <c r="AE1932" i="25"/>
  <c r="AL1931" i="25"/>
  <c r="AK1931" i="25"/>
  <c r="AJ1931" i="25"/>
  <c r="AI1931" i="25"/>
  <c r="AF1931" i="25"/>
  <c r="AE1931" i="25"/>
  <c r="AL1930" i="25"/>
  <c r="AK1930" i="25"/>
  <c r="AJ1930" i="25"/>
  <c r="AI1930" i="25"/>
  <c r="AF1930" i="25"/>
  <c r="AE1930" i="25"/>
  <c r="AL1929" i="25"/>
  <c r="AK1929" i="25"/>
  <c r="AJ1929" i="25"/>
  <c r="AI1929" i="25"/>
  <c r="AF1929" i="25"/>
  <c r="AE1929" i="25"/>
  <c r="AL1928" i="25"/>
  <c r="AK1928" i="25"/>
  <c r="AJ1928" i="25"/>
  <c r="AI1928" i="25"/>
  <c r="AF1928" i="25"/>
  <c r="AE1928" i="25"/>
  <c r="AL1927" i="25"/>
  <c r="AK1927" i="25"/>
  <c r="AJ1927" i="25"/>
  <c r="AI1927" i="25"/>
  <c r="AF1927" i="25"/>
  <c r="AE1927" i="25"/>
  <c r="AL1926" i="25"/>
  <c r="AK1926" i="25"/>
  <c r="AJ1926" i="25"/>
  <c r="AI1926" i="25"/>
  <c r="AF1926" i="25"/>
  <c r="AE1926" i="25"/>
  <c r="AL1925" i="25"/>
  <c r="AK1925" i="25"/>
  <c r="AJ1925" i="25"/>
  <c r="AI1925" i="25"/>
  <c r="AF1925" i="25"/>
  <c r="AE1925" i="25"/>
  <c r="AL1924" i="25"/>
  <c r="AK1924" i="25"/>
  <c r="AJ1924" i="25"/>
  <c r="AI1924" i="25"/>
  <c r="AF1924" i="25"/>
  <c r="AE1924" i="25"/>
  <c r="AL1923" i="25"/>
  <c r="AK1923" i="25"/>
  <c r="AJ1923" i="25"/>
  <c r="AI1923" i="25"/>
  <c r="AF1923" i="25"/>
  <c r="AE1923" i="25"/>
  <c r="AL1922" i="25"/>
  <c r="AK1922" i="25"/>
  <c r="AJ1922" i="25"/>
  <c r="AI1922" i="25"/>
  <c r="AF1922" i="25"/>
  <c r="AE1922" i="25"/>
  <c r="AL1921" i="25"/>
  <c r="AK1921" i="25"/>
  <c r="AJ1921" i="25"/>
  <c r="AI1921" i="25"/>
  <c r="AF1921" i="25"/>
  <c r="AE1921" i="25"/>
  <c r="AL1920" i="25"/>
  <c r="AK1920" i="25"/>
  <c r="AJ1920" i="25"/>
  <c r="AI1920" i="25"/>
  <c r="AF1920" i="25"/>
  <c r="AE1920" i="25"/>
  <c r="AL1919" i="25"/>
  <c r="AK1919" i="25"/>
  <c r="AJ1919" i="25"/>
  <c r="AI1919" i="25"/>
  <c r="AF1919" i="25"/>
  <c r="AE1919" i="25"/>
  <c r="AL1918" i="25"/>
  <c r="AK1918" i="25"/>
  <c r="AJ1918" i="25"/>
  <c r="AI1918" i="25"/>
  <c r="AF1918" i="25"/>
  <c r="AE1918" i="25"/>
  <c r="AE1917" i="25"/>
  <c r="AL1916" i="25"/>
  <c r="AK1916" i="25"/>
  <c r="AJ1916" i="25"/>
  <c r="AI1916" i="25"/>
  <c r="AF1916" i="25"/>
  <c r="AE1916" i="25"/>
  <c r="AL1915" i="25"/>
  <c r="AK1915" i="25"/>
  <c r="AJ1915" i="25"/>
  <c r="AI1915" i="25"/>
  <c r="AF1915" i="25"/>
  <c r="AE1915" i="25"/>
  <c r="AL1914" i="25"/>
  <c r="AK1914" i="25"/>
  <c r="AJ1914" i="25"/>
  <c r="AI1914" i="25"/>
  <c r="AF1914" i="25"/>
  <c r="AE1914" i="25"/>
  <c r="AL1913" i="25"/>
  <c r="AK1913" i="25"/>
  <c r="AJ1913" i="25"/>
  <c r="AI1913" i="25"/>
  <c r="AF1913" i="25"/>
  <c r="AE1913" i="25"/>
  <c r="AL1912" i="25"/>
  <c r="AK1912" i="25"/>
  <c r="AJ1912" i="25"/>
  <c r="AI1912" i="25"/>
  <c r="AF1912" i="25"/>
  <c r="AE1912" i="25"/>
  <c r="AL1911" i="25"/>
  <c r="AK1911" i="25"/>
  <c r="AJ1911" i="25"/>
  <c r="AI1911" i="25"/>
  <c r="AF1911" i="25"/>
  <c r="AE1911" i="25"/>
  <c r="AL1910" i="25"/>
  <c r="AK1910" i="25"/>
  <c r="AJ1910" i="25"/>
  <c r="AI1910" i="25"/>
  <c r="AF1910" i="25"/>
  <c r="AE1910" i="25"/>
  <c r="AL1909" i="25"/>
  <c r="AK1909" i="25"/>
  <c r="AJ1909" i="25"/>
  <c r="AI1909" i="25"/>
  <c r="AF1909" i="25"/>
  <c r="AE1909" i="25"/>
  <c r="AL1908" i="25"/>
  <c r="AK1908" i="25"/>
  <c r="AJ1908" i="25"/>
  <c r="AI1908" i="25"/>
  <c r="AF1908" i="25"/>
  <c r="AE1908" i="25"/>
  <c r="AL1907" i="25"/>
  <c r="AK1907" i="25"/>
  <c r="AJ1907" i="25"/>
  <c r="AI1907" i="25"/>
  <c r="AF1907" i="25"/>
  <c r="AE1907" i="25"/>
  <c r="AL1906" i="25"/>
  <c r="AK1906" i="25"/>
  <c r="AJ1906" i="25"/>
  <c r="AI1906" i="25"/>
  <c r="AF1906" i="25"/>
  <c r="AE1906" i="25"/>
  <c r="AL1905" i="25"/>
  <c r="AK1905" i="25"/>
  <c r="AJ1905" i="25"/>
  <c r="AI1905" i="25"/>
  <c r="AF1905" i="25"/>
  <c r="AE1905" i="25"/>
  <c r="AL1904" i="25"/>
  <c r="AK1904" i="25"/>
  <c r="AJ1904" i="25"/>
  <c r="AI1904" i="25"/>
  <c r="AF1904" i="25"/>
  <c r="AE1904" i="25"/>
  <c r="AL1903" i="25"/>
  <c r="AK1903" i="25"/>
  <c r="AJ1903" i="25"/>
  <c r="AI1903" i="25"/>
  <c r="AF1903" i="25"/>
  <c r="AE1903" i="25"/>
  <c r="AL1902" i="25"/>
  <c r="AK1902" i="25"/>
  <c r="AJ1902" i="25"/>
  <c r="AI1902" i="25"/>
  <c r="AF1902" i="25"/>
  <c r="AE1902" i="25"/>
  <c r="AL1901" i="25"/>
  <c r="AK1901" i="25"/>
  <c r="AJ1901" i="25"/>
  <c r="AI1901" i="25"/>
  <c r="AF1901" i="25"/>
  <c r="AE1901" i="25"/>
  <c r="AL1900" i="25"/>
  <c r="AK1900" i="25"/>
  <c r="AJ1900" i="25"/>
  <c r="AI1900" i="25"/>
  <c r="AF1900" i="25"/>
  <c r="AE1900" i="25"/>
  <c r="AL1899" i="25"/>
  <c r="AK1899" i="25"/>
  <c r="AJ1899" i="25"/>
  <c r="AI1899" i="25"/>
  <c r="AF1899" i="25"/>
  <c r="AE1899" i="25"/>
  <c r="AL1898" i="25"/>
  <c r="AK1898" i="25"/>
  <c r="AJ1898" i="25"/>
  <c r="AI1898" i="25"/>
  <c r="AF1898" i="25"/>
  <c r="AE1898" i="25"/>
  <c r="AL1897" i="25"/>
  <c r="AK1897" i="25"/>
  <c r="AJ1897" i="25"/>
  <c r="AI1897" i="25"/>
  <c r="AF1897" i="25"/>
  <c r="AE1897" i="25"/>
  <c r="AL1896" i="25"/>
  <c r="AK1896" i="25"/>
  <c r="AJ1896" i="25"/>
  <c r="AI1896" i="25"/>
  <c r="AF1896" i="25"/>
  <c r="AE1896" i="25"/>
  <c r="AL1895" i="25"/>
  <c r="AK1895" i="25"/>
  <c r="AJ1895" i="25"/>
  <c r="AI1895" i="25"/>
  <c r="AF1895" i="25"/>
  <c r="AE1895" i="25"/>
  <c r="AL1894" i="25"/>
  <c r="AK1894" i="25"/>
  <c r="AJ1894" i="25"/>
  <c r="AI1894" i="25"/>
  <c r="AF1894" i="25"/>
  <c r="AE1894" i="25"/>
  <c r="AL1893" i="25"/>
  <c r="AK1893" i="25"/>
  <c r="AJ1893" i="25"/>
  <c r="AI1893" i="25"/>
  <c r="AF1893" i="25"/>
  <c r="AE1893" i="25"/>
  <c r="AL1892" i="25"/>
  <c r="AK1892" i="25"/>
  <c r="AJ1892" i="25"/>
  <c r="AI1892" i="25"/>
  <c r="AF1892" i="25"/>
  <c r="AE1892" i="25"/>
  <c r="AL1891" i="25"/>
  <c r="AK1891" i="25"/>
  <c r="AJ1891" i="25"/>
  <c r="AI1891" i="25"/>
  <c r="AF1891" i="25"/>
  <c r="AE1891" i="25"/>
  <c r="AL1890" i="25"/>
  <c r="AK1890" i="25"/>
  <c r="AJ1890" i="25"/>
  <c r="AI1890" i="25"/>
  <c r="AF1890" i="25"/>
  <c r="AE1890" i="25"/>
  <c r="AL1889" i="25"/>
  <c r="AK1889" i="25"/>
  <c r="AJ1889" i="25"/>
  <c r="AI1889" i="25"/>
  <c r="AF1889" i="25"/>
  <c r="AE1889" i="25"/>
  <c r="AL1888" i="25"/>
  <c r="AK1888" i="25"/>
  <c r="AJ1888" i="25"/>
  <c r="AI1888" i="25"/>
  <c r="AF1888" i="25"/>
  <c r="AE1888" i="25"/>
  <c r="AL1887" i="25"/>
  <c r="AK1887" i="25"/>
  <c r="AJ1887" i="25"/>
  <c r="AI1887" i="25"/>
  <c r="AF1887" i="25"/>
  <c r="AE1887" i="25"/>
  <c r="AL1886" i="25"/>
  <c r="AK1886" i="25"/>
  <c r="AJ1886" i="25"/>
  <c r="AI1886" i="25"/>
  <c r="AF1886" i="25"/>
  <c r="AE1886" i="25"/>
  <c r="AL1885" i="25"/>
  <c r="AK1885" i="25"/>
  <c r="AJ1885" i="25"/>
  <c r="AI1885" i="25"/>
  <c r="AF1885" i="25"/>
  <c r="AE1885" i="25"/>
  <c r="AL1884" i="25"/>
  <c r="AK1884" i="25"/>
  <c r="AJ1884" i="25"/>
  <c r="AI1884" i="25"/>
  <c r="AF1884" i="25"/>
  <c r="AE1884" i="25"/>
  <c r="AL1883" i="25"/>
  <c r="AK1883" i="25"/>
  <c r="AJ1883" i="25"/>
  <c r="AI1883" i="25"/>
  <c r="AF1883" i="25"/>
  <c r="AE1883" i="25"/>
  <c r="AL1882" i="25"/>
  <c r="AK1882" i="25"/>
  <c r="AJ1882" i="25"/>
  <c r="AI1882" i="25"/>
  <c r="AF1882" i="25"/>
  <c r="AE1882" i="25"/>
  <c r="AL1881" i="25"/>
  <c r="AK1881" i="25"/>
  <c r="AJ1881" i="25"/>
  <c r="AI1881" i="25"/>
  <c r="AF1881" i="25"/>
  <c r="AE1881" i="25"/>
  <c r="AL1880" i="25"/>
  <c r="AK1880" i="25"/>
  <c r="AJ1880" i="25"/>
  <c r="AI1880" i="25"/>
  <c r="AF1880" i="25"/>
  <c r="AE1880" i="25"/>
  <c r="AL1879" i="25"/>
  <c r="AK1879" i="25"/>
  <c r="AJ1879" i="25"/>
  <c r="AI1879" i="25"/>
  <c r="AF1879" i="25"/>
  <c r="AE1879" i="25"/>
  <c r="AL1878" i="25"/>
  <c r="AK1878" i="25"/>
  <c r="AJ1878" i="25"/>
  <c r="AI1878" i="25"/>
  <c r="AF1878" i="25"/>
  <c r="AE1878" i="25"/>
  <c r="AL1877" i="25"/>
  <c r="AK1877" i="25"/>
  <c r="AJ1877" i="25"/>
  <c r="AI1877" i="25"/>
  <c r="AF1877" i="25"/>
  <c r="AE1877" i="25"/>
  <c r="AL1876" i="25"/>
  <c r="AK1876" i="25"/>
  <c r="AJ1876" i="25"/>
  <c r="AI1876" i="25"/>
  <c r="AF1876" i="25"/>
  <c r="AE1876" i="25"/>
  <c r="AL1875" i="25"/>
  <c r="AK1875" i="25"/>
  <c r="AJ1875" i="25"/>
  <c r="AI1875" i="25"/>
  <c r="AF1875" i="25"/>
  <c r="AE1875" i="25"/>
  <c r="AL1874" i="25"/>
  <c r="AK1874" i="25"/>
  <c r="AJ1874" i="25"/>
  <c r="AI1874" i="25"/>
  <c r="AF1874" i="25"/>
  <c r="AE1874" i="25"/>
  <c r="AL1873" i="25"/>
  <c r="AK1873" i="25"/>
  <c r="AJ1873" i="25"/>
  <c r="AI1873" i="25"/>
  <c r="AF1873" i="25"/>
  <c r="AE1873" i="25"/>
  <c r="AL1872" i="25"/>
  <c r="AK1872" i="25"/>
  <c r="AJ1872" i="25"/>
  <c r="AI1872" i="25"/>
  <c r="AF1872" i="25"/>
  <c r="AE1872" i="25"/>
  <c r="AL1871" i="25"/>
  <c r="AK1871" i="25"/>
  <c r="AJ1871" i="25"/>
  <c r="AI1871" i="25"/>
  <c r="AF1871" i="25"/>
  <c r="AE1871" i="25"/>
  <c r="AL1870" i="25"/>
  <c r="AK1870" i="25"/>
  <c r="AJ1870" i="25"/>
  <c r="AI1870" i="25"/>
  <c r="AF1870" i="25"/>
  <c r="AE1870" i="25"/>
  <c r="AL1869" i="25"/>
  <c r="AK1869" i="25"/>
  <c r="AJ1869" i="25"/>
  <c r="AI1869" i="25"/>
  <c r="AF1869" i="25"/>
  <c r="AE1869" i="25"/>
  <c r="AL1868" i="25"/>
  <c r="AK1868" i="25"/>
  <c r="AJ1868" i="25"/>
  <c r="AI1868" i="25"/>
  <c r="AF1868" i="25"/>
  <c r="AE1868" i="25"/>
  <c r="AL1867" i="25"/>
  <c r="AK1867" i="25"/>
  <c r="AJ1867" i="25"/>
  <c r="AI1867" i="25"/>
  <c r="AF1867" i="25"/>
  <c r="AE1867" i="25"/>
  <c r="AL1866" i="25"/>
  <c r="AK1866" i="25"/>
  <c r="AJ1866" i="25"/>
  <c r="AI1866" i="25"/>
  <c r="AF1866" i="25"/>
  <c r="AE1866" i="25"/>
  <c r="AL1865" i="25"/>
  <c r="AK1865" i="25"/>
  <c r="AJ1865" i="25"/>
  <c r="AI1865" i="25"/>
  <c r="AF1865" i="25"/>
  <c r="AE1865" i="25"/>
  <c r="AL1864" i="25"/>
  <c r="AK1864" i="25"/>
  <c r="AJ1864" i="25"/>
  <c r="AI1864" i="25"/>
  <c r="AF1864" i="25"/>
  <c r="AE1864" i="25"/>
  <c r="AE1863" i="25"/>
  <c r="AL1862" i="25"/>
  <c r="AK1862" i="25"/>
  <c r="AJ1862" i="25"/>
  <c r="AI1862" i="25"/>
  <c r="AF1862" i="25"/>
  <c r="AE1862" i="25"/>
  <c r="AL1861" i="25"/>
  <c r="AK1861" i="25"/>
  <c r="AJ1861" i="25"/>
  <c r="AI1861" i="25"/>
  <c r="AF1861" i="25"/>
  <c r="AE1861" i="25"/>
  <c r="AE1860" i="25"/>
  <c r="AL1859" i="25"/>
  <c r="AK1859" i="25"/>
  <c r="AJ1859" i="25"/>
  <c r="AI1859" i="25"/>
  <c r="AF1859" i="25"/>
  <c r="AE1859" i="25"/>
  <c r="AL1858" i="25"/>
  <c r="AK1858" i="25"/>
  <c r="AJ1858" i="25"/>
  <c r="AI1858" i="25"/>
  <c r="AF1858" i="25"/>
  <c r="AE1858" i="25"/>
  <c r="AL1857" i="25"/>
  <c r="AK1857" i="25"/>
  <c r="AJ1857" i="25"/>
  <c r="AI1857" i="25"/>
  <c r="AF1857" i="25"/>
  <c r="AE1857" i="25"/>
  <c r="AL1856" i="25"/>
  <c r="AK1856" i="25"/>
  <c r="AJ1856" i="25"/>
  <c r="AI1856" i="25"/>
  <c r="AF1856" i="25"/>
  <c r="AE1856" i="25"/>
  <c r="AL1855" i="25"/>
  <c r="AK1855" i="25"/>
  <c r="AJ1855" i="25"/>
  <c r="AI1855" i="25"/>
  <c r="AF1855" i="25"/>
  <c r="AE1855" i="25"/>
  <c r="AL1854" i="25"/>
  <c r="AK1854" i="25"/>
  <c r="AJ1854" i="25"/>
  <c r="AI1854" i="25"/>
  <c r="AF1854" i="25"/>
  <c r="AE1854" i="25"/>
  <c r="AL1853" i="25"/>
  <c r="AK1853" i="25"/>
  <c r="AJ1853" i="25"/>
  <c r="AI1853" i="25"/>
  <c r="AF1853" i="25"/>
  <c r="AE1853" i="25"/>
  <c r="AL1852" i="25"/>
  <c r="AK1852" i="25"/>
  <c r="AJ1852" i="25"/>
  <c r="AI1852" i="25"/>
  <c r="AF1852" i="25"/>
  <c r="AE1852" i="25"/>
  <c r="AL1851" i="25"/>
  <c r="AK1851" i="25"/>
  <c r="AJ1851" i="25"/>
  <c r="AI1851" i="25"/>
  <c r="AF1851" i="25"/>
  <c r="AE1851" i="25"/>
  <c r="AL1850" i="25"/>
  <c r="AK1850" i="25"/>
  <c r="AJ1850" i="25"/>
  <c r="AI1850" i="25"/>
  <c r="AF1850" i="25"/>
  <c r="AE1850" i="25"/>
  <c r="AL1849" i="25"/>
  <c r="AK1849" i="25"/>
  <c r="AJ1849" i="25"/>
  <c r="AI1849" i="25"/>
  <c r="AF1849" i="25"/>
  <c r="AE1849" i="25"/>
  <c r="AL1848" i="25"/>
  <c r="AK1848" i="25"/>
  <c r="AJ1848" i="25"/>
  <c r="AI1848" i="25"/>
  <c r="AF1848" i="25"/>
  <c r="AE1848" i="25"/>
  <c r="AL1847" i="25"/>
  <c r="AK1847" i="25"/>
  <c r="AJ1847" i="25"/>
  <c r="AI1847" i="25"/>
  <c r="AF1847" i="25"/>
  <c r="AE1847" i="25"/>
  <c r="AL1846" i="25"/>
  <c r="AK1846" i="25"/>
  <c r="AJ1846" i="25"/>
  <c r="AI1846" i="25"/>
  <c r="AF1846" i="25"/>
  <c r="AE1846" i="25"/>
  <c r="AL1845" i="25"/>
  <c r="AK1845" i="25"/>
  <c r="AJ1845" i="25"/>
  <c r="AI1845" i="25"/>
  <c r="AF1845" i="25"/>
  <c r="AE1845" i="25"/>
  <c r="AL1844" i="25"/>
  <c r="AK1844" i="25"/>
  <c r="AJ1844" i="25"/>
  <c r="AI1844" i="25"/>
  <c r="AF1844" i="25"/>
  <c r="AE1844" i="25"/>
  <c r="AL1843" i="25"/>
  <c r="AK1843" i="25"/>
  <c r="AJ1843" i="25"/>
  <c r="AI1843" i="25"/>
  <c r="AF1843" i="25"/>
  <c r="AE1843" i="25"/>
  <c r="AL1842" i="25"/>
  <c r="AK1842" i="25"/>
  <c r="AJ1842" i="25"/>
  <c r="AI1842" i="25"/>
  <c r="AF1842" i="25"/>
  <c r="AE1842" i="25"/>
  <c r="AL1841" i="25"/>
  <c r="AK1841" i="25"/>
  <c r="AJ1841" i="25"/>
  <c r="AI1841" i="25"/>
  <c r="AF1841" i="25"/>
  <c r="AE1841" i="25"/>
  <c r="AL1840" i="25"/>
  <c r="AK1840" i="25"/>
  <c r="AJ1840" i="25"/>
  <c r="AI1840" i="25"/>
  <c r="AF1840" i="25"/>
  <c r="AE1840" i="25"/>
  <c r="AL1839" i="25"/>
  <c r="AK1839" i="25"/>
  <c r="AJ1839" i="25"/>
  <c r="AI1839" i="25"/>
  <c r="AF1839" i="25"/>
  <c r="AE1839" i="25"/>
  <c r="AL1838" i="25"/>
  <c r="AK1838" i="25"/>
  <c r="AJ1838" i="25"/>
  <c r="AI1838" i="25"/>
  <c r="AF1838" i="25"/>
  <c r="AE1838" i="25"/>
  <c r="AL1837" i="25"/>
  <c r="AK1837" i="25"/>
  <c r="AJ1837" i="25"/>
  <c r="AI1837" i="25"/>
  <c r="AF1837" i="25"/>
  <c r="AE1837" i="25"/>
  <c r="AL1836" i="25"/>
  <c r="AK1836" i="25"/>
  <c r="AJ1836" i="25"/>
  <c r="AI1836" i="25"/>
  <c r="AF1836" i="25"/>
  <c r="AE1836" i="25"/>
  <c r="AL1835" i="25"/>
  <c r="AK1835" i="25"/>
  <c r="AJ1835" i="25"/>
  <c r="AI1835" i="25"/>
  <c r="AF1835" i="25"/>
  <c r="AE1835" i="25"/>
  <c r="AL1834" i="25"/>
  <c r="AK1834" i="25"/>
  <c r="AJ1834" i="25"/>
  <c r="AI1834" i="25"/>
  <c r="AF1834" i="25"/>
  <c r="AE1834" i="25"/>
  <c r="AL1833" i="25"/>
  <c r="AK1833" i="25"/>
  <c r="AJ1833" i="25"/>
  <c r="AI1833" i="25"/>
  <c r="AF1833" i="25"/>
  <c r="AE1833" i="25"/>
  <c r="AL1832" i="25"/>
  <c r="AK1832" i="25"/>
  <c r="AJ1832" i="25"/>
  <c r="AI1832" i="25"/>
  <c r="AF1832" i="25"/>
  <c r="AE1832" i="25"/>
  <c r="AL1831" i="25"/>
  <c r="AK1831" i="25"/>
  <c r="AJ1831" i="25"/>
  <c r="AI1831" i="25"/>
  <c r="AF1831" i="25"/>
  <c r="AE1831" i="25"/>
  <c r="AL1830" i="25"/>
  <c r="AK1830" i="25"/>
  <c r="AJ1830" i="25"/>
  <c r="AI1830" i="25"/>
  <c r="AF1830" i="25"/>
  <c r="AE1830" i="25"/>
  <c r="AL1829" i="25"/>
  <c r="AK1829" i="25"/>
  <c r="AJ1829" i="25"/>
  <c r="AI1829" i="25"/>
  <c r="AF1829" i="25"/>
  <c r="AE1829" i="25"/>
  <c r="AL1828" i="25"/>
  <c r="AK1828" i="25"/>
  <c r="AJ1828" i="25"/>
  <c r="AI1828" i="25"/>
  <c r="AF1828" i="25"/>
  <c r="AE1828" i="25"/>
  <c r="AL1827" i="25"/>
  <c r="AK1827" i="25"/>
  <c r="AJ1827" i="25"/>
  <c r="AI1827" i="25"/>
  <c r="AF1827" i="25"/>
  <c r="AE1827" i="25"/>
  <c r="AL1826" i="25"/>
  <c r="AK1826" i="25"/>
  <c r="AJ1826" i="25"/>
  <c r="AI1826" i="25"/>
  <c r="AF1826" i="25"/>
  <c r="AE1826" i="25"/>
  <c r="AL1825" i="25"/>
  <c r="AK1825" i="25"/>
  <c r="AJ1825" i="25"/>
  <c r="AI1825" i="25"/>
  <c r="AF1825" i="25"/>
  <c r="AE1825" i="25"/>
  <c r="AL1824" i="25"/>
  <c r="AK1824" i="25"/>
  <c r="AJ1824" i="25"/>
  <c r="AI1824" i="25"/>
  <c r="AF1824" i="25"/>
  <c r="AE1824" i="25"/>
  <c r="AL1823" i="25"/>
  <c r="AK1823" i="25"/>
  <c r="AJ1823" i="25"/>
  <c r="AI1823" i="25"/>
  <c r="AF1823" i="25"/>
  <c r="AE1823" i="25"/>
  <c r="AL1822" i="25"/>
  <c r="AK1822" i="25"/>
  <c r="AJ1822" i="25"/>
  <c r="AI1822" i="25"/>
  <c r="AF1822" i="25"/>
  <c r="AE1822" i="25"/>
  <c r="AL1821" i="25"/>
  <c r="AK1821" i="25"/>
  <c r="AJ1821" i="25"/>
  <c r="AI1821" i="25"/>
  <c r="AF1821" i="25"/>
  <c r="AE1821" i="25"/>
  <c r="AL1820" i="25"/>
  <c r="AK1820" i="25"/>
  <c r="AJ1820" i="25"/>
  <c r="AI1820" i="25"/>
  <c r="AF1820" i="25"/>
  <c r="AE1820" i="25"/>
  <c r="AL1819" i="25"/>
  <c r="AK1819" i="25"/>
  <c r="AJ1819" i="25"/>
  <c r="AI1819" i="25"/>
  <c r="AF1819" i="25"/>
  <c r="AE1819" i="25"/>
  <c r="AL1818" i="25"/>
  <c r="AK1818" i="25"/>
  <c r="AJ1818" i="25"/>
  <c r="AI1818" i="25"/>
  <c r="AF1818" i="25"/>
  <c r="AE1818" i="25"/>
  <c r="AL1817" i="25"/>
  <c r="AK1817" i="25"/>
  <c r="AJ1817" i="25"/>
  <c r="AI1817" i="25"/>
  <c r="AF1817" i="25"/>
  <c r="AE1817" i="25"/>
  <c r="AL1816" i="25"/>
  <c r="AK1816" i="25"/>
  <c r="AJ1816" i="25"/>
  <c r="AI1816" i="25"/>
  <c r="AF1816" i="25"/>
  <c r="AE1816" i="25"/>
  <c r="AL1815" i="25"/>
  <c r="AK1815" i="25"/>
  <c r="AJ1815" i="25"/>
  <c r="AI1815" i="25"/>
  <c r="AF1815" i="25"/>
  <c r="AE1815" i="25"/>
  <c r="AL1814" i="25"/>
  <c r="AK1814" i="25"/>
  <c r="AJ1814" i="25"/>
  <c r="AI1814" i="25"/>
  <c r="AF1814" i="25"/>
  <c r="AE1814" i="25"/>
  <c r="AL1813" i="25"/>
  <c r="AK1813" i="25"/>
  <c r="AJ1813" i="25"/>
  <c r="AI1813" i="25"/>
  <c r="AF1813" i="25"/>
  <c r="AE1813" i="25"/>
  <c r="AL1812" i="25"/>
  <c r="AK1812" i="25"/>
  <c r="AJ1812" i="25"/>
  <c r="AI1812" i="25"/>
  <c r="AF1812" i="25"/>
  <c r="AE1812" i="25"/>
  <c r="AL1811" i="25"/>
  <c r="AK1811" i="25"/>
  <c r="AJ1811" i="25"/>
  <c r="AI1811" i="25"/>
  <c r="AF1811" i="25"/>
  <c r="AE1811" i="25"/>
  <c r="AL1810" i="25"/>
  <c r="AK1810" i="25"/>
  <c r="AJ1810" i="25"/>
  <c r="AI1810" i="25"/>
  <c r="AF1810" i="25"/>
  <c r="AE1810" i="25"/>
  <c r="AL1809" i="25"/>
  <c r="AK1809" i="25"/>
  <c r="AJ1809" i="25"/>
  <c r="AI1809" i="25"/>
  <c r="AF1809" i="25"/>
  <c r="AE1809" i="25"/>
  <c r="AL1808" i="25"/>
  <c r="AK1808" i="25"/>
  <c r="AJ1808" i="25"/>
  <c r="AI1808" i="25"/>
  <c r="AF1808" i="25"/>
  <c r="AE1808" i="25"/>
  <c r="AL1807" i="25"/>
  <c r="AK1807" i="25"/>
  <c r="AJ1807" i="25"/>
  <c r="AI1807" i="25"/>
  <c r="AF1807" i="25"/>
  <c r="AE1807" i="25"/>
  <c r="AL1806" i="25"/>
  <c r="AK1806" i="25"/>
  <c r="AJ1806" i="25"/>
  <c r="AI1806" i="25"/>
  <c r="AF1806" i="25"/>
  <c r="AE1806" i="25"/>
  <c r="AL1805" i="25"/>
  <c r="AK1805" i="25"/>
  <c r="AJ1805" i="25"/>
  <c r="AI1805" i="25"/>
  <c r="AF1805" i="25"/>
  <c r="AE1805" i="25"/>
  <c r="AL1804" i="25"/>
  <c r="AK1804" i="25"/>
  <c r="AJ1804" i="25"/>
  <c r="AI1804" i="25"/>
  <c r="AF1804" i="25"/>
  <c r="AE1804" i="25"/>
  <c r="AL1803" i="25"/>
  <c r="AK1803" i="25"/>
  <c r="AJ1803" i="25"/>
  <c r="AI1803" i="25"/>
  <c r="AF1803" i="25"/>
  <c r="AE1803" i="25"/>
  <c r="AL1802" i="25"/>
  <c r="AK1802" i="25"/>
  <c r="AJ1802" i="25"/>
  <c r="AI1802" i="25"/>
  <c r="AF1802" i="25"/>
  <c r="AE1802" i="25"/>
  <c r="AL1801" i="25"/>
  <c r="AK1801" i="25"/>
  <c r="AJ1801" i="25"/>
  <c r="AI1801" i="25"/>
  <c r="AF1801" i="25"/>
  <c r="AE1801" i="25"/>
  <c r="AL1800" i="25"/>
  <c r="AK1800" i="25"/>
  <c r="AJ1800" i="25"/>
  <c r="AI1800" i="25"/>
  <c r="AF1800" i="25"/>
  <c r="AE1800" i="25"/>
  <c r="AL1799" i="25"/>
  <c r="AK1799" i="25"/>
  <c r="AJ1799" i="25"/>
  <c r="AI1799" i="25"/>
  <c r="AF1799" i="25"/>
  <c r="AE1799" i="25"/>
  <c r="AL1798" i="25"/>
  <c r="AK1798" i="25"/>
  <c r="AJ1798" i="25"/>
  <c r="AI1798" i="25"/>
  <c r="AF1798" i="25"/>
  <c r="AE1798" i="25"/>
  <c r="AL1797" i="25"/>
  <c r="AK1797" i="25"/>
  <c r="AJ1797" i="25"/>
  <c r="AI1797" i="25"/>
  <c r="AF1797" i="25"/>
  <c r="AE1797" i="25"/>
  <c r="AL1796" i="25"/>
  <c r="AK1796" i="25"/>
  <c r="AJ1796" i="25"/>
  <c r="AI1796" i="25"/>
  <c r="AF1796" i="25"/>
  <c r="AE1796" i="25"/>
  <c r="AL1795" i="25"/>
  <c r="AK1795" i="25"/>
  <c r="AJ1795" i="25"/>
  <c r="AI1795" i="25"/>
  <c r="AF1795" i="25"/>
  <c r="AE1795" i="25"/>
  <c r="AL1794" i="25"/>
  <c r="AK1794" i="25"/>
  <c r="AJ1794" i="25"/>
  <c r="AI1794" i="25"/>
  <c r="AF1794" i="25"/>
  <c r="AE1794" i="25"/>
  <c r="AL1793" i="25"/>
  <c r="AK1793" i="25"/>
  <c r="AJ1793" i="25"/>
  <c r="AI1793" i="25"/>
  <c r="AF1793" i="25"/>
  <c r="AE1793" i="25"/>
  <c r="AL1792" i="25"/>
  <c r="AK1792" i="25"/>
  <c r="AJ1792" i="25"/>
  <c r="AI1792" i="25"/>
  <c r="AF1792" i="25"/>
  <c r="AE1792" i="25"/>
  <c r="AL1791" i="25"/>
  <c r="AK1791" i="25"/>
  <c r="AJ1791" i="25"/>
  <c r="AI1791" i="25"/>
  <c r="AF1791" i="25"/>
  <c r="AE1791" i="25"/>
  <c r="AL1790" i="25"/>
  <c r="AK1790" i="25"/>
  <c r="AJ1790" i="25"/>
  <c r="AI1790" i="25"/>
  <c r="AF1790" i="25"/>
  <c r="AE1790" i="25"/>
  <c r="AL1789" i="25"/>
  <c r="AK1789" i="25"/>
  <c r="AJ1789" i="25"/>
  <c r="AI1789" i="25"/>
  <c r="AF1789" i="25"/>
  <c r="AE1789" i="25"/>
  <c r="AL1788" i="25"/>
  <c r="AK1788" i="25"/>
  <c r="AJ1788" i="25"/>
  <c r="AI1788" i="25"/>
  <c r="AF1788" i="25"/>
  <c r="AE1788" i="25"/>
  <c r="AL1787" i="25"/>
  <c r="AK1787" i="25"/>
  <c r="AJ1787" i="25"/>
  <c r="AI1787" i="25"/>
  <c r="AF1787" i="25"/>
  <c r="AE1787" i="25"/>
  <c r="AL1786" i="25"/>
  <c r="AK1786" i="25"/>
  <c r="AJ1786" i="25"/>
  <c r="AI1786" i="25"/>
  <c r="AF1786" i="25"/>
  <c r="AE1786" i="25"/>
  <c r="AL1785" i="25"/>
  <c r="AK1785" i="25"/>
  <c r="AJ1785" i="25"/>
  <c r="AI1785" i="25"/>
  <c r="AF1785" i="25"/>
  <c r="AE1785" i="25"/>
  <c r="AL1784" i="25"/>
  <c r="AK1784" i="25"/>
  <c r="AJ1784" i="25"/>
  <c r="AI1784" i="25"/>
  <c r="AF1784" i="25"/>
  <c r="AE1784" i="25"/>
  <c r="AL1783" i="25"/>
  <c r="AK1783" i="25"/>
  <c r="AJ1783" i="25"/>
  <c r="AI1783" i="25"/>
  <c r="AF1783" i="25"/>
  <c r="AE1783" i="25"/>
  <c r="AL1782" i="25"/>
  <c r="AK1782" i="25"/>
  <c r="AJ1782" i="25"/>
  <c r="AI1782" i="25"/>
  <c r="AF1782" i="25"/>
  <c r="AE1782" i="25"/>
  <c r="AL1781" i="25"/>
  <c r="AK1781" i="25"/>
  <c r="AJ1781" i="25"/>
  <c r="AI1781" i="25"/>
  <c r="AF1781" i="25"/>
  <c r="AE1781" i="25"/>
  <c r="AL1780" i="25"/>
  <c r="AK1780" i="25"/>
  <c r="AJ1780" i="25"/>
  <c r="AI1780" i="25"/>
  <c r="AF1780" i="25"/>
  <c r="AE1780" i="25"/>
  <c r="AL1779" i="25"/>
  <c r="AK1779" i="25"/>
  <c r="AJ1779" i="25"/>
  <c r="AI1779" i="25"/>
  <c r="AF1779" i="25"/>
  <c r="AE1779" i="25"/>
  <c r="AL1778" i="25"/>
  <c r="AK1778" i="25"/>
  <c r="AJ1778" i="25"/>
  <c r="AI1778" i="25"/>
  <c r="AF1778" i="25"/>
  <c r="AE1778" i="25"/>
  <c r="AL1777" i="25"/>
  <c r="AK1777" i="25"/>
  <c r="AJ1777" i="25"/>
  <c r="AI1777" i="25"/>
  <c r="AF1777" i="25"/>
  <c r="AE1777" i="25"/>
  <c r="AE1776" i="25"/>
  <c r="AL1775" i="25"/>
  <c r="AK1775" i="25"/>
  <c r="AJ1775" i="25"/>
  <c r="AI1775" i="25"/>
  <c r="AF1775" i="25"/>
  <c r="AE1775" i="25"/>
  <c r="AL1774" i="25"/>
  <c r="AK1774" i="25"/>
  <c r="AJ1774" i="25"/>
  <c r="AI1774" i="25"/>
  <c r="AF1774" i="25"/>
  <c r="AE1774" i="25"/>
  <c r="AL1773" i="25"/>
  <c r="AK1773" i="25"/>
  <c r="AJ1773" i="25"/>
  <c r="AI1773" i="25"/>
  <c r="AF1773" i="25"/>
  <c r="AE1773" i="25"/>
  <c r="AL1772" i="25"/>
  <c r="AK1772" i="25"/>
  <c r="AJ1772" i="25"/>
  <c r="AI1772" i="25"/>
  <c r="AF1772" i="25"/>
  <c r="AE1772" i="25"/>
  <c r="AL1771" i="25"/>
  <c r="AK1771" i="25"/>
  <c r="AJ1771" i="25"/>
  <c r="AI1771" i="25"/>
  <c r="AF1771" i="25"/>
  <c r="AE1771" i="25"/>
  <c r="AL1770" i="25"/>
  <c r="AK1770" i="25"/>
  <c r="AJ1770" i="25"/>
  <c r="AI1770" i="25"/>
  <c r="AF1770" i="25"/>
  <c r="AE1770" i="25"/>
  <c r="AL1769" i="25"/>
  <c r="AK1769" i="25"/>
  <c r="AJ1769" i="25"/>
  <c r="AI1769" i="25"/>
  <c r="AF1769" i="25"/>
  <c r="AE1769" i="25"/>
  <c r="AL1768" i="25"/>
  <c r="AK1768" i="25"/>
  <c r="AJ1768" i="25"/>
  <c r="AI1768" i="25"/>
  <c r="AF1768" i="25"/>
  <c r="AE1768" i="25"/>
  <c r="AL1767" i="25"/>
  <c r="AK1767" i="25"/>
  <c r="AJ1767" i="25"/>
  <c r="AI1767" i="25"/>
  <c r="AF1767" i="25"/>
  <c r="AE1767" i="25"/>
  <c r="AL1766" i="25"/>
  <c r="AK1766" i="25"/>
  <c r="AJ1766" i="25"/>
  <c r="AI1766" i="25"/>
  <c r="AF1766" i="25"/>
  <c r="AE1766" i="25"/>
  <c r="AL1765" i="25"/>
  <c r="AK1765" i="25"/>
  <c r="AJ1765" i="25"/>
  <c r="AI1765" i="25"/>
  <c r="AF1765" i="25"/>
  <c r="AE1765" i="25"/>
  <c r="AL1764" i="25"/>
  <c r="AK1764" i="25"/>
  <c r="AJ1764" i="25"/>
  <c r="AI1764" i="25"/>
  <c r="AF1764" i="25"/>
  <c r="AE1764" i="25"/>
  <c r="AL1763" i="25"/>
  <c r="AK1763" i="25"/>
  <c r="AJ1763" i="25"/>
  <c r="AI1763" i="25"/>
  <c r="AF1763" i="25"/>
  <c r="AE1763" i="25"/>
  <c r="AL1762" i="25"/>
  <c r="AK1762" i="25"/>
  <c r="AJ1762" i="25"/>
  <c r="AI1762" i="25"/>
  <c r="AF1762" i="25"/>
  <c r="AE1762" i="25"/>
  <c r="AL1761" i="25"/>
  <c r="AK1761" i="25"/>
  <c r="AJ1761" i="25"/>
  <c r="AI1761" i="25"/>
  <c r="AF1761" i="25"/>
  <c r="AE1761" i="25"/>
  <c r="AL1760" i="25"/>
  <c r="AK1760" i="25"/>
  <c r="AJ1760" i="25"/>
  <c r="AI1760" i="25"/>
  <c r="AF1760" i="25"/>
  <c r="AE1760" i="25"/>
  <c r="AL1759" i="25"/>
  <c r="AK1759" i="25"/>
  <c r="AJ1759" i="25"/>
  <c r="AI1759" i="25"/>
  <c r="AF1759" i="25"/>
  <c r="AE1759" i="25"/>
  <c r="AL1758" i="25"/>
  <c r="AK1758" i="25"/>
  <c r="AJ1758" i="25"/>
  <c r="AI1758" i="25"/>
  <c r="AF1758" i="25"/>
  <c r="AE1758" i="25"/>
  <c r="AL1757" i="25"/>
  <c r="AK1757" i="25"/>
  <c r="AJ1757" i="25"/>
  <c r="AI1757" i="25"/>
  <c r="AF1757" i="25"/>
  <c r="AE1757" i="25"/>
  <c r="AL1756" i="25"/>
  <c r="AK1756" i="25"/>
  <c r="AJ1756" i="25"/>
  <c r="AI1756" i="25"/>
  <c r="AF1756" i="25"/>
  <c r="AE1756" i="25"/>
  <c r="AL1755" i="25"/>
  <c r="AK1755" i="25"/>
  <c r="AJ1755" i="25"/>
  <c r="AI1755" i="25"/>
  <c r="AF1755" i="25"/>
  <c r="AE1755" i="25"/>
  <c r="AL1754" i="25"/>
  <c r="AK1754" i="25"/>
  <c r="AJ1754" i="25"/>
  <c r="AI1754" i="25"/>
  <c r="AF1754" i="25"/>
  <c r="AE1754" i="25"/>
  <c r="AL1753" i="25"/>
  <c r="AK1753" i="25"/>
  <c r="AJ1753" i="25"/>
  <c r="AI1753" i="25"/>
  <c r="AF1753" i="25"/>
  <c r="AE1753" i="25"/>
  <c r="AL1752" i="25"/>
  <c r="AK1752" i="25"/>
  <c r="AJ1752" i="25"/>
  <c r="AI1752" i="25"/>
  <c r="AF1752" i="25"/>
  <c r="AE1752" i="25"/>
  <c r="AL1751" i="25"/>
  <c r="AK1751" i="25"/>
  <c r="AJ1751" i="25"/>
  <c r="AI1751" i="25"/>
  <c r="AF1751" i="25"/>
  <c r="AE1751" i="25"/>
  <c r="AL1750" i="25"/>
  <c r="AK1750" i="25"/>
  <c r="AJ1750" i="25"/>
  <c r="AI1750" i="25"/>
  <c r="AF1750" i="25"/>
  <c r="AE1750" i="25"/>
  <c r="AL1749" i="25"/>
  <c r="AK1749" i="25"/>
  <c r="AJ1749" i="25"/>
  <c r="AI1749" i="25"/>
  <c r="AF1749" i="25"/>
  <c r="AE1749" i="25"/>
  <c r="AL1748" i="25"/>
  <c r="AK1748" i="25"/>
  <c r="AJ1748" i="25"/>
  <c r="AI1748" i="25"/>
  <c r="AF1748" i="25"/>
  <c r="AE1748" i="25"/>
  <c r="AL1747" i="25"/>
  <c r="AK1747" i="25"/>
  <c r="AJ1747" i="25"/>
  <c r="AI1747" i="25"/>
  <c r="AF1747" i="25"/>
  <c r="AE1747" i="25"/>
  <c r="AL1746" i="25"/>
  <c r="AK1746" i="25"/>
  <c r="AJ1746" i="25"/>
  <c r="AI1746" i="25"/>
  <c r="AF1746" i="25"/>
  <c r="AE1746" i="25"/>
  <c r="AL1745" i="25"/>
  <c r="AK1745" i="25"/>
  <c r="AJ1745" i="25"/>
  <c r="AI1745" i="25"/>
  <c r="AF1745" i="25"/>
  <c r="AE1745" i="25"/>
  <c r="AL1744" i="25"/>
  <c r="AK1744" i="25"/>
  <c r="AJ1744" i="25"/>
  <c r="AI1744" i="25"/>
  <c r="AF1744" i="25"/>
  <c r="AE1744" i="25"/>
  <c r="AL1743" i="25"/>
  <c r="AK1743" i="25"/>
  <c r="AJ1743" i="25"/>
  <c r="AI1743" i="25"/>
  <c r="AF1743" i="25"/>
  <c r="AE1743" i="25"/>
  <c r="AL1742" i="25"/>
  <c r="AK1742" i="25"/>
  <c r="AJ1742" i="25"/>
  <c r="AI1742" i="25"/>
  <c r="AF1742" i="25"/>
  <c r="AE1742" i="25"/>
  <c r="AL1741" i="25"/>
  <c r="AK1741" i="25"/>
  <c r="AJ1741" i="25"/>
  <c r="AI1741" i="25"/>
  <c r="AF1741" i="25"/>
  <c r="AE1741" i="25"/>
  <c r="AL1740" i="25"/>
  <c r="AK1740" i="25"/>
  <c r="AJ1740" i="25"/>
  <c r="AI1740" i="25"/>
  <c r="AF1740" i="25"/>
  <c r="AE1740" i="25"/>
  <c r="AL1739" i="25"/>
  <c r="AK1739" i="25"/>
  <c r="AJ1739" i="25"/>
  <c r="AI1739" i="25"/>
  <c r="AF1739" i="25"/>
  <c r="AE1739" i="25"/>
  <c r="AL1738" i="25"/>
  <c r="AK1738" i="25"/>
  <c r="AJ1738" i="25"/>
  <c r="AI1738" i="25"/>
  <c r="AF1738" i="25"/>
  <c r="AE1738" i="25"/>
  <c r="AL1737" i="25"/>
  <c r="AK1737" i="25"/>
  <c r="AJ1737" i="25"/>
  <c r="AI1737" i="25"/>
  <c r="AF1737" i="25"/>
  <c r="AE1737" i="25"/>
  <c r="AL1736" i="25"/>
  <c r="AK1736" i="25"/>
  <c r="AJ1736" i="25"/>
  <c r="AI1736" i="25"/>
  <c r="AF1736" i="25"/>
  <c r="AE1736" i="25"/>
  <c r="AL1735" i="25"/>
  <c r="AK1735" i="25"/>
  <c r="AJ1735" i="25"/>
  <c r="AI1735" i="25"/>
  <c r="AF1735" i="25"/>
  <c r="AE1735" i="25"/>
  <c r="AL1734" i="25"/>
  <c r="AK1734" i="25"/>
  <c r="AJ1734" i="25"/>
  <c r="AI1734" i="25"/>
  <c r="AF1734" i="25"/>
  <c r="AE1734" i="25"/>
  <c r="AL1733" i="25"/>
  <c r="AK1733" i="25"/>
  <c r="AJ1733" i="25"/>
  <c r="AI1733" i="25"/>
  <c r="AF1733" i="25"/>
  <c r="AE1733" i="25"/>
  <c r="AL1732" i="25"/>
  <c r="AK1732" i="25"/>
  <c r="AJ1732" i="25"/>
  <c r="AI1732" i="25"/>
  <c r="AF1732" i="25"/>
  <c r="AE1732" i="25"/>
  <c r="AL1731" i="25"/>
  <c r="AK1731" i="25"/>
  <c r="AJ1731" i="25"/>
  <c r="AI1731" i="25"/>
  <c r="AF1731" i="25"/>
  <c r="AE1731" i="25"/>
  <c r="AL1730" i="25"/>
  <c r="AK1730" i="25"/>
  <c r="AJ1730" i="25"/>
  <c r="AI1730" i="25"/>
  <c r="AF1730" i="25"/>
  <c r="AE1730" i="25"/>
  <c r="AL1729" i="25"/>
  <c r="AK1729" i="25"/>
  <c r="AJ1729" i="25"/>
  <c r="AI1729" i="25"/>
  <c r="AF1729" i="25"/>
  <c r="AE1729" i="25"/>
  <c r="AL1728" i="25"/>
  <c r="AK1728" i="25"/>
  <c r="AJ1728" i="25"/>
  <c r="AI1728" i="25"/>
  <c r="AF1728" i="25"/>
  <c r="AE1728" i="25"/>
  <c r="AL1727" i="25"/>
  <c r="AK1727" i="25"/>
  <c r="AJ1727" i="25"/>
  <c r="AI1727" i="25"/>
  <c r="AF1727" i="25"/>
  <c r="AE1727" i="25"/>
  <c r="AL1726" i="25"/>
  <c r="AK1726" i="25"/>
  <c r="AJ1726" i="25"/>
  <c r="AI1726" i="25"/>
  <c r="AF1726" i="25"/>
  <c r="AE1726" i="25"/>
  <c r="AL1725" i="25"/>
  <c r="AK1725" i="25"/>
  <c r="AJ1725" i="25"/>
  <c r="AI1725" i="25"/>
  <c r="AF1725" i="25"/>
  <c r="AE1725" i="25"/>
  <c r="AL1724" i="25"/>
  <c r="AK1724" i="25"/>
  <c r="AJ1724" i="25"/>
  <c r="AI1724" i="25"/>
  <c r="AF1724" i="25"/>
  <c r="AE1724" i="25"/>
  <c r="AL1723" i="25"/>
  <c r="AK1723" i="25"/>
  <c r="AJ1723" i="25"/>
  <c r="AI1723" i="25"/>
  <c r="AF1723" i="25"/>
  <c r="AE1723" i="25"/>
  <c r="AL1722" i="25"/>
  <c r="AK1722" i="25"/>
  <c r="AJ1722" i="25"/>
  <c r="AI1722" i="25"/>
  <c r="AF1722" i="25"/>
  <c r="AE1722" i="25"/>
  <c r="AL1721" i="25"/>
  <c r="AK1721" i="25"/>
  <c r="AJ1721" i="25"/>
  <c r="AI1721" i="25"/>
  <c r="AF1721" i="25"/>
  <c r="AE1721" i="25"/>
  <c r="AL1720" i="25"/>
  <c r="AK1720" i="25"/>
  <c r="AJ1720" i="25"/>
  <c r="AI1720" i="25"/>
  <c r="AF1720" i="25"/>
  <c r="AE1720" i="25"/>
  <c r="AL1719" i="25"/>
  <c r="AK1719" i="25"/>
  <c r="AJ1719" i="25"/>
  <c r="AI1719" i="25"/>
  <c r="AF1719" i="25"/>
  <c r="AE1719" i="25"/>
  <c r="AL1718" i="25"/>
  <c r="AK1718" i="25"/>
  <c r="AJ1718" i="25"/>
  <c r="AI1718" i="25"/>
  <c r="AF1718" i="25"/>
  <c r="AE1718" i="25"/>
  <c r="AL1717" i="25"/>
  <c r="AK1717" i="25"/>
  <c r="AJ1717" i="25"/>
  <c r="AI1717" i="25"/>
  <c r="AF1717" i="25"/>
  <c r="AE1717" i="25"/>
  <c r="AL1716" i="25"/>
  <c r="AK1716" i="25"/>
  <c r="AJ1716" i="25"/>
  <c r="AI1716" i="25"/>
  <c r="AF1716" i="25"/>
  <c r="AE1716" i="25"/>
  <c r="AL1715" i="25"/>
  <c r="AK1715" i="25"/>
  <c r="AJ1715" i="25"/>
  <c r="AI1715" i="25"/>
  <c r="AF1715" i="25"/>
  <c r="AE1715" i="25"/>
  <c r="AL1714" i="25"/>
  <c r="AK1714" i="25"/>
  <c r="AJ1714" i="25"/>
  <c r="AI1714" i="25"/>
  <c r="AF1714" i="25"/>
  <c r="AE1714" i="25"/>
  <c r="AL1713" i="25"/>
  <c r="AK1713" i="25"/>
  <c r="AJ1713" i="25"/>
  <c r="AI1713" i="25"/>
  <c r="AF1713" i="25"/>
  <c r="AE1713" i="25"/>
  <c r="AL1712" i="25"/>
  <c r="AK1712" i="25"/>
  <c r="AJ1712" i="25"/>
  <c r="AI1712" i="25"/>
  <c r="AF1712" i="25"/>
  <c r="AE1712" i="25"/>
  <c r="AL1711" i="25"/>
  <c r="AK1711" i="25"/>
  <c r="AJ1711" i="25"/>
  <c r="AI1711" i="25"/>
  <c r="AF1711" i="25"/>
  <c r="AE1711" i="25"/>
  <c r="AL1710" i="25"/>
  <c r="AK1710" i="25"/>
  <c r="AJ1710" i="25"/>
  <c r="AI1710" i="25"/>
  <c r="AF1710" i="25"/>
  <c r="AE1710" i="25"/>
  <c r="AL1709" i="25"/>
  <c r="AK1709" i="25"/>
  <c r="AJ1709" i="25"/>
  <c r="AI1709" i="25"/>
  <c r="AF1709" i="25"/>
  <c r="AE1709" i="25"/>
  <c r="AL1708" i="25"/>
  <c r="AK1708" i="25"/>
  <c r="AJ1708" i="25"/>
  <c r="AI1708" i="25"/>
  <c r="AF1708" i="25"/>
  <c r="AE1708" i="25"/>
  <c r="AL1707" i="25"/>
  <c r="AK1707" i="25"/>
  <c r="AJ1707" i="25"/>
  <c r="AI1707" i="25"/>
  <c r="AF1707" i="25"/>
  <c r="AE1707" i="25"/>
  <c r="AL1706" i="25"/>
  <c r="AK1706" i="25"/>
  <c r="AJ1706" i="25"/>
  <c r="AI1706" i="25"/>
  <c r="AF1706" i="25"/>
  <c r="AE1706" i="25"/>
  <c r="AL1705" i="25"/>
  <c r="AK1705" i="25"/>
  <c r="AJ1705" i="25"/>
  <c r="AI1705" i="25"/>
  <c r="AF1705" i="25"/>
  <c r="AE1705" i="25"/>
  <c r="AL1704" i="25"/>
  <c r="AK1704" i="25"/>
  <c r="AJ1704" i="25"/>
  <c r="AI1704" i="25"/>
  <c r="AF1704" i="25"/>
  <c r="AE1704" i="25"/>
  <c r="AL1703" i="25"/>
  <c r="AK1703" i="25"/>
  <c r="AJ1703" i="25"/>
  <c r="AI1703" i="25"/>
  <c r="AF1703" i="25"/>
  <c r="AE1703" i="25"/>
  <c r="AL1702" i="25"/>
  <c r="AK1702" i="25"/>
  <c r="AJ1702" i="25"/>
  <c r="AI1702" i="25"/>
  <c r="AF1702" i="25"/>
  <c r="AE1702" i="25"/>
  <c r="AL1701" i="25"/>
  <c r="AK1701" i="25"/>
  <c r="AJ1701" i="25"/>
  <c r="AI1701" i="25"/>
  <c r="AF1701" i="25"/>
  <c r="AE1701" i="25"/>
  <c r="AL1700" i="25"/>
  <c r="AK1700" i="25"/>
  <c r="AJ1700" i="25"/>
  <c r="AI1700" i="25"/>
  <c r="AF1700" i="25"/>
  <c r="AE1700" i="25"/>
  <c r="AL1699" i="25"/>
  <c r="AK1699" i="25"/>
  <c r="AJ1699" i="25"/>
  <c r="AI1699" i="25"/>
  <c r="AF1699" i="25"/>
  <c r="AE1699" i="25"/>
  <c r="AL1698" i="25"/>
  <c r="AK1698" i="25"/>
  <c r="AJ1698" i="25"/>
  <c r="AI1698" i="25"/>
  <c r="AF1698" i="25"/>
  <c r="AE1698" i="25"/>
  <c r="AL1697" i="25"/>
  <c r="AK1697" i="25"/>
  <c r="AJ1697" i="25"/>
  <c r="AI1697" i="25"/>
  <c r="AF1697" i="25"/>
  <c r="AE1697" i="25"/>
  <c r="AL1696" i="25"/>
  <c r="AK1696" i="25"/>
  <c r="AJ1696" i="25"/>
  <c r="AI1696" i="25"/>
  <c r="AF1696" i="25"/>
  <c r="AE1696" i="25"/>
  <c r="AL1695" i="25"/>
  <c r="AK1695" i="25"/>
  <c r="AJ1695" i="25"/>
  <c r="AI1695" i="25"/>
  <c r="AF1695" i="25"/>
  <c r="AE1695" i="25"/>
  <c r="AL1694" i="25"/>
  <c r="AK1694" i="25"/>
  <c r="AJ1694" i="25"/>
  <c r="AI1694" i="25"/>
  <c r="AF1694" i="25"/>
  <c r="AE1694" i="25"/>
  <c r="AL1693" i="25"/>
  <c r="AK1693" i="25"/>
  <c r="AJ1693" i="25"/>
  <c r="AI1693" i="25"/>
  <c r="AF1693" i="25"/>
  <c r="AE1693" i="25"/>
  <c r="AL1692" i="25"/>
  <c r="AK1692" i="25"/>
  <c r="AJ1692" i="25"/>
  <c r="AI1692" i="25"/>
  <c r="AF1692" i="25"/>
  <c r="AE1692" i="25"/>
  <c r="AL1691" i="25"/>
  <c r="AK1691" i="25"/>
  <c r="AJ1691" i="25"/>
  <c r="AI1691" i="25"/>
  <c r="AF1691" i="25"/>
  <c r="AE1691" i="25"/>
  <c r="AL1690" i="25"/>
  <c r="AK1690" i="25"/>
  <c r="AJ1690" i="25"/>
  <c r="AI1690" i="25"/>
  <c r="AF1690" i="25"/>
  <c r="AE1690" i="25"/>
  <c r="AL1689" i="25"/>
  <c r="AK1689" i="25"/>
  <c r="AJ1689" i="25"/>
  <c r="AI1689" i="25"/>
  <c r="AF1689" i="25"/>
  <c r="AE1689" i="25"/>
  <c r="AL1688" i="25"/>
  <c r="AK1688" i="25"/>
  <c r="AJ1688" i="25"/>
  <c r="AI1688" i="25"/>
  <c r="AF1688" i="25"/>
  <c r="AE1688" i="25"/>
  <c r="AL1687" i="25"/>
  <c r="AK1687" i="25"/>
  <c r="AJ1687" i="25"/>
  <c r="AI1687" i="25"/>
  <c r="AF1687" i="25"/>
  <c r="AE1687" i="25"/>
  <c r="AL1686" i="25"/>
  <c r="AK1686" i="25"/>
  <c r="AJ1686" i="25"/>
  <c r="AI1686" i="25"/>
  <c r="AF1686" i="25"/>
  <c r="AE1686" i="25"/>
  <c r="AL1685" i="25"/>
  <c r="AK1685" i="25"/>
  <c r="AJ1685" i="25"/>
  <c r="AI1685" i="25"/>
  <c r="AF1685" i="25"/>
  <c r="AE1685" i="25"/>
  <c r="AL1684" i="25"/>
  <c r="AK1684" i="25"/>
  <c r="AJ1684" i="25"/>
  <c r="AI1684" i="25"/>
  <c r="AF1684" i="25"/>
  <c r="AE1684" i="25"/>
  <c r="AL1683" i="25"/>
  <c r="AK1683" i="25"/>
  <c r="AJ1683" i="25"/>
  <c r="AI1683" i="25"/>
  <c r="AF1683" i="25"/>
  <c r="AE1683" i="25"/>
  <c r="AL1682" i="25"/>
  <c r="AK1682" i="25"/>
  <c r="AJ1682" i="25"/>
  <c r="AI1682" i="25"/>
  <c r="AF1682" i="25"/>
  <c r="AE1682" i="25"/>
  <c r="AL1681" i="25"/>
  <c r="AK1681" i="25"/>
  <c r="AJ1681" i="25"/>
  <c r="AI1681" i="25"/>
  <c r="AF1681" i="25"/>
  <c r="AE1681" i="25"/>
  <c r="AL1680" i="25"/>
  <c r="AK1680" i="25"/>
  <c r="AJ1680" i="25"/>
  <c r="AI1680" i="25"/>
  <c r="AF1680" i="25"/>
  <c r="AE1680" i="25"/>
  <c r="AL1679" i="25"/>
  <c r="AK1679" i="25"/>
  <c r="AJ1679" i="25"/>
  <c r="AI1679" i="25"/>
  <c r="AF1679" i="25"/>
  <c r="AE1679" i="25"/>
  <c r="AL1678" i="25"/>
  <c r="AK1678" i="25"/>
  <c r="AJ1678" i="25"/>
  <c r="AI1678" i="25"/>
  <c r="AF1678" i="25"/>
  <c r="AE1678" i="25"/>
  <c r="AL1677" i="25"/>
  <c r="AK1677" i="25"/>
  <c r="AJ1677" i="25"/>
  <c r="AI1677" i="25"/>
  <c r="AF1677" i="25"/>
  <c r="AE1677" i="25"/>
  <c r="AL1676" i="25"/>
  <c r="AK1676" i="25"/>
  <c r="AJ1676" i="25"/>
  <c r="AI1676" i="25"/>
  <c r="AF1676" i="25"/>
  <c r="AE1676" i="25"/>
  <c r="AL1675" i="25"/>
  <c r="AK1675" i="25"/>
  <c r="AJ1675" i="25"/>
  <c r="AI1675" i="25"/>
  <c r="AF1675" i="25"/>
  <c r="AE1675" i="25"/>
  <c r="AL1674" i="25"/>
  <c r="AK1674" i="25"/>
  <c r="AJ1674" i="25"/>
  <c r="AI1674" i="25"/>
  <c r="AF1674" i="25"/>
  <c r="AE1674" i="25"/>
  <c r="AL1673" i="25"/>
  <c r="AK1673" i="25"/>
  <c r="AJ1673" i="25"/>
  <c r="AI1673" i="25"/>
  <c r="AF1673" i="25"/>
  <c r="AE1673" i="25"/>
  <c r="AL1672" i="25"/>
  <c r="AK1672" i="25"/>
  <c r="AJ1672" i="25"/>
  <c r="AI1672" i="25"/>
  <c r="AF1672" i="25"/>
  <c r="AE1672" i="25"/>
  <c r="AL1671" i="25"/>
  <c r="AK1671" i="25"/>
  <c r="AJ1671" i="25"/>
  <c r="AI1671" i="25"/>
  <c r="AF1671" i="25"/>
  <c r="AE1671" i="25"/>
  <c r="AL1670" i="25"/>
  <c r="AK1670" i="25"/>
  <c r="AJ1670" i="25"/>
  <c r="AI1670" i="25"/>
  <c r="AF1670" i="25"/>
  <c r="AE1670" i="25"/>
  <c r="AL1669" i="25"/>
  <c r="AK1669" i="25"/>
  <c r="AJ1669" i="25"/>
  <c r="AI1669" i="25"/>
  <c r="AF1669" i="25"/>
  <c r="AE1669" i="25"/>
  <c r="AL1668" i="25"/>
  <c r="AK1668" i="25"/>
  <c r="AJ1668" i="25"/>
  <c r="AI1668" i="25"/>
  <c r="AF1668" i="25"/>
  <c r="AE1668" i="25"/>
  <c r="AL1667" i="25"/>
  <c r="AK1667" i="25"/>
  <c r="AJ1667" i="25"/>
  <c r="AI1667" i="25"/>
  <c r="AF1667" i="25"/>
  <c r="AE1667" i="25"/>
  <c r="AL1666" i="25"/>
  <c r="AK1666" i="25"/>
  <c r="AJ1666" i="25"/>
  <c r="AI1666" i="25"/>
  <c r="AF1666" i="25"/>
  <c r="AE1666" i="25"/>
  <c r="AL1665" i="25"/>
  <c r="AK1665" i="25"/>
  <c r="AJ1665" i="25"/>
  <c r="AI1665" i="25"/>
  <c r="AF1665" i="25"/>
  <c r="AE1665" i="25"/>
  <c r="AL1664" i="25"/>
  <c r="AK1664" i="25"/>
  <c r="AJ1664" i="25"/>
  <c r="AI1664" i="25"/>
  <c r="AF1664" i="25"/>
  <c r="AE1664" i="25"/>
  <c r="AL1663" i="25"/>
  <c r="AK1663" i="25"/>
  <c r="AJ1663" i="25"/>
  <c r="AI1663" i="25"/>
  <c r="AF1663" i="25"/>
  <c r="AE1663" i="25"/>
  <c r="AL1662" i="25"/>
  <c r="AK1662" i="25"/>
  <c r="AJ1662" i="25"/>
  <c r="AI1662" i="25"/>
  <c r="AF1662" i="25"/>
  <c r="AE1662" i="25"/>
  <c r="AL1661" i="25"/>
  <c r="AK1661" i="25"/>
  <c r="AJ1661" i="25"/>
  <c r="AI1661" i="25"/>
  <c r="AF1661" i="25"/>
  <c r="AE1661" i="25"/>
  <c r="AL1660" i="25"/>
  <c r="AK1660" i="25"/>
  <c r="AJ1660" i="25"/>
  <c r="AI1660" i="25"/>
  <c r="AF1660" i="25"/>
  <c r="AE1660" i="25"/>
  <c r="AL1659" i="25"/>
  <c r="AK1659" i="25"/>
  <c r="AJ1659" i="25"/>
  <c r="AI1659" i="25"/>
  <c r="AF1659" i="25"/>
  <c r="AE1659" i="25"/>
  <c r="AL1658" i="25"/>
  <c r="AK1658" i="25"/>
  <c r="AJ1658" i="25"/>
  <c r="AI1658" i="25"/>
  <c r="AF1658" i="25"/>
  <c r="AE1658" i="25"/>
  <c r="AL1657" i="25"/>
  <c r="AK1657" i="25"/>
  <c r="AJ1657" i="25"/>
  <c r="AI1657" i="25"/>
  <c r="AF1657" i="25"/>
  <c r="AE1657" i="25"/>
  <c r="AL1656" i="25"/>
  <c r="AK1656" i="25"/>
  <c r="AJ1656" i="25"/>
  <c r="AI1656" i="25"/>
  <c r="AF1656" i="25"/>
  <c r="AE1656" i="25"/>
  <c r="AL1655" i="25"/>
  <c r="AK1655" i="25"/>
  <c r="AJ1655" i="25"/>
  <c r="AI1655" i="25"/>
  <c r="AF1655" i="25"/>
  <c r="AE1655" i="25"/>
  <c r="AL1654" i="25"/>
  <c r="AK1654" i="25"/>
  <c r="AJ1654" i="25"/>
  <c r="AI1654" i="25"/>
  <c r="AF1654" i="25"/>
  <c r="AE1654" i="25"/>
  <c r="AL1653" i="25"/>
  <c r="AK1653" i="25"/>
  <c r="AJ1653" i="25"/>
  <c r="AI1653" i="25"/>
  <c r="AF1653" i="25"/>
  <c r="AE1653" i="25"/>
  <c r="AL1652" i="25"/>
  <c r="AK1652" i="25"/>
  <c r="AJ1652" i="25"/>
  <c r="AI1652" i="25"/>
  <c r="AF1652" i="25"/>
  <c r="AE1652" i="25"/>
  <c r="AL1651" i="25"/>
  <c r="AK1651" i="25"/>
  <c r="AJ1651" i="25"/>
  <c r="AI1651" i="25"/>
  <c r="AF1651" i="25"/>
  <c r="AE1651" i="25"/>
  <c r="AL1650" i="25"/>
  <c r="AK1650" i="25"/>
  <c r="AJ1650" i="25"/>
  <c r="AI1650" i="25"/>
  <c r="AF1650" i="25"/>
  <c r="AE1650" i="25"/>
  <c r="AL1649" i="25"/>
  <c r="AK1649" i="25"/>
  <c r="AJ1649" i="25"/>
  <c r="AI1649" i="25"/>
  <c r="AF1649" i="25"/>
  <c r="AE1649" i="25"/>
  <c r="AL1648" i="25"/>
  <c r="AK1648" i="25"/>
  <c r="AJ1648" i="25"/>
  <c r="AI1648" i="25"/>
  <c r="AF1648" i="25"/>
  <c r="AE1648" i="25"/>
  <c r="AL1647" i="25"/>
  <c r="AK1647" i="25"/>
  <c r="AJ1647" i="25"/>
  <c r="AI1647" i="25"/>
  <c r="AF1647" i="25"/>
  <c r="AE1647" i="25"/>
  <c r="AL1646" i="25"/>
  <c r="AK1646" i="25"/>
  <c r="AJ1646" i="25"/>
  <c r="AI1646" i="25"/>
  <c r="AF1646" i="25"/>
  <c r="AE1646" i="25"/>
  <c r="AL1645" i="25"/>
  <c r="AK1645" i="25"/>
  <c r="AJ1645" i="25"/>
  <c r="AI1645" i="25"/>
  <c r="AF1645" i="25"/>
  <c r="AE1645" i="25"/>
  <c r="AL1644" i="25"/>
  <c r="AK1644" i="25"/>
  <c r="AJ1644" i="25"/>
  <c r="AI1644" i="25"/>
  <c r="AF1644" i="25"/>
  <c r="AE1644" i="25"/>
  <c r="AL1643" i="25"/>
  <c r="AK1643" i="25"/>
  <c r="AJ1643" i="25"/>
  <c r="AI1643" i="25"/>
  <c r="AF1643" i="25"/>
  <c r="AE1643" i="25"/>
  <c r="AL1642" i="25"/>
  <c r="AK1642" i="25"/>
  <c r="AJ1642" i="25"/>
  <c r="AI1642" i="25"/>
  <c r="AF1642" i="25"/>
  <c r="AE1642" i="25"/>
  <c r="AL1641" i="25"/>
  <c r="AK1641" i="25"/>
  <c r="AJ1641" i="25"/>
  <c r="AI1641" i="25"/>
  <c r="AF1641" i="25"/>
  <c r="AE1641" i="25"/>
  <c r="AL1640" i="25"/>
  <c r="AK1640" i="25"/>
  <c r="AJ1640" i="25"/>
  <c r="AI1640" i="25"/>
  <c r="AF1640" i="25"/>
  <c r="AE1640" i="25"/>
  <c r="AL1639" i="25"/>
  <c r="AK1639" i="25"/>
  <c r="AJ1639" i="25"/>
  <c r="AI1639" i="25"/>
  <c r="AF1639" i="25"/>
  <c r="AE1639" i="25"/>
  <c r="AL1638" i="25"/>
  <c r="AK1638" i="25"/>
  <c r="AJ1638" i="25"/>
  <c r="AI1638" i="25"/>
  <c r="AF1638" i="25"/>
  <c r="AE1638" i="25"/>
  <c r="AL1637" i="25"/>
  <c r="AK1637" i="25"/>
  <c r="AJ1637" i="25"/>
  <c r="AI1637" i="25"/>
  <c r="AF1637" i="25"/>
  <c r="AE1637" i="25"/>
  <c r="AL1636" i="25"/>
  <c r="AK1636" i="25"/>
  <c r="AJ1636" i="25"/>
  <c r="AI1636" i="25"/>
  <c r="AF1636" i="25"/>
  <c r="AE1636" i="25"/>
  <c r="AL1635" i="25"/>
  <c r="AK1635" i="25"/>
  <c r="AJ1635" i="25"/>
  <c r="AI1635" i="25"/>
  <c r="AF1635" i="25"/>
  <c r="AE1635" i="25"/>
  <c r="AL1634" i="25"/>
  <c r="AK1634" i="25"/>
  <c r="AJ1634" i="25"/>
  <c r="AI1634" i="25"/>
  <c r="AF1634" i="25"/>
  <c r="AE1634" i="25"/>
  <c r="AL1633" i="25"/>
  <c r="AK1633" i="25"/>
  <c r="AJ1633" i="25"/>
  <c r="AI1633" i="25"/>
  <c r="AF1633" i="25"/>
  <c r="AE1633" i="25"/>
  <c r="AL1632" i="25"/>
  <c r="AK1632" i="25"/>
  <c r="AJ1632" i="25"/>
  <c r="AI1632" i="25"/>
  <c r="AF1632" i="25"/>
  <c r="AE1632" i="25"/>
  <c r="AL1631" i="25"/>
  <c r="AK1631" i="25"/>
  <c r="AJ1631" i="25"/>
  <c r="AI1631" i="25"/>
  <c r="AF1631" i="25"/>
  <c r="AE1631" i="25"/>
  <c r="AL1630" i="25"/>
  <c r="AK1630" i="25"/>
  <c r="AJ1630" i="25"/>
  <c r="AI1630" i="25"/>
  <c r="AF1630" i="25"/>
  <c r="AE1630" i="25"/>
  <c r="AL1629" i="25"/>
  <c r="AK1629" i="25"/>
  <c r="AJ1629" i="25"/>
  <c r="AI1629" i="25"/>
  <c r="AF1629" i="25"/>
  <c r="AE1629" i="25"/>
  <c r="AL1628" i="25"/>
  <c r="AK1628" i="25"/>
  <c r="AJ1628" i="25"/>
  <c r="AI1628" i="25"/>
  <c r="AF1628" i="25"/>
  <c r="AE1628" i="25"/>
  <c r="AL1627" i="25"/>
  <c r="AK1627" i="25"/>
  <c r="AJ1627" i="25"/>
  <c r="AI1627" i="25"/>
  <c r="AF1627" i="25"/>
  <c r="AE1627" i="25"/>
  <c r="AL1626" i="25"/>
  <c r="AK1626" i="25"/>
  <c r="AJ1626" i="25"/>
  <c r="AI1626" i="25"/>
  <c r="AF1626" i="25"/>
  <c r="AE1626" i="25"/>
  <c r="AL1625" i="25"/>
  <c r="AK1625" i="25"/>
  <c r="AJ1625" i="25"/>
  <c r="AI1625" i="25"/>
  <c r="AF1625" i="25"/>
  <c r="AE1625" i="25"/>
  <c r="AL1624" i="25"/>
  <c r="AK1624" i="25"/>
  <c r="AJ1624" i="25"/>
  <c r="AI1624" i="25"/>
  <c r="AF1624" i="25"/>
  <c r="AE1624" i="25"/>
  <c r="AL1623" i="25"/>
  <c r="AK1623" i="25"/>
  <c r="AJ1623" i="25"/>
  <c r="AI1623" i="25"/>
  <c r="AF1623" i="25"/>
  <c r="AE1623" i="25"/>
  <c r="AL1622" i="25"/>
  <c r="AK1622" i="25"/>
  <c r="AJ1622" i="25"/>
  <c r="AI1622" i="25"/>
  <c r="AF1622" i="25"/>
  <c r="AE1622" i="25"/>
  <c r="AL1621" i="25"/>
  <c r="AK1621" i="25"/>
  <c r="AJ1621" i="25"/>
  <c r="AI1621" i="25"/>
  <c r="AF1621" i="25"/>
  <c r="AE1621" i="25"/>
  <c r="AL1620" i="25"/>
  <c r="AK1620" i="25"/>
  <c r="AJ1620" i="25"/>
  <c r="AI1620" i="25"/>
  <c r="AF1620" i="25"/>
  <c r="AE1620" i="25"/>
  <c r="AL1619" i="25"/>
  <c r="AK1619" i="25"/>
  <c r="AJ1619" i="25"/>
  <c r="AI1619" i="25"/>
  <c r="AF1619" i="25"/>
  <c r="AE1619" i="25"/>
  <c r="AL1618" i="25"/>
  <c r="AK1618" i="25"/>
  <c r="AJ1618" i="25"/>
  <c r="AI1618" i="25"/>
  <c r="AF1618" i="25"/>
  <c r="AE1618" i="25"/>
  <c r="AL1617" i="25"/>
  <c r="AK1617" i="25"/>
  <c r="AJ1617" i="25"/>
  <c r="AI1617" i="25"/>
  <c r="AF1617" i="25"/>
  <c r="AE1617" i="25"/>
  <c r="AL1616" i="25"/>
  <c r="AK1616" i="25"/>
  <c r="AJ1616" i="25"/>
  <c r="AI1616" i="25"/>
  <c r="AF1616" i="25"/>
  <c r="AE1616" i="25"/>
  <c r="AL1615" i="25"/>
  <c r="AK1615" i="25"/>
  <c r="AJ1615" i="25"/>
  <c r="AI1615" i="25"/>
  <c r="AF1615" i="25"/>
  <c r="AE1615" i="25"/>
  <c r="AL1614" i="25"/>
  <c r="AK1614" i="25"/>
  <c r="AJ1614" i="25"/>
  <c r="AI1614" i="25"/>
  <c r="AF1614" i="25"/>
  <c r="AE1614" i="25"/>
  <c r="AE1613" i="25"/>
  <c r="AL1612" i="25"/>
  <c r="AK1612" i="25"/>
  <c r="AJ1612" i="25"/>
  <c r="AI1612" i="25"/>
  <c r="AF1612" i="25"/>
  <c r="AE1612" i="25"/>
  <c r="AL1611" i="25"/>
  <c r="AK1611" i="25"/>
  <c r="AJ1611" i="25"/>
  <c r="AI1611" i="25"/>
  <c r="AF1611" i="25"/>
  <c r="AE1611" i="25"/>
  <c r="AL1610" i="25"/>
  <c r="AK1610" i="25"/>
  <c r="AJ1610" i="25"/>
  <c r="AI1610" i="25"/>
  <c r="AF1610" i="25"/>
  <c r="AE1610" i="25"/>
  <c r="AL1609" i="25"/>
  <c r="AK1609" i="25"/>
  <c r="AJ1609" i="25"/>
  <c r="AI1609" i="25"/>
  <c r="AF1609" i="25"/>
  <c r="AE1609" i="25"/>
  <c r="AL1608" i="25"/>
  <c r="AK1608" i="25"/>
  <c r="AJ1608" i="25"/>
  <c r="AI1608" i="25"/>
  <c r="AF1608" i="25"/>
  <c r="AE1608" i="25"/>
  <c r="AL1607" i="25"/>
  <c r="AK1607" i="25"/>
  <c r="AJ1607" i="25"/>
  <c r="AI1607" i="25"/>
  <c r="AF1607" i="25"/>
  <c r="AE1607" i="25"/>
  <c r="AL1606" i="25"/>
  <c r="AK1606" i="25"/>
  <c r="AJ1606" i="25"/>
  <c r="AI1606" i="25"/>
  <c r="AF1606" i="25"/>
  <c r="AE1606" i="25"/>
  <c r="AL1605" i="25"/>
  <c r="AK1605" i="25"/>
  <c r="AJ1605" i="25"/>
  <c r="AI1605" i="25"/>
  <c r="AF1605" i="25"/>
  <c r="AE1605" i="25"/>
  <c r="AL1604" i="25"/>
  <c r="AK1604" i="25"/>
  <c r="AJ1604" i="25"/>
  <c r="AI1604" i="25"/>
  <c r="AF1604" i="25"/>
  <c r="AE1604" i="25"/>
  <c r="AL1603" i="25"/>
  <c r="AK1603" i="25"/>
  <c r="AJ1603" i="25"/>
  <c r="AI1603" i="25"/>
  <c r="AF1603" i="25"/>
  <c r="AE1603" i="25"/>
  <c r="AL1602" i="25"/>
  <c r="AK1602" i="25"/>
  <c r="AJ1602" i="25"/>
  <c r="AI1602" i="25"/>
  <c r="AF1602" i="25"/>
  <c r="AE1602" i="25"/>
  <c r="AL1601" i="25"/>
  <c r="AK1601" i="25"/>
  <c r="AJ1601" i="25"/>
  <c r="AI1601" i="25"/>
  <c r="AF1601" i="25"/>
  <c r="AE1601" i="25"/>
  <c r="AL1600" i="25"/>
  <c r="AK1600" i="25"/>
  <c r="AJ1600" i="25"/>
  <c r="AI1600" i="25"/>
  <c r="AF1600" i="25"/>
  <c r="AE1600" i="25"/>
  <c r="AL1599" i="25"/>
  <c r="AK1599" i="25"/>
  <c r="AJ1599" i="25"/>
  <c r="AI1599" i="25"/>
  <c r="AF1599" i="25"/>
  <c r="AE1599" i="25"/>
  <c r="AL1598" i="25"/>
  <c r="AK1598" i="25"/>
  <c r="AJ1598" i="25"/>
  <c r="AI1598" i="25"/>
  <c r="AF1598" i="25"/>
  <c r="AE1598" i="25"/>
  <c r="AL1597" i="25"/>
  <c r="AK1597" i="25"/>
  <c r="AJ1597" i="25"/>
  <c r="AI1597" i="25"/>
  <c r="AF1597" i="25"/>
  <c r="AE1597" i="25"/>
  <c r="AL1596" i="25"/>
  <c r="AK1596" i="25"/>
  <c r="AJ1596" i="25"/>
  <c r="AI1596" i="25"/>
  <c r="AF1596" i="25"/>
  <c r="AE1596" i="25"/>
  <c r="AL1595" i="25"/>
  <c r="AK1595" i="25"/>
  <c r="AJ1595" i="25"/>
  <c r="AI1595" i="25"/>
  <c r="AF1595" i="25"/>
  <c r="AE1595" i="25"/>
  <c r="AL1594" i="25"/>
  <c r="AK1594" i="25"/>
  <c r="AJ1594" i="25"/>
  <c r="AI1594" i="25"/>
  <c r="AF1594" i="25"/>
  <c r="AE1594" i="25"/>
  <c r="AL1593" i="25"/>
  <c r="AK1593" i="25"/>
  <c r="AJ1593" i="25"/>
  <c r="AI1593" i="25"/>
  <c r="AF1593" i="25"/>
  <c r="AE1593" i="25"/>
  <c r="AL1592" i="25"/>
  <c r="AK1592" i="25"/>
  <c r="AJ1592" i="25"/>
  <c r="AI1592" i="25"/>
  <c r="AF1592" i="25"/>
  <c r="AE1592" i="25"/>
  <c r="AL1591" i="25"/>
  <c r="AK1591" i="25"/>
  <c r="AJ1591" i="25"/>
  <c r="AI1591" i="25"/>
  <c r="AF1591" i="25"/>
  <c r="AE1591" i="25"/>
  <c r="AL1590" i="25"/>
  <c r="AK1590" i="25"/>
  <c r="AJ1590" i="25"/>
  <c r="AI1590" i="25"/>
  <c r="AF1590" i="25"/>
  <c r="AE1590" i="25"/>
  <c r="AL1589" i="25"/>
  <c r="AK1589" i="25"/>
  <c r="AJ1589" i="25"/>
  <c r="AI1589" i="25"/>
  <c r="AF1589" i="25"/>
  <c r="AE1589" i="25"/>
  <c r="AL1588" i="25"/>
  <c r="AK1588" i="25"/>
  <c r="AJ1588" i="25"/>
  <c r="AI1588" i="25"/>
  <c r="AF1588" i="25"/>
  <c r="AE1588" i="25"/>
  <c r="AL1587" i="25"/>
  <c r="AK1587" i="25"/>
  <c r="AJ1587" i="25"/>
  <c r="AI1587" i="25"/>
  <c r="AF1587" i="25"/>
  <c r="AE1587" i="25"/>
  <c r="AL1586" i="25"/>
  <c r="AK1586" i="25"/>
  <c r="AJ1586" i="25"/>
  <c r="AI1586" i="25"/>
  <c r="AF1586" i="25"/>
  <c r="AE1586" i="25"/>
  <c r="AL1585" i="25"/>
  <c r="AK1585" i="25"/>
  <c r="AJ1585" i="25"/>
  <c r="AI1585" i="25"/>
  <c r="AF1585" i="25"/>
  <c r="AE1585" i="25"/>
  <c r="AL1584" i="25"/>
  <c r="AK1584" i="25"/>
  <c r="AJ1584" i="25"/>
  <c r="AI1584" i="25"/>
  <c r="AF1584" i="25"/>
  <c r="AE1584" i="25"/>
  <c r="AL1583" i="25"/>
  <c r="AK1583" i="25"/>
  <c r="AJ1583" i="25"/>
  <c r="AI1583" i="25"/>
  <c r="AF1583" i="25"/>
  <c r="AE1583" i="25"/>
  <c r="AL1582" i="25"/>
  <c r="AK1582" i="25"/>
  <c r="AJ1582" i="25"/>
  <c r="AI1582" i="25"/>
  <c r="AF1582" i="25"/>
  <c r="AE1582" i="25"/>
  <c r="AL1581" i="25"/>
  <c r="AK1581" i="25"/>
  <c r="AJ1581" i="25"/>
  <c r="AI1581" i="25"/>
  <c r="AF1581" i="25"/>
  <c r="AE1581" i="25"/>
  <c r="AL1580" i="25"/>
  <c r="AK1580" i="25"/>
  <c r="AJ1580" i="25"/>
  <c r="AI1580" i="25"/>
  <c r="AF1580" i="25"/>
  <c r="AE1580" i="25"/>
  <c r="AL1579" i="25"/>
  <c r="AK1579" i="25"/>
  <c r="AJ1579" i="25"/>
  <c r="AI1579" i="25"/>
  <c r="AF1579" i="25"/>
  <c r="AE1579" i="25"/>
  <c r="AL1578" i="25"/>
  <c r="AK1578" i="25"/>
  <c r="AJ1578" i="25"/>
  <c r="AI1578" i="25"/>
  <c r="AF1578" i="25"/>
  <c r="AE1578" i="25"/>
  <c r="AL1577" i="25"/>
  <c r="AK1577" i="25"/>
  <c r="AJ1577" i="25"/>
  <c r="AI1577" i="25"/>
  <c r="AF1577" i="25"/>
  <c r="AE1577" i="25"/>
  <c r="AL1576" i="25"/>
  <c r="AK1576" i="25"/>
  <c r="AJ1576" i="25"/>
  <c r="AI1576" i="25"/>
  <c r="AF1576" i="25"/>
  <c r="AE1576" i="25"/>
  <c r="AL1575" i="25"/>
  <c r="AK1575" i="25"/>
  <c r="AJ1575" i="25"/>
  <c r="AI1575" i="25"/>
  <c r="AF1575" i="25"/>
  <c r="AE1575" i="25"/>
  <c r="AL1574" i="25"/>
  <c r="AK1574" i="25"/>
  <c r="AJ1574" i="25"/>
  <c r="AI1574" i="25"/>
  <c r="AF1574" i="25"/>
  <c r="AE1574" i="25"/>
  <c r="AL1573" i="25"/>
  <c r="AK1573" i="25"/>
  <c r="AJ1573" i="25"/>
  <c r="AI1573" i="25"/>
  <c r="AF1573" i="25"/>
  <c r="AE1573" i="25"/>
  <c r="AE1572" i="25"/>
  <c r="AE1571" i="25"/>
  <c r="AE1570" i="25"/>
  <c r="AL1569" i="25"/>
  <c r="AK1569" i="25"/>
  <c r="AJ1569" i="25"/>
  <c r="AI1569" i="25"/>
  <c r="AF1569" i="25"/>
  <c r="AE1569" i="25"/>
  <c r="AL1568" i="25"/>
  <c r="AK1568" i="25"/>
  <c r="AJ1568" i="25"/>
  <c r="AI1568" i="25"/>
  <c r="AF1568" i="25"/>
  <c r="AE1568" i="25"/>
  <c r="AL1567" i="25"/>
  <c r="AK1567" i="25"/>
  <c r="AJ1567" i="25"/>
  <c r="AI1567" i="25"/>
  <c r="AF1567" i="25"/>
  <c r="AE1567" i="25"/>
  <c r="AL1566" i="25"/>
  <c r="AK1566" i="25"/>
  <c r="AJ1566" i="25"/>
  <c r="AI1566" i="25"/>
  <c r="AF1566" i="25"/>
  <c r="AE1566" i="25"/>
  <c r="AL1565" i="25"/>
  <c r="AK1565" i="25"/>
  <c r="AJ1565" i="25"/>
  <c r="AI1565" i="25"/>
  <c r="AF1565" i="25"/>
  <c r="AE1565" i="25"/>
  <c r="AL1564" i="25"/>
  <c r="AK1564" i="25"/>
  <c r="AJ1564" i="25"/>
  <c r="AI1564" i="25"/>
  <c r="AF1564" i="25"/>
  <c r="AE1564" i="25"/>
  <c r="AL1563" i="25"/>
  <c r="AK1563" i="25"/>
  <c r="AJ1563" i="25"/>
  <c r="AI1563" i="25"/>
  <c r="AF1563" i="25"/>
  <c r="AE1563" i="25"/>
  <c r="AL1562" i="25"/>
  <c r="AK1562" i="25"/>
  <c r="AJ1562" i="25"/>
  <c r="AI1562" i="25"/>
  <c r="AF1562" i="25"/>
  <c r="AE1562" i="25"/>
  <c r="AL1561" i="25"/>
  <c r="AK1561" i="25"/>
  <c r="AJ1561" i="25"/>
  <c r="AI1561" i="25"/>
  <c r="AF1561" i="25"/>
  <c r="AE1561" i="25"/>
  <c r="AL1560" i="25"/>
  <c r="AK1560" i="25"/>
  <c r="AJ1560" i="25"/>
  <c r="AI1560" i="25"/>
  <c r="AF1560" i="25"/>
  <c r="AE1560" i="25"/>
  <c r="AL1559" i="25"/>
  <c r="AK1559" i="25"/>
  <c r="AJ1559" i="25"/>
  <c r="AI1559" i="25"/>
  <c r="AF1559" i="25"/>
  <c r="AE1559" i="25"/>
  <c r="AL1558" i="25"/>
  <c r="AK1558" i="25"/>
  <c r="AJ1558" i="25"/>
  <c r="AI1558" i="25"/>
  <c r="AF1558" i="25"/>
  <c r="AE1558" i="25"/>
  <c r="AL1557" i="25"/>
  <c r="AK1557" i="25"/>
  <c r="AJ1557" i="25"/>
  <c r="AI1557" i="25"/>
  <c r="AF1557" i="25"/>
  <c r="AE1557" i="25"/>
  <c r="AL1556" i="25"/>
  <c r="AK1556" i="25"/>
  <c r="AJ1556" i="25"/>
  <c r="AI1556" i="25"/>
  <c r="AF1556" i="25"/>
  <c r="AE1556" i="25"/>
  <c r="AL1555" i="25"/>
  <c r="AK1555" i="25"/>
  <c r="AJ1555" i="25"/>
  <c r="AI1555" i="25"/>
  <c r="AF1555" i="25"/>
  <c r="AE1555" i="25"/>
  <c r="AL1554" i="25"/>
  <c r="AK1554" i="25"/>
  <c r="AJ1554" i="25"/>
  <c r="AI1554" i="25"/>
  <c r="AF1554" i="25"/>
  <c r="AE1554" i="25"/>
  <c r="AL1553" i="25"/>
  <c r="AK1553" i="25"/>
  <c r="AJ1553" i="25"/>
  <c r="AI1553" i="25"/>
  <c r="AF1553" i="25"/>
  <c r="AE1553" i="25"/>
  <c r="AL1552" i="25"/>
  <c r="AK1552" i="25"/>
  <c r="AJ1552" i="25"/>
  <c r="AI1552" i="25"/>
  <c r="AF1552" i="25"/>
  <c r="AE1552" i="25"/>
  <c r="AL1551" i="25"/>
  <c r="AK1551" i="25"/>
  <c r="AJ1551" i="25"/>
  <c r="AI1551" i="25"/>
  <c r="AF1551" i="25"/>
  <c r="AE1551" i="25"/>
  <c r="AL1550" i="25"/>
  <c r="AK1550" i="25"/>
  <c r="AJ1550" i="25"/>
  <c r="AI1550" i="25"/>
  <c r="AF1550" i="25"/>
  <c r="AE1550" i="25"/>
  <c r="AL1549" i="25"/>
  <c r="AK1549" i="25"/>
  <c r="AJ1549" i="25"/>
  <c r="AI1549" i="25"/>
  <c r="AF1549" i="25"/>
  <c r="AE1549" i="25"/>
  <c r="AL1548" i="25"/>
  <c r="AK1548" i="25"/>
  <c r="AJ1548" i="25"/>
  <c r="AI1548" i="25"/>
  <c r="AF1548" i="25"/>
  <c r="AE1548" i="25"/>
  <c r="AL1547" i="25"/>
  <c r="AK1547" i="25"/>
  <c r="AJ1547" i="25"/>
  <c r="AI1547" i="25"/>
  <c r="AF1547" i="25"/>
  <c r="AE1547" i="25"/>
  <c r="AL1546" i="25"/>
  <c r="AK1546" i="25"/>
  <c r="AJ1546" i="25"/>
  <c r="AI1546" i="25"/>
  <c r="AF1546" i="25"/>
  <c r="AE1546" i="25"/>
  <c r="AE1545" i="25"/>
  <c r="AL1544" i="25"/>
  <c r="AK1544" i="25"/>
  <c r="AJ1544" i="25"/>
  <c r="AI1544" i="25"/>
  <c r="AF1544" i="25"/>
  <c r="AE1544" i="25"/>
  <c r="AL1543" i="25"/>
  <c r="AK1543" i="25"/>
  <c r="AJ1543" i="25"/>
  <c r="AI1543" i="25"/>
  <c r="AF1543" i="25"/>
  <c r="AE1543" i="25"/>
  <c r="AL1542" i="25"/>
  <c r="AK1542" i="25"/>
  <c r="AJ1542" i="25"/>
  <c r="AI1542" i="25"/>
  <c r="AF1542" i="25"/>
  <c r="AE1542" i="25"/>
  <c r="AL1541" i="25"/>
  <c r="AK1541" i="25"/>
  <c r="AJ1541" i="25"/>
  <c r="AI1541" i="25"/>
  <c r="AF1541" i="25"/>
  <c r="AE1541" i="25"/>
  <c r="AL1540" i="25"/>
  <c r="AK1540" i="25"/>
  <c r="AJ1540" i="25"/>
  <c r="AI1540" i="25"/>
  <c r="AF1540" i="25"/>
  <c r="AE1540" i="25"/>
  <c r="AL1539" i="25"/>
  <c r="AK1539" i="25"/>
  <c r="AJ1539" i="25"/>
  <c r="AI1539" i="25"/>
  <c r="AF1539" i="25"/>
  <c r="AE1539" i="25"/>
  <c r="AL1538" i="25"/>
  <c r="AK1538" i="25"/>
  <c r="AJ1538" i="25"/>
  <c r="AI1538" i="25"/>
  <c r="AF1538" i="25"/>
  <c r="AE1538" i="25"/>
  <c r="AL1537" i="25"/>
  <c r="AK1537" i="25"/>
  <c r="AJ1537" i="25"/>
  <c r="AI1537" i="25"/>
  <c r="AF1537" i="25"/>
  <c r="AE1537" i="25"/>
  <c r="AL1536" i="25"/>
  <c r="AK1536" i="25"/>
  <c r="AJ1536" i="25"/>
  <c r="AI1536" i="25"/>
  <c r="AF1536" i="25"/>
  <c r="AE1536" i="25"/>
  <c r="AL1535" i="25"/>
  <c r="AK1535" i="25"/>
  <c r="AJ1535" i="25"/>
  <c r="AI1535" i="25"/>
  <c r="AF1535" i="25"/>
  <c r="AE1535" i="25"/>
  <c r="AL1534" i="25"/>
  <c r="AK1534" i="25"/>
  <c r="AJ1534" i="25"/>
  <c r="AI1534" i="25"/>
  <c r="AF1534" i="25"/>
  <c r="AE1534" i="25"/>
  <c r="AL1533" i="25"/>
  <c r="AK1533" i="25"/>
  <c r="AJ1533" i="25"/>
  <c r="AI1533" i="25"/>
  <c r="AF1533" i="25"/>
  <c r="AE1533" i="25"/>
  <c r="AL1532" i="25"/>
  <c r="AK1532" i="25"/>
  <c r="AJ1532" i="25"/>
  <c r="AI1532" i="25"/>
  <c r="AF1532" i="25"/>
  <c r="AE1532" i="25"/>
  <c r="AL1531" i="25"/>
  <c r="AK1531" i="25"/>
  <c r="AJ1531" i="25"/>
  <c r="AI1531" i="25"/>
  <c r="AF1531" i="25"/>
  <c r="AE1531" i="25"/>
  <c r="AL1530" i="25"/>
  <c r="AK1530" i="25"/>
  <c r="AJ1530" i="25"/>
  <c r="AI1530" i="25"/>
  <c r="AF1530" i="25"/>
  <c r="AE1530" i="25"/>
  <c r="AL1529" i="25"/>
  <c r="AK1529" i="25"/>
  <c r="AJ1529" i="25"/>
  <c r="AI1529" i="25"/>
  <c r="AF1529" i="25"/>
  <c r="AE1529" i="25"/>
  <c r="AL1528" i="25"/>
  <c r="AK1528" i="25"/>
  <c r="AJ1528" i="25"/>
  <c r="AI1528" i="25"/>
  <c r="AF1528" i="25"/>
  <c r="AE1528" i="25"/>
  <c r="AL1527" i="25"/>
  <c r="AK1527" i="25"/>
  <c r="AJ1527" i="25"/>
  <c r="AI1527" i="25"/>
  <c r="AF1527" i="25"/>
  <c r="AE1527" i="25"/>
  <c r="AL1526" i="25"/>
  <c r="AK1526" i="25"/>
  <c r="AJ1526" i="25"/>
  <c r="AI1526" i="25"/>
  <c r="AF1526" i="25"/>
  <c r="AE1526" i="25"/>
  <c r="AL1525" i="25"/>
  <c r="AK1525" i="25"/>
  <c r="AJ1525" i="25"/>
  <c r="AI1525" i="25"/>
  <c r="AF1525" i="25"/>
  <c r="AE1525" i="25"/>
  <c r="AL1524" i="25"/>
  <c r="AK1524" i="25"/>
  <c r="AJ1524" i="25"/>
  <c r="AI1524" i="25"/>
  <c r="AF1524" i="25"/>
  <c r="AE1524" i="25"/>
  <c r="AL1523" i="25"/>
  <c r="AK1523" i="25"/>
  <c r="AJ1523" i="25"/>
  <c r="AI1523" i="25"/>
  <c r="AF1523" i="25"/>
  <c r="AE1523" i="25"/>
  <c r="AL1522" i="25"/>
  <c r="AK1522" i="25"/>
  <c r="AJ1522" i="25"/>
  <c r="AI1522" i="25"/>
  <c r="AF1522" i="25"/>
  <c r="AE1522" i="25"/>
  <c r="AL1521" i="25"/>
  <c r="AK1521" i="25"/>
  <c r="AJ1521" i="25"/>
  <c r="AI1521" i="25"/>
  <c r="AF1521" i="25"/>
  <c r="AE1521" i="25"/>
  <c r="AL1520" i="25"/>
  <c r="AK1520" i="25"/>
  <c r="AJ1520" i="25"/>
  <c r="AI1520" i="25"/>
  <c r="AF1520" i="25"/>
  <c r="AE1520" i="25"/>
  <c r="AL1519" i="25"/>
  <c r="AK1519" i="25"/>
  <c r="AJ1519" i="25"/>
  <c r="AI1519" i="25"/>
  <c r="AF1519" i="25"/>
  <c r="AE1519" i="25"/>
  <c r="AL1518" i="25"/>
  <c r="AK1518" i="25"/>
  <c r="AJ1518" i="25"/>
  <c r="AI1518" i="25"/>
  <c r="AF1518" i="25"/>
  <c r="AE1518" i="25"/>
  <c r="AL1517" i="25"/>
  <c r="AK1517" i="25"/>
  <c r="AJ1517" i="25"/>
  <c r="AI1517" i="25"/>
  <c r="AF1517" i="25"/>
  <c r="AE1517" i="25"/>
  <c r="AL1516" i="25"/>
  <c r="AK1516" i="25"/>
  <c r="AJ1516" i="25"/>
  <c r="AI1516" i="25"/>
  <c r="AF1516" i="25"/>
  <c r="AE1516" i="25"/>
  <c r="AL1515" i="25"/>
  <c r="AK1515" i="25"/>
  <c r="AJ1515" i="25"/>
  <c r="AI1515" i="25"/>
  <c r="AF1515" i="25"/>
  <c r="AE1515" i="25"/>
  <c r="AL1514" i="25"/>
  <c r="AK1514" i="25"/>
  <c r="AJ1514" i="25"/>
  <c r="AI1514" i="25"/>
  <c r="AF1514" i="25"/>
  <c r="AE1514" i="25"/>
  <c r="AL1513" i="25"/>
  <c r="AK1513" i="25"/>
  <c r="AJ1513" i="25"/>
  <c r="AI1513" i="25"/>
  <c r="AF1513" i="25"/>
  <c r="AE1513" i="25"/>
  <c r="AL1512" i="25"/>
  <c r="AK1512" i="25"/>
  <c r="AJ1512" i="25"/>
  <c r="AI1512" i="25"/>
  <c r="AF1512" i="25"/>
  <c r="AE1512" i="25"/>
  <c r="AL1511" i="25"/>
  <c r="AK1511" i="25"/>
  <c r="AJ1511" i="25"/>
  <c r="AI1511" i="25"/>
  <c r="AF1511" i="25"/>
  <c r="AE1511" i="25"/>
  <c r="AL1510" i="25"/>
  <c r="AK1510" i="25"/>
  <c r="AJ1510" i="25"/>
  <c r="AI1510" i="25"/>
  <c r="AF1510" i="25"/>
  <c r="AE1510" i="25"/>
  <c r="AL1509" i="25"/>
  <c r="AK1509" i="25"/>
  <c r="AJ1509" i="25"/>
  <c r="AI1509" i="25"/>
  <c r="AF1509" i="25"/>
  <c r="AE1509" i="25"/>
  <c r="AL1508" i="25"/>
  <c r="AK1508" i="25"/>
  <c r="AJ1508" i="25"/>
  <c r="AI1508" i="25"/>
  <c r="AF1508" i="25"/>
  <c r="AE1508" i="25"/>
  <c r="AL1507" i="25"/>
  <c r="AK1507" i="25"/>
  <c r="AJ1507" i="25"/>
  <c r="AI1507" i="25"/>
  <c r="AF1507" i="25"/>
  <c r="AE1507" i="25"/>
  <c r="AL1506" i="25"/>
  <c r="AK1506" i="25"/>
  <c r="AJ1506" i="25"/>
  <c r="AI1506" i="25"/>
  <c r="AF1506" i="25"/>
  <c r="AE1506" i="25"/>
  <c r="AL1505" i="25"/>
  <c r="AK1505" i="25"/>
  <c r="AJ1505" i="25"/>
  <c r="AI1505" i="25"/>
  <c r="AF1505" i="25"/>
  <c r="AE1505" i="25"/>
  <c r="AL1504" i="25"/>
  <c r="AK1504" i="25"/>
  <c r="AJ1504" i="25"/>
  <c r="AI1504" i="25"/>
  <c r="AF1504" i="25"/>
  <c r="AE1504" i="25"/>
  <c r="AL1503" i="25"/>
  <c r="AK1503" i="25"/>
  <c r="AJ1503" i="25"/>
  <c r="AI1503" i="25"/>
  <c r="AF1503" i="25"/>
  <c r="AE1503" i="25"/>
  <c r="AL1502" i="25"/>
  <c r="AK1502" i="25"/>
  <c r="AJ1502" i="25"/>
  <c r="AI1502" i="25"/>
  <c r="AF1502" i="25"/>
  <c r="AE1502" i="25"/>
  <c r="AL1501" i="25"/>
  <c r="AK1501" i="25"/>
  <c r="AJ1501" i="25"/>
  <c r="AI1501" i="25"/>
  <c r="AF1501" i="25"/>
  <c r="AE1501" i="25"/>
  <c r="AL1500" i="25"/>
  <c r="AK1500" i="25"/>
  <c r="AJ1500" i="25"/>
  <c r="AI1500" i="25"/>
  <c r="AF1500" i="25"/>
  <c r="AE1500" i="25"/>
  <c r="AL1499" i="25"/>
  <c r="AK1499" i="25"/>
  <c r="AJ1499" i="25"/>
  <c r="AI1499" i="25"/>
  <c r="AF1499" i="25"/>
  <c r="AE1499" i="25"/>
  <c r="AL1498" i="25"/>
  <c r="AK1498" i="25"/>
  <c r="AJ1498" i="25"/>
  <c r="AI1498" i="25"/>
  <c r="AF1498" i="25"/>
  <c r="AE1498" i="25"/>
  <c r="AL1497" i="25"/>
  <c r="AK1497" i="25"/>
  <c r="AJ1497" i="25"/>
  <c r="AI1497" i="25"/>
  <c r="AF1497" i="25"/>
  <c r="AE1497" i="25"/>
  <c r="AL1496" i="25"/>
  <c r="AK1496" i="25"/>
  <c r="AJ1496" i="25"/>
  <c r="AI1496" i="25"/>
  <c r="AF1496" i="25"/>
  <c r="AE1496" i="25"/>
  <c r="AL1495" i="25"/>
  <c r="AK1495" i="25"/>
  <c r="AJ1495" i="25"/>
  <c r="AI1495" i="25"/>
  <c r="AF1495" i="25"/>
  <c r="AE1495" i="25"/>
  <c r="AL1494" i="25"/>
  <c r="AK1494" i="25"/>
  <c r="AJ1494" i="25"/>
  <c r="AI1494" i="25"/>
  <c r="AF1494" i="25"/>
  <c r="AE1494" i="25"/>
  <c r="AL1493" i="25"/>
  <c r="AK1493" i="25"/>
  <c r="AJ1493" i="25"/>
  <c r="AI1493" i="25"/>
  <c r="AF1493" i="25"/>
  <c r="AE1493" i="25"/>
  <c r="AL1492" i="25"/>
  <c r="AK1492" i="25"/>
  <c r="AJ1492" i="25"/>
  <c r="AI1492" i="25"/>
  <c r="AF1492" i="25"/>
  <c r="AE1492" i="25"/>
  <c r="AL1491" i="25"/>
  <c r="AK1491" i="25"/>
  <c r="AJ1491" i="25"/>
  <c r="AI1491" i="25"/>
  <c r="AF1491" i="25"/>
  <c r="AE1491" i="25"/>
  <c r="AL1490" i="25"/>
  <c r="AK1490" i="25"/>
  <c r="AJ1490" i="25"/>
  <c r="AI1490" i="25"/>
  <c r="AF1490" i="25"/>
  <c r="AE1490" i="25"/>
  <c r="AL1489" i="25"/>
  <c r="AK1489" i="25"/>
  <c r="AJ1489" i="25"/>
  <c r="AI1489" i="25"/>
  <c r="AF1489" i="25"/>
  <c r="AE1489" i="25"/>
  <c r="AL1488" i="25"/>
  <c r="AK1488" i="25"/>
  <c r="AJ1488" i="25"/>
  <c r="AI1488" i="25"/>
  <c r="AF1488" i="25"/>
  <c r="AE1488" i="25"/>
  <c r="AL1487" i="25"/>
  <c r="AK1487" i="25"/>
  <c r="AJ1487" i="25"/>
  <c r="AI1487" i="25"/>
  <c r="AF1487" i="25"/>
  <c r="AE1487" i="25"/>
  <c r="AL1486" i="25"/>
  <c r="AK1486" i="25"/>
  <c r="AJ1486" i="25"/>
  <c r="AI1486" i="25"/>
  <c r="AF1486" i="25"/>
  <c r="AE1486" i="25"/>
  <c r="AL1485" i="25"/>
  <c r="AK1485" i="25"/>
  <c r="AJ1485" i="25"/>
  <c r="AI1485" i="25"/>
  <c r="AF1485" i="25"/>
  <c r="AE1485" i="25"/>
  <c r="AL1484" i="25"/>
  <c r="AK1484" i="25"/>
  <c r="AJ1484" i="25"/>
  <c r="AI1484" i="25"/>
  <c r="AF1484" i="25"/>
  <c r="AE1484" i="25"/>
  <c r="AL1483" i="25"/>
  <c r="AK1483" i="25"/>
  <c r="AJ1483" i="25"/>
  <c r="AI1483" i="25"/>
  <c r="AF1483" i="25"/>
  <c r="AE1483" i="25"/>
  <c r="AL1482" i="25"/>
  <c r="AK1482" i="25"/>
  <c r="AJ1482" i="25"/>
  <c r="AI1482" i="25"/>
  <c r="AF1482" i="25"/>
  <c r="AE1482" i="25"/>
  <c r="AL1481" i="25"/>
  <c r="AK1481" i="25"/>
  <c r="AJ1481" i="25"/>
  <c r="AI1481" i="25"/>
  <c r="AF1481" i="25"/>
  <c r="AE1481" i="25"/>
  <c r="AL1480" i="25"/>
  <c r="AK1480" i="25"/>
  <c r="AJ1480" i="25"/>
  <c r="AI1480" i="25"/>
  <c r="AF1480" i="25"/>
  <c r="AE1480" i="25"/>
  <c r="AL1479" i="25"/>
  <c r="AK1479" i="25"/>
  <c r="AJ1479" i="25"/>
  <c r="AI1479" i="25"/>
  <c r="AF1479" i="25"/>
  <c r="AE1479" i="25"/>
  <c r="AL1478" i="25"/>
  <c r="AK1478" i="25"/>
  <c r="AJ1478" i="25"/>
  <c r="AI1478" i="25"/>
  <c r="AF1478" i="25"/>
  <c r="AE1478" i="25"/>
  <c r="AL1477" i="25"/>
  <c r="AK1477" i="25"/>
  <c r="AJ1477" i="25"/>
  <c r="AI1477" i="25"/>
  <c r="AF1477" i="25"/>
  <c r="AE1477" i="25"/>
  <c r="AL1476" i="25"/>
  <c r="AK1476" i="25"/>
  <c r="AJ1476" i="25"/>
  <c r="AI1476" i="25"/>
  <c r="AF1476" i="25"/>
  <c r="AE1476" i="25"/>
  <c r="AL1475" i="25"/>
  <c r="AK1475" i="25"/>
  <c r="AJ1475" i="25"/>
  <c r="AI1475" i="25"/>
  <c r="AF1475" i="25"/>
  <c r="AE1475" i="25"/>
  <c r="AL1474" i="25"/>
  <c r="AK1474" i="25"/>
  <c r="AJ1474" i="25"/>
  <c r="AI1474" i="25"/>
  <c r="AF1474" i="25"/>
  <c r="AE1474" i="25"/>
  <c r="AL1473" i="25"/>
  <c r="AK1473" i="25"/>
  <c r="AJ1473" i="25"/>
  <c r="AI1473" i="25"/>
  <c r="AF1473" i="25"/>
  <c r="AE1473" i="25"/>
  <c r="AL1472" i="25"/>
  <c r="AK1472" i="25"/>
  <c r="AJ1472" i="25"/>
  <c r="AI1472" i="25"/>
  <c r="AF1472" i="25"/>
  <c r="AE1472" i="25"/>
  <c r="AL1471" i="25"/>
  <c r="AK1471" i="25"/>
  <c r="AJ1471" i="25"/>
  <c r="AI1471" i="25"/>
  <c r="AF1471" i="25"/>
  <c r="AE1471" i="25"/>
  <c r="AL1470" i="25"/>
  <c r="AK1470" i="25"/>
  <c r="AJ1470" i="25"/>
  <c r="AI1470" i="25"/>
  <c r="AF1470" i="25"/>
  <c r="AE1470" i="25"/>
  <c r="AL1469" i="25"/>
  <c r="AK1469" i="25"/>
  <c r="AJ1469" i="25"/>
  <c r="AI1469" i="25"/>
  <c r="AF1469" i="25"/>
  <c r="AE1469" i="25"/>
  <c r="AL1468" i="25"/>
  <c r="AK1468" i="25"/>
  <c r="AJ1468" i="25"/>
  <c r="AI1468" i="25"/>
  <c r="AF1468" i="25"/>
  <c r="AE1468" i="25"/>
  <c r="AL1467" i="25"/>
  <c r="AK1467" i="25"/>
  <c r="AJ1467" i="25"/>
  <c r="AI1467" i="25"/>
  <c r="AF1467" i="25"/>
  <c r="AE1467" i="25"/>
  <c r="AL1466" i="25"/>
  <c r="AK1466" i="25"/>
  <c r="AJ1466" i="25"/>
  <c r="AI1466" i="25"/>
  <c r="AF1466" i="25"/>
  <c r="AE1466" i="25"/>
  <c r="AL1465" i="25"/>
  <c r="AK1465" i="25"/>
  <c r="AJ1465" i="25"/>
  <c r="AI1465" i="25"/>
  <c r="AF1465" i="25"/>
  <c r="AE1465" i="25"/>
  <c r="AL1464" i="25"/>
  <c r="AK1464" i="25"/>
  <c r="AJ1464" i="25"/>
  <c r="AI1464" i="25"/>
  <c r="AF1464" i="25"/>
  <c r="AE1464" i="25"/>
  <c r="AL1463" i="25"/>
  <c r="AK1463" i="25"/>
  <c r="AJ1463" i="25"/>
  <c r="AI1463" i="25"/>
  <c r="AF1463" i="25"/>
  <c r="AE1463" i="25"/>
  <c r="AL1462" i="25"/>
  <c r="AK1462" i="25"/>
  <c r="AJ1462" i="25"/>
  <c r="AI1462" i="25"/>
  <c r="AF1462" i="25"/>
  <c r="AE1462" i="25"/>
  <c r="AL1461" i="25"/>
  <c r="AK1461" i="25"/>
  <c r="AJ1461" i="25"/>
  <c r="AI1461" i="25"/>
  <c r="AF1461" i="25"/>
  <c r="AE1461" i="25"/>
  <c r="AL1460" i="25"/>
  <c r="AK1460" i="25"/>
  <c r="AJ1460" i="25"/>
  <c r="AI1460" i="25"/>
  <c r="AF1460" i="25"/>
  <c r="AE1460" i="25"/>
  <c r="AL1459" i="25"/>
  <c r="AK1459" i="25"/>
  <c r="AJ1459" i="25"/>
  <c r="AI1459" i="25"/>
  <c r="AF1459" i="25"/>
  <c r="AE1459" i="25"/>
  <c r="AL1458" i="25"/>
  <c r="AK1458" i="25"/>
  <c r="AJ1458" i="25"/>
  <c r="AI1458" i="25"/>
  <c r="AF1458" i="25"/>
  <c r="AE1458" i="25"/>
  <c r="AL1457" i="25"/>
  <c r="AK1457" i="25"/>
  <c r="AJ1457" i="25"/>
  <c r="AI1457" i="25"/>
  <c r="AF1457" i="25"/>
  <c r="AE1457" i="25"/>
  <c r="AL1456" i="25"/>
  <c r="AK1456" i="25"/>
  <c r="AJ1456" i="25"/>
  <c r="AI1456" i="25"/>
  <c r="AF1456" i="25"/>
  <c r="AE1456" i="25"/>
  <c r="AL1455" i="25"/>
  <c r="AK1455" i="25"/>
  <c r="AJ1455" i="25"/>
  <c r="AI1455" i="25"/>
  <c r="AF1455" i="25"/>
  <c r="AE1455" i="25"/>
  <c r="AL1454" i="25"/>
  <c r="AK1454" i="25"/>
  <c r="AJ1454" i="25"/>
  <c r="AI1454" i="25"/>
  <c r="AF1454" i="25"/>
  <c r="AE1454" i="25"/>
  <c r="AL1453" i="25"/>
  <c r="AK1453" i="25"/>
  <c r="AJ1453" i="25"/>
  <c r="AI1453" i="25"/>
  <c r="AF1453" i="25"/>
  <c r="AE1453" i="25"/>
  <c r="AL1452" i="25"/>
  <c r="AK1452" i="25"/>
  <c r="AJ1452" i="25"/>
  <c r="AI1452" i="25"/>
  <c r="AF1452" i="25"/>
  <c r="AE1452" i="25"/>
  <c r="AL1451" i="25"/>
  <c r="AK1451" i="25"/>
  <c r="AJ1451" i="25"/>
  <c r="AI1451" i="25"/>
  <c r="AF1451" i="25"/>
  <c r="AE1451" i="25"/>
  <c r="AL1450" i="25"/>
  <c r="AK1450" i="25"/>
  <c r="AJ1450" i="25"/>
  <c r="AI1450" i="25"/>
  <c r="AF1450" i="25"/>
  <c r="AE1450" i="25"/>
  <c r="AL1449" i="25"/>
  <c r="AK1449" i="25"/>
  <c r="AJ1449" i="25"/>
  <c r="AI1449" i="25"/>
  <c r="AF1449" i="25"/>
  <c r="AE1449" i="25"/>
  <c r="AL1448" i="25"/>
  <c r="AK1448" i="25"/>
  <c r="AJ1448" i="25"/>
  <c r="AI1448" i="25"/>
  <c r="AF1448" i="25"/>
  <c r="AE1448" i="25"/>
  <c r="AL1447" i="25"/>
  <c r="AK1447" i="25"/>
  <c r="AJ1447" i="25"/>
  <c r="AI1447" i="25"/>
  <c r="AF1447" i="25"/>
  <c r="AE1447" i="25"/>
  <c r="AL1446" i="25"/>
  <c r="AK1446" i="25"/>
  <c r="AJ1446" i="25"/>
  <c r="AI1446" i="25"/>
  <c r="AF1446" i="25"/>
  <c r="AE1446" i="25"/>
  <c r="AL1445" i="25"/>
  <c r="AK1445" i="25"/>
  <c r="AJ1445" i="25"/>
  <c r="AI1445" i="25"/>
  <c r="AF1445" i="25"/>
  <c r="AE1445" i="25"/>
  <c r="AL1444" i="25"/>
  <c r="AK1444" i="25"/>
  <c r="AJ1444" i="25"/>
  <c r="AI1444" i="25"/>
  <c r="AF1444" i="25"/>
  <c r="AE1444" i="25"/>
  <c r="AL1443" i="25"/>
  <c r="AK1443" i="25"/>
  <c r="AJ1443" i="25"/>
  <c r="AI1443" i="25"/>
  <c r="AF1443" i="25"/>
  <c r="AE1443" i="25"/>
  <c r="AL1442" i="25"/>
  <c r="AK1442" i="25"/>
  <c r="AJ1442" i="25"/>
  <c r="AI1442" i="25"/>
  <c r="AF1442" i="25"/>
  <c r="AE1442" i="25"/>
  <c r="AL1441" i="25"/>
  <c r="AK1441" i="25"/>
  <c r="AJ1441" i="25"/>
  <c r="AI1441" i="25"/>
  <c r="AF1441" i="25"/>
  <c r="AE1441" i="25"/>
  <c r="AL1440" i="25"/>
  <c r="AK1440" i="25"/>
  <c r="AJ1440" i="25"/>
  <c r="AI1440" i="25"/>
  <c r="AF1440" i="25"/>
  <c r="AE1440" i="25"/>
  <c r="AL1439" i="25"/>
  <c r="AK1439" i="25"/>
  <c r="AJ1439" i="25"/>
  <c r="AI1439" i="25"/>
  <c r="AF1439" i="25"/>
  <c r="AE1439" i="25"/>
  <c r="AL1438" i="25"/>
  <c r="AK1438" i="25"/>
  <c r="AJ1438" i="25"/>
  <c r="AI1438" i="25"/>
  <c r="AF1438" i="25"/>
  <c r="AE1438" i="25"/>
  <c r="AL1437" i="25"/>
  <c r="AK1437" i="25"/>
  <c r="AJ1437" i="25"/>
  <c r="AI1437" i="25"/>
  <c r="AF1437" i="25"/>
  <c r="AE1437" i="25"/>
  <c r="AL1436" i="25"/>
  <c r="AK1436" i="25"/>
  <c r="AJ1436" i="25"/>
  <c r="AI1436" i="25"/>
  <c r="AF1436" i="25"/>
  <c r="AE1436" i="25"/>
  <c r="AL1435" i="25"/>
  <c r="AK1435" i="25"/>
  <c r="AJ1435" i="25"/>
  <c r="AI1435" i="25"/>
  <c r="AF1435" i="25"/>
  <c r="AE1435" i="25"/>
  <c r="AL1434" i="25"/>
  <c r="AK1434" i="25"/>
  <c r="AJ1434" i="25"/>
  <c r="AI1434" i="25"/>
  <c r="AF1434" i="25"/>
  <c r="AE1434" i="25"/>
  <c r="AL1433" i="25"/>
  <c r="AK1433" i="25"/>
  <c r="AJ1433" i="25"/>
  <c r="AI1433" i="25"/>
  <c r="AF1433" i="25"/>
  <c r="AE1433" i="25"/>
  <c r="AL1432" i="25"/>
  <c r="AK1432" i="25"/>
  <c r="AJ1432" i="25"/>
  <c r="AI1432" i="25"/>
  <c r="AF1432" i="25"/>
  <c r="AE1432" i="25"/>
  <c r="AL1431" i="25"/>
  <c r="AK1431" i="25"/>
  <c r="AJ1431" i="25"/>
  <c r="AI1431" i="25"/>
  <c r="AF1431" i="25"/>
  <c r="AE1431" i="25"/>
  <c r="AL1430" i="25"/>
  <c r="AK1430" i="25"/>
  <c r="AJ1430" i="25"/>
  <c r="AI1430" i="25"/>
  <c r="AF1430" i="25"/>
  <c r="AE1430" i="25"/>
  <c r="AL1429" i="25"/>
  <c r="AK1429" i="25"/>
  <c r="AJ1429" i="25"/>
  <c r="AI1429" i="25"/>
  <c r="AF1429" i="25"/>
  <c r="AE1429" i="25"/>
  <c r="AL1428" i="25"/>
  <c r="AK1428" i="25"/>
  <c r="AJ1428" i="25"/>
  <c r="AI1428" i="25"/>
  <c r="AF1428" i="25"/>
  <c r="AE1428" i="25"/>
  <c r="AL1427" i="25"/>
  <c r="AK1427" i="25"/>
  <c r="AJ1427" i="25"/>
  <c r="AI1427" i="25"/>
  <c r="AF1427" i="25"/>
  <c r="AE1427" i="25"/>
  <c r="AL1426" i="25"/>
  <c r="AK1426" i="25"/>
  <c r="AJ1426" i="25"/>
  <c r="AI1426" i="25"/>
  <c r="AF1426" i="25"/>
  <c r="AE1426" i="25"/>
  <c r="AL1425" i="25"/>
  <c r="AK1425" i="25"/>
  <c r="AJ1425" i="25"/>
  <c r="AI1425" i="25"/>
  <c r="AF1425" i="25"/>
  <c r="AE1425" i="25"/>
  <c r="AL1424" i="25"/>
  <c r="AK1424" i="25"/>
  <c r="AJ1424" i="25"/>
  <c r="AI1424" i="25"/>
  <c r="AF1424" i="25"/>
  <c r="AE1424" i="25"/>
  <c r="AL1423" i="25"/>
  <c r="AK1423" i="25"/>
  <c r="AJ1423" i="25"/>
  <c r="AI1423" i="25"/>
  <c r="AF1423" i="25"/>
  <c r="AE1423" i="25"/>
  <c r="AL1422" i="25"/>
  <c r="AK1422" i="25"/>
  <c r="AJ1422" i="25"/>
  <c r="AI1422" i="25"/>
  <c r="AF1422" i="25"/>
  <c r="AE1422" i="25"/>
  <c r="AL1421" i="25"/>
  <c r="AK1421" i="25"/>
  <c r="AJ1421" i="25"/>
  <c r="AI1421" i="25"/>
  <c r="AF1421" i="25"/>
  <c r="AE1421" i="25"/>
  <c r="AL1420" i="25"/>
  <c r="AK1420" i="25"/>
  <c r="AJ1420" i="25"/>
  <c r="AI1420" i="25"/>
  <c r="AF1420" i="25"/>
  <c r="AE1420" i="25"/>
  <c r="AL1419" i="25"/>
  <c r="AK1419" i="25"/>
  <c r="AJ1419" i="25"/>
  <c r="AI1419" i="25"/>
  <c r="AF1419" i="25"/>
  <c r="AE1419" i="25"/>
  <c r="AL1418" i="25"/>
  <c r="AK1418" i="25"/>
  <c r="AJ1418" i="25"/>
  <c r="AI1418" i="25"/>
  <c r="AF1418" i="25"/>
  <c r="AE1418" i="25"/>
  <c r="AL1417" i="25"/>
  <c r="AK1417" i="25"/>
  <c r="AJ1417" i="25"/>
  <c r="AI1417" i="25"/>
  <c r="AF1417" i="25"/>
  <c r="AE1417" i="25"/>
  <c r="AL1416" i="25"/>
  <c r="AK1416" i="25"/>
  <c r="AJ1416" i="25"/>
  <c r="AI1416" i="25"/>
  <c r="AF1416" i="25"/>
  <c r="AE1416" i="25"/>
  <c r="AL1415" i="25"/>
  <c r="AK1415" i="25"/>
  <c r="AJ1415" i="25"/>
  <c r="AI1415" i="25"/>
  <c r="AF1415" i="25"/>
  <c r="AE1415" i="25"/>
  <c r="AL1414" i="25"/>
  <c r="AK1414" i="25"/>
  <c r="AJ1414" i="25"/>
  <c r="AI1414" i="25"/>
  <c r="AF1414" i="25"/>
  <c r="AE1414" i="25"/>
  <c r="AL1413" i="25"/>
  <c r="AK1413" i="25"/>
  <c r="AJ1413" i="25"/>
  <c r="AI1413" i="25"/>
  <c r="AF1413" i="25"/>
  <c r="AE1413" i="25"/>
  <c r="AL1412" i="25"/>
  <c r="AK1412" i="25"/>
  <c r="AJ1412" i="25"/>
  <c r="AI1412" i="25"/>
  <c r="AF1412" i="25"/>
  <c r="AE1412" i="25"/>
  <c r="AL1411" i="25"/>
  <c r="AK1411" i="25"/>
  <c r="AJ1411" i="25"/>
  <c r="AI1411" i="25"/>
  <c r="AF1411" i="25"/>
  <c r="AE1411" i="25"/>
  <c r="AL1410" i="25"/>
  <c r="AK1410" i="25"/>
  <c r="AJ1410" i="25"/>
  <c r="AI1410" i="25"/>
  <c r="AF1410" i="25"/>
  <c r="AE1410" i="25"/>
  <c r="AL1409" i="25"/>
  <c r="AK1409" i="25"/>
  <c r="AJ1409" i="25"/>
  <c r="AI1409" i="25"/>
  <c r="AF1409" i="25"/>
  <c r="AE1409" i="25"/>
  <c r="AL1408" i="25"/>
  <c r="AK1408" i="25"/>
  <c r="AJ1408" i="25"/>
  <c r="AI1408" i="25"/>
  <c r="AF1408" i="25"/>
  <c r="AE1408" i="25"/>
  <c r="AL1407" i="25"/>
  <c r="AK1407" i="25"/>
  <c r="AJ1407" i="25"/>
  <c r="AI1407" i="25"/>
  <c r="AF1407" i="25"/>
  <c r="AE1407" i="25"/>
  <c r="AL1406" i="25"/>
  <c r="AK1406" i="25"/>
  <c r="AJ1406" i="25"/>
  <c r="AI1406" i="25"/>
  <c r="AF1406" i="25"/>
  <c r="AE1406" i="25"/>
  <c r="AL1405" i="25"/>
  <c r="AK1405" i="25"/>
  <c r="AJ1405" i="25"/>
  <c r="AI1405" i="25"/>
  <c r="AF1405" i="25"/>
  <c r="AE1405" i="25"/>
  <c r="AL1404" i="25"/>
  <c r="AK1404" i="25"/>
  <c r="AJ1404" i="25"/>
  <c r="AI1404" i="25"/>
  <c r="AF1404" i="25"/>
  <c r="AE1404" i="25"/>
  <c r="AL1403" i="25"/>
  <c r="AK1403" i="25"/>
  <c r="AJ1403" i="25"/>
  <c r="AI1403" i="25"/>
  <c r="AF1403" i="25"/>
  <c r="AE1403" i="25"/>
  <c r="AL1402" i="25"/>
  <c r="AK1402" i="25"/>
  <c r="AJ1402" i="25"/>
  <c r="AI1402" i="25"/>
  <c r="AF1402" i="25"/>
  <c r="AE1402" i="25"/>
  <c r="AL1401" i="25"/>
  <c r="AK1401" i="25"/>
  <c r="AJ1401" i="25"/>
  <c r="AI1401" i="25"/>
  <c r="AF1401" i="25"/>
  <c r="AE1401" i="25"/>
  <c r="AL1400" i="25"/>
  <c r="AK1400" i="25"/>
  <c r="AJ1400" i="25"/>
  <c r="AI1400" i="25"/>
  <c r="AF1400" i="25"/>
  <c r="AE1400" i="25"/>
  <c r="AL1399" i="25"/>
  <c r="AK1399" i="25"/>
  <c r="AJ1399" i="25"/>
  <c r="AI1399" i="25"/>
  <c r="AF1399" i="25"/>
  <c r="AE1399" i="25"/>
  <c r="AL1398" i="25"/>
  <c r="AK1398" i="25"/>
  <c r="AJ1398" i="25"/>
  <c r="AI1398" i="25"/>
  <c r="AF1398" i="25"/>
  <c r="AE1398" i="25"/>
  <c r="AL1397" i="25"/>
  <c r="AK1397" i="25"/>
  <c r="AJ1397" i="25"/>
  <c r="AI1397" i="25"/>
  <c r="AF1397" i="25"/>
  <c r="AE1397" i="25"/>
  <c r="AL1396" i="25"/>
  <c r="AK1396" i="25"/>
  <c r="AJ1396" i="25"/>
  <c r="AI1396" i="25"/>
  <c r="AF1396" i="25"/>
  <c r="AE1396" i="25"/>
  <c r="AL1395" i="25"/>
  <c r="AK1395" i="25"/>
  <c r="AJ1395" i="25"/>
  <c r="AI1395" i="25"/>
  <c r="AF1395" i="25"/>
  <c r="AE1395" i="25"/>
  <c r="AL1394" i="25"/>
  <c r="AK1394" i="25"/>
  <c r="AJ1394" i="25"/>
  <c r="AI1394" i="25"/>
  <c r="AF1394" i="25"/>
  <c r="AE1394" i="25"/>
  <c r="AL1393" i="25"/>
  <c r="AK1393" i="25"/>
  <c r="AJ1393" i="25"/>
  <c r="AI1393" i="25"/>
  <c r="AF1393" i="25"/>
  <c r="AE1393" i="25"/>
  <c r="AL1392" i="25"/>
  <c r="AK1392" i="25"/>
  <c r="AJ1392" i="25"/>
  <c r="AI1392" i="25"/>
  <c r="AF1392" i="25"/>
  <c r="AE1392" i="25"/>
  <c r="AL1391" i="25"/>
  <c r="AK1391" i="25"/>
  <c r="AJ1391" i="25"/>
  <c r="AI1391" i="25"/>
  <c r="AF1391" i="25"/>
  <c r="AE1391" i="25"/>
  <c r="AL1390" i="25"/>
  <c r="AK1390" i="25"/>
  <c r="AJ1390" i="25"/>
  <c r="AI1390" i="25"/>
  <c r="AF1390" i="25"/>
  <c r="AE1390" i="25"/>
  <c r="AL1389" i="25"/>
  <c r="AK1389" i="25"/>
  <c r="AJ1389" i="25"/>
  <c r="AI1389" i="25"/>
  <c r="AF1389" i="25"/>
  <c r="AE1389" i="25"/>
  <c r="AL1388" i="25"/>
  <c r="AK1388" i="25"/>
  <c r="AJ1388" i="25"/>
  <c r="AI1388" i="25"/>
  <c r="AF1388" i="25"/>
  <c r="AE1388" i="25"/>
  <c r="AL1387" i="25"/>
  <c r="AK1387" i="25"/>
  <c r="AJ1387" i="25"/>
  <c r="AI1387" i="25"/>
  <c r="AF1387" i="25"/>
  <c r="AE1387" i="25"/>
  <c r="AL1386" i="25"/>
  <c r="AK1386" i="25"/>
  <c r="AJ1386" i="25"/>
  <c r="AI1386" i="25"/>
  <c r="AF1386" i="25"/>
  <c r="AE1386" i="25"/>
  <c r="AL1385" i="25"/>
  <c r="AK1385" i="25"/>
  <c r="AJ1385" i="25"/>
  <c r="AI1385" i="25"/>
  <c r="AF1385" i="25"/>
  <c r="AE1385" i="25"/>
  <c r="AL1384" i="25"/>
  <c r="AK1384" i="25"/>
  <c r="AJ1384" i="25"/>
  <c r="AI1384" i="25"/>
  <c r="AF1384" i="25"/>
  <c r="AE1384" i="25"/>
  <c r="AL1383" i="25"/>
  <c r="AK1383" i="25"/>
  <c r="AJ1383" i="25"/>
  <c r="AI1383" i="25"/>
  <c r="AF1383" i="25"/>
  <c r="AE1383" i="25"/>
  <c r="AL1382" i="25"/>
  <c r="AK1382" i="25"/>
  <c r="AJ1382" i="25"/>
  <c r="AI1382" i="25"/>
  <c r="AF1382" i="25"/>
  <c r="AE1382" i="25"/>
  <c r="AL1381" i="25"/>
  <c r="AK1381" i="25"/>
  <c r="AJ1381" i="25"/>
  <c r="AI1381" i="25"/>
  <c r="AF1381" i="25"/>
  <c r="AE1381" i="25"/>
  <c r="AL1380" i="25"/>
  <c r="AK1380" i="25"/>
  <c r="AJ1380" i="25"/>
  <c r="AI1380" i="25"/>
  <c r="AF1380" i="25"/>
  <c r="AE1380" i="25"/>
  <c r="AL1379" i="25"/>
  <c r="AK1379" i="25"/>
  <c r="AJ1379" i="25"/>
  <c r="AI1379" i="25"/>
  <c r="AF1379" i="25"/>
  <c r="AE1379" i="25"/>
  <c r="AL1378" i="25"/>
  <c r="AK1378" i="25"/>
  <c r="AJ1378" i="25"/>
  <c r="AI1378" i="25"/>
  <c r="AF1378" i="25"/>
  <c r="AE1378" i="25"/>
  <c r="AL1377" i="25"/>
  <c r="AK1377" i="25"/>
  <c r="AJ1377" i="25"/>
  <c r="AI1377" i="25"/>
  <c r="AF1377" i="25"/>
  <c r="AE1377" i="25"/>
  <c r="AL1376" i="25"/>
  <c r="AK1376" i="25"/>
  <c r="AJ1376" i="25"/>
  <c r="AI1376" i="25"/>
  <c r="AF1376" i="25"/>
  <c r="AE1376" i="25"/>
  <c r="AL1375" i="25"/>
  <c r="AK1375" i="25"/>
  <c r="AJ1375" i="25"/>
  <c r="AI1375" i="25"/>
  <c r="AF1375" i="25"/>
  <c r="AE1375" i="25"/>
  <c r="AL1374" i="25"/>
  <c r="AK1374" i="25"/>
  <c r="AJ1374" i="25"/>
  <c r="AI1374" i="25"/>
  <c r="AF1374" i="25"/>
  <c r="AE1374" i="25"/>
  <c r="AL1373" i="25"/>
  <c r="AK1373" i="25"/>
  <c r="AJ1373" i="25"/>
  <c r="AI1373" i="25"/>
  <c r="AF1373" i="25"/>
  <c r="AE1373" i="25"/>
  <c r="AL1372" i="25"/>
  <c r="AK1372" i="25"/>
  <c r="AJ1372" i="25"/>
  <c r="AI1372" i="25"/>
  <c r="AF1372" i="25"/>
  <c r="AE1372" i="25"/>
  <c r="AL1371" i="25"/>
  <c r="AK1371" i="25"/>
  <c r="AJ1371" i="25"/>
  <c r="AI1371" i="25"/>
  <c r="AF1371" i="25"/>
  <c r="AE1371" i="25"/>
  <c r="AL1370" i="25"/>
  <c r="AK1370" i="25"/>
  <c r="AJ1370" i="25"/>
  <c r="AI1370" i="25"/>
  <c r="AF1370" i="25"/>
  <c r="AE1370" i="25"/>
  <c r="AL1369" i="25"/>
  <c r="AK1369" i="25"/>
  <c r="AJ1369" i="25"/>
  <c r="AI1369" i="25"/>
  <c r="AF1369" i="25"/>
  <c r="AE1369" i="25"/>
  <c r="AL1368" i="25"/>
  <c r="AK1368" i="25"/>
  <c r="AJ1368" i="25"/>
  <c r="AI1368" i="25"/>
  <c r="AF1368" i="25"/>
  <c r="AE1368" i="25"/>
  <c r="AL1367" i="25"/>
  <c r="AK1367" i="25"/>
  <c r="AJ1367" i="25"/>
  <c r="AI1367" i="25"/>
  <c r="AF1367" i="25"/>
  <c r="AE1367" i="25"/>
  <c r="AL1366" i="25"/>
  <c r="AK1366" i="25"/>
  <c r="AJ1366" i="25"/>
  <c r="AI1366" i="25"/>
  <c r="AF1366" i="25"/>
  <c r="AE1366" i="25"/>
  <c r="AL1365" i="25"/>
  <c r="AK1365" i="25"/>
  <c r="AJ1365" i="25"/>
  <c r="AI1365" i="25"/>
  <c r="AF1365" i="25"/>
  <c r="AE1365" i="25"/>
  <c r="AL1364" i="25"/>
  <c r="AK1364" i="25"/>
  <c r="AJ1364" i="25"/>
  <c r="AI1364" i="25"/>
  <c r="AF1364" i="25"/>
  <c r="AE1364" i="25"/>
  <c r="AL1363" i="25"/>
  <c r="AK1363" i="25"/>
  <c r="AJ1363" i="25"/>
  <c r="AI1363" i="25"/>
  <c r="AF1363" i="25"/>
  <c r="AE1363" i="25"/>
  <c r="AL1362" i="25"/>
  <c r="AK1362" i="25"/>
  <c r="AJ1362" i="25"/>
  <c r="AI1362" i="25"/>
  <c r="AF1362" i="25"/>
  <c r="AE1362" i="25"/>
  <c r="AL1361" i="25"/>
  <c r="AK1361" i="25"/>
  <c r="AJ1361" i="25"/>
  <c r="AI1361" i="25"/>
  <c r="AF1361" i="25"/>
  <c r="AE1361" i="25"/>
  <c r="AL1360" i="25"/>
  <c r="AK1360" i="25"/>
  <c r="AJ1360" i="25"/>
  <c r="AI1360" i="25"/>
  <c r="AF1360" i="25"/>
  <c r="AE1360" i="25"/>
  <c r="AE1359" i="25"/>
  <c r="AL1358" i="25"/>
  <c r="AK1358" i="25"/>
  <c r="AJ1358" i="25"/>
  <c r="AI1358" i="25"/>
  <c r="AF1358" i="25"/>
  <c r="AE1358" i="25"/>
  <c r="AL1357" i="25"/>
  <c r="AK1357" i="25"/>
  <c r="AJ1357" i="25"/>
  <c r="AI1357" i="25"/>
  <c r="AF1357" i="25"/>
  <c r="AE1357" i="25"/>
  <c r="AL1356" i="25"/>
  <c r="AK1356" i="25"/>
  <c r="AJ1356" i="25"/>
  <c r="AI1356" i="25"/>
  <c r="AF1356" i="25"/>
  <c r="AE1356" i="25"/>
  <c r="AL1355" i="25"/>
  <c r="AK1355" i="25"/>
  <c r="AJ1355" i="25"/>
  <c r="AI1355" i="25"/>
  <c r="AF1355" i="25"/>
  <c r="AE1355" i="25"/>
  <c r="AL1354" i="25"/>
  <c r="AK1354" i="25"/>
  <c r="AJ1354" i="25"/>
  <c r="AI1354" i="25"/>
  <c r="AF1354" i="25"/>
  <c r="AE1354" i="25"/>
  <c r="AL1353" i="25"/>
  <c r="AK1353" i="25"/>
  <c r="AJ1353" i="25"/>
  <c r="AI1353" i="25"/>
  <c r="AF1353" i="25"/>
  <c r="AE1353" i="25"/>
  <c r="AL1352" i="25"/>
  <c r="AK1352" i="25"/>
  <c r="AJ1352" i="25"/>
  <c r="AI1352" i="25"/>
  <c r="AF1352" i="25"/>
  <c r="AE1352" i="25"/>
  <c r="AL1351" i="25"/>
  <c r="AK1351" i="25"/>
  <c r="AJ1351" i="25"/>
  <c r="AI1351" i="25"/>
  <c r="AF1351" i="25"/>
  <c r="AE1351" i="25"/>
  <c r="AL1350" i="25"/>
  <c r="AK1350" i="25"/>
  <c r="AJ1350" i="25"/>
  <c r="AI1350" i="25"/>
  <c r="AF1350" i="25"/>
  <c r="AE1350" i="25"/>
  <c r="AL1349" i="25"/>
  <c r="AK1349" i="25"/>
  <c r="AJ1349" i="25"/>
  <c r="AI1349" i="25"/>
  <c r="AF1349" i="25"/>
  <c r="AE1349" i="25"/>
  <c r="AL1348" i="25"/>
  <c r="AK1348" i="25"/>
  <c r="AJ1348" i="25"/>
  <c r="AI1348" i="25"/>
  <c r="AF1348" i="25"/>
  <c r="AE1348" i="25"/>
  <c r="AL1347" i="25"/>
  <c r="AK1347" i="25"/>
  <c r="AJ1347" i="25"/>
  <c r="AI1347" i="25"/>
  <c r="AF1347" i="25"/>
  <c r="AE1347" i="25"/>
  <c r="AL1346" i="25"/>
  <c r="AK1346" i="25"/>
  <c r="AJ1346" i="25"/>
  <c r="AI1346" i="25"/>
  <c r="AF1346" i="25"/>
  <c r="AE1346" i="25"/>
  <c r="AL1345" i="25"/>
  <c r="AK1345" i="25"/>
  <c r="AJ1345" i="25"/>
  <c r="AI1345" i="25"/>
  <c r="AF1345" i="25"/>
  <c r="AE1345" i="25"/>
  <c r="AL1344" i="25"/>
  <c r="AK1344" i="25"/>
  <c r="AJ1344" i="25"/>
  <c r="AI1344" i="25"/>
  <c r="AF1344" i="25"/>
  <c r="AE1344" i="25"/>
  <c r="AL1343" i="25"/>
  <c r="AK1343" i="25"/>
  <c r="AJ1343" i="25"/>
  <c r="AI1343" i="25"/>
  <c r="AF1343" i="25"/>
  <c r="AE1343" i="25"/>
  <c r="AL1342" i="25"/>
  <c r="AK1342" i="25"/>
  <c r="AJ1342" i="25"/>
  <c r="AI1342" i="25"/>
  <c r="AF1342" i="25"/>
  <c r="AE1342" i="25"/>
  <c r="AL1341" i="25"/>
  <c r="AK1341" i="25"/>
  <c r="AJ1341" i="25"/>
  <c r="AI1341" i="25"/>
  <c r="AF1341" i="25"/>
  <c r="AE1341" i="25"/>
  <c r="AL1340" i="25"/>
  <c r="AK1340" i="25"/>
  <c r="AJ1340" i="25"/>
  <c r="AI1340" i="25"/>
  <c r="AF1340" i="25"/>
  <c r="AE1340" i="25"/>
  <c r="AL1339" i="25"/>
  <c r="AK1339" i="25"/>
  <c r="AJ1339" i="25"/>
  <c r="AI1339" i="25"/>
  <c r="AF1339" i="25"/>
  <c r="AE1339" i="25"/>
  <c r="AL1338" i="25"/>
  <c r="AK1338" i="25"/>
  <c r="AJ1338" i="25"/>
  <c r="AI1338" i="25"/>
  <c r="AF1338" i="25"/>
  <c r="AE1338" i="25"/>
  <c r="AL1337" i="25"/>
  <c r="AK1337" i="25"/>
  <c r="AJ1337" i="25"/>
  <c r="AI1337" i="25"/>
  <c r="AF1337" i="25"/>
  <c r="AE1337" i="25"/>
  <c r="AL1336" i="25"/>
  <c r="AK1336" i="25"/>
  <c r="AJ1336" i="25"/>
  <c r="AI1336" i="25"/>
  <c r="AF1336" i="25"/>
  <c r="AE1336" i="25"/>
  <c r="AL1335" i="25"/>
  <c r="AK1335" i="25"/>
  <c r="AJ1335" i="25"/>
  <c r="AI1335" i="25"/>
  <c r="AF1335" i="25"/>
  <c r="AE1335" i="25"/>
  <c r="AL1334" i="25"/>
  <c r="AK1334" i="25"/>
  <c r="AJ1334" i="25"/>
  <c r="AI1334" i="25"/>
  <c r="AF1334" i="25"/>
  <c r="AE1334" i="25"/>
  <c r="AL1333" i="25"/>
  <c r="AK1333" i="25"/>
  <c r="AJ1333" i="25"/>
  <c r="AI1333" i="25"/>
  <c r="AF1333" i="25"/>
  <c r="AE1333" i="25"/>
  <c r="AL1332" i="25"/>
  <c r="AK1332" i="25"/>
  <c r="AJ1332" i="25"/>
  <c r="AI1332" i="25"/>
  <c r="AF1332" i="25"/>
  <c r="AE1332" i="25"/>
  <c r="AL1331" i="25"/>
  <c r="AK1331" i="25"/>
  <c r="AJ1331" i="25"/>
  <c r="AI1331" i="25"/>
  <c r="AF1331" i="25"/>
  <c r="AE1331" i="25"/>
  <c r="AL1330" i="25"/>
  <c r="AK1330" i="25"/>
  <c r="AJ1330" i="25"/>
  <c r="AI1330" i="25"/>
  <c r="AF1330" i="25"/>
  <c r="AE1330" i="25"/>
  <c r="AL1329" i="25"/>
  <c r="AK1329" i="25"/>
  <c r="AJ1329" i="25"/>
  <c r="AI1329" i="25"/>
  <c r="AF1329" i="25"/>
  <c r="AE1329" i="25"/>
  <c r="AL1328" i="25"/>
  <c r="AK1328" i="25"/>
  <c r="AJ1328" i="25"/>
  <c r="AI1328" i="25"/>
  <c r="AF1328" i="25"/>
  <c r="AE1328" i="25"/>
  <c r="AL1327" i="25"/>
  <c r="AK1327" i="25"/>
  <c r="AJ1327" i="25"/>
  <c r="AI1327" i="25"/>
  <c r="AF1327" i="25"/>
  <c r="AE1327" i="25"/>
  <c r="AL1326" i="25"/>
  <c r="AK1326" i="25"/>
  <c r="AJ1326" i="25"/>
  <c r="AI1326" i="25"/>
  <c r="AF1326" i="25"/>
  <c r="AE1326" i="25"/>
  <c r="AL1325" i="25"/>
  <c r="AK1325" i="25"/>
  <c r="AJ1325" i="25"/>
  <c r="AI1325" i="25"/>
  <c r="AF1325" i="25"/>
  <c r="AE1325" i="25"/>
  <c r="AL1324" i="25"/>
  <c r="AK1324" i="25"/>
  <c r="AJ1324" i="25"/>
  <c r="AI1324" i="25"/>
  <c r="AF1324" i="25"/>
  <c r="AE1324" i="25"/>
  <c r="AL1323" i="25"/>
  <c r="AK1323" i="25"/>
  <c r="AJ1323" i="25"/>
  <c r="AI1323" i="25"/>
  <c r="AF1323" i="25"/>
  <c r="AE1323" i="25"/>
  <c r="AL1322" i="25"/>
  <c r="AK1322" i="25"/>
  <c r="AJ1322" i="25"/>
  <c r="AI1322" i="25"/>
  <c r="AF1322" i="25"/>
  <c r="AE1322" i="25"/>
  <c r="AL1321" i="25"/>
  <c r="AK1321" i="25"/>
  <c r="AJ1321" i="25"/>
  <c r="AI1321" i="25"/>
  <c r="AF1321" i="25"/>
  <c r="AE1321" i="25"/>
  <c r="AL1320" i="25"/>
  <c r="AK1320" i="25"/>
  <c r="AJ1320" i="25"/>
  <c r="AI1320" i="25"/>
  <c r="AF1320" i="25"/>
  <c r="AE1320" i="25"/>
  <c r="AL1319" i="25"/>
  <c r="AK1319" i="25"/>
  <c r="AJ1319" i="25"/>
  <c r="AI1319" i="25"/>
  <c r="AF1319" i="25"/>
  <c r="AE1319" i="25"/>
  <c r="AL1318" i="25"/>
  <c r="AK1318" i="25"/>
  <c r="AJ1318" i="25"/>
  <c r="AI1318" i="25"/>
  <c r="AF1318" i="25"/>
  <c r="AE1318" i="25"/>
  <c r="AL1317" i="25"/>
  <c r="AK1317" i="25"/>
  <c r="AJ1317" i="25"/>
  <c r="AI1317" i="25"/>
  <c r="AF1317" i="25"/>
  <c r="AE1317" i="25"/>
  <c r="AL1316" i="25"/>
  <c r="AK1316" i="25"/>
  <c r="AJ1316" i="25"/>
  <c r="AI1316" i="25"/>
  <c r="AF1316" i="25"/>
  <c r="AE1316" i="25"/>
  <c r="AL1315" i="25"/>
  <c r="AK1315" i="25"/>
  <c r="AJ1315" i="25"/>
  <c r="AI1315" i="25"/>
  <c r="AF1315" i="25"/>
  <c r="AE1315" i="25"/>
  <c r="AL1314" i="25"/>
  <c r="AK1314" i="25"/>
  <c r="AJ1314" i="25"/>
  <c r="AI1314" i="25"/>
  <c r="AF1314" i="25"/>
  <c r="AE1314" i="25"/>
  <c r="AL1313" i="25"/>
  <c r="AK1313" i="25"/>
  <c r="AJ1313" i="25"/>
  <c r="AI1313" i="25"/>
  <c r="AF1313" i="25"/>
  <c r="AE1313" i="25"/>
  <c r="AL1312" i="25"/>
  <c r="AK1312" i="25"/>
  <c r="AJ1312" i="25"/>
  <c r="AI1312" i="25"/>
  <c r="AF1312" i="25"/>
  <c r="AE1312" i="25"/>
  <c r="AL1311" i="25"/>
  <c r="AK1311" i="25"/>
  <c r="AJ1311" i="25"/>
  <c r="AI1311" i="25"/>
  <c r="AF1311" i="25"/>
  <c r="AE1311" i="25"/>
  <c r="AL1310" i="25"/>
  <c r="AK1310" i="25"/>
  <c r="AJ1310" i="25"/>
  <c r="AI1310" i="25"/>
  <c r="AF1310" i="25"/>
  <c r="AE1310" i="25"/>
  <c r="AL1309" i="25"/>
  <c r="AK1309" i="25"/>
  <c r="AJ1309" i="25"/>
  <c r="AI1309" i="25"/>
  <c r="AF1309" i="25"/>
  <c r="AE1309" i="25"/>
  <c r="AL1308" i="25"/>
  <c r="AK1308" i="25"/>
  <c r="AJ1308" i="25"/>
  <c r="AI1308" i="25"/>
  <c r="AF1308" i="25"/>
  <c r="AE1308" i="25"/>
  <c r="AL1307" i="25"/>
  <c r="AK1307" i="25"/>
  <c r="AJ1307" i="25"/>
  <c r="AI1307" i="25"/>
  <c r="AF1307" i="25"/>
  <c r="AE1307" i="25"/>
  <c r="AL1306" i="25"/>
  <c r="AK1306" i="25"/>
  <c r="AJ1306" i="25"/>
  <c r="AI1306" i="25"/>
  <c r="AF1306" i="25"/>
  <c r="AE1306" i="25"/>
  <c r="AL1305" i="25"/>
  <c r="AK1305" i="25"/>
  <c r="AJ1305" i="25"/>
  <c r="AI1305" i="25"/>
  <c r="AF1305" i="25"/>
  <c r="AE1305" i="25"/>
  <c r="AL1304" i="25"/>
  <c r="AK1304" i="25"/>
  <c r="AJ1304" i="25"/>
  <c r="AI1304" i="25"/>
  <c r="AF1304" i="25"/>
  <c r="AE1304" i="25"/>
  <c r="AL1303" i="25"/>
  <c r="AK1303" i="25"/>
  <c r="AJ1303" i="25"/>
  <c r="AI1303" i="25"/>
  <c r="AF1303" i="25"/>
  <c r="AE1303" i="25"/>
  <c r="AL1302" i="25"/>
  <c r="AK1302" i="25"/>
  <c r="AJ1302" i="25"/>
  <c r="AI1302" i="25"/>
  <c r="AF1302" i="25"/>
  <c r="AE1302" i="25"/>
  <c r="AL1301" i="25"/>
  <c r="AK1301" i="25"/>
  <c r="AJ1301" i="25"/>
  <c r="AI1301" i="25"/>
  <c r="AF1301" i="25"/>
  <c r="AE1301" i="25"/>
  <c r="AL1300" i="25"/>
  <c r="AK1300" i="25"/>
  <c r="AJ1300" i="25"/>
  <c r="AI1300" i="25"/>
  <c r="AF1300" i="25"/>
  <c r="AE1300" i="25"/>
  <c r="AL1299" i="25"/>
  <c r="AK1299" i="25"/>
  <c r="AJ1299" i="25"/>
  <c r="AI1299" i="25"/>
  <c r="AF1299" i="25"/>
  <c r="AE1299" i="25"/>
  <c r="AE1298" i="25"/>
  <c r="AL1297" i="25"/>
  <c r="AK1297" i="25"/>
  <c r="AJ1297" i="25"/>
  <c r="AI1297" i="25"/>
  <c r="AF1297" i="25"/>
  <c r="AE1297" i="25"/>
  <c r="AL1296" i="25"/>
  <c r="AK1296" i="25"/>
  <c r="AJ1296" i="25"/>
  <c r="AI1296" i="25"/>
  <c r="AF1296" i="25"/>
  <c r="AE1296" i="25"/>
  <c r="AL1295" i="25"/>
  <c r="AK1295" i="25"/>
  <c r="AJ1295" i="25"/>
  <c r="AI1295" i="25"/>
  <c r="AF1295" i="25"/>
  <c r="AE1295" i="25"/>
  <c r="AL1294" i="25"/>
  <c r="AK1294" i="25"/>
  <c r="AJ1294" i="25"/>
  <c r="AI1294" i="25"/>
  <c r="AF1294" i="25"/>
  <c r="AE1294" i="25"/>
  <c r="AL1293" i="25"/>
  <c r="AK1293" i="25"/>
  <c r="AJ1293" i="25"/>
  <c r="AI1293" i="25"/>
  <c r="AF1293" i="25"/>
  <c r="AE1293" i="25"/>
  <c r="AL1292" i="25"/>
  <c r="AK1292" i="25"/>
  <c r="AJ1292" i="25"/>
  <c r="AI1292" i="25"/>
  <c r="AF1292" i="25"/>
  <c r="AE1292" i="25"/>
  <c r="AL1291" i="25"/>
  <c r="AK1291" i="25"/>
  <c r="AJ1291" i="25"/>
  <c r="AI1291" i="25"/>
  <c r="AF1291" i="25"/>
  <c r="AE1291" i="25"/>
  <c r="AL1290" i="25"/>
  <c r="AK1290" i="25"/>
  <c r="AJ1290" i="25"/>
  <c r="AI1290" i="25"/>
  <c r="AF1290" i="25"/>
  <c r="AE1290" i="25"/>
  <c r="AL1289" i="25"/>
  <c r="AK1289" i="25"/>
  <c r="AJ1289" i="25"/>
  <c r="AI1289" i="25"/>
  <c r="AF1289" i="25"/>
  <c r="AE1289" i="25"/>
  <c r="AL1288" i="25"/>
  <c r="AK1288" i="25"/>
  <c r="AJ1288" i="25"/>
  <c r="AI1288" i="25"/>
  <c r="AF1288" i="25"/>
  <c r="AE1288" i="25"/>
  <c r="AL1287" i="25"/>
  <c r="AK1287" i="25"/>
  <c r="AJ1287" i="25"/>
  <c r="AI1287" i="25"/>
  <c r="AF1287" i="25"/>
  <c r="AE1287" i="25"/>
  <c r="AL1286" i="25"/>
  <c r="AK1286" i="25"/>
  <c r="AJ1286" i="25"/>
  <c r="AI1286" i="25"/>
  <c r="AF1286" i="25"/>
  <c r="AE1286" i="25"/>
  <c r="AL1285" i="25"/>
  <c r="AK1285" i="25"/>
  <c r="AJ1285" i="25"/>
  <c r="AI1285" i="25"/>
  <c r="AF1285" i="25"/>
  <c r="AE1285" i="25"/>
  <c r="AL1284" i="25"/>
  <c r="AK1284" i="25"/>
  <c r="AJ1284" i="25"/>
  <c r="AI1284" i="25"/>
  <c r="AF1284" i="25"/>
  <c r="AE1284" i="25"/>
  <c r="AL1283" i="25"/>
  <c r="AK1283" i="25"/>
  <c r="AJ1283" i="25"/>
  <c r="AI1283" i="25"/>
  <c r="AF1283" i="25"/>
  <c r="AE1283" i="25"/>
  <c r="AL1282" i="25"/>
  <c r="AK1282" i="25"/>
  <c r="AJ1282" i="25"/>
  <c r="AI1282" i="25"/>
  <c r="AF1282" i="25"/>
  <c r="AE1282" i="25"/>
  <c r="AL1281" i="25"/>
  <c r="AK1281" i="25"/>
  <c r="AJ1281" i="25"/>
  <c r="AI1281" i="25"/>
  <c r="AF1281" i="25"/>
  <c r="AE1281" i="25"/>
  <c r="AL1280" i="25"/>
  <c r="AK1280" i="25"/>
  <c r="AJ1280" i="25"/>
  <c r="AI1280" i="25"/>
  <c r="AF1280" i="25"/>
  <c r="AE1280" i="25"/>
  <c r="AL1279" i="25"/>
  <c r="AK1279" i="25"/>
  <c r="AJ1279" i="25"/>
  <c r="AI1279" i="25"/>
  <c r="AF1279" i="25"/>
  <c r="AE1279" i="25"/>
  <c r="AL1278" i="25"/>
  <c r="AK1278" i="25"/>
  <c r="AJ1278" i="25"/>
  <c r="AI1278" i="25"/>
  <c r="AF1278" i="25"/>
  <c r="AE1278" i="25"/>
  <c r="AL1277" i="25"/>
  <c r="AK1277" i="25"/>
  <c r="AJ1277" i="25"/>
  <c r="AI1277" i="25"/>
  <c r="AF1277" i="25"/>
  <c r="AE1277" i="25"/>
  <c r="AL1276" i="25"/>
  <c r="AK1276" i="25"/>
  <c r="AJ1276" i="25"/>
  <c r="AI1276" i="25"/>
  <c r="AF1276" i="25"/>
  <c r="AE1276" i="25"/>
  <c r="AL1275" i="25"/>
  <c r="AK1275" i="25"/>
  <c r="AJ1275" i="25"/>
  <c r="AI1275" i="25"/>
  <c r="AF1275" i="25"/>
  <c r="AE1275" i="25"/>
  <c r="AL1274" i="25"/>
  <c r="AK1274" i="25"/>
  <c r="AJ1274" i="25"/>
  <c r="AI1274" i="25"/>
  <c r="AF1274" i="25"/>
  <c r="AE1274" i="25"/>
  <c r="AL1273" i="25"/>
  <c r="AK1273" i="25"/>
  <c r="AJ1273" i="25"/>
  <c r="AI1273" i="25"/>
  <c r="AF1273" i="25"/>
  <c r="AE1273" i="25"/>
  <c r="AL1272" i="25"/>
  <c r="AK1272" i="25"/>
  <c r="AJ1272" i="25"/>
  <c r="AI1272" i="25"/>
  <c r="AF1272" i="25"/>
  <c r="AE1272" i="25"/>
  <c r="AL1271" i="25"/>
  <c r="AK1271" i="25"/>
  <c r="AJ1271" i="25"/>
  <c r="AI1271" i="25"/>
  <c r="AF1271" i="25"/>
  <c r="AE1271" i="25"/>
  <c r="AL1270" i="25"/>
  <c r="AK1270" i="25"/>
  <c r="AJ1270" i="25"/>
  <c r="AI1270" i="25"/>
  <c r="AF1270" i="25"/>
  <c r="AE1270" i="25"/>
  <c r="AL1269" i="25"/>
  <c r="AK1269" i="25"/>
  <c r="AJ1269" i="25"/>
  <c r="AI1269" i="25"/>
  <c r="AF1269" i="25"/>
  <c r="AE1269" i="25"/>
  <c r="AL1268" i="25"/>
  <c r="AK1268" i="25"/>
  <c r="AJ1268" i="25"/>
  <c r="AI1268" i="25"/>
  <c r="AF1268" i="25"/>
  <c r="AE1268" i="25"/>
  <c r="AL1267" i="25"/>
  <c r="AK1267" i="25"/>
  <c r="AJ1267" i="25"/>
  <c r="AI1267" i="25"/>
  <c r="AF1267" i="25"/>
  <c r="AE1267" i="25"/>
  <c r="AL1266" i="25"/>
  <c r="AK1266" i="25"/>
  <c r="AJ1266" i="25"/>
  <c r="AI1266" i="25"/>
  <c r="AF1266" i="25"/>
  <c r="AE1266" i="25"/>
  <c r="AL1265" i="25"/>
  <c r="AK1265" i="25"/>
  <c r="AJ1265" i="25"/>
  <c r="AI1265" i="25"/>
  <c r="AF1265" i="25"/>
  <c r="AE1265" i="25"/>
  <c r="AL1264" i="25"/>
  <c r="AK1264" i="25"/>
  <c r="AJ1264" i="25"/>
  <c r="AI1264" i="25"/>
  <c r="AF1264" i="25"/>
  <c r="AE1264" i="25"/>
  <c r="AL1263" i="25"/>
  <c r="AK1263" i="25"/>
  <c r="AJ1263" i="25"/>
  <c r="AI1263" i="25"/>
  <c r="AF1263" i="25"/>
  <c r="AE1263" i="25"/>
  <c r="AL1262" i="25"/>
  <c r="AK1262" i="25"/>
  <c r="AJ1262" i="25"/>
  <c r="AI1262" i="25"/>
  <c r="AF1262" i="25"/>
  <c r="AE1262" i="25"/>
  <c r="AL1261" i="25"/>
  <c r="AK1261" i="25"/>
  <c r="AJ1261" i="25"/>
  <c r="AI1261" i="25"/>
  <c r="AF1261" i="25"/>
  <c r="AE1261" i="25"/>
  <c r="AL1260" i="25"/>
  <c r="AK1260" i="25"/>
  <c r="AJ1260" i="25"/>
  <c r="AI1260" i="25"/>
  <c r="AF1260" i="25"/>
  <c r="AE1260" i="25"/>
  <c r="AL1259" i="25"/>
  <c r="AK1259" i="25"/>
  <c r="AJ1259" i="25"/>
  <c r="AI1259" i="25"/>
  <c r="AF1259" i="25"/>
  <c r="AE1259" i="25"/>
  <c r="AL1258" i="25"/>
  <c r="AK1258" i="25"/>
  <c r="AJ1258" i="25"/>
  <c r="AI1258" i="25"/>
  <c r="AF1258" i="25"/>
  <c r="AE1258" i="25"/>
  <c r="AL1257" i="25"/>
  <c r="AK1257" i="25"/>
  <c r="AJ1257" i="25"/>
  <c r="AI1257" i="25"/>
  <c r="AF1257" i="25"/>
  <c r="AE1257" i="25"/>
  <c r="AL1256" i="25"/>
  <c r="AK1256" i="25"/>
  <c r="AJ1256" i="25"/>
  <c r="AI1256" i="25"/>
  <c r="AF1256" i="25"/>
  <c r="AE1256" i="25"/>
  <c r="AL1255" i="25"/>
  <c r="AK1255" i="25"/>
  <c r="AJ1255" i="25"/>
  <c r="AI1255" i="25"/>
  <c r="AF1255" i="25"/>
  <c r="AE1255" i="25"/>
  <c r="AL1254" i="25"/>
  <c r="AK1254" i="25"/>
  <c r="AJ1254" i="25"/>
  <c r="AI1254" i="25"/>
  <c r="AF1254" i="25"/>
  <c r="AE1254" i="25"/>
  <c r="AL1253" i="25"/>
  <c r="AK1253" i="25"/>
  <c r="AJ1253" i="25"/>
  <c r="AI1253" i="25"/>
  <c r="AF1253" i="25"/>
  <c r="AE1253" i="25"/>
  <c r="AL1252" i="25"/>
  <c r="AK1252" i="25"/>
  <c r="AJ1252" i="25"/>
  <c r="AI1252" i="25"/>
  <c r="AF1252" i="25"/>
  <c r="AE1252" i="25"/>
  <c r="AL1251" i="25"/>
  <c r="AK1251" i="25"/>
  <c r="AJ1251" i="25"/>
  <c r="AI1251" i="25"/>
  <c r="AF1251" i="25"/>
  <c r="AE1251" i="25"/>
  <c r="AL1250" i="25"/>
  <c r="AK1250" i="25"/>
  <c r="AJ1250" i="25"/>
  <c r="AI1250" i="25"/>
  <c r="AF1250" i="25"/>
  <c r="AE1250" i="25"/>
  <c r="AL1249" i="25"/>
  <c r="AK1249" i="25"/>
  <c r="AJ1249" i="25"/>
  <c r="AI1249" i="25"/>
  <c r="AF1249" i="25"/>
  <c r="AE1249" i="25"/>
  <c r="AL1248" i="25"/>
  <c r="AK1248" i="25"/>
  <c r="AJ1248" i="25"/>
  <c r="AI1248" i="25"/>
  <c r="AF1248" i="25"/>
  <c r="AE1248" i="25"/>
  <c r="AL1247" i="25"/>
  <c r="AK1247" i="25"/>
  <c r="AJ1247" i="25"/>
  <c r="AI1247" i="25"/>
  <c r="AF1247" i="25"/>
  <c r="AE1247" i="25"/>
  <c r="AL1246" i="25"/>
  <c r="AK1246" i="25"/>
  <c r="AJ1246" i="25"/>
  <c r="AI1246" i="25"/>
  <c r="AF1246" i="25"/>
  <c r="AE1246" i="25"/>
  <c r="AL1245" i="25"/>
  <c r="AK1245" i="25"/>
  <c r="AJ1245" i="25"/>
  <c r="AI1245" i="25"/>
  <c r="AF1245" i="25"/>
  <c r="AE1245" i="25"/>
  <c r="AL1244" i="25"/>
  <c r="AK1244" i="25"/>
  <c r="AJ1244" i="25"/>
  <c r="AI1244" i="25"/>
  <c r="AF1244" i="25"/>
  <c r="AE1244" i="25"/>
  <c r="AL1243" i="25"/>
  <c r="AK1243" i="25"/>
  <c r="AJ1243" i="25"/>
  <c r="AI1243" i="25"/>
  <c r="AF1243" i="25"/>
  <c r="AE1243" i="25"/>
  <c r="AL1242" i="25"/>
  <c r="AK1242" i="25"/>
  <c r="AJ1242" i="25"/>
  <c r="AI1242" i="25"/>
  <c r="AF1242" i="25"/>
  <c r="AE1242" i="25"/>
  <c r="AL1241" i="25"/>
  <c r="AK1241" i="25"/>
  <c r="AJ1241" i="25"/>
  <c r="AI1241" i="25"/>
  <c r="AF1241" i="25"/>
  <c r="AE1241" i="25"/>
  <c r="AL1240" i="25"/>
  <c r="AK1240" i="25"/>
  <c r="AJ1240" i="25"/>
  <c r="AI1240" i="25"/>
  <c r="AF1240" i="25"/>
  <c r="AE1240" i="25"/>
  <c r="AL1239" i="25"/>
  <c r="AK1239" i="25"/>
  <c r="AJ1239" i="25"/>
  <c r="AI1239" i="25"/>
  <c r="AF1239" i="25"/>
  <c r="AE1239" i="25"/>
  <c r="AL1238" i="25"/>
  <c r="AK1238" i="25"/>
  <c r="AJ1238" i="25"/>
  <c r="AI1238" i="25"/>
  <c r="AF1238" i="25"/>
  <c r="AE1238" i="25"/>
  <c r="AL1237" i="25"/>
  <c r="AK1237" i="25"/>
  <c r="AJ1237" i="25"/>
  <c r="AI1237" i="25"/>
  <c r="AF1237" i="25"/>
  <c r="AE1237" i="25"/>
  <c r="AL1236" i="25"/>
  <c r="AK1236" i="25"/>
  <c r="AJ1236" i="25"/>
  <c r="AI1236" i="25"/>
  <c r="AF1236" i="25"/>
  <c r="AE1236" i="25"/>
  <c r="AL1235" i="25"/>
  <c r="AK1235" i="25"/>
  <c r="AJ1235" i="25"/>
  <c r="AI1235" i="25"/>
  <c r="AF1235" i="25"/>
  <c r="AE1235" i="25"/>
  <c r="AL1234" i="25"/>
  <c r="AK1234" i="25"/>
  <c r="AJ1234" i="25"/>
  <c r="AI1234" i="25"/>
  <c r="AF1234" i="25"/>
  <c r="AE1234" i="25"/>
  <c r="AL1233" i="25"/>
  <c r="AK1233" i="25"/>
  <c r="AJ1233" i="25"/>
  <c r="AI1233" i="25"/>
  <c r="AF1233" i="25"/>
  <c r="AE1233" i="25"/>
  <c r="AL1232" i="25"/>
  <c r="AK1232" i="25"/>
  <c r="AJ1232" i="25"/>
  <c r="AI1232" i="25"/>
  <c r="AF1232" i="25"/>
  <c r="AE1232" i="25"/>
  <c r="AL1231" i="25"/>
  <c r="AK1231" i="25"/>
  <c r="AJ1231" i="25"/>
  <c r="AI1231" i="25"/>
  <c r="AF1231" i="25"/>
  <c r="AE1231" i="25"/>
  <c r="AL1230" i="25"/>
  <c r="AK1230" i="25"/>
  <c r="AJ1230" i="25"/>
  <c r="AI1230" i="25"/>
  <c r="AF1230" i="25"/>
  <c r="AE1230" i="25"/>
  <c r="AL1229" i="25"/>
  <c r="AK1229" i="25"/>
  <c r="AJ1229" i="25"/>
  <c r="AI1229" i="25"/>
  <c r="AF1229" i="25"/>
  <c r="AE1229" i="25"/>
  <c r="AL1228" i="25"/>
  <c r="AK1228" i="25"/>
  <c r="AJ1228" i="25"/>
  <c r="AI1228" i="25"/>
  <c r="AF1228" i="25"/>
  <c r="AE1228" i="25"/>
  <c r="AE1227" i="25"/>
  <c r="AE1226" i="25"/>
  <c r="AL1225" i="25"/>
  <c r="AK1225" i="25"/>
  <c r="AJ1225" i="25"/>
  <c r="AI1225" i="25"/>
  <c r="AF1225" i="25"/>
  <c r="AE1225" i="25"/>
  <c r="AL1224" i="25"/>
  <c r="AK1224" i="25"/>
  <c r="AJ1224" i="25"/>
  <c r="AI1224" i="25"/>
  <c r="AF1224" i="25"/>
  <c r="AE1224" i="25"/>
  <c r="AL1223" i="25"/>
  <c r="AK1223" i="25"/>
  <c r="AJ1223" i="25"/>
  <c r="AI1223" i="25"/>
  <c r="AF1223" i="25"/>
  <c r="AE1223" i="25"/>
  <c r="AL1222" i="25"/>
  <c r="AK1222" i="25"/>
  <c r="AJ1222" i="25"/>
  <c r="AI1222" i="25"/>
  <c r="AF1222" i="25"/>
  <c r="AE1222" i="25"/>
  <c r="AL1221" i="25"/>
  <c r="AK1221" i="25"/>
  <c r="AJ1221" i="25"/>
  <c r="AI1221" i="25"/>
  <c r="AF1221" i="25"/>
  <c r="AE1221" i="25"/>
  <c r="AL1220" i="25"/>
  <c r="AK1220" i="25"/>
  <c r="AJ1220" i="25"/>
  <c r="AI1220" i="25"/>
  <c r="AF1220" i="25"/>
  <c r="AE1220" i="25"/>
  <c r="AL1219" i="25"/>
  <c r="AK1219" i="25"/>
  <c r="AJ1219" i="25"/>
  <c r="AI1219" i="25"/>
  <c r="AF1219" i="25"/>
  <c r="AE1219" i="25"/>
  <c r="AL1218" i="25"/>
  <c r="AK1218" i="25"/>
  <c r="AJ1218" i="25"/>
  <c r="AI1218" i="25"/>
  <c r="AF1218" i="25"/>
  <c r="AE1218" i="25"/>
  <c r="AL1217" i="25"/>
  <c r="AK1217" i="25"/>
  <c r="AJ1217" i="25"/>
  <c r="AI1217" i="25"/>
  <c r="AF1217" i="25"/>
  <c r="AE1217" i="25"/>
  <c r="AL1216" i="25"/>
  <c r="AK1216" i="25"/>
  <c r="AJ1216" i="25"/>
  <c r="AI1216" i="25"/>
  <c r="AF1216" i="25"/>
  <c r="AE1216" i="25"/>
  <c r="AL1215" i="25"/>
  <c r="AK1215" i="25"/>
  <c r="AJ1215" i="25"/>
  <c r="AI1215" i="25"/>
  <c r="AF1215" i="25"/>
  <c r="AE1215" i="25"/>
  <c r="AL1214" i="25"/>
  <c r="AK1214" i="25"/>
  <c r="AJ1214" i="25"/>
  <c r="AI1214" i="25"/>
  <c r="AF1214" i="25"/>
  <c r="AE1214" i="25"/>
  <c r="AL1213" i="25"/>
  <c r="AK1213" i="25"/>
  <c r="AJ1213" i="25"/>
  <c r="AI1213" i="25"/>
  <c r="AF1213" i="25"/>
  <c r="AE1213" i="25"/>
  <c r="AL1212" i="25"/>
  <c r="AK1212" i="25"/>
  <c r="AJ1212" i="25"/>
  <c r="AI1212" i="25"/>
  <c r="AF1212" i="25"/>
  <c r="AE1212" i="25"/>
  <c r="AL1211" i="25"/>
  <c r="AK1211" i="25"/>
  <c r="AJ1211" i="25"/>
  <c r="AI1211" i="25"/>
  <c r="AF1211" i="25"/>
  <c r="AE1211" i="25"/>
  <c r="AL1210" i="25"/>
  <c r="AK1210" i="25"/>
  <c r="AJ1210" i="25"/>
  <c r="AI1210" i="25"/>
  <c r="AF1210" i="25"/>
  <c r="AE1210" i="25"/>
  <c r="AL1209" i="25"/>
  <c r="AK1209" i="25"/>
  <c r="AJ1209" i="25"/>
  <c r="AI1209" i="25"/>
  <c r="AF1209" i="25"/>
  <c r="AE1209" i="25"/>
  <c r="AL1208" i="25"/>
  <c r="AK1208" i="25"/>
  <c r="AJ1208" i="25"/>
  <c r="AI1208" i="25"/>
  <c r="AF1208" i="25"/>
  <c r="AE1208" i="25"/>
  <c r="AL1207" i="25"/>
  <c r="AK1207" i="25"/>
  <c r="AJ1207" i="25"/>
  <c r="AI1207" i="25"/>
  <c r="AF1207" i="25"/>
  <c r="AE1207" i="25"/>
  <c r="AL1206" i="25"/>
  <c r="AK1206" i="25"/>
  <c r="AJ1206" i="25"/>
  <c r="AI1206" i="25"/>
  <c r="AF1206" i="25"/>
  <c r="AE1206" i="25"/>
  <c r="AL1205" i="25"/>
  <c r="AK1205" i="25"/>
  <c r="AJ1205" i="25"/>
  <c r="AI1205" i="25"/>
  <c r="AF1205" i="25"/>
  <c r="AE1205" i="25"/>
  <c r="AL1204" i="25"/>
  <c r="AK1204" i="25"/>
  <c r="AJ1204" i="25"/>
  <c r="AI1204" i="25"/>
  <c r="AF1204" i="25"/>
  <c r="AE1204" i="25"/>
  <c r="AL1203" i="25"/>
  <c r="AK1203" i="25"/>
  <c r="AJ1203" i="25"/>
  <c r="AI1203" i="25"/>
  <c r="AF1203" i="25"/>
  <c r="AE1203" i="25"/>
  <c r="AL1202" i="25"/>
  <c r="AK1202" i="25"/>
  <c r="AJ1202" i="25"/>
  <c r="AI1202" i="25"/>
  <c r="AF1202" i="25"/>
  <c r="AE1202" i="25"/>
  <c r="AL1201" i="25"/>
  <c r="AK1201" i="25"/>
  <c r="AJ1201" i="25"/>
  <c r="AI1201" i="25"/>
  <c r="AF1201" i="25"/>
  <c r="AE1201" i="25"/>
  <c r="AL1200" i="25"/>
  <c r="AK1200" i="25"/>
  <c r="AJ1200" i="25"/>
  <c r="AI1200" i="25"/>
  <c r="AF1200" i="25"/>
  <c r="AE1200" i="25"/>
  <c r="AL1199" i="25"/>
  <c r="AK1199" i="25"/>
  <c r="AJ1199" i="25"/>
  <c r="AI1199" i="25"/>
  <c r="AF1199" i="25"/>
  <c r="AE1199" i="25"/>
  <c r="AL1198" i="25"/>
  <c r="AK1198" i="25"/>
  <c r="AJ1198" i="25"/>
  <c r="AI1198" i="25"/>
  <c r="AF1198" i="25"/>
  <c r="AE1198" i="25"/>
  <c r="AL1197" i="25"/>
  <c r="AK1197" i="25"/>
  <c r="AJ1197" i="25"/>
  <c r="AI1197" i="25"/>
  <c r="AF1197" i="25"/>
  <c r="AE1197" i="25"/>
  <c r="AL1196" i="25"/>
  <c r="AK1196" i="25"/>
  <c r="AJ1196" i="25"/>
  <c r="AI1196" i="25"/>
  <c r="AF1196" i="25"/>
  <c r="AE1196" i="25"/>
  <c r="AL1195" i="25"/>
  <c r="AK1195" i="25"/>
  <c r="AJ1195" i="25"/>
  <c r="AI1195" i="25"/>
  <c r="AF1195" i="25"/>
  <c r="AE1195" i="25"/>
  <c r="AL1194" i="25"/>
  <c r="AK1194" i="25"/>
  <c r="AJ1194" i="25"/>
  <c r="AI1194" i="25"/>
  <c r="AF1194" i="25"/>
  <c r="AE1194" i="25"/>
  <c r="AL1193" i="25"/>
  <c r="AK1193" i="25"/>
  <c r="AJ1193" i="25"/>
  <c r="AI1193" i="25"/>
  <c r="AF1193" i="25"/>
  <c r="AE1193" i="25"/>
  <c r="AL1192" i="25"/>
  <c r="AK1192" i="25"/>
  <c r="AJ1192" i="25"/>
  <c r="AI1192" i="25"/>
  <c r="AF1192" i="25"/>
  <c r="AE1192" i="25"/>
  <c r="AL1191" i="25"/>
  <c r="AK1191" i="25"/>
  <c r="AJ1191" i="25"/>
  <c r="AI1191" i="25"/>
  <c r="AF1191" i="25"/>
  <c r="AE1191" i="25"/>
  <c r="AL1190" i="25"/>
  <c r="AK1190" i="25"/>
  <c r="AJ1190" i="25"/>
  <c r="AI1190" i="25"/>
  <c r="AF1190" i="25"/>
  <c r="AE1190" i="25"/>
  <c r="AL1189" i="25"/>
  <c r="AK1189" i="25"/>
  <c r="AJ1189" i="25"/>
  <c r="AI1189" i="25"/>
  <c r="AF1189" i="25"/>
  <c r="AE1189" i="25"/>
  <c r="AL1188" i="25"/>
  <c r="AK1188" i="25"/>
  <c r="AJ1188" i="25"/>
  <c r="AI1188" i="25"/>
  <c r="AF1188" i="25"/>
  <c r="AE1188" i="25"/>
  <c r="AL1187" i="25"/>
  <c r="AK1187" i="25"/>
  <c r="AJ1187" i="25"/>
  <c r="AI1187" i="25"/>
  <c r="AF1187" i="25"/>
  <c r="AE1187" i="25"/>
  <c r="AL1186" i="25"/>
  <c r="AK1186" i="25"/>
  <c r="AJ1186" i="25"/>
  <c r="AI1186" i="25"/>
  <c r="AF1186" i="25"/>
  <c r="AE1186" i="25"/>
  <c r="AL1185" i="25"/>
  <c r="AK1185" i="25"/>
  <c r="AJ1185" i="25"/>
  <c r="AI1185" i="25"/>
  <c r="AF1185" i="25"/>
  <c r="AE1185" i="25"/>
  <c r="AL1184" i="25"/>
  <c r="AK1184" i="25"/>
  <c r="AJ1184" i="25"/>
  <c r="AI1184" i="25"/>
  <c r="AF1184" i="25"/>
  <c r="AE1184" i="25"/>
  <c r="AL1183" i="25"/>
  <c r="AK1183" i="25"/>
  <c r="AJ1183" i="25"/>
  <c r="AI1183" i="25"/>
  <c r="AF1183" i="25"/>
  <c r="AE1183" i="25"/>
  <c r="AL1182" i="25"/>
  <c r="AK1182" i="25"/>
  <c r="AJ1182" i="25"/>
  <c r="AI1182" i="25"/>
  <c r="AF1182" i="25"/>
  <c r="AE1182" i="25"/>
  <c r="AL1181" i="25"/>
  <c r="AK1181" i="25"/>
  <c r="AJ1181" i="25"/>
  <c r="AI1181" i="25"/>
  <c r="AF1181" i="25"/>
  <c r="AE1181" i="25"/>
  <c r="AL1180" i="25"/>
  <c r="AK1180" i="25"/>
  <c r="AJ1180" i="25"/>
  <c r="AI1180" i="25"/>
  <c r="AF1180" i="25"/>
  <c r="AE1180" i="25"/>
  <c r="AL1179" i="25"/>
  <c r="AK1179" i="25"/>
  <c r="AJ1179" i="25"/>
  <c r="AI1179" i="25"/>
  <c r="AF1179" i="25"/>
  <c r="AE1179" i="25"/>
  <c r="AL1178" i="25"/>
  <c r="AK1178" i="25"/>
  <c r="AJ1178" i="25"/>
  <c r="AI1178" i="25"/>
  <c r="AF1178" i="25"/>
  <c r="AE1178" i="25"/>
  <c r="AL1177" i="25"/>
  <c r="AK1177" i="25"/>
  <c r="AJ1177" i="25"/>
  <c r="AI1177" i="25"/>
  <c r="AF1177" i="25"/>
  <c r="AE1177" i="25"/>
  <c r="AE1176" i="25"/>
  <c r="AL1175" i="25"/>
  <c r="AK1175" i="25"/>
  <c r="AJ1175" i="25"/>
  <c r="AI1175" i="25"/>
  <c r="AF1175" i="25"/>
  <c r="AE1175" i="25"/>
  <c r="AL1174" i="25"/>
  <c r="AK1174" i="25"/>
  <c r="AJ1174" i="25"/>
  <c r="AI1174" i="25"/>
  <c r="AF1174" i="25"/>
  <c r="AE1174" i="25"/>
  <c r="AL1173" i="25"/>
  <c r="AK1173" i="25"/>
  <c r="AJ1173" i="25"/>
  <c r="AI1173" i="25"/>
  <c r="AF1173" i="25"/>
  <c r="AE1173" i="25"/>
  <c r="AL1172" i="25"/>
  <c r="AK1172" i="25"/>
  <c r="AJ1172" i="25"/>
  <c r="AI1172" i="25"/>
  <c r="AF1172" i="25"/>
  <c r="AE1172" i="25"/>
  <c r="AL1171" i="25"/>
  <c r="AK1171" i="25"/>
  <c r="AJ1171" i="25"/>
  <c r="AI1171" i="25"/>
  <c r="AF1171" i="25"/>
  <c r="AE1171" i="25"/>
  <c r="AL1170" i="25"/>
  <c r="AK1170" i="25"/>
  <c r="AJ1170" i="25"/>
  <c r="AI1170" i="25"/>
  <c r="AF1170" i="25"/>
  <c r="AE1170" i="25"/>
  <c r="AL1169" i="25"/>
  <c r="AK1169" i="25"/>
  <c r="AJ1169" i="25"/>
  <c r="AI1169" i="25"/>
  <c r="AF1169" i="25"/>
  <c r="AE1169" i="25"/>
  <c r="AL1168" i="25"/>
  <c r="AK1168" i="25"/>
  <c r="AJ1168" i="25"/>
  <c r="AI1168" i="25"/>
  <c r="AF1168" i="25"/>
  <c r="AE1168" i="25"/>
  <c r="AL1167" i="25"/>
  <c r="AK1167" i="25"/>
  <c r="AJ1167" i="25"/>
  <c r="AI1167" i="25"/>
  <c r="AF1167" i="25"/>
  <c r="AE1167" i="25"/>
  <c r="AL1166" i="25"/>
  <c r="AK1166" i="25"/>
  <c r="AJ1166" i="25"/>
  <c r="AI1166" i="25"/>
  <c r="AF1166" i="25"/>
  <c r="AE1166" i="25"/>
  <c r="AL1165" i="25"/>
  <c r="AK1165" i="25"/>
  <c r="AJ1165" i="25"/>
  <c r="AI1165" i="25"/>
  <c r="AF1165" i="25"/>
  <c r="AE1165" i="25"/>
  <c r="AL1164" i="25"/>
  <c r="AK1164" i="25"/>
  <c r="AJ1164" i="25"/>
  <c r="AI1164" i="25"/>
  <c r="AF1164" i="25"/>
  <c r="AE1164" i="25"/>
  <c r="AL1163" i="25"/>
  <c r="AK1163" i="25"/>
  <c r="AJ1163" i="25"/>
  <c r="AI1163" i="25"/>
  <c r="AF1163" i="25"/>
  <c r="AE1163" i="25"/>
  <c r="AL1162" i="25"/>
  <c r="AK1162" i="25"/>
  <c r="AJ1162" i="25"/>
  <c r="AI1162" i="25"/>
  <c r="AF1162" i="25"/>
  <c r="AE1162" i="25"/>
  <c r="AL1161" i="25"/>
  <c r="AK1161" i="25"/>
  <c r="AJ1161" i="25"/>
  <c r="AI1161" i="25"/>
  <c r="AF1161" i="25"/>
  <c r="AE1161" i="25"/>
  <c r="AL1160" i="25"/>
  <c r="AK1160" i="25"/>
  <c r="AJ1160" i="25"/>
  <c r="AI1160" i="25"/>
  <c r="AF1160" i="25"/>
  <c r="AE1160" i="25"/>
  <c r="AL1159" i="25"/>
  <c r="AK1159" i="25"/>
  <c r="AJ1159" i="25"/>
  <c r="AI1159" i="25"/>
  <c r="AF1159" i="25"/>
  <c r="AE1159" i="25"/>
  <c r="AL1158" i="25"/>
  <c r="AK1158" i="25"/>
  <c r="AJ1158" i="25"/>
  <c r="AI1158" i="25"/>
  <c r="AF1158" i="25"/>
  <c r="AE1158" i="25"/>
  <c r="AL1157" i="25"/>
  <c r="AK1157" i="25"/>
  <c r="AJ1157" i="25"/>
  <c r="AI1157" i="25"/>
  <c r="AF1157" i="25"/>
  <c r="AE1157" i="25"/>
  <c r="AL1156" i="25"/>
  <c r="AK1156" i="25"/>
  <c r="AJ1156" i="25"/>
  <c r="AI1156" i="25"/>
  <c r="AF1156" i="25"/>
  <c r="AE1156" i="25"/>
  <c r="AL1155" i="25"/>
  <c r="AK1155" i="25"/>
  <c r="AJ1155" i="25"/>
  <c r="AI1155" i="25"/>
  <c r="AF1155" i="25"/>
  <c r="AE1155" i="25"/>
  <c r="AL1154" i="25"/>
  <c r="AK1154" i="25"/>
  <c r="AJ1154" i="25"/>
  <c r="AI1154" i="25"/>
  <c r="AF1154" i="25"/>
  <c r="AE1154" i="25"/>
  <c r="AL1153" i="25"/>
  <c r="AK1153" i="25"/>
  <c r="AJ1153" i="25"/>
  <c r="AI1153" i="25"/>
  <c r="AF1153" i="25"/>
  <c r="AE1153" i="25"/>
  <c r="AL1152" i="25"/>
  <c r="AK1152" i="25"/>
  <c r="AJ1152" i="25"/>
  <c r="AI1152" i="25"/>
  <c r="AF1152" i="25"/>
  <c r="AE1152" i="25"/>
  <c r="AL1151" i="25"/>
  <c r="AK1151" i="25"/>
  <c r="AJ1151" i="25"/>
  <c r="AI1151" i="25"/>
  <c r="AF1151" i="25"/>
  <c r="AE1151" i="25"/>
  <c r="AL1150" i="25"/>
  <c r="AK1150" i="25"/>
  <c r="AJ1150" i="25"/>
  <c r="AI1150" i="25"/>
  <c r="AF1150" i="25"/>
  <c r="AE1150" i="25"/>
  <c r="AL1149" i="25"/>
  <c r="AK1149" i="25"/>
  <c r="AJ1149" i="25"/>
  <c r="AI1149" i="25"/>
  <c r="AF1149" i="25"/>
  <c r="AE1149" i="25"/>
  <c r="AL1148" i="25"/>
  <c r="AK1148" i="25"/>
  <c r="AJ1148" i="25"/>
  <c r="AI1148" i="25"/>
  <c r="AF1148" i="25"/>
  <c r="AE1148" i="25"/>
  <c r="AL1147" i="25"/>
  <c r="AK1147" i="25"/>
  <c r="AJ1147" i="25"/>
  <c r="AI1147" i="25"/>
  <c r="AF1147" i="25"/>
  <c r="AE1147" i="25"/>
  <c r="AL1146" i="25"/>
  <c r="AK1146" i="25"/>
  <c r="AJ1146" i="25"/>
  <c r="AI1146" i="25"/>
  <c r="AF1146" i="25"/>
  <c r="AE1146" i="25"/>
  <c r="AL1145" i="25"/>
  <c r="AK1145" i="25"/>
  <c r="AJ1145" i="25"/>
  <c r="AI1145" i="25"/>
  <c r="AF1145" i="25"/>
  <c r="AE1145" i="25"/>
  <c r="AL1144" i="25"/>
  <c r="AK1144" i="25"/>
  <c r="AJ1144" i="25"/>
  <c r="AI1144" i="25"/>
  <c r="AF1144" i="25"/>
  <c r="AE1144" i="25"/>
  <c r="AL1143" i="25"/>
  <c r="AK1143" i="25"/>
  <c r="AJ1143" i="25"/>
  <c r="AI1143" i="25"/>
  <c r="AF1143" i="25"/>
  <c r="AE1143" i="25"/>
  <c r="AL1142" i="25"/>
  <c r="AK1142" i="25"/>
  <c r="AJ1142" i="25"/>
  <c r="AI1142" i="25"/>
  <c r="AF1142" i="25"/>
  <c r="AE1142" i="25"/>
  <c r="AL1141" i="25"/>
  <c r="AK1141" i="25"/>
  <c r="AJ1141" i="25"/>
  <c r="AI1141" i="25"/>
  <c r="AF1141" i="25"/>
  <c r="AE1141" i="25"/>
  <c r="AL1140" i="25"/>
  <c r="AK1140" i="25"/>
  <c r="AJ1140" i="25"/>
  <c r="AI1140" i="25"/>
  <c r="AF1140" i="25"/>
  <c r="AE1140" i="25"/>
  <c r="AL1139" i="25"/>
  <c r="AK1139" i="25"/>
  <c r="AJ1139" i="25"/>
  <c r="AI1139" i="25"/>
  <c r="AF1139" i="25"/>
  <c r="AE1139" i="25"/>
  <c r="AL1138" i="25"/>
  <c r="AK1138" i="25"/>
  <c r="AJ1138" i="25"/>
  <c r="AI1138" i="25"/>
  <c r="AF1138" i="25"/>
  <c r="AE1138" i="25"/>
  <c r="AL1137" i="25"/>
  <c r="AK1137" i="25"/>
  <c r="AJ1137" i="25"/>
  <c r="AI1137" i="25"/>
  <c r="AF1137" i="25"/>
  <c r="AE1137" i="25"/>
  <c r="AL1136" i="25"/>
  <c r="AK1136" i="25"/>
  <c r="AJ1136" i="25"/>
  <c r="AI1136" i="25"/>
  <c r="AF1136" i="25"/>
  <c r="AE1136" i="25"/>
  <c r="AL1135" i="25"/>
  <c r="AK1135" i="25"/>
  <c r="AJ1135" i="25"/>
  <c r="AI1135" i="25"/>
  <c r="AF1135" i="25"/>
  <c r="AE1135" i="25"/>
  <c r="AL1134" i="25"/>
  <c r="AK1134" i="25"/>
  <c r="AJ1134" i="25"/>
  <c r="AI1134" i="25"/>
  <c r="AF1134" i="25"/>
  <c r="AE1134" i="25"/>
  <c r="AL1133" i="25"/>
  <c r="AK1133" i="25"/>
  <c r="AJ1133" i="25"/>
  <c r="AI1133" i="25"/>
  <c r="AF1133" i="25"/>
  <c r="AE1133" i="25"/>
  <c r="AL1132" i="25"/>
  <c r="AK1132" i="25"/>
  <c r="AJ1132" i="25"/>
  <c r="AI1132" i="25"/>
  <c r="AF1132" i="25"/>
  <c r="AE1132" i="25"/>
  <c r="AL1131" i="25"/>
  <c r="AK1131" i="25"/>
  <c r="AJ1131" i="25"/>
  <c r="AI1131" i="25"/>
  <c r="AF1131" i="25"/>
  <c r="AE1131" i="25"/>
  <c r="AL1130" i="25"/>
  <c r="AK1130" i="25"/>
  <c r="AJ1130" i="25"/>
  <c r="AI1130" i="25"/>
  <c r="AF1130" i="25"/>
  <c r="AE1130" i="25"/>
  <c r="AL1129" i="25"/>
  <c r="AK1129" i="25"/>
  <c r="AJ1129" i="25"/>
  <c r="AI1129" i="25"/>
  <c r="AF1129" i="25"/>
  <c r="AE1129" i="25"/>
  <c r="AL1128" i="25"/>
  <c r="AK1128" i="25"/>
  <c r="AJ1128" i="25"/>
  <c r="AI1128" i="25"/>
  <c r="AF1128" i="25"/>
  <c r="AE1128" i="25"/>
  <c r="AL1127" i="25"/>
  <c r="AK1127" i="25"/>
  <c r="AJ1127" i="25"/>
  <c r="AI1127" i="25"/>
  <c r="AF1127" i="25"/>
  <c r="AE1127" i="25"/>
  <c r="AL1126" i="25"/>
  <c r="AK1126" i="25"/>
  <c r="AJ1126" i="25"/>
  <c r="AI1126" i="25"/>
  <c r="AF1126" i="25"/>
  <c r="AE1126" i="25"/>
  <c r="AE1125" i="25"/>
  <c r="AE1124" i="25"/>
  <c r="AE1123" i="25"/>
  <c r="AE1122" i="25"/>
  <c r="AL1121" i="25"/>
  <c r="AK1121" i="25"/>
  <c r="AJ1121" i="25"/>
  <c r="AI1121" i="25"/>
  <c r="AF1121" i="25"/>
  <c r="AE1121" i="25"/>
  <c r="AL1120" i="25"/>
  <c r="AK1120" i="25"/>
  <c r="AJ1120" i="25"/>
  <c r="AI1120" i="25"/>
  <c r="AF1120" i="25"/>
  <c r="AE1120" i="25"/>
  <c r="AL1119" i="25"/>
  <c r="AK1119" i="25"/>
  <c r="AJ1119" i="25"/>
  <c r="AI1119" i="25"/>
  <c r="AF1119" i="25"/>
  <c r="AE1119" i="25"/>
  <c r="AL1118" i="25"/>
  <c r="AK1118" i="25"/>
  <c r="AJ1118" i="25"/>
  <c r="AI1118" i="25"/>
  <c r="AF1118" i="25"/>
  <c r="AE1118" i="25"/>
  <c r="AL1117" i="25"/>
  <c r="AK1117" i="25"/>
  <c r="AJ1117" i="25"/>
  <c r="AI1117" i="25"/>
  <c r="AF1117" i="25"/>
  <c r="AE1117" i="25"/>
  <c r="AL1116" i="25"/>
  <c r="AK1116" i="25"/>
  <c r="AJ1116" i="25"/>
  <c r="AI1116" i="25"/>
  <c r="AF1116" i="25"/>
  <c r="AE1116" i="25"/>
  <c r="AL1115" i="25"/>
  <c r="AK1115" i="25"/>
  <c r="AJ1115" i="25"/>
  <c r="AI1115" i="25"/>
  <c r="AF1115" i="25"/>
  <c r="AE1115" i="25"/>
  <c r="AL1114" i="25"/>
  <c r="AK1114" i="25"/>
  <c r="AJ1114" i="25"/>
  <c r="AI1114" i="25"/>
  <c r="AF1114" i="25"/>
  <c r="AE1114" i="25"/>
  <c r="AL1113" i="25"/>
  <c r="AK1113" i="25"/>
  <c r="AJ1113" i="25"/>
  <c r="AI1113" i="25"/>
  <c r="AF1113" i="25"/>
  <c r="AE1113" i="25"/>
  <c r="AL1112" i="25"/>
  <c r="AK1112" i="25"/>
  <c r="AJ1112" i="25"/>
  <c r="AI1112" i="25"/>
  <c r="AF1112" i="25"/>
  <c r="AE1112" i="25"/>
  <c r="AE1111" i="25"/>
  <c r="AL1110" i="25"/>
  <c r="AK1110" i="25"/>
  <c r="AJ1110" i="25"/>
  <c r="AI1110" i="25"/>
  <c r="AF1110" i="25"/>
  <c r="AE1110" i="25"/>
  <c r="AL1109" i="25"/>
  <c r="AK1109" i="25"/>
  <c r="AJ1109" i="25"/>
  <c r="AI1109" i="25"/>
  <c r="AF1109" i="25"/>
  <c r="AE1109" i="25"/>
  <c r="AL1108" i="25"/>
  <c r="AK1108" i="25"/>
  <c r="AJ1108" i="25"/>
  <c r="AI1108" i="25"/>
  <c r="AF1108" i="25"/>
  <c r="AE1108" i="25"/>
  <c r="AL1107" i="25"/>
  <c r="AK1107" i="25"/>
  <c r="AJ1107" i="25"/>
  <c r="AI1107" i="25"/>
  <c r="AF1107" i="25"/>
  <c r="AE1107" i="25"/>
  <c r="AL1106" i="25"/>
  <c r="AK1106" i="25"/>
  <c r="AJ1106" i="25"/>
  <c r="AI1106" i="25"/>
  <c r="AF1106" i="25"/>
  <c r="AE1106" i="25"/>
  <c r="AL1105" i="25"/>
  <c r="AK1105" i="25"/>
  <c r="AJ1105" i="25"/>
  <c r="AI1105" i="25"/>
  <c r="AF1105" i="25"/>
  <c r="AE1105" i="25"/>
  <c r="AL1104" i="25"/>
  <c r="AK1104" i="25"/>
  <c r="AJ1104" i="25"/>
  <c r="AI1104" i="25"/>
  <c r="AF1104" i="25"/>
  <c r="AE1104" i="25"/>
  <c r="AL1103" i="25"/>
  <c r="AK1103" i="25"/>
  <c r="AJ1103" i="25"/>
  <c r="AI1103" i="25"/>
  <c r="AF1103" i="25"/>
  <c r="AE1103" i="25"/>
  <c r="AL1102" i="25"/>
  <c r="AK1102" i="25"/>
  <c r="AJ1102" i="25"/>
  <c r="AI1102" i="25"/>
  <c r="AF1102" i="25"/>
  <c r="AE1102" i="25"/>
  <c r="AL1101" i="25"/>
  <c r="AK1101" i="25"/>
  <c r="AJ1101" i="25"/>
  <c r="AI1101" i="25"/>
  <c r="AF1101" i="25"/>
  <c r="AE1101" i="25"/>
  <c r="AL1100" i="25"/>
  <c r="AK1100" i="25"/>
  <c r="AJ1100" i="25"/>
  <c r="AI1100" i="25"/>
  <c r="AF1100" i="25"/>
  <c r="AE1100" i="25"/>
  <c r="AL1099" i="25"/>
  <c r="AK1099" i="25"/>
  <c r="AJ1099" i="25"/>
  <c r="AI1099" i="25"/>
  <c r="AF1099" i="25"/>
  <c r="AE1099" i="25"/>
  <c r="AL1098" i="25"/>
  <c r="AK1098" i="25"/>
  <c r="AJ1098" i="25"/>
  <c r="AI1098" i="25"/>
  <c r="AF1098" i="25"/>
  <c r="AE1098" i="25"/>
  <c r="AL1097" i="25"/>
  <c r="AK1097" i="25"/>
  <c r="AJ1097" i="25"/>
  <c r="AI1097" i="25"/>
  <c r="AF1097" i="25"/>
  <c r="AE1097" i="25"/>
  <c r="AL1096" i="25"/>
  <c r="AK1096" i="25"/>
  <c r="AJ1096" i="25"/>
  <c r="AI1096" i="25"/>
  <c r="AF1096" i="25"/>
  <c r="AE1096" i="25"/>
  <c r="AL1095" i="25"/>
  <c r="AK1095" i="25"/>
  <c r="AJ1095" i="25"/>
  <c r="AI1095" i="25"/>
  <c r="AF1095" i="25"/>
  <c r="AE1095" i="25"/>
  <c r="AL1094" i="25"/>
  <c r="AK1094" i="25"/>
  <c r="AJ1094" i="25"/>
  <c r="AI1094" i="25"/>
  <c r="AF1094" i="25"/>
  <c r="AE1094" i="25"/>
  <c r="AL1093" i="25"/>
  <c r="AK1093" i="25"/>
  <c r="AJ1093" i="25"/>
  <c r="AI1093" i="25"/>
  <c r="AF1093" i="25"/>
  <c r="AE1093" i="25"/>
  <c r="AL1092" i="25"/>
  <c r="AK1092" i="25"/>
  <c r="AJ1092" i="25"/>
  <c r="AI1092" i="25"/>
  <c r="AF1092" i="25"/>
  <c r="AE1092" i="25"/>
  <c r="AL1091" i="25"/>
  <c r="AK1091" i="25"/>
  <c r="AJ1091" i="25"/>
  <c r="AI1091" i="25"/>
  <c r="AF1091" i="25"/>
  <c r="AE1091" i="25"/>
  <c r="AL1090" i="25"/>
  <c r="AK1090" i="25"/>
  <c r="AJ1090" i="25"/>
  <c r="AI1090" i="25"/>
  <c r="AF1090" i="25"/>
  <c r="AE1090" i="25"/>
  <c r="AL1089" i="25"/>
  <c r="AK1089" i="25"/>
  <c r="AJ1089" i="25"/>
  <c r="AI1089" i="25"/>
  <c r="AF1089" i="25"/>
  <c r="AE1089" i="25"/>
  <c r="AL1088" i="25"/>
  <c r="AK1088" i="25"/>
  <c r="AJ1088" i="25"/>
  <c r="AI1088" i="25"/>
  <c r="AF1088" i="25"/>
  <c r="AE1088" i="25"/>
  <c r="AL1087" i="25"/>
  <c r="AK1087" i="25"/>
  <c r="AJ1087" i="25"/>
  <c r="AI1087" i="25"/>
  <c r="AF1087" i="25"/>
  <c r="AE1087" i="25"/>
  <c r="AE1086" i="25"/>
  <c r="AL1085" i="25"/>
  <c r="AK1085" i="25"/>
  <c r="AJ1085" i="25"/>
  <c r="AI1085" i="25"/>
  <c r="AF1085" i="25"/>
  <c r="AE1085" i="25"/>
  <c r="AL1084" i="25"/>
  <c r="AK1084" i="25"/>
  <c r="AJ1084" i="25"/>
  <c r="AI1084" i="25"/>
  <c r="AF1084" i="25"/>
  <c r="AE1084" i="25"/>
  <c r="AL1083" i="25"/>
  <c r="AK1083" i="25"/>
  <c r="AJ1083" i="25"/>
  <c r="AI1083" i="25"/>
  <c r="AF1083" i="25"/>
  <c r="AE1083" i="25"/>
  <c r="AL1082" i="25"/>
  <c r="AK1082" i="25"/>
  <c r="AJ1082" i="25"/>
  <c r="AI1082" i="25"/>
  <c r="AF1082" i="25"/>
  <c r="AE1082" i="25"/>
  <c r="AL1081" i="25"/>
  <c r="AK1081" i="25"/>
  <c r="AJ1081" i="25"/>
  <c r="AI1081" i="25"/>
  <c r="AF1081" i="25"/>
  <c r="AE1081" i="25"/>
  <c r="AL1080" i="25"/>
  <c r="AK1080" i="25"/>
  <c r="AJ1080" i="25"/>
  <c r="AI1080" i="25"/>
  <c r="AF1080" i="25"/>
  <c r="AE1080" i="25"/>
  <c r="AL1079" i="25"/>
  <c r="AK1079" i="25"/>
  <c r="AJ1079" i="25"/>
  <c r="AI1079" i="25"/>
  <c r="AF1079" i="25"/>
  <c r="AE1079" i="25"/>
  <c r="AL1078" i="25"/>
  <c r="AK1078" i="25"/>
  <c r="AJ1078" i="25"/>
  <c r="AI1078" i="25"/>
  <c r="AF1078" i="25"/>
  <c r="AE1078" i="25"/>
  <c r="AE1077" i="25"/>
  <c r="AL1076" i="25"/>
  <c r="AK1076" i="25"/>
  <c r="AJ1076" i="25"/>
  <c r="AI1076" i="25"/>
  <c r="AF1076" i="25"/>
  <c r="AE1076" i="25"/>
  <c r="AL1075" i="25"/>
  <c r="AK1075" i="25"/>
  <c r="AJ1075" i="25"/>
  <c r="AI1075" i="25"/>
  <c r="AF1075" i="25"/>
  <c r="AE1075" i="25"/>
  <c r="AL1074" i="25"/>
  <c r="AK1074" i="25"/>
  <c r="AJ1074" i="25"/>
  <c r="AI1074" i="25"/>
  <c r="AF1074" i="25"/>
  <c r="AE1074" i="25"/>
  <c r="AL1073" i="25"/>
  <c r="AK1073" i="25"/>
  <c r="AJ1073" i="25"/>
  <c r="AI1073" i="25"/>
  <c r="AF1073" i="25"/>
  <c r="AE1073" i="25"/>
  <c r="AL1072" i="25"/>
  <c r="AK1072" i="25"/>
  <c r="AJ1072" i="25"/>
  <c r="AI1072" i="25"/>
  <c r="AF1072" i="25"/>
  <c r="AE1072" i="25"/>
  <c r="AL1071" i="25"/>
  <c r="AK1071" i="25"/>
  <c r="AJ1071" i="25"/>
  <c r="AI1071" i="25"/>
  <c r="AF1071" i="25"/>
  <c r="AE1071" i="25"/>
  <c r="AE1070" i="25"/>
  <c r="AL1069" i="25"/>
  <c r="AK1069" i="25"/>
  <c r="AJ1069" i="25"/>
  <c r="AI1069" i="25"/>
  <c r="AF1069" i="25"/>
  <c r="AE1069" i="25"/>
  <c r="AL1068" i="25"/>
  <c r="AK1068" i="25"/>
  <c r="AJ1068" i="25"/>
  <c r="AI1068" i="25"/>
  <c r="AF1068" i="25"/>
  <c r="AE1068" i="25"/>
  <c r="AL1067" i="25"/>
  <c r="AK1067" i="25"/>
  <c r="AJ1067" i="25"/>
  <c r="AI1067" i="25"/>
  <c r="AF1067" i="25"/>
  <c r="AE1067" i="25"/>
  <c r="AL1066" i="25"/>
  <c r="AK1066" i="25"/>
  <c r="AJ1066" i="25"/>
  <c r="AI1066" i="25"/>
  <c r="AF1066" i="25"/>
  <c r="AE1066" i="25"/>
  <c r="AL1065" i="25"/>
  <c r="AK1065" i="25"/>
  <c r="AJ1065" i="25"/>
  <c r="AI1065" i="25"/>
  <c r="AF1065" i="25"/>
  <c r="AE1065" i="25"/>
  <c r="AE1064" i="25"/>
  <c r="AL1063" i="25"/>
  <c r="AK1063" i="25"/>
  <c r="AJ1063" i="25"/>
  <c r="AI1063" i="25"/>
  <c r="AF1063" i="25"/>
  <c r="AE1063" i="25"/>
  <c r="AE1062" i="25"/>
  <c r="AE1061" i="25"/>
  <c r="AL1060" i="25"/>
  <c r="AK1060" i="25"/>
  <c r="AJ1060" i="25"/>
  <c r="AI1060" i="25"/>
  <c r="AF1060" i="25"/>
  <c r="AE1060" i="25"/>
  <c r="AL1059" i="25"/>
  <c r="AK1059" i="25"/>
  <c r="AJ1059" i="25"/>
  <c r="AI1059" i="25"/>
  <c r="AF1059" i="25"/>
  <c r="AE1059" i="25"/>
  <c r="AE1058" i="25"/>
  <c r="AL1057" i="25"/>
  <c r="AK1057" i="25"/>
  <c r="AJ1057" i="25"/>
  <c r="AI1057" i="25"/>
  <c r="AF1057" i="25"/>
  <c r="AE1057" i="25"/>
  <c r="AL1056" i="25"/>
  <c r="AK1056" i="25"/>
  <c r="AJ1056" i="25"/>
  <c r="AI1056" i="25"/>
  <c r="AF1056" i="25"/>
  <c r="AE1056" i="25"/>
  <c r="AL1055" i="25"/>
  <c r="AK1055" i="25"/>
  <c r="AJ1055" i="25"/>
  <c r="AI1055" i="25"/>
  <c r="AF1055" i="25"/>
  <c r="AE1055" i="25"/>
  <c r="AL1054" i="25"/>
  <c r="AK1054" i="25"/>
  <c r="AJ1054" i="25"/>
  <c r="AI1054" i="25"/>
  <c r="AF1054" i="25"/>
  <c r="AE1054" i="25"/>
  <c r="AL1053" i="25"/>
  <c r="AK1053" i="25"/>
  <c r="AJ1053" i="25"/>
  <c r="AI1053" i="25"/>
  <c r="AF1053" i="25"/>
  <c r="AE1053" i="25"/>
  <c r="AL1052" i="25"/>
  <c r="AK1052" i="25"/>
  <c r="AJ1052" i="25"/>
  <c r="AI1052" i="25"/>
  <c r="AF1052" i="25"/>
  <c r="AE1052" i="25"/>
  <c r="AL1051" i="25"/>
  <c r="AK1051" i="25"/>
  <c r="AJ1051" i="25"/>
  <c r="AI1051" i="25"/>
  <c r="AF1051" i="25"/>
  <c r="AE1051" i="25"/>
  <c r="AL1050" i="25"/>
  <c r="AK1050" i="25"/>
  <c r="AJ1050" i="25"/>
  <c r="AI1050" i="25"/>
  <c r="AF1050" i="25"/>
  <c r="AE1050" i="25"/>
  <c r="AL1049" i="25"/>
  <c r="AK1049" i="25"/>
  <c r="AJ1049" i="25"/>
  <c r="AI1049" i="25"/>
  <c r="AF1049" i="25"/>
  <c r="AE1049" i="25"/>
  <c r="AL1048" i="25"/>
  <c r="AK1048" i="25"/>
  <c r="AJ1048" i="25"/>
  <c r="AI1048" i="25"/>
  <c r="AF1048" i="25"/>
  <c r="AE1048" i="25"/>
  <c r="AL1047" i="25"/>
  <c r="AK1047" i="25"/>
  <c r="AJ1047" i="25"/>
  <c r="AI1047" i="25"/>
  <c r="AF1047" i="25"/>
  <c r="AE1047" i="25"/>
  <c r="AL1046" i="25"/>
  <c r="AK1046" i="25"/>
  <c r="AJ1046" i="25"/>
  <c r="AI1046" i="25"/>
  <c r="AF1046" i="25"/>
  <c r="AE1046" i="25"/>
  <c r="AL1045" i="25"/>
  <c r="AK1045" i="25"/>
  <c r="AJ1045" i="25"/>
  <c r="AI1045" i="25"/>
  <c r="AF1045" i="25"/>
  <c r="AE1045" i="25"/>
  <c r="AL1044" i="25"/>
  <c r="AK1044" i="25"/>
  <c r="AJ1044" i="25"/>
  <c r="AI1044" i="25"/>
  <c r="AF1044" i="25"/>
  <c r="AE1044" i="25"/>
  <c r="AL1043" i="25"/>
  <c r="AK1043" i="25"/>
  <c r="AJ1043" i="25"/>
  <c r="AI1043" i="25"/>
  <c r="AF1043" i="25"/>
  <c r="AE1043" i="25"/>
  <c r="AL1042" i="25"/>
  <c r="AK1042" i="25"/>
  <c r="AJ1042" i="25"/>
  <c r="AI1042" i="25"/>
  <c r="AF1042" i="25"/>
  <c r="AE1042" i="25"/>
  <c r="AL1041" i="25"/>
  <c r="AK1041" i="25"/>
  <c r="AJ1041" i="25"/>
  <c r="AI1041" i="25"/>
  <c r="AF1041" i="25"/>
  <c r="AE1041" i="25"/>
  <c r="AL1040" i="25"/>
  <c r="AK1040" i="25"/>
  <c r="AJ1040" i="25"/>
  <c r="AI1040" i="25"/>
  <c r="AF1040" i="25"/>
  <c r="AE1040" i="25"/>
  <c r="AL1039" i="25"/>
  <c r="AK1039" i="25"/>
  <c r="AJ1039" i="25"/>
  <c r="AI1039" i="25"/>
  <c r="AF1039" i="25"/>
  <c r="AE1039" i="25"/>
  <c r="AL1038" i="25"/>
  <c r="AK1038" i="25"/>
  <c r="AJ1038" i="25"/>
  <c r="AI1038" i="25"/>
  <c r="AF1038" i="25"/>
  <c r="AE1038" i="25"/>
  <c r="AL1037" i="25"/>
  <c r="AK1037" i="25"/>
  <c r="AJ1037" i="25"/>
  <c r="AI1037" i="25"/>
  <c r="AF1037" i="25"/>
  <c r="AE1037" i="25"/>
  <c r="AL1036" i="25"/>
  <c r="AK1036" i="25"/>
  <c r="AJ1036" i="25"/>
  <c r="AI1036" i="25"/>
  <c r="AF1036" i="25"/>
  <c r="AE1036" i="25"/>
  <c r="AL1035" i="25"/>
  <c r="AK1035" i="25"/>
  <c r="AJ1035" i="25"/>
  <c r="AI1035" i="25"/>
  <c r="AF1035" i="25"/>
  <c r="AE1035" i="25"/>
  <c r="AL1034" i="25"/>
  <c r="AK1034" i="25"/>
  <c r="AJ1034" i="25"/>
  <c r="AI1034" i="25"/>
  <c r="AF1034" i="25"/>
  <c r="AE1034" i="25"/>
  <c r="AL1033" i="25"/>
  <c r="AK1033" i="25"/>
  <c r="AJ1033" i="25"/>
  <c r="AI1033" i="25"/>
  <c r="AF1033" i="25"/>
  <c r="AE1033" i="25"/>
  <c r="AL1032" i="25"/>
  <c r="AK1032" i="25"/>
  <c r="AJ1032" i="25"/>
  <c r="AI1032" i="25"/>
  <c r="AF1032" i="25"/>
  <c r="AE1032" i="25"/>
  <c r="AL1031" i="25"/>
  <c r="AK1031" i="25"/>
  <c r="AJ1031" i="25"/>
  <c r="AI1031" i="25"/>
  <c r="AF1031" i="25"/>
  <c r="AE1031" i="25"/>
  <c r="AL1030" i="25"/>
  <c r="AK1030" i="25"/>
  <c r="AJ1030" i="25"/>
  <c r="AI1030" i="25"/>
  <c r="AF1030" i="25"/>
  <c r="AE1030" i="25"/>
  <c r="AL1029" i="25"/>
  <c r="AK1029" i="25"/>
  <c r="AJ1029" i="25"/>
  <c r="AI1029" i="25"/>
  <c r="AF1029" i="25"/>
  <c r="AE1029" i="25"/>
  <c r="AL1028" i="25"/>
  <c r="AK1028" i="25"/>
  <c r="AJ1028" i="25"/>
  <c r="AI1028" i="25"/>
  <c r="AF1028" i="25"/>
  <c r="AE1028" i="25"/>
  <c r="AL1027" i="25"/>
  <c r="AK1027" i="25"/>
  <c r="AJ1027" i="25"/>
  <c r="AI1027" i="25"/>
  <c r="AF1027" i="25"/>
  <c r="AE1027" i="25"/>
  <c r="AL1026" i="25"/>
  <c r="AK1026" i="25"/>
  <c r="AJ1026" i="25"/>
  <c r="AI1026" i="25"/>
  <c r="AF1026" i="25"/>
  <c r="AE1026" i="25"/>
  <c r="AL1025" i="25"/>
  <c r="AK1025" i="25"/>
  <c r="AJ1025" i="25"/>
  <c r="AI1025" i="25"/>
  <c r="AF1025" i="25"/>
  <c r="AE1025" i="25"/>
  <c r="AL1024" i="25"/>
  <c r="AK1024" i="25"/>
  <c r="AJ1024" i="25"/>
  <c r="AI1024" i="25"/>
  <c r="AF1024" i="25"/>
  <c r="AE1024" i="25"/>
  <c r="AL1023" i="25"/>
  <c r="AK1023" i="25"/>
  <c r="AJ1023" i="25"/>
  <c r="AI1023" i="25"/>
  <c r="AF1023" i="25"/>
  <c r="AE1023" i="25"/>
  <c r="AL1022" i="25"/>
  <c r="AK1022" i="25"/>
  <c r="AJ1022" i="25"/>
  <c r="AI1022" i="25"/>
  <c r="AF1022" i="25"/>
  <c r="AE1022" i="25"/>
  <c r="AL1021" i="25"/>
  <c r="AK1021" i="25"/>
  <c r="AJ1021" i="25"/>
  <c r="AI1021" i="25"/>
  <c r="AF1021" i="25"/>
  <c r="AE1021" i="25"/>
  <c r="AL1020" i="25"/>
  <c r="AK1020" i="25"/>
  <c r="AJ1020" i="25"/>
  <c r="AI1020" i="25"/>
  <c r="AF1020" i="25"/>
  <c r="AE1020" i="25"/>
  <c r="AL1019" i="25"/>
  <c r="AK1019" i="25"/>
  <c r="AJ1019" i="25"/>
  <c r="AI1019" i="25"/>
  <c r="AF1019" i="25"/>
  <c r="AE1019" i="25"/>
  <c r="AL1018" i="25"/>
  <c r="AK1018" i="25"/>
  <c r="AJ1018" i="25"/>
  <c r="AI1018" i="25"/>
  <c r="AF1018" i="25"/>
  <c r="AE1018" i="25"/>
  <c r="AL1017" i="25"/>
  <c r="AK1017" i="25"/>
  <c r="AJ1017" i="25"/>
  <c r="AI1017" i="25"/>
  <c r="AF1017" i="25"/>
  <c r="AE1017" i="25"/>
  <c r="AL1016" i="25"/>
  <c r="AK1016" i="25"/>
  <c r="AJ1016" i="25"/>
  <c r="AI1016" i="25"/>
  <c r="AF1016" i="25"/>
  <c r="AE1016" i="25"/>
  <c r="AL1015" i="25"/>
  <c r="AK1015" i="25"/>
  <c r="AJ1015" i="25"/>
  <c r="AI1015" i="25"/>
  <c r="AF1015" i="25"/>
  <c r="AE1015" i="25"/>
  <c r="AE1014" i="25"/>
  <c r="AL1013" i="25"/>
  <c r="AK1013" i="25"/>
  <c r="AJ1013" i="25"/>
  <c r="AI1013" i="25"/>
  <c r="AF1013" i="25"/>
  <c r="AE1013" i="25"/>
  <c r="AL1012" i="25"/>
  <c r="AK1012" i="25"/>
  <c r="AJ1012" i="25"/>
  <c r="AI1012" i="25"/>
  <c r="AF1012" i="25"/>
  <c r="AE1012" i="25"/>
  <c r="AL1011" i="25"/>
  <c r="AK1011" i="25"/>
  <c r="AJ1011" i="25"/>
  <c r="AI1011" i="25"/>
  <c r="AF1011" i="25"/>
  <c r="AE1011" i="25"/>
  <c r="AL1010" i="25"/>
  <c r="AK1010" i="25"/>
  <c r="AJ1010" i="25"/>
  <c r="AI1010" i="25"/>
  <c r="AF1010" i="25"/>
  <c r="AE1010" i="25"/>
  <c r="AL1009" i="25"/>
  <c r="AK1009" i="25"/>
  <c r="AJ1009" i="25"/>
  <c r="AI1009" i="25"/>
  <c r="AF1009" i="25"/>
  <c r="AE1009" i="25"/>
  <c r="AL1008" i="25"/>
  <c r="AK1008" i="25"/>
  <c r="AJ1008" i="25"/>
  <c r="AI1008" i="25"/>
  <c r="AF1008" i="25"/>
  <c r="AE1008" i="25"/>
  <c r="AL1007" i="25"/>
  <c r="AK1007" i="25"/>
  <c r="AJ1007" i="25"/>
  <c r="AI1007" i="25"/>
  <c r="AF1007" i="25"/>
  <c r="AE1007" i="25"/>
  <c r="AL1006" i="25"/>
  <c r="AK1006" i="25"/>
  <c r="AJ1006" i="25"/>
  <c r="AI1006" i="25"/>
  <c r="AF1006" i="25"/>
  <c r="AE1006" i="25"/>
  <c r="AL1005" i="25"/>
  <c r="AK1005" i="25"/>
  <c r="AJ1005" i="25"/>
  <c r="AI1005" i="25"/>
  <c r="AF1005" i="25"/>
  <c r="AE1005" i="25"/>
  <c r="AL1004" i="25"/>
  <c r="AK1004" i="25"/>
  <c r="AJ1004" i="25"/>
  <c r="AI1004" i="25"/>
  <c r="AF1004" i="25"/>
  <c r="AE1004" i="25"/>
  <c r="AE1003" i="25"/>
  <c r="AL1002" i="25"/>
  <c r="AK1002" i="25"/>
  <c r="AJ1002" i="25"/>
  <c r="AI1002" i="25"/>
  <c r="AF1002" i="25"/>
  <c r="AE1002" i="25"/>
  <c r="AE1001" i="25"/>
  <c r="AE1000" i="25"/>
  <c r="AE999" i="25"/>
  <c r="AL998" i="25"/>
  <c r="AK998" i="25"/>
  <c r="AJ998" i="25"/>
  <c r="AI998" i="25"/>
  <c r="AF998" i="25"/>
  <c r="AE998" i="25"/>
  <c r="AL997" i="25"/>
  <c r="AK997" i="25"/>
  <c r="AJ997" i="25"/>
  <c r="AI997" i="25"/>
  <c r="AF997" i="25"/>
  <c r="AE997" i="25"/>
  <c r="AE996" i="25"/>
  <c r="AL995" i="25"/>
  <c r="AK995" i="25"/>
  <c r="AJ995" i="25"/>
  <c r="AI995" i="25"/>
  <c r="AF995" i="25"/>
  <c r="AE995" i="25"/>
  <c r="AL994" i="25"/>
  <c r="AK994" i="25"/>
  <c r="AJ994" i="25"/>
  <c r="AI994" i="25"/>
  <c r="AF994" i="25"/>
  <c r="AE994" i="25"/>
  <c r="AL993" i="25"/>
  <c r="AK993" i="25"/>
  <c r="AJ993" i="25"/>
  <c r="AI993" i="25"/>
  <c r="AF993" i="25"/>
  <c r="AE993" i="25"/>
  <c r="AL992" i="25"/>
  <c r="AK992" i="25"/>
  <c r="AJ992" i="25"/>
  <c r="AI992" i="25"/>
  <c r="AF992" i="25"/>
  <c r="AE992" i="25"/>
  <c r="AL991" i="25"/>
  <c r="AK991" i="25"/>
  <c r="AJ991" i="25"/>
  <c r="AI991" i="25"/>
  <c r="AF991" i="25"/>
  <c r="AE991" i="25"/>
  <c r="AL990" i="25"/>
  <c r="AK990" i="25"/>
  <c r="AJ990" i="25"/>
  <c r="AI990" i="25"/>
  <c r="AF990" i="25"/>
  <c r="AE990" i="25"/>
  <c r="AL989" i="25"/>
  <c r="AK989" i="25"/>
  <c r="AJ989" i="25"/>
  <c r="AI989" i="25"/>
  <c r="AF989" i="25"/>
  <c r="AE989" i="25"/>
  <c r="AL988" i="25"/>
  <c r="AK988" i="25"/>
  <c r="AJ988" i="25"/>
  <c r="AI988" i="25"/>
  <c r="AF988" i="25"/>
  <c r="AE988" i="25"/>
  <c r="AE987" i="25"/>
  <c r="AL986" i="25"/>
  <c r="AK986" i="25"/>
  <c r="AJ986" i="25"/>
  <c r="AI986" i="25"/>
  <c r="AF986" i="25"/>
  <c r="AE986" i="25"/>
  <c r="AE985" i="25"/>
  <c r="AE984" i="25"/>
  <c r="AL983" i="25"/>
  <c r="AK983" i="25"/>
  <c r="AJ983" i="25"/>
  <c r="AI983" i="25"/>
  <c r="AF983" i="25"/>
  <c r="AE983" i="25"/>
  <c r="AL982" i="25"/>
  <c r="AK982" i="25"/>
  <c r="AJ982" i="25"/>
  <c r="AI982" i="25"/>
  <c r="AF982" i="25"/>
  <c r="AE982" i="25"/>
  <c r="AE981" i="25"/>
  <c r="AL980" i="25"/>
  <c r="AK980" i="25"/>
  <c r="AJ980" i="25"/>
  <c r="AI980" i="25"/>
  <c r="AF980" i="25"/>
  <c r="AE980" i="25"/>
  <c r="AL979" i="25"/>
  <c r="AK979" i="25"/>
  <c r="AJ979" i="25"/>
  <c r="AI979" i="25"/>
  <c r="AF979" i="25"/>
  <c r="AE979" i="25"/>
  <c r="AL978" i="25"/>
  <c r="AK978" i="25"/>
  <c r="AJ978" i="25"/>
  <c r="AI978" i="25"/>
  <c r="AF978" i="25"/>
  <c r="AE978" i="25"/>
  <c r="AL977" i="25"/>
  <c r="AK977" i="25"/>
  <c r="AJ977" i="25"/>
  <c r="AI977" i="25"/>
  <c r="AF977" i="25"/>
  <c r="AE977" i="25"/>
  <c r="AL976" i="25"/>
  <c r="AK976" i="25"/>
  <c r="AJ976" i="25"/>
  <c r="AI976" i="25"/>
  <c r="AF976" i="25"/>
  <c r="AE976" i="25"/>
  <c r="AL975" i="25"/>
  <c r="AK975" i="25"/>
  <c r="AJ975" i="25"/>
  <c r="AI975" i="25"/>
  <c r="AF975" i="25"/>
  <c r="AE975" i="25"/>
  <c r="AL974" i="25"/>
  <c r="AK974" i="25"/>
  <c r="AJ974" i="25"/>
  <c r="AI974" i="25"/>
  <c r="AF974" i="25"/>
  <c r="AE974" i="25"/>
  <c r="AL973" i="25"/>
  <c r="AK973" i="25"/>
  <c r="AJ973" i="25"/>
  <c r="AI973" i="25"/>
  <c r="AF973" i="25"/>
  <c r="AE973" i="25"/>
  <c r="AL972" i="25"/>
  <c r="AK972" i="25"/>
  <c r="AJ972" i="25"/>
  <c r="AI972" i="25"/>
  <c r="AF972" i="25"/>
  <c r="AE972" i="25"/>
  <c r="AL971" i="25"/>
  <c r="AK971" i="25"/>
  <c r="AJ971" i="25"/>
  <c r="AI971" i="25"/>
  <c r="AF971" i="25"/>
  <c r="AE971" i="25"/>
  <c r="AL970" i="25"/>
  <c r="AK970" i="25"/>
  <c r="AJ970" i="25"/>
  <c r="AI970" i="25"/>
  <c r="AF970" i="25"/>
  <c r="AE970" i="25"/>
  <c r="AL969" i="25"/>
  <c r="AK969" i="25"/>
  <c r="AJ969" i="25"/>
  <c r="AI969" i="25"/>
  <c r="AF969" i="25"/>
  <c r="AE969" i="25"/>
  <c r="AL968" i="25"/>
  <c r="AK968" i="25"/>
  <c r="AJ968" i="25"/>
  <c r="AI968" i="25"/>
  <c r="AF968" i="25"/>
  <c r="AE968" i="25"/>
  <c r="AL967" i="25"/>
  <c r="AK967" i="25"/>
  <c r="AJ967" i="25"/>
  <c r="AI967" i="25"/>
  <c r="AF967" i="25"/>
  <c r="AE967" i="25"/>
  <c r="AL966" i="25"/>
  <c r="AK966" i="25"/>
  <c r="AJ966" i="25"/>
  <c r="AI966" i="25"/>
  <c r="AF966" i="25"/>
  <c r="AE966" i="25"/>
  <c r="AL965" i="25"/>
  <c r="AK965" i="25"/>
  <c r="AJ965" i="25"/>
  <c r="AI965" i="25"/>
  <c r="AF965" i="25"/>
  <c r="AE965" i="25"/>
  <c r="AL964" i="25"/>
  <c r="AK964" i="25"/>
  <c r="AJ964" i="25"/>
  <c r="AI964" i="25"/>
  <c r="AF964" i="25"/>
  <c r="AE964" i="25"/>
  <c r="AL963" i="25"/>
  <c r="AK963" i="25"/>
  <c r="AJ963" i="25"/>
  <c r="AI963" i="25"/>
  <c r="AF963" i="25"/>
  <c r="AE963" i="25"/>
  <c r="AL962" i="25"/>
  <c r="AK962" i="25"/>
  <c r="AJ962" i="25"/>
  <c r="AI962" i="25"/>
  <c r="AF962" i="25"/>
  <c r="AE962" i="25"/>
  <c r="AL961" i="25"/>
  <c r="AK961" i="25"/>
  <c r="AJ961" i="25"/>
  <c r="AI961" i="25"/>
  <c r="AF961" i="25"/>
  <c r="AE961" i="25"/>
  <c r="AL960" i="25"/>
  <c r="AK960" i="25"/>
  <c r="AJ960" i="25"/>
  <c r="AI960" i="25"/>
  <c r="AF960" i="25"/>
  <c r="AE960" i="25"/>
  <c r="AL959" i="25"/>
  <c r="AK959" i="25"/>
  <c r="AJ959" i="25"/>
  <c r="AI959" i="25"/>
  <c r="AF959" i="25"/>
  <c r="AE959" i="25"/>
  <c r="AL958" i="25"/>
  <c r="AK958" i="25"/>
  <c r="AJ958" i="25"/>
  <c r="AI958" i="25"/>
  <c r="AF958" i="25"/>
  <c r="AE958" i="25"/>
  <c r="AL957" i="25"/>
  <c r="AK957" i="25"/>
  <c r="AJ957" i="25"/>
  <c r="AI957" i="25"/>
  <c r="AF957" i="25"/>
  <c r="AE957" i="25"/>
  <c r="AL956" i="25"/>
  <c r="AK956" i="25"/>
  <c r="AJ956" i="25"/>
  <c r="AI956" i="25"/>
  <c r="AF956" i="25"/>
  <c r="AE956" i="25"/>
  <c r="AL955" i="25"/>
  <c r="AK955" i="25"/>
  <c r="AJ955" i="25"/>
  <c r="AI955" i="25"/>
  <c r="AF955" i="25"/>
  <c r="AE955" i="25"/>
  <c r="AL954" i="25"/>
  <c r="AK954" i="25"/>
  <c r="AJ954" i="25"/>
  <c r="AI954" i="25"/>
  <c r="AF954" i="25"/>
  <c r="AE954" i="25"/>
  <c r="AL953" i="25"/>
  <c r="AK953" i="25"/>
  <c r="AJ953" i="25"/>
  <c r="AI953" i="25"/>
  <c r="AF953" i="25"/>
  <c r="AE953" i="25"/>
  <c r="AL952" i="25"/>
  <c r="AK952" i="25"/>
  <c r="AJ952" i="25"/>
  <c r="AI952" i="25"/>
  <c r="AF952" i="25"/>
  <c r="AE952" i="25"/>
  <c r="AE951" i="25"/>
  <c r="AL950" i="25"/>
  <c r="AK950" i="25"/>
  <c r="AJ950" i="25"/>
  <c r="AI950" i="25"/>
  <c r="AF950" i="25"/>
  <c r="AE950" i="25"/>
  <c r="AL949" i="25"/>
  <c r="AK949" i="25"/>
  <c r="AJ949" i="25"/>
  <c r="AI949" i="25"/>
  <c r="AF949" i="25"/>
  <c r="AE949" i="25"/>
  <c r="AE948" i="25"/>
  <c r="AL947" i="25"/>
  <c r="AK947" i="25"/>
  <c r="AJ947" i="25"/>
  <c r="AI947" i="25"/>
  <c r="AF947" i="25"/>
  <c r="AE947" i="25"/>
  <c r="AE946" i="25"/>
  <c r="AE945" i="25"/>
  <c r="AL944" i="25"/>
  <c r="AK944" i="25"/>
  <c r="AJ944" i="25"/>
  <c r="AI944" i="25"/>
  <c r="AF944" i="25"/>
  <c r="AE944" i="25"/>
  <c r="AL943" i="25"/>
  <c r="AK943" i="25"/>
  <c r="AJ943" i="25"/>
  <c r="AI943" i="25"/>
  <c r="AF943" i="25"/>
  <c r="AE943" i="25"/>
  <c r="AE942" i="25"/>
  <c r="AL941" i="25"/>
  <c r="AK941" i="25"/>
  <c r="AJ941" i="25"/>
  <c r="AI941" i="25"/>
  <c r="AF941" i="25"/>
  <c r="AE941" i="25"/>
  <c r="AL940" i="25"/>
  <c r="AK940" i="25"/>
  <c r="AJ940" i="25"/>
  <c r="AI940" i="25"/>
  <c r="AF940" i="25"/>
  <c r="AE940" i="25"/>
  <c r="AL939" i="25"/>
  <c r="AK939" i="25"/>
  <c r="AJ939" i="25"/>
  <c r="AI939" i="25"/>
  <c r="AF939" i="25"/>
  <c r="AE939" i="25"/>
  <c r="AL938" i="25"/>
  <c r="AK938" i="25"/>
  <c r="AJ938" i="25"/>
  <c r="AI938" i="25"/>
  <c r="AF938" i="25"/>
  <c r="AE938" i="25"/>
  <c r="AL937" i="25"/>
  <c r="AK937" i="25"/>
  <c r="AJ937" i="25"/>
  <c r="AI937" i="25"/>
  <c r="AF937" i="25"/>
  <c r="AE937" i="25"/>
  <c r="AL936" i="25"/>
  <c r="AK936" i="25"/>
  <c r="AJ936" i="25"/>
  <c r="AI936" i="25"/>
  <c r="AF936" i="25"/>
  <c r="AE936" i="25"/>
  <c r="AL935" i="25"/>
  <c r="AK935" i="25"/>
  <c r="AJ935" i="25"/>
  <c r="AI935" i="25"/>
  <c r="AF935" i="25"/>
  <c r="AE935" i="25"/>
  <c r="AL934" i="25"/>
  <c r="AK934" i="25"/>
  <c r="AJ934" i="25"/>
  <c r="AI934" i="25"/>
  <c r="AF934" i="25"/>
  <c r="AE934" i="25"/>
  <c r="AE933" i="25"/>
  <c r="AL932" i="25"/>
  <c r="AK932" i="25"/>
  <c r="AJ932" i="25"/>
  <c r="AI932" i="25"/>
  <c r="AF932" i="25"/>
  <c r="AE932" i="25"/>
  <c r="AL931" i="25"/>
  <c r="AK931" i="25"/>
  <c r="AJ931" i="25"/>
  <c r="AI931" i="25"/>
  <c r="AF931" i="25"/>
  <c r="AE931" i="25"/>
  <c r="AL930" i="25"/>
  <c r="AK930" i="25"/>
  <c r="AJ930" i="25"/>
  <c r="AI930" i="25"/>
  <c r="AF930" i="25"/>
  <c r="AE930" i="25"/>
  <c r="AL929" i="25"/>
  <c r="AK929" i="25"/>
  <c r="AJ929" i="25"/>
  <c r="AI929" i="25"/>
  <c r="AF929" i="25"/>
  <c r="AE929" i="25"/>
  <c r="AL928" i="25"/>
  <c r="AK928" i="25"/>
  <c r="AJ928" i="25"/>
  <c r="AI928" i="25"/>
  <c r="AF928" i="25"/>
  <c r="AE928" i="25"/>
  <c r="AL927" i="25"/>
  <c r="AK927" i="25"/>
  <c r="AJ927" i="25"/>
  <c r="AI927" i="25"/>
  <c r="AF927" i="25"/>
  <c r="AE927" i="25"/>
  <c r="AL926" i="25"/>
  <c r="AK926" i="25"/>
  <c r="AJ926" i="25"/>
  <c r="AI926" i="25"/>
  <c r="AF926" i="25"/>
  <c r="AE926" i="25"/>
  <c r="AL925" i="25"/>
  <c r="AK925" i="25"/>
  <c r="AJ925" i="25"/>
  <c r="AI925" i="25"/>
  <c r="AF925" i="25"/>
  <c r="AE925" i="25"/>
  <c r="AL924" i="25"/>
  <c r="AK924" i="25"/>
  <c r="AJ924" i="25"/>
  <c r="AI924" i="25"/>
  <c r="AF924" i="25"/>
  <c r="AE924" i="25"/>
  <c r="AL923" i="25"/>
  <c r="AK923" i="25"/>
  <c r="AJ923" i="25"/>
  <c r="AI923" i="25"/>
  <c r="AF923" i="25"/>
  <c r="AE923" i="25"/>
  <c r="AL922" i="25"/>
  <c r="AK922" i="25"/>
  <c r="AJ922" i="25"/>
  <c r="AI922" i="25"/>
  <c r="AF922" i="25"/>
  <c r="AE922" i="25"/>
  <c r="AL921" i="25"/>
  <c r="AK921" i="25"/>
  <c r="AJ921" i="25"/>
  <c r="AI921" i="25"/>
  <c r="AF921" i="25"/>
  <c r="AE921" i="25"/>
  <c r="AE920" i="25"/>
  <c r="AL919" i="25"/>
  <c r="AK919" i="25"/>
  <c r="AJ919" i="25"/>
  <c r="AI919" i="25"/>
  <c r="AF919" i="25"/>
  <c r="AE919" i="25"/>
  <c r="AL918" i="25"/>
  <c r="AK918" i="25"/>
  <c r="AJ918" i="25"/>
  <c r="AI918" i="25"/>
  <c r="AF918" i="25"/>
  <c r="AE918" i="25"/>
  <c r="AL917" i="25"/>
  <c r="AK917" i="25"/>
  <c r="AJ917" i="25"/>
  <c r="AI917" i="25"/>
  <c r="AF917" i="25"/>
  <c r="AE917" i="25"/>
  <c r="AL916" i="25"/>
  <c r="AK916" i="25"/>
  <c r="AJ916" i="25"/>
  <c r="AI916" i="25"/>
  <c r="AF916" i="25"/>
  <c r="AE916" i="25"/>
  <c r="AL915" i="25"/>
  <c r="AK915" i="25"/>
  <c r="AJ915" i="25"/>
  <c r="AI915" i="25"/>
  <c r="AF915" i="25"/>
  <c r="AE915" i="25"/>
  <c r="AL914" i="25"/>
  <c r="AK914" i="25"/>
  <c r="AJ914" i="25"/>
  <c r="AI914" i="25"/>
  <c r="AF914" i="25"/>
  <c r="AE914" i="25"/>
  <c r="AL913" i="25"/>
  <c r="AK913" i="25"/>
  <c r="AJ913" i="25"/>
  <c r="AI913" i="25"/>
  <c r="AF913" i="25"/>
  <c r="AE913" i="25"/>
  <c r="AE912" i="25"/>
  <c r="AL911" i="25"/>
  <c r="AK911" i="25"/>
  <c r="AJ911" i="25"/>
  <c r="AI911" i="25"/>
  <c r="AF911" i="25"/>
  <c r="AE911" i="25"/>
  <c r="AE910" i="25"/>
  <c r="AL909" i="25"/>
  <c r="AK909" i="25"/>
  <c r="AJ909" i="25"/>
  <c r="AI909" i="25"/>
  <c r="AF909" i="25"/>
  <c r="AE909" i="25"/>
  <c r="AE908" i="25"/>
  <c r="AL907" i="25"/>
  <c r="AK907" i="25"/>
  <c r="AJ907" i="25"/>
  <c r="AI907" i="25"/>
  <c r="AF907" i="25"/>
  <c r="AE907" i="25"/>
  <c r="AE906" i="25"/>
  <c r="AL905" i="25"/>
  <c r="AK905" i="25"/>
  <c r="AJ905" i="25"/>
  <c r="AI905" i="25"/>
  <c r="AF905" i="25"/>
  <c r="AE905" i="25"/>
  <c r="AL904" i="25"/>
  <c r="AK904" i="25"/>
  <c r="AJ904" i="25"/>
  <c r="AI904" i="25"/>
  <c r="AF904" i="25"/>
  <c r="AE904" i="25"/>
  <c r="AL903" i="25"/>
  <c r="AK903" i="25"/>
  <c r="AJ903" i="25"/>
  <c r="AI903" i="25"/>
  <c r="AF903" i="25"/>
  <c r="AE903" i="25"/>
  <c r="AE902" i="25"/>
  <c r="AE901" i="25"/>
  <c r="AE900" i="25"/>
  <c r="AL899" i="25"/>
  <c r="AK899" i="25"/>
  <c r="AJ899" i="25"/>
  <c r="AI899" i="25"/>
  <c r="AF899" i="25"/>
  <c r="AE899" i="25"/>
  <c r="AE898" i="25"/>
  <c r="AL897" i="25"/>
  <c r="AK897" i="25"/>
  <c r="AJ897" i="25"/>
  <c r="AI897" i="25"/>
  <c r="AF897" i="25"/>
  <c r="AE897" i="25"/>
  <c r="AE896" i="25"/>
  <c r="AL895" i="25"/>
  <c r="AK895" i="25"/>
  <c r="AJ895" i="25"/>
  <c r="AI895" i="25"/>
  <c r="AF895" i="25"/>
  <c r="AE895" i="25"/>
  <c r="AL894" i="25"/>
  <c r="AK894" i="25"/>
  <c r="AJ894" i="25"/>
  <c r="AI894" i="25"/>
  <c r="AF894" i="25"/>
  <c r="AE894" i="25"/>
  <c r="AL893" i="25"/>
  <c r="AK893" i="25"/>
  <c r="AJ893" i="25"/>
  <c r="AI893" i="25"/>
  <c r="AF893" i="25"/>
  <c r="AE893" i="25"/>
  <c r="AL892" i="25"/>
  <c r="AK892" i="25"/>
  <c r="AJ892" i="25"/>
  <c r="AI892" i="25"/>
  <c r="AF892" i="25"/>
  <c r="AE892" i="25"/>
  <c r="AL891" i="25"/>
  <c r="AK891" i="25"/>
  <c r="AJ891" i="25"/>
  <c r="AI891" i="25"/>
  <c r="AF891" i="25"/>
  <c r="AE891" i="25"/>
  <c r="AL890" i="25"/>
  <c r="AK890" i="25"/>
  <c r="AJ890" i="25"/>
  <c r="AI890" i="25"/>
  <c r="AF890" i="25"/>
  <c r="AE890" i="25"/>
  <c r="AL889" i="25"/>
  <c r="AK889" i="25"/>
  <c r="AJ889" i="25"/>
  <c r="AI889" i="25"/>
  <c r="AF889" i="25"/>
  <c r="AE889" i="25"/>
  <c r="AL888" i="25"/>
  <c r="AK888" i="25"/>
  <c r="AJ888" i="25"/>
  <c r="AI888" i="25"/>
  <c r="AF888" i="25"/>
  <c r="AE888" i="25"/>
  <c r="AL887" i="25"/>
  <c r="AK887" i="25"/>
  <c r="AJ887" i="25"/>
  <c r="AI887" i="25"/>
  <c r="AF887" i="25"/>
  <c r="AE887" i="25"/>
  <c r="AL886" i="25"/>
  <c r="AK886" i="25"/>
  <c r="AJ886" i="25"/>
  <c r="AI886" i="25"/>
  <c r="AF886" i="25"/>
  <c r="AE886" i="25"/>
  <c r="AL885" i="25"/>
  <c r="AK885" i="25"/>
  <c r="AJ885" i="25"/>
  <c r="AI885" i="25"/>
  <c r="AF885" i="25"/>
  <c r="AE885" i="25"/>
  <c r="AL884" i="25"/>
  <c r="AK884" i="25"/>
  <c r="AJ884" i="25"/>
  <c r="AI884" i="25"/>
  <c r="AF884" i="25"/>
  <c r="AE884" i="25"/>
  <c r="AL883" i="25"/>
  <c r="AK883" i="25"/>
  <c r="AJ883" i="25"/>
  <c r="AI883" i="25"/>
  <c r="AF883" i="25"/>
  <c r="AE883" i="25"/>
  <c r="AL882" i="25"/>
  <c r="AK882" i="25"/>
  <c r="AJ882" i="25"/>
  <c r="AI882" i="25"/>
  <c r="AF882" i="25"/>
  <c r="AE882" i="25"/>
  <c r="AL881" i="25"/>
  <c r="AK881" i="25"/>
  <c r="AJ881" i="25"/>
  <c r="AI881" i="25"/>
  <c r="AF881" i="25"/>
  <c r="AE881" i="25"/>
  <c r="AL880" i="25"/>
  <c r="AK880" i="25"/>
  <c r="AJ880" i="25"/>
  <c r="AI880" i="25"/>
  <c r="AF880" i="25"/>
  <c r="AE880" i="25"/>
  <c r="AL879" i="25"/>
  <c r="AK879" i="25"/>
  <c r="AJ879" i="25"/>
  <c r="AI879" i="25"/>
  <c r="AF879" i="25"/>
  <c r="AE879" i="25"/>
  <c r="AL878" i="25"/>
  <c r="AK878" i="25"/>
  <c r="AJ878" i="25"/>
  <c r="AI878" i="25"/>
  <c r="AF878" i="25"/>
  <c r="AE878" i="25"/>
  <c r="AL877" i="25"/>
  <c r="AK877" i="25"/>
  <c r="AJ877" i="25"/>
  <c r="AI877" i="25"/>
  <c r="AF877" i="25"/>
  <c r="AE877" i="25"/>
  <c r="AL876" i="25"/>
  <c r="AK876" i="25"/>
  <c r="AJ876" i="25"/>
  <c r="AI876" i="25"/>
  <c r="AF876" i="25"/>
  <c r="AE876" i="25"/>
  <c r="AL875" i="25"/>
  <c r="AK875" i="25"/>
  <c r="AJ875" i="25"/>
  <c r="AI875" i="25"/>
  <c r="AF875" i="25"/>
  <c r="AE875" i="25"/>
  <c r="AL874" i="25"/>
  <c r="AK874" i="25"/>
  <c r="AJ874" i="25"/>
  <c r="AI874" i="25"/>
  <c r="AF874" i="25"/>
  <c r="AE874" i="25"/>
  <c r="AL873" i="25"/>
  <c r="AK873" i="25"/>
  <c r="AJ873" i="25"/>
  <c r="AI873" i="25"/>
  <c r="AF873" i="25"/>
  <c r="AE873" i="25"/>
  <c r="AL872" i="25"/>
  <c r="AK872" i="25"/>
  <c r="AJ872" i="25"/>
  <c r="AI872" i="25"/>
  <c r="AF872" i="25"/>
  <c r="AE872" i="25"/>
  <c r="AL871" i="25"/>
  <c r="AK871" i="25"/>
  <c r="AJ871" i="25"/>
  <c r="AI871" i="25"/>
  <c r="AF871" i="25"/>
  <c r="AE871" i="25"/>
  <c r="AL870" i="25"/>
  <c r="AK870" i="25"/>
  <c r="AJ870" i="25"/>
  <c r="AI870" i="25"/>
  <c r="AF870" i="25"/>
  <c r="AE870" i="25"/>
  <c r="AL869" i="25"/>
  <c r="AK869" i="25"/>
  <c r="AJ869" i="25"/>
  <c r="AI869" i="25"/>
  <c r="AF869" i="25"/>
  <c r="AE869" i="25"/>
  <c r="AL868" i="25"/>
  <c r="AK868" i="25"/>
  <c r="AJ868" i="25"/>
  <c r="AI868" i="25"/>
  <c r="AF868" i="25"/>
  <c r="AE868" i="25"/>
  <c r="AL867" i="25"/>
  <c r="AK867" i="25"/>
  <c r="AJ867" i="25"/>
  <c r="AI867" i="25"/>
  <c r="AF867" i="25"/>
  <c r="AE867" i="25"/>
  <c r="AL866" i="25"/>
  <c r="AK866" i="25"/>
  <c r="AJ866" i="25"/>
  <c r="AI866" i="25"/>
  <c r="AF866" i="25"/>
  <c r="AE866" i="25"/>
  <c r="AL865" i="25"/>
  <c r="AK865" i="25"/>
  <c r="AJ865" i="25"/>
  <c r="AI865" i="25"/>
  <c r="AF865" i="25"/>
  <c r="AE865" i="25"/>
  <c r="AL864" i="25"/>
  <c r="AK864" i="25"/>
  <c r="AJ864" i="25"/>
  <c r="AI864" i="25"/>
  <c r="AF864" i="25"/>
  <c r="AE864" i="25"/>
  <c r="AL863" i="25"/>
  <c r="AK863" i="25"/>
  <c r="AJ863" i="25"/>
  <c r="AI863" i="25"/>
  <c r="AF863" i="25"/>
  <c r="AE863" i="25"/>
  <c r="AL862" i="25"/>
  <c r="AK862" i="25"/>
  <c r="AJ862" i="25"/>
  <c r="AI862" i="25"/>
  <c r="AF862" i="25"/>
  <c r="AE862" i="25"/>
  <c r="AL861" i="25"/>
  <c r="AK861" i="25"/>
  <c r="AJ861" i="25"/>
  <c r="AI861" i="25"/>
  <c r="AF861" i="25"/>
  <c r="AE861" i="25"/>
  <c r="AL860" i="25"/>
  <c r="AK860" i="25"/>
  <c r="AJ860" i="25"/>
  <c r="AI860" i="25"/>
  <c r="AF860" i="25"/>
  <c r="AE860" i="25"/>
  <c r="AL859" i="25"/>
  <c r="AK859" i="25"/>
  <c r="AJ859" i="25"/>
  <c r="AI859" i="25"/>
  <c r="AF859" i="25"/>
  <c r="AE859" i="25"/>
  <c r="AL858" i="25"/>
  <c r="AK858" i="25"/>
  <c r="AJ858" i="25"/>
  <c r="AI858" i="25"/>
  <c r="AF858" i="25"/>
  <c r="AE858" i="25"/>
  <c r="AL857" i="25"/>
  <c r="AK857" i="25"/>
  <c r="AJ857" i="25"/>
  <c r="AI857" i="25"/>
  <c r="AF857" i="25"/>
  <c r="AE857" i="25"/>
  <c r="AL856" i="25"/>
  <c r="AK856" i="25"/>
  <c r="AJ856" i="25"/>
  <c r="AI856" i="25"/>
  <c r="AF856" i="25"/>
  <c r="AE856" i="25"/>
  <c r="AL855" i="25"/>
  <c r="AK855" i="25"/>
  <c r="AJ855" i="25"/>
  <c r="AI855" i="25"/>
  <c r="AF855" i="25"/>
  <c r="AE855" i="25"/>
  <c r="AL854" i="25"/>
  <c r="AK854" i="25"/>
  <c r="AJ854" i="25"/>
  <c r="AI854" i="25"/>
  <c r="AF854" i="25"/>
  <c r="AE854" i="25"/>
  <c r="AL853" i="25"/>
  <c r="AK853" i="25"/>
  <c r="AJ853" i="25"/>
  <c r="AI853" i="25"/>
  <c r="AF853" i="25"/>
  <c r="AE853" i="25"/>
  <c r="AL852" i="25"/>
  <c r="AK852" i="25"/>
  <c r="AJ852" i="25"/>
  <c r="AI852" i="25"/>
  <c r="AF852" i="25"/>
  <c r="AE852" i="25"/>
  <c r="AL851" i="25"/>
  <c r="AK851" i="25"/>
  <c r="AJ851" i="25"/>
  <c r="AI851" i="25"/>
  <c r="AF851" i="25"/>
  <c r="AE851" i="25"/>
  <c r="AL850" i="25"/>
  <c r="AK850" i="25"/>
  <c r="AJ850" i="25"/>
  <c r="AI850" i="25"/>
  <c r="AF850" i="25"/>
  <c r="AE850" i="25"/>
  <c r="AL849" i="25"/>
  <c r="AK849" i="25"/>
  <c r="AJ849" i="25"/>
  <c r="AI849" i="25"/>
  <c r="AF849" i="25"/>
  <c r="AE849" i="25"/>
  <c r="AL848" i="25"/>
  <c r="AK848" i="25"/>
  <c r="AJ848" i="25"/>
  <c r="AI848" i="25"/>
  <c r="AF848" i="25"/>
  <c r="AE848" i="25"/>
  <c r="AL847" i="25"/>
  <c r="AK847" i="25"/>
  <c r="AJ847" i="25"/>
  <c r="AI847" i="25"/>
  <c r="AF847" i="25"/>
  <c r="AE847" i="25"/>
  <c r="AL846" i="25"/>
  <c r="AK846" i="25"/>
  <c r="AJ846" i="25"/>
  <c r="AI846" i="25"/>
  <c r="AF846" i="25"/>
  <c r="AE846" i="25"/>
  <c r="AL845" i="25"/>
  <c r="AK845" i="25"/>
  <c r="AJ845" i="25"/>
  <c r="AI845" i="25"/>
  <c r="AF845" i="25"/>
  <c r="AE845" i="25"/>
  <c r="AL844" i="25"/>
  <c r="AK844" i="25"/>
  <c r="AJ844" i="25"/>
  <c r="AI844" i="25"/>
  <c r="AF844" i="25"/>
  <c r="AE844" i="25"/>
  <c r="AL843" i="25"/>
  <c r="AK843" i="25"/>
  <c r="AJ843" i="25"/>
  <c r="AI843" i="25"/>
  <c r="AF843" i="25"/>
  <c r="AE843" i="25"/>
  <c r="AL842" i="25"/>
  <c r="AK842" i="25"/>
  <c r="AJ842" i="25"/>
  <c r="AI842" i="25"/>
  <c r="AF842" i="25"/>
  <c r="AE842" i="25"/>
  <c r="AL841" i="25"/>
  <c r="AK841" i="25"/>
  <c r="AJ841" i="25"/>
  <c r="AI841" i="25"/>
  <c r="AF841" i="25"/>
  <c r="AE841" i="25"/>
  <c r="AL840" i="25"/>
  <c r="AK840" i="25"/>
  <c r="AJ840" i="25"/>
  <c r="AI840" i="25"/>
  <c r="AF840" i="25"/>
  <c r="AE840" i="25"/>
  <c r="AL839" i="25"/>
  <c r="AK839" i="25"/>
  <c r="AJ839" i="25"/>
  <c r="AI839" i="25"/>
  <c r="AF839" i="25"/>
  <c r="AE839" i="25"/>
  <c r="AL838" i="25"/>
  <c r="AK838" i="25"/>
  <c r="AJ838" i="25"/>
  <c r="AI838" i="25"/>
  <c r="AF838" i="25"/>
  <c r="AE838" i="25"/>
  <c r="AL837" i="25"/>
  <c r="AK837" i="25"/>
  <c r="AJ837" i="25"/>
  <c r="AI837" i="25"/>
  <c r="AF837" i="25"/>
  <c r="AE837" i="25"/>
  <c r="AL836" i="25"/>
  <c r="AK836" i="25"/>
  <c r="AJ836" i="25"/>
  <c r="AI836" i="25"/>
  <c r="AF836" i="25"/>
  <c r="AE836" i="25"/>
  <c r="AL835" i="25"/>
  <c r="AK835" i="25"/>
  <c r="AJ835" i="25"/>
  <c r="AI835" i="25"/>
  <c r="AF835" i="25"/>
  <c r="AE835" i="25"/>
  <c r="AL834" i="25"/>
  <c r="AK834" i="25"/>
  <c r="AJ834" i="25"/>
  <c r="AI834" i="25"/>
  <c r="AF834" i="25"/>
  <c r="AE834" i="25"/>
  <c r="AL833" i="25"/>
  <c r="AK833" i="25"/>
  <c r="AJ833" i="25"/>
  <c r="AI833" i="25"/>
  <c r="AF833" i="25"/>
  <c r="AE833" i="25"/>
  <c r="AL832" i="25"/>
  <c r="AK832" i="25"/>
  <c r="AJ832" i="25"/>
  <c r="AI832" i="25"/>
  <c r="AF832" i="25"/>
  <c r="AE832" i="25"/>
  <c r="AL831" i="25"/>
  <c r="AK831" i="25"/>
  <c r="AJ831" i="25"/>
  <c r="AI831" i="25"/>
  <c r="AF831" i="25"/>
  <c r="AE831" i="25"/>
  <c r="AL830" i="25"/>
  <c r="AK830" i="25"/>
  <c r="AJ830" i="25"/>
  <c r="AI830" i="25"/>
  <c r="AF830" i="25"/>
  <c r="AE830" i="25"/>
  <c r="AL829" i="25"/>
  <c r="AK829" i="25"/>
  <c r="AJ829" i="25"/>
  <c r="AI829" i="25"/>
  <c r="AF829" i="25"/>
  <c r="AE829" i="25"/>
  <c r="AL828" i="25"/>
  <c r="AK828" i="25"/>
  <c r="AJ828" i="25"/>
  <c r="AI828" i="25"/>
  <c r="AF828" i="25"/>
  <c r="AE828" i="25"/>
  <c r="AL827" i="25"/>
  <c r="AK827" i="25"/>
  <c r="AJ827" i="25"/>
  <c r="AI827" i="25"/>
  <c r="AF827" i="25"/>
  <c r="AE827" i="25"/>
  <c r="AL826" i="25"/>
  <c r="AK826" i="25"/>
  <c r="AJ826" i="25"/>
  <c r="AI826" i="25"/>
  <c r="AF826" i="25"/>
  <c r="AE826" i="25"/>
  <c r="AL825" i="25"/>
  <c r="AK825" i="25"/>
  <c r="AJ825" i="25"/>
  <c r="AI825" i="25"/>
  <c r="AF825" i="25"/>
  <c r="AE825" i="25"/>
  <c r="AL824" i="25"/>
  <c r="AK824" i="25"/>
  <c r="AJ824" i="25"/>
  <c r="AI824" i="25"/>
  <c r="AF824" i="25"/>
  <c r="AE824" i="25"/>
  <c r="AL823" i="25"/>
  <c r="AK823" i="25"/>
  <c r="AJ823" i="25"/>
  <c r="AI823" i="25"/>
  <c r="AF823" i="25"/>
  <c r="AE823" i="25"/>
  <c r="AL822" i="25"/>
  <c r="AK822" i="25"/>
  <c r="AJ822" i="25"/>
  <c r="AI822" i="25"/>
  <c r="AF822" i="25"/>
  <c r="AE822" i="25"/>
  <c r="AL821" i="25"/>
  <c r="AK821" i="25"/>
  <c r="AJ821" i="25"/>
  <c r="AI821" i="25"/>
  <c r="AF821" i="25"/>
  <c r="AE821" i="25"/>
  <c r="AL820" i="25"/>
  <c r="AK820" i="25"/>
  <c r="AJ820" i="25"/>
  <c r="AI820" i="25"/>
  <c r="AF820" i="25"/>
  <c r="AE820" i="25"/>
  <c r="AL819" i="25"/>
  <c r="AK819" i="25"/>
  <c r="AJ819" i="25"/>
  <c r="AI819" i="25"/>
  <c r="AF819" i="25"/>
  <c r="AE819" i="25"/>
  <c r="AL818" i="25"/>
  <c r="AK818" i="25"/>
  <c r="AJ818" i="25"/>
  <c r="AI818" i="25"/>
  <c r="AF818" i="25"/>
  <c r="AE818" i="25"/>
  <c r="AL817" i="25"/>
  <c r="AK817" i="25"/>
  <c r="AJ817" i="25"/>
  <c r="AI817" i="25"/>
  <c r="AF817" i="25"/>
  <c r="AE817" i="25"/>
  <c r="AL816" i="25"/>
  <c r="AK816" i="25"/>
  <c r="AJ816" i="25"/>
  <c r="AI816" i="25"/>
  <c r="AF816" i="25"/>
  <c r="AE816" i="25"/>
  <c r="AL815" i="25"/>
  <c r="AK815" i="25"/>
  <c r="AJ815" i="25"/>
  <c r="AI815" i="25"/>
  <c r="AF815" i="25"/>
  <c r="AE815" i="25"/>
  <c r="AL814" i="25"/>
  <c r="AK814" i="25"/>
  <c r="AJ814" i="25"/>
  <c r="AI814" i="25"/>
  <c r="AF814" i="25"/>
  <c r="AE814" i="25"/>
  <c r="AL813" i="25"/>
  <c r="AK813" i="25"/>
  <c r="AJ813" i="25"/>
  <c r="AI813" i="25"/>
  <c r="AF813" i="25"/>
  <c r="AE813" i="25"/>
  <c r="AL812" i="25"/>
  <c r="AK812" i="25"/>
  <c r="AJ812" i="25"/>
  <c r="AI812" i="25"/>
  <c r="AF812" i="25"/>
  <c r="AE812" i="25"/>
  <c r="AL811" i="25"/>
  <c r="AK811" i="25"/>
  <c r="AJ811" i="25"/>
  <c r="AI811" i="25"/>
  <c r="AF811" i="25"/>
  <c r="AE811" i="25"/>
  <c r="AL810" i="25"/>
  <c r="AK810" i="25"/>
  <c r="AJ810" i="25"/>
  <c r="AI810" i="25"/>
  <c r="AF810" i="25"/>
  <c r="AE810" i="25"/>
  <c r="AL809" i="25"/>
  <c r="AK809" i="25"/>
  <c r="AJ809" i="25"/>
  <c r="AI809" i="25"/>
  <c r="AF809" i="25"/>
  <c r="AE809" i="25"/>
  <c r="AL808" i="25"/>
  <c r="AK808" i="25"/>
  <c r="AJ808" i="25"/>
  <c r="AI808" i="25"/>
  <c r="AF808" i="25"/>
  <c r="AE808" i="25"/>
  <c r="AL807" i="25"/>
  <c r="AK807" i="25"/>
  <c r="AJ807" i="25"/>
  <c r="AI807" i="25"/>
  <c r="AF807" i="25"/>
  <c r="AE807" i="25"/>
  <c r="AL806" i="25"/>
  <c r="AK806" i="25"/>
  <c r="AJ806" i="25"/>
  <c r="AI806" i="25"/>
  <c r="AF806" i="25"/>
  <c r="AE806" i="25"/>
  <c r="AL805" i="25"/>
  <c r="AK805" i="25"/>
  <c r="AJ805" i="25"/>
  <c r="AI805" i="25"/>
  <c r="AF805" i="25"/>
  <c r="AE805" i="25"/>
  <c r="AL804" i="25"/>
  <c r="AK804" i="25"/>
  <c r="AJ804" i="25"/>
  <c r="AI804" i="25"/>
  <c r="AF804" i="25"/>
  <c r="AE804" i="25"/>
  <c r="AL803" i="25"/>
  <c r="AK803" i="25"/>
  <c r="AJ803" i="25"/>
  <c r="AI803" i="25"/>
  <c r="AF803" i="25"/>
  <c r="AE803" i="25"/>
  <c r="AL802" i="25"/>
  <c r="AK802" i="25"/>
  <c r="AJ802" i="25"/>
  <c r="AI802" i="25"/>
  <c r="AF802" i="25"/>
  <c r="AE802" i="25"/>
  <c r="AL801" i="25"/>
  <c r="AK801" i="25"/>
  <c r="AJ801" i="25"/>
  <c r="AI801" i="25"/>
  <c r="AF801" i="25"/>
  <c r="AE801" i="25"/>
  <c r="AL800" i="25"/>
  <c r="AK800" i="25"/>
  <c r="AJ800" i="25"/>
  <c r="AI800" i="25"/>
  <c r="AF800" i="25"/>
  <c r="AE800" i="25"/>
  <c r="AL799" i="25"/>
  <c r="AK799" i="25"/>
  <c r="AJ799" i="25"/>
  <c r="AI799" i="25"/>
  <c r="AF799" i="25"/>
  <c r="AE799" i="25"/>
  <c r="AL798" i="25"/>
  <c r="AK798" i="25"/>
  <c r="AJ798" i="25"/>
  <c r="AI798" i="25"/>
  <c r="AF798" i="25"/>
  <c r="AE798" i="25"/>
  <c r="AL797" i="25"/>
  <c r="AK797" i="25"/>
  <c r="AJ797" i="25"/>
  <c r="AI797" i="25"/>
  <c r="AF797" i="25"/>
  <c r="AE797" i="25"/>
  <c r="AL796" i="25"/>
  <c r="AK796" i="25"/>
  <c r="AJ796" i="25"/>
  <c r="AI796" i="25"/>
  <c r="AF796" i="25"/>
  <c r="AE796" i="25"/>
  <c r="AL795" i="25"/>
  <c r="AK795" i="25"/>
  <c r="AJ795" i="25"/>
  <c r="AI795" i="25"/>
  <c r="AF795" i="25"/>
  <c r="AE795" i="25"/>
  <c r="AL794" i="25"/>
  <c r="AK794" i="25"/>
  <c r="AJ794" i="25"/>
  <c r="AI794" i="25"/>
  <c r="AF794" i="25"/>
  <c r="AE794" i="25"/>
  <c r="AL793" i="25"/>
  <c r="AK793" i="25"/>
  <c r="AJ793" i="25"/>
  <c r="AI793" i="25"/>
  <c r="AF793" i="25"/>
  <c r="AE793" i="25"/>
  <c r="AL792" i="25"/>
  <c r="AK792" i="25"/>
  <c r="AJ792" i="25"/>
  <c r="AI792" i="25"/>
  <c r="AF792" i="25"/>
  <c r="AE792" i="25"/>
  <c r="AL791" i="25"/>
  <c r="AK791" i="25"/>
  <c r="AJ791" i="25"/>
  <c r="AI791" i="25"/>
  <c r="AF791" i="25"/>
  <c r="AE791" i="25"/>
  <c r="AL790" i="25"/>
  <c r="AK790" i="25"/>
  <c r="AJ790" i="25"/>
  <c r="AI790" i="25"/>
  <c r="AF790" i="25"/>
  <c r="AE790" i="25"/>
  <c r="AL789" i="25"/>
  <c r="AK789" i="25"/>
  <c r="AJ789" i="25"/>
  <c r="AI789" i="25"/>
  <c r="AF789" i="25"/>
  <c r="AE789" i="25"/>
  <c r="AL788" i="25"/>
  <c r="AK788" i="25"/>
  <c r="AJ788" i="25"/>
  <c r="AI788" i="25"/>
  <c r="AF788" i="25"/>
  <c r="AE788" i="25"/>
  <c r="AL787" i="25"/>
  <c r="AK787" i="25"/>
  <c r="AJ787" i="25"/>
  <c r="AI787" i="25"/>
  <c r="AF787" i="25"/>
  <c r="AE787" i="25"/>
  <c r="AL786" i="25"/>
  <c r="AK786" i="25"/>
  <c r="AJ786" i="25"/>
  <c r="AI786" i="25"/>
  <c r="AF786" i="25"/>
  <c r="AE786" i="25"/>
  <c r="AL785" i="25"/>
  <c r="AK785" i="25"/>
  <c r="AJ785" i="25"/>
  <c r="AI785" i="25"/>
  <c r="AF785" i="25"/>
  <c r="AE785" i="25"/>
  <c r="AL784" i="25"/>
  <c r="AK784" i="25"/>
  <c r="AJ784" i="25"/>
  <c r="AI784" i="25"/>
  <c r="AF784" i="25"/>
  <c r="AE784" i="25"/>
  <c r="AL783" i="25"/>
  <c r="AK783" i="25"/>
  <c r="AJ783" i="25"/>
  <c r="AI783" i="25"/>
  <c r="AF783" i="25"/>
  <c r="AE783" i="25"/>
  <c r="AL782" i="25"/>
  <c r="AK782" i="25"/>
  <c r="AJ782" i="25"/>
  <c r="AI782" i="25"/>
  <c r="AF782" i="25"/>
  <c r="AE782" i="25"/>
  <c r="AL781" i="25"/>
  <c r="AK781" i="25"/>
  <c r="AJ781" i="25"/>
  <c r="AI781" i="25"/>
  <c r="AF781" i="25"/>
  <c r="AE781" i="25"/>
  <c r="AL780" i="25"/>
  <c r="AK780" i="25"/>
  <c r="AJ780" i="25"/>
  <c r="AI780" i="25"/>
  <c r="AF780" i="25"/>
  <c r="AE780" i="25"/>
  <c r="AL779" i="25"/>
  <c r="AK779" i="25"/>
  <c r="AJ779" i="25"/>
  <c r="AI779" i="25"/>
  <c r="AF779" i="25"/>
  <c r="AE779" i="25"/>
  <c r="AL778" i="25"/>
  <c r="AK778" i="25"/>
  <c r="AJ778" i="25"/>
  <c r="AI778" i="25"/>
  <c r="AF778" i="25"/>
  <c r="AE778" i="25"/>
  <c r="AL777" i="25"/>
  <c r="AK777" i="25"/>
  <c r="AJ777" i="25"/>
  <c r="AI777" i="25"/>
  <c r="AF777" i="25"/>
  <c r="AE777" i="25"/>
  <c r="AL776" i="25"/>
  <c r="AK776" i="25"/>
  <c r="AJ776" i="25"/>
  <c r="AI776" i="25"/>
  <c r="AF776" i="25"/>
  <c r="AE776" i="25"/>
  <c r="AL775" i="25"/>
  <c r="AK775" i="25"/>
  <c r="AJ775" i="25"/>
  <c r="AI775" i="25"/>
  <c r="AF775" i="25"/>
  <c r="AE775" i="25"/>
  <c r="AL774" i="25"/>
  <c r="AK774" i="25"/>
  <c r="AJ774" i="25"/>
  <c r="AI774" i="25"/>
  <c r="AF774" i="25"/>
  <c r="AE774" i="25"/>
  <c r="AL773" i="25"/>
  <c r="AK773" i="25"/>
  <c r="AJ773" i="25"/>
  <c r="AI773" i="25"/>
  <c r="AF773" i="25"/>
  <c r="AE773" i="25"/>
  <c r="AL772" i="25"/>
  <c r="AK772" i="25"/>
  <c r="AJ772" i="25"/>
  <c r="AI772" i="25"/>
  <c r="AF772" i="25"/>
  <c r="AE772" i="25"/>
  <c r="AL771" i="25"/>
  <c r="AK771" i="25"/>
  <c r="AJ771" i="25"/>
  <c r="AI771" i="25"/>
  <c r="AF771" i="25"/>
  <c r="AE771" i="25"/>
  <c r="AL770" i="25"/>
  <c r="AK770" i="25"/>
  <c r="AJ770" i="25"/>
  <c r="AI770" i="25"/>
  <c r="AF770" i="25"/>
  <c r="AE770" i="25"/>
  <c r="AE769" i="25"/>
  <c r="AL768" i="25"/>
  <c r="AK768" i="25"/>
  <c r="AJ768" i="25"/>
  <c r="AI768" i="25"/>
  <c r="AF768" i="25"/>
  <c r="AE768" i="25"/>
  <c r="AL767" i="25"/>
  <c r="AK767" i="25"/>
  <c r="AJ767" i="25"/>
  <c r="AI767" i="25"/>
  <c r="AF767" i="25"/>
  <c r="AE767" i="25"/>
  <c r="AL766" i="25"/>
  <c r="AK766" i="25"/>
  <c r="AJ766" i="25"/>
  <c r="AI766" i="25"/>
  <c r="AF766" i="25"/>
  <c r="AE766" i="25"/>
  <c r="AL765" i="25"/>
  <c r="AK765" i="25"/>
  <c r="AJ765" i="25"/>
  <c r="AI765" i="25"/>
  <c r="AF765" i="25"/>
  <c r="AE765" i="25"/>
  <c r="AL764" i="25"/>
  <c r="AK764" i="25"/>
  <c r="AJ764" i="25"/>
  <c r="AI764" i="25"/>
  <c r="AF764" i="25"/>
  <c r="AE764" i="25"/>
  <c r="AL763" i="25"/>
  <c r="AK763" i="25"/>
  <c r="AJ763" i="25"/>
  <c r="AI763" i="25"/>
  <c r="AF763" i="25"/>
  <c r="AE763" i="25"/>
  <c r="AL762" i="25"/>
  <c r="AK762" i="25"/>
  <c r="AJ762" i="25"/>
  <c r="AI762" i="25"/>
  <c r="AF762" i="25"/>
  <c r="AE762" i="25"/>
  <c r="AL761" i="25"/>
  <c r="AK761" i="25"/>
  <c r="AJ761" i="25"/>
  <c r="AI761" i="25"/>
  <c r="AF761" i="25"/>
  <c r="AE761" i="25"/>
  <c r="AL760" i="25"/>
  <c r="AK760" i="25"/>
  <c r="AJ760" i="25"/>
  <c r="AI760" i="25"/>
  <c r="AF760" i="25"/>
  <c r="AE760" i="25"/>
  <c r="AL759" i="25"/>
  <c r="AK759" i="25"/>
  <c r="AJ759" i="25"/>
  <c r="AI759" i="25"/>
  <c r="AF759" i="25"/>
  <c r="AE759" i="25"/>
  <c r="AL758" i="25"/>
  <c r="AK758" i="25"/>
  <c r="AJ758" i="25"/>
  <c r="AI758" i="25"/>
  <c r="AF758" i="25"/>
  <c r="AE758" i="25"/>
  <c r="AL757" i="25"/>
  <c r="AK757" i="25"/>
  <c r="AJ757" i="25"/>
  <c r="AI757" i="25"/>
  <c r="AF757" i="25"/>
  <c r="AE757" i="25"/>
  <c r="AL756" i="25"/>
  <c r="AK756" i="25"/>
  <c r="AJ756" i="25"/>
  <c r="AI756" i="25"/>
  <c r="AF756" i="25"/>
  <c r="AE756" i="25"/>
  <c r="AL755" i="25"/>
  <c r="AK755" i="25"/>
  <c r="AJ755" i="25"/>
  <c r="AI755" i="25"/>
  <c r="AF755" i="25"/>
  <c r="AE755" i="25"/>
  <c r="AL754" i="25"/>
  <c r="AK754" i="25"/>
  <c r="AJ754" i="25"/>
  <c r="AI754" i="25"/>
  <c r="AF754" i="25"/>
  <c r="AE754" i="25"/>
  <c r="AL753" i="25"/>
  <c r="AK753" i="25"/>
  <c r="AJ753" i="25"/>
  <c r="AI753" i="25"/>
  <c r="AF753" i="25"/>
  <c r="AE753" i="25"/>
  <c r="AL752" i="25"/>
  <c r="AK752" i="25"/>
  <c r="AJ752" i="25"/>
  <c r="AI752" i="25"/>
  <c r="AF752" i="25"/>
  <c r="AE752" i="25"/>
  <c r="AL751" i="25"/>
  <c r="AK751" i="25"/>
  <c r="AJ751" i="25"/>
  <c r="AI751" i="25"/>
  <c r="AF751" i="25"/>
  <c r="AE751" i="25"/>
  <c r="AL750" i="25"/>
  <c r="AK750" i="25"/>
  <c r="AJ750" i="25"/>
  <c r="AI750" i="25"/>
  <c r="AF750" i="25"/>
  <c r="AE750" i="25"/>
  <c r="AL749" i="25"/>
  <c r="AK749" i="25"/>
  <c r="AJ749" i="25"/>
  <c r="AI749" i="25"/>
  <c r="AF749" i="25"/>
  <c r="AE749" i="25"/>
  <c r="AL748" i="25"/>
  <c r="AK748" i="25"/>
  <c r="AJ748" i="25"/>
  <c r="AI748" i="25"/>
  <c r="AF748" i="25"/>
  <c r="AE748" i="25"/>
  <c r="AL747" i="25"/>
  <c r="AK747" i="25"/>
  <c r="AJ747" i="25"/>
  <c r="AI747" i="25"/>
  <c r="AF747" i="25"/>
  <c r="AE747" i="25"/>
  <c r="AL746" i="25"/>
  <c r="AK746" i="25"/>
  <c r="AJ746" i="25"/>
  <c r="AI746" i="25"/>
  <c r="AF746" i="25"/>
  <c r="AE746" i="25"/>
  <c r="AL745" i="25"/>
  <c r="AK745" i="25"/>
  <c r="AJ745" i="25"/>
  <c r="AI745" i="25"/>
  <c r="AF745" i="25"/>
  <c r="AE745" i="25"/>
  <c r="AL744" i="25"/>
  <c r="AK744" i="25"/>
  <c r="AJ744" i="25"/>
  <c r="AI744" i="25"/>
  <c r="AF744" i="25"/>
  <c r="AE744" i="25"/>
  <c r="AL743" i="25"/>
  <c r="AK743" i="25"/>
  <c r="AJ743" i="25"/>
  <c r="AI743" i="25"/>
  <c r="AF743" i="25"/>
  <c r="AE743" i="25"/>
  <c r="AL742" i="25"/>
  <c r="AK742" i="25"/>
  <c r="AJ742" i="25"/>
  <c r="AI742" i="25"/>
  <c r="AF742" i="25"/>
  <c r="AE742" i="25"/>
  <c r="AL741" i="25"/>
  <c r="AK741" i="25"/>
  <c r="AJ741" i="25"/>
  <c r="AI741" i="25"/>
  <c r="AF741" i="25"/>
  <c r="AE741" i="25"/>
  <c r="AL740" i="25"/>
  <c r="AK740" i="25"/>
  <c r="AJ740" i="25"/>
  <c r="AI740" i="25"/>
  <c r="AF740" i="25"/>
  <c r="AE740" i="25"/>
  <c r="AL739" i="25"/>
  <c r="AK739" i="25"/>
  <c r="AJ739" i="25"/>
  <c r="AI739" i="25"/>
  <c r="AF739" i="25"/>
  <c r="AE739" i="25"/>
  <c r="AL738" i="25"/>
  <c r="AK738" i="25"/>
  <c r="AJ738" i="25"/>
  <c r="AI738" i="25"/>
  <c r="AF738" i="25"/>
  <c r="AE738" i="25"/>
  <c r="AL737" i="25"/>
  <c r="AK737" i="25"/>
  <c r="AJ737" i="25"/>
  <c r="AI737" i="25"/>
  <c r="AF737" i="25"/>
  <c r="AE737" i="25"/>
  <c r="AL736" i="25"/>
  <c r="AK736" i="25"/>
  <c r="AJ736" i="25"/>
  <c r="AI736" i="25"/>
  <c r="AF736" i="25"/>
  <c r="AE736" i="25"/>
  <c r="AL735" i="25"/>
  <c r="AK735" i="25"/>
  <c r="AJ735" i="25"/>
  <c r="AI735" i="25"/>
  <c r="AF735" i="25"/>
  <c r="AE735" i="25"/>
  <c r="AL734" i="25"/>
  <c r="AK734" i="25"/>
  <c r="AJ734" i="25"/>
  <c r="AI734" i="25"/>
  <c r="AF734" i="25"/>
  <c r="AE734" i="25"/>
  <c r="AL733" i="25"/>
  <c r="AK733" i="25"/>
  <c r="AJ733" i="25"/>
  <c r="AI733" i="25"/>
  <c r="AF733" i="25"/>
  <c r="AE733" i="25"/>
  <c r="AL732" i="25"/>
  <c r="AK732" i="25"/>
  <c r="AJ732" i="25"/>
  <c r="AI732" i="25"/>
  <c r="AF732" i="25"/>
  <c r="AE732" i="25"/>
  <c r="AL731" i="25"/>
  <c r="AK731" i="25"/>
  <c r="AJ731" i="25"/>
  <c r="AI731" i="25"/>
  <c r="AF731" i="25"/>
  <c r="AE731" i="25"/>
  <c r="AL730" i="25"/>
  <c r="AK730" i="25"/>
  <c r="AJ730" i="25"/>
  <c r="AI730" i="25"/>
  <c r="AF730" i="25"/>
  <c r="AE730" i="25"/>
  <c r="AL729" i="25"/>
  <c r="AK729" i="25"/>
  <c r="AJ729" i="25"/>
  <c r="AI729" i="25"/>
  <c r="AF729" i="25"/>
  <c r="AE729" i="25"/>
  <c r="AL728" i="25"/>
  <c r="AK728" i="25"/>
  <c r="AJ728" i="25"/>
  <c r="AI728" i="25"/>
  <c r="AF728" i="25"/>
  <c r="AE728" i="25"/>
  <c r="AL727" i="25"/>
  <c r="AK727" i="25"/>
  <c r="AJ727" i="25"/>
  <c r="AI727" i="25"/>
  <c r="AF727" i="25"/>
  <c r="AE727" i="25"/>
  <c r="AL726" i="25"/>
  <c r="AK726" i="25"/>
  <c r="AJ726" i="25"/>
  <c r="AI726" i="25"/>
  <c r="AF726" i="25"/>
  <c r="AE726" i="25"/>
  <c r="AE725" i="25"/>
  <c r="AL724" i="25"/>
  <c r="AK724" i="25"/>
  <c r="AJ724" i="25"/>
  <c r="AI724" i="25"/>
  <c r="AF724" i="25"/>
  <c r="AE724" i="25"/>
  <c r="AL723" i="25"/>
  <c r="AK723" i="25"/>
  <c r="AJ723" i="25"/>
  <c r="AI723" i="25"/>
  <c r="AF723" i="25"/>
  <c r="AE723" i="25"/>
  <c r="AL722" i="25"/>
  <c r="AK722" i="25"/>
  <c r="AJ722" i="25"/>
  <c r="AI722" i="25"/>
  <c r="AF722" i="25"/>
  <c r="AE722" i="25"/>
  <c r="AE721" i="25"/>
  <c r="AL720" i="25"/>
  <c r="AK720" i="25"/>
  <c r="AJ720" i="25"/>
  <c r="AI720" i="25"/>
  <c r="AF720" i="25"/>
  <c r="AE720" i="25"/>
  <c r="AL719" i="25"/>
  <c r="AK719" i="25"/>
  <c r="AJ719" i="25"/>
  <c r="AI719" i="25"/>
  <c r="AF719" i="25"/>
  <c r="AE719" i="25"/>
  <c r="AL718" i="25"/>
  <c r="AK718" i="25"/>
  <c r="AJ718" i="25"/>
  <c r="AI718" i="25"/>
  <c r="AF718" i="25"/>
  <c r="AE718" i="25"/>
  <c r="AL717" i="25"/>
  <c r="AK717" i="25"/>
  <c r="AJ717" i="25"/>
  <c r="AI717" i="25"/>
  <c r="AF717" i="25"/>
  <c r="AE717" i="25"/>
  <c r="AE716" i="25"/>
  <c r="AE715" i="25"/>
  <c r="AL714" i="25"/>
  <c r="AK714" i="25"/>
  <c r="AJ714" i="25"/>
  <c r="AI714" i="25"/>
  <c r="AF714" i="25"/>
  <c r="AE714" i="25"/>
  <c r="AE713" i="25"/>
  <c r="AL712" i="25"/>
  <c r="AK712" i="25"/>
  <c r="AJ712" i="25"/>
  <c r="AI712" i="25"/>
  <c r="AF712" i="25"/>
  <c r="AE712" i="25"/>
  <c r="AL711" i="25"/>
  <c r="AK711" i="25"/>
  <c r="AJ711" i="25"/>
  <c r="AI711" i="25"/>
  <c r="AF711" i="25"/>
  <c r="AE711" i="25"/>
  <c r="AL710" i="25"/>
  <c r="AK710" i="25"/>
  <c r="AJ710" i="25"/>
  <c r="AI710" i="25"/>
  <c r="AF710" i="25"/>
  <c r="AE710" i="25"/>
  <c r="AL709" i="25"/>
  <c r="AK709" i="25"/>
  <c r="AJ709" i="25"/>
  <c r="AI709" i="25"/>
  <c r="AF709" i="25"/>
  <c r="AE709" i="25"/>
  <c r="AL708" i="25"/>
  <c r="AK708" i="25"/>
  <c r="AJ708" i="25"/>
  <c r="AI708" i="25"/>
  <c r="AF708" i="25"/>
  <c r="AE708" i="25"/>
  <c r="AL707" i="25"/>
  <c r="AK707" i="25"/>
  <c r="AJ707" i="25"/>
  <c r="AI707" i="25"/>
  <c r="AF707" i="25"/>
  <c r="AE707" i="25"/>
  <c r="AL706" i="25"/>
  <c r="AK706" i="25"/>
  <c r="AJ706" i="25"/>
  <c r="AI706" i="25"/>
  <c r="AF706" i="25"/>
  <c r="AE706" i="25"/>
  <c r="AL705" i="25"/>
  <c r="AK705" i="25"/>
  <c r="AJ705" i="25"/>
  <c r="AI705" i="25"/>
  <c r="AF705" i="25"/>
  <c r="AE705" i="25"/>
  <c r="AE704" i="25"/>
  <c r="AE703" i="25"/>
  <c r="AE702" i="25"/>
  <c r="AL701" i="25"/>
  <c r="AK701" i="25"/>
  <c r="AJ701" i="25"/>
  <c r="AI701" i="25"/>
  <c r="AF701" i="25"/>
  <c r="AE701" i="25"/>
  <c r="AE700" i="25"/>
  <c r="AL699" i="25"/>
  <c r="AK699" i="25"/>
  <c r="AJ699" i="25"/>
  <c r="AI699" i="25"/>
  <c r="AF699" i="25"/>
  <c r="AE699" i="25"/>
  <c r="AL698" i="25"/>
  <c r="AK698" i="25"/>
  <c r="AJ698" i="25"/>
  <c r="AI698" i="25"/>
  <c r="AF698" i="25"/>
  <c r="AE698" i="25"/>
  <c r="AL697" i="25"/>
  <c r="AK697" i="25"/>
  <c r="AJ697" i="25"/>
  <c r="AI697" i="25"/>
  <c r="AF697" i="25"/>
  <c r="AE697" i="25"/>
  <c r="AL696" i="25"/>
  <c r="AK696" i="25"/>
  <c r="AJ696" i="25"/>
  <c r="AI696" i="25"/>
  <c r="AF696" i="25"/>
  <c r="AE696" i="25"/>
  <c r="AL695" i="25"/>
  <c r="AK695" i="25"/>
  <c r="AJ695" i="25"/>
  <c r="AI695" i="25"/>
  <c r="AF695" i="25"/>
  <c r="AE695" i="25"/>
  <c r="AL694" i="25"/>
  <c r="AK694" i="25"/>
  <c r="AJ694" i="25"/>
  <c r="AI694" i="25"/>
  <c r="AF694" i="25"/>
  <c r="AE694" i="25"/>
  <c r="AL693" i="25"/>
  <c r="AK693" i="25"/>
  <c r="AJ693" i="25"/>
  <c r="AI693" i="25"/>
  <c r="AF693" i="25"/>
  <c r="AE693" i="25"/>
  <c r="AE692" i="25"/>
  <c r="AL691" i="25"/>
  <c r="AK691" i="25"/>
  <c r="AJ691" i="25"/>
  <c r="AI691" i="25"/>
  <c r="AF691" i="25"/>
  <c r="AE691" i="25"/>
  <c r="AL690" i="25"/>
  <c r="AK690" i="25"/>
  <c r="AJ690" i="25"/>
  <c r="AI690" i="25"/>
  <c r="AF690" i="25"/>
  <c r="AE690" i="25"/>
  <c r="AL689" i="25"/>
  <c r="AK689" i="25"/>
  <c r="AJ689" i="25"/>
  <c r="AI689" i="25"/>
  <c r="AF689" i="25"/>
  <c r="AE689" i="25"/>
  <c r="AL688" i="25"/>
  <c r="AK688" i="25"/>
  <c r="AJ688" i="25"/>
  <c r="AI688" i="25"/>
  <c r="AF688" i="25"/>
  <c r="AE688" i="25"/>
  <c r="AL687" i="25"/>
  <c r="AK687" i="25"/>
  <c r="AJ687" i="25"/>
  <c r="AI687" i="25"/>
  <c r="AF687" i="25"/>
  <c r="AE687" i="25"/>
  <c r="AL686" i="25"/>
  <c r="AK686" i="25"/>
  <c r="AJ686" i="25"/>
  <c r="AI686" i="25"/>
  <c r="AF686" i="25"/>
  <c r="AE686" i="25"/>
  <c r="AL685" i="25"/>
  <c r="AK685" i="25"/>
  <c r="AJ685" i="25"/>
  <c r="AI685" i="25"/>
  <c r="AF685" i="25"/>
  <c r="AE685" i="25"/>
  <c r="AL684" i="25"/>
  <c r="AK684" i="25"/>
  <c r="AJ684" i="25"/>
  <c r="AI684" i="25"/>
  <c r="AF684" i="25"/>
  <c r="AE684" i="25"/>
  <c r="AL683" i="25"/>
  <c r="AK683" i="25"/>
  <c r="AJ683" i="25"/>
  <c r="AI683" i="25"/>
  <c r="AF683" i="25"/>
  <c r="AE683" i="25"/>
  <c r="AL682" i="25"/>
  <c r="AK682" i="25"/>
  <c r="AJ682" i="25"/>
  <c r="AI682" i="25"/>
  <c r="AF682" i="25"/>
  <c r="AE682" i="25"/>
  <c r="AL681" i="25"/>
  <c r="AK681" i="25"/>
  <c r="AJ681" i="25"/>
  <c r="AI681" i="25"/>
  <c r="AF681" i="25"/>
  <c r="AE681" i="25"/>
  <c r="AL680" i="25"/>
  <c r="AK680" i="25"/>
  <c r="AJ680" i="25"/>
  <c r="AI680" i="25"/>
  <c r="AF680" i="25"/>
  <c r="AE680" i="25"/>
  <c r="AL679" i="25"/>
  <c r="AK679" i="25"/>
  <c r="AJ679" i="25"/>
  <c r="AI679" i="25"/>
  <c r="AF679" i="25"/>
  <c r="AE679" i="25"/>
  <c r="AL678" i="25"/>
  <c r="AK678" i="25"/>
  <c r="AJ678" i="25"/>
  <c r="AI678" i="25"/>
  <c r="AF678" i="25"/>
  <c r="AE678" i="25"/>
  <c r="AL677" i="25"/>
  <c r="AK677" i="25"/>
  <c r="AJ677" i="25"/>
  <c r="AI677" i="25"/>
  <c r="AF677" i="25"/>
  <c r="AE677" i="25"/>
  <c r="AL676" i="25"/>
  <c r="AK676" i="25"/>
  <c r="AJ676" i="25"/>
  <c r="AI676" i="25"/>
  <c r="AF676" i="25"/>
  <c r="AE676" i="25"/>
  <c r="AL675" i="25"/>
  <c r="AK675" i="25"/>
  <c r="AJ675" i="25"/>
  <c r="AI675" i="25"/>
  <c r="AF675" i="25"/>
  <c r="AE675" i="25"/>
  <c r="AL674" i="25"/>
  <c r="AK674" i="25"/>
  <c r="AJ674" i="25"/>
  <c r="AI674" i="25"/>
  <c r="AF674" i="25"/>
  <c r="AE674" i="25"/>
  <c r="AL673" i="25"/>
  <c r="AK673" i="25"/>
  <c r="AJ673" i="25"/>
  <c r="AI673" i="25"/>
  <c r="AF673" i="25"/>
  <c r="AE673" i="25"/>
  <c r="AL672" i="25"/>
  <c r="AK672" i="25"/>
  <c r="AJ672" i="25"/>
  <c r="AI672" i="25"/>
  <c r="AF672" i="25"/>
  <c r="AE672" i="25"/>
  <c r="AL671" i="25"/>
  <c r="AK671" i="25"/>
  <c r="AJ671" i="25"/>
  <c r="AI671" i="25"/>
  <c r="AF671" i="25"/>
  <c r="AE671" i="25"/>
  <c r="AL670" i="25"/>
  <c r="AK670" i="25"/>
  <c r="AJ670" i="25"/>
  <c r="AI670" i="25"/>
  <c r="AF670" i="25"/>
  <c r="AE670" i="25"/>
  <c r="AE669" i="25"/>
  <c r="AL668" i="25"/>
  <c r="AK668" i="25"/>
  <c r="AJ668" i="25"/>
  <c r="AI668" i="25"/>
  <c r="AF668" i="25"/>
  <c r="AE668" i="25"/>
  <c r="AL667" i="25"/>
  <c r="AK667" i="25"/>
  <c r="AJ667" i="25"/>
  <c r="AI667" i="25"/>
  <c r="AF667" i="25"/>
  <c r="AE667" i="25"/>
  <c r="AE666" i="25"/>
  <c r="AL665" i="25"/>
  <c r="AK665" i="25"/>
  <c r="AJ665" i="25"/>
  <c r="AI665" i="25"/>
  <c r="AF665" i="25"/>
  <c r="AE665" i="25"/>
  <c r="AE664" i="25"/>
  <c r="AL663" i="25"/>
  <c r="AK663" i="25"/>
  <c r="AJ663" i="25"/>
  <c r="AI663" i="25"/>
  <c r="AF663" i="25"/>
  <c r="AE663" i="25"/>
  <c r="AE662" i="25"/>
  <c r="AE661" i="25"/>
  <c r="AL660" i="25"/>
  <c r="AK660" i="25"/>
  <c r="AJ660" i="25"/>
  <c r="AI660" i="25"/>
  <c r="AF660" i="25"/>
  <c r="AE660" i="25"/>
  <c r="AL659" i="25"/>
  <c r="AK659" i="25"/>
  <c r="AJ659" i="25"/>
  <c r="AI659" i="25"/>
  <c r="AF659" i="25"/>
  <c r="AE659" i="25"/>
  <c r="AL658" i="25"/>
  <c r="AK658" i="25"/>
  <c r="AJ658" i="25"/>
  <c r="AI658" i="25"/>
  <c r="AF658" i="25"/>
  <c r="AE658" i="25"/>
  <c r="AL657" i="25"/>
  <c r="AK657" i="25"/>
  <c r="AJ657" i="25"/>
  <c r="AI657" i="25"/>
  <c r="AF657" i="25"/>
  <c r="AE657" i="25"/>
  <c r="AL656" i="25"/>
  <c r="AK656" i="25"/>
  <c r="AJ656" i="25"/>
  <c r="AI656" i="25"/>
  <c r="AF656" i="25"/>
  <c r="AE656" i="25"/>
  <c r="AL655" i="25"/>
  <c r="AK655" i="25"/>
  <c r="AJ655" i="25"/>
  <c r="AI655" i="25"/>
  <c r="AF655" i="25"/>
  <c r="AE655" i="25"/>
  <c r="AL654" i="25"/>
  <c r="AK654" i="25"/>
  <c r="AJ654" i="25"/>
  <c r="AI654" i="25"/>
  <c r="AF654" i="25"/>
  <c r="AE654" i="25"/>
  <c r="AL653" i="25"/>
  <c r="AK653" i="25"/>
  <c r="AJ653" i="25"/>
  <c r="AI653" i="25"/>
  <c r="AF653" i="25"/>
  <c r="AE653" i="25"/>
  <c r="AL652" i="25"/>
  <c r="AK652" i="25"/>
  <c r="AJ652" i="25"/>
  <c r="AI652" i="25"/>
  <c r="AF652" i="25"/>
  <c r="AE652" i="25"/>
  <c r="AL651" i="25"/>
  <c r="AK651" i="25"/>
  <c r="AJ651" i="25"/>
  <c r="AI651" i="25"/>
  <c r="AF651" i="25"/>
  <c r="AE651" i="25"/>
  <c r="AL650" i="25"/>
  <c r="AK650" i="25"/>
  <c r="AJ650" i="25"/>
  <c r="AI650" i="25"/>
  <c r="AF650" i="25"/>
  <c r="AE650" i="25"/>
  <c r="AL649" i="25"/>
  <c r="AK649" i="25"/>
  <c r="AJ649" i="25"/>
  <c r="AI649" i="25"/>
  <c r="AF649" i="25"/>
  <c r="AE649" i="25"/>
  <c r="AL648" i="25"/>
  <c r="AK648" i="25"/>
  <c r="AJ648" i="25"/>
  <c r="AI648" i="25"/>
  <c r="AF648" i="25"/>
  <c r="AE648" i="25"/>
  <c r="AL647" i="25"/>
  <c r="AK647" i="25"/>
  <c r="AJ647" i="25"/>
  <c r="AI647" i="25"/>
  <c r="AF647" i="25"/>
  <c r="AE647" i="25"/>
  <c r="AL646" i="25"/>
  <c r="AK646" i="25"/>
  <c r="AJ646" i="25"/>
  <c r="AI646" i="25"/>
  <c r="AF646" i="25"/>
  <c r="AE646" i="25"/>
  <c r="AL645" i="25"/>
  <c r="AK645" i="25"/>
  <c r="AJ645" i="25"/>
  <c r="AI645" i="25"/>
  <c r="AF645" i="25"/>
  <c r="AE645" i="25"/>
  <c r="AL644" i="25"/>
  <c r="AK644" i="25"/>
  <c r="AJ644" i="25"/>
  <c r="AI644" i="25"/>
  <c r="AF644" i="25"/>
  <c r="AE644" i="25"/>
  <c r="AL643" i="25"/>
  <c r="AK643" i="25"/>
  <c r="AJ643" i="25"/>
  <c r="AI643" i="25"/>
  <c r="AF643" i="25"/>
  <c r="AE643" i="25"/>
  <c r="AL642" i="25"/>
  <c r="AK642" i="25"/>
  <c r="AJ642" i="25"/>
  <c r="AI642" i="25"/>
  <c r="AF642" i="25"/>
  <c r="AE642" i="25"/>
  <c r="AL641" i="25"/>
  <c r="AK641" i="25"/>
  <c r="AJ641" i="25"/>
  <c r="AI641" i="25"/>
  <c r="AF641" i="25"/>
  <c r="AE641" i="25"/>
  <c r="AL640" i="25"/>
  <c r="AK640" i="25"/>
  <c r="AJ640" i="25"/>
  <c r="AI640" i="25"/>
  <c r="AF640" i="25"/>
  <c r="AE640" i="25"/>
  <c r="AL639" i="25"/>
  <c r="AK639" i="25"/>
  <c r="AJ639" i="25"/>
  <c r="AI639" i="25"/>
  <c r="AF639" i="25"/>
  <c r="AE639" i="25"/>
  <c r="AL638" i="25"/>
  <c r="AK638" i="25"/>
  <c r="AJ638" i="25"/>
  <c r="AI638" i="25"/>
  <c r="AF638" i="25"/>
  <c r="AE638" i="25"/>
  <c r="AL637" i="25"/>
  <c r="AK637" i="25"/>
  <c r="AJ637" i="25"/>
  <c r="AI637" i="25"/>
  <c r="AF637" i="25"/>
  <c r="AE637" i="25"/>
  <c r="AL636" i="25"/>
  <c r="AK636" i="25"/>
  <c r="AJ636" i="25"/>
  <c r="AI636" i="25"/>
  <c r="AF636" i="25"/>
  <c r="AE636" i="25"/>
  <c r="AL635" i="25"/>
  <c r="AK635" i="25"/>
  <c r="AJ635" i="25"/>
  <c r="AI635" i="25"/>
  <c r="AF635" i="25"/>
  <c r="AE635" i="25"/>
  <c r="AL634" i="25"/>
  <c r="AK634" i="25"/>
  <c r="AJ634" i="25"/>
  <c r="AI634" i="25"/>
  <c r="AF634" i="25"/>
  <c r="AE634" i="25"/>
  <c r="AL633" i="25"/>
  <c r="AK633" i="25"/>
  <c r="AJ633" i="25"/>
  <c r="AI633" i="25"/>
  <c r="AF633" i="25"/>
  <c r="AE633" i="25"/>
  <c r="AL632" i="25"/>
  <c r="AK632" i="25"/>
  <c r="AJ632" i="25"/>
  <c r="AI632" i="25"/>
  <c r="AF632" i="25"/>
  <c r="AE632" i="25"/>
  <c r="AL631" i="25"/>
  <c r="AK631" i="25"/>
  <c r="AJ631" i="25"/>
  <c r="AI631" i="25"/>
  <c r="AF631" i="25"/>
  <c r="AE631" i="25"/>
  <c r="AL630" i="25"/>
  <c r="AK630" i="25"/>
  <c r="AJ630" i="25"/>
  <c r="AI630" i="25"/>
  <c r="AF630" i="25"/>
  <c r="AE630" i="25"/>
  <c r="AL629" i="25"/>
  <c r="AK629" i="25"/>
  <c r="AJ629" i="25"/>
  <c r="AI629" i="25"/>
  <c r="AF629" i="25"/>
  <c r="AE629" i="25"/>
  <c r="AL628" i="25"/>
  <c r="AK628" i="25"/>
  <c r="AJ628" i="25"/>
  <c r="AI628" i="25"/>
  <c r="AF628" i="25"/>
  <c r="AE628" i="25"/>
  <c r="AL627" i="25"/>
  <c r="AK627" i="25"/>
  <c r="AJ627" i="25"/>
  <c r="AI627" i="25"/>
  <c r="AF627" i="25"/>
  <c r="AE627" i="25"/>
  <c r="AL626" i="25"/>
  <c r="AK626" i="25"/>
  <c r="AJ626" i="25"/>
  <c r="AI626" i="25"/>
  <c r="AF626" i="25"/>
  <c r="AE626" i="25"/>
  <c r="AL625" i="25"/>
  <c r="AK625" i="25"/>
  <c r="AJ625" i="25"/>
  <c r="AI625" i="25"/>
  <c r="AF625" i="25"/>
  <c r="AE625" i="25"/>
  <c r="AL624" i="25"/>
  <c r="AK624" i="25"/>
  <c r="AJ624" i="25"/>
  <c r="AI624" i="25"/>
  <c r="AF624" i="25"/>
  <c r="AE624" i="25"/>
  <c r="AL623" i="25"/>
  <c r="AK623" i="25"/>
  <c r="AJ623" i="25"/>
  <c r="AI623" i="25"/>
  <c r="AF623" i="25"/>
  <c r="AE623" i="25"/>
  <c r="AL622" i="25"/>
  <c r="AK622" i="25"/>
  <c r="AJ622" i="25"/>
  <c r="AI622" i="25"/>
  <c r="AF622" i="25"/>
  <c r="AE622" i="25"/>
  <c r="AL621" i="25"/>
  <c r="AK621" i="25"/>
  <c r="AJ621" i="25"/>
  <c r="AI621" i="25"/>
  <c r="AF621" i="25"/>
  <c r="AE621" i="25"/>
  <c r="AE620" i="25"/>
  <c r="AL619" i="25"/>
  <c r="AK619" i="25"/>
  <c r="AJ619" i="25"/>
  <c r="AI619" i="25"/>
  <c r="AF619" i="25"/>
  <c r="AE619" i="25"/>
  <c r="AL618" i="25"/>
  <c r="AK618" i="25"/>
  <c r="AJ618" i="25"/>
  <c r="AI618" i="25"/>
  <c r="AF618" i="25"/>
  <c r="AE618" i="25"/>
  <c r="AE617" i="25"/>
  <c r="AE616" i="25"/>
  <c r="AL615" i="25"/>
  <c r="AK615" i="25"/>
  <c r="AJ615" i="25"/>
  <c r="AI615" i="25"/>
  <c r="AF615" i="25"/>
  <c r="AE615" i="25"/>
  <c r="AL614" i="25"/>
  <c r="AK614" i="25"/>
  <c r="AJ614" i="25"/>
  <c r="AI614" i="25"/>
  <c r="AF614" i="25"/>
  <c r="AE614" i="25"/>
  <c r="AL613" i="25"/>
  <c r="AK613" i="25"/>
  <c r="AJ613" i="25"/>
  <c r="AI613" i="25"/>
  <c r="AF613" i="25"/>
  <c r="AE613" i="25"/>
  <c r="AL612" i="25"/>
  <c r="AK612" i="25"/>
  <c r="AJ612" i="25"/>
  <c r="AI612" i="25"/>
  <c r="AF612" i="25"/>
  <c r="AE612" i="25"/>
  <c r="AL611" i="25"/>
  <c r="AK611" i="25"/>
  <c r="AJ611" i="25"/>
  <c r="AI611" i="25"/>
  <c r="AF611" i="25"/>
  <c r="AE611" i="25"/>
  <c r="AL610" i="25"/>
  <c r="AK610" i="25"/>
  <c r="AJ610" i="25"/>
  <c r="AI610" i="25"/>
  <c r="AF610" i="25"/>
  <c r="AE610" i="25"/>
  <c r="AL609" i="25"/>
  <c r="AK609" i="25"/>
  <c r="AJ609" i="25"/>
  <c r="AI609" i="25"/>
  <c r="AF609" i="25"/>
  <c r="AE609" i="25"/>
  <c r="AL608" i="25"/>
  <c r="AK608" i="25"/>
  <c r="AJ608" i="25"/>
  <c r="AI608" i="25"/>
  <c r="AF608" i="25"/>
  <c r="AE608" i="25"/>
  <c r="AL607" i="25"/>
  <c r="AK607" i="25"/>
  <c r="AJ607" i="25"/>
  <c r="AI607" i="25"/>
  <c r="AF607" i="25"/>
  <c r="AE607" i="25"/>
  <c r="AL606" i="25"/>
  <c r="AK606" i="25"/>
  <c r="AJ606" i="25"/>
  <c r="AI606" i="25"/>
  <c r="AF606" i="25"/>
  <c r="AE606" i="25"/>
  <c r="AL605" i="25"/>
  <c r="AK605" i="25"/>
  <c r="AJ605" i="25"/>
  <c r="AI605" i="25"/>
  <c r="AF605" i="25"/>
  <c r="AE605" i="25"/>
  <c r="AL604" i="25"/>
  <c r="AK604" i="25"/>
  <c r="AJ604" i="25"/>
  <c r="AI604" i="25"/>
  <c r="AF604" i="25"/>
  <c r="AE604" i="25"/>
  <c r="AE603" i="25"/>
  <c r="AL602" i="25"/>
  <c r="AK602" i="25"/>
  <c r="AJ602" i="25"/>
  <c r="AI602" i="25"/>
  <c r="AF602" i="25"/>
  <c r="AE602" i="25"/>
  <c r="AL601" i="25"/>
  <c r="AK601" i="25"/>
  <c r="AJ601" i="25"/>
  <c r="AI601" i="25"/>
  <c r="AF601" i="25"/>
  <c r="AE601" i="25"/>
  <c r="AL600" i="25"/>
  <c r="AK600" i="25"/>
  <c r="AJ600" i="25"/>
  <c r="AI600" i="25"/>
  <c r="AF600" i="25"/>
  <c r="AE600" i="25"/>
  <c r="AE599" i="25"/>
  <c r="AE598" i="25"/>
  <c r="AL597" i="25"/>
  <c r="AK597" i="25"/>
  <c r="AJ597" i="25"/>
  <c r="AI597" i="25"/>
  <c r="AF597" i="25"/>
  <c r="AE597" i="25"/>
  <c r="AE596" i="25"/>
  <c r="AL595" i="25"/>
  <c r="AK595" i="25"/>
  <c r="AJ595" i="25"/>
  <c r="AI595" i="25"/>
  <c r="AF595" i="25"/>
  <c r="AE595" i="25"/>
  <c r="AL594" i="25"/>
  <c r="AK594" i="25"/>
  <c r="AJ594" i="25"/>
  <c r="AI594" i="25"/>
  <c r="AF594" i="25"/>
  <c r="AE594" i="25"/>
  <c r="AL593" i="25"/>
  <c r="AK593" i="25"/>
  <c r="AJ593" i="25"/>
  <c r="AI593" i="25"/>
  <c r="AF593" i="25"/>
  <c r="AE593" i="25"/>
  <c r="AE592" i="25"/>
  <c r="AL591" i="25"/>
  <c r="AK591" i="25"/>
  <c r="AJ591" i="25"/>
  <c r="AI591" i="25"/>
  <c r="AF591" i="25"/>
  <c r="AE591" i="25"/>
  <c r="AL590" i="25"/>
  <c r="AK590" i="25"/>
  <c r="AJ590" i="25"/>
  <c r="AI590" i="25"/>
  <c r="AF590" i="25"/>
  <c r="AE590" i="25"/>
  <c r="AL589" i="25"/>
  <c r="AK589" i="25"/>
  <c r="AJ589" i="25"/>
  <c r="AI589" i="25"/>
  <c r="AF589" i="25"/>
  <c r="AE589" i="25"/>
  <c r="AL588" i="25"/>
  <c r="AK588" i="25"/>
  <c r="AJ588" i="25"/>
  <c r="AI588" i="25"/>
  <c r="AF588" i="25"/>
  <c r="AE588" i="25"/>
  <c r="AL587" i="25"/>
  <c r="AK587" i="25"/>
  <c r="AJ587" i="25"/>
  <c r="AI587" i="25"/>
  <c r="AF587" i="25"/>
  <c r="AE587" i="25"/>
  <c r="AE586" i="25"/>
  <c r="AL585" i="25"/>
  <c r="AK585" i="25"/>
  <c r="AJ585" i="25"/>
  <c r="AI585" i="25"/>
  <c r="AF585" i="25"/>
  <c r="AE585" i="25"/>
  <c r="AE584" i="25"/>
  <c r="AL583" i="25"/>
  <c r="AK583" i="25"/>
  <c r="AJ583" i="25"/>
  <c r="AI583" i="25"/>
  <c r="AF583" i="25"/>
  <c r="AE583" i="25"/>
  <c r="AL582" i="25"/>
  <c r="AK582" i="25"/>
  <c r="AJ582" i="25"/>
  <c r="AI582" i="25"/>
  <c r="AF582" i="25"/>
  <c r="AE582" i="25"/>
  <c r="AL581" i="25"/>
  <c r="AK581" i="25"/>
  <c r="AJ581" i="25"/>
  <c r="AI581" i="25"/>
  <c r="AF581" i="25"/>
  <c r="AE581" i="25"/>
  <c r="AL580" i="25"/>
  <c r="AK580" i="25"/>
  <c r="AJ580" i="25"/>
  <c r="AI580" i="25"/>
  <c r="AF580" i="25"/>
  <c r="AE580" i="25"/>
  <c r="AL579" i="25"/>
  <c r="AK579" i="25"/>
  <c r="AJ579" i="25"/>
  <c r="AI579" i="25"/>
  <c r="AF579" i="25"/>
  <c r="AE579" i="25"/>
  <c r="AL578" i="25"/>
  <c r="AK578" i="25"/>
  <c r="AJ578" i="25"/>
  <c r="AI578" i="25"/>
  <c r="AF578" i="25"/>
  <c r="AE578" i="25"/>
  <c r="AL577" i="25"/>
  <c r="AK577" i="25"/>
  <c r="AJ577" i="25"/>
  <c r="AI577" i="25"/>
  <c r="AF577" i="25"/>
  <c r="AE577" i="25"/>
  <c r="AL576" i="25"/>
  <c r="AK576" i="25"/>
  <c r="AJ576" i="25"/>
  <c r="AI576" i="25"/>
  <c r="AF576" i="25"/>
  <c r="AE576" i="25"/>
  <c r="AE575" i="25"/>
  <c r="AL574" i="25"/>
  <c r="AK574" i="25"/>
  <c r="AJ574" i="25"/>
  <c r="AI574" i="25"/>
  <c r="AF574" i="25"/>
  <c r="AE574" i="25"/>
  <c r="AL573" i="25"/>
  <c r="AK573" i="25"/>
  <c r="AJ573" i="25"/>
  <c r="AI573" i="25"/>
  <c r="AF573" i="25"/>
  <c r="AE573" i="25"/>
  <c r="AE572" i="25"/>
  <c r="AL571" i="25"/>
  <c r="AK571" i="25"/>
  <c r="AJ571" i="25"/>
  <c r="AI571" i="25"/>
  <c r="AF571" i="25"/>
  <c r="AE571" i="25"/>
  <c r="AL570" i="25"/>
  <c r="AK570" i="25"/>
  <c r="AJ570" i="25"/>
  <c r="AI570" i="25"/>
  <c r="AF570" i="25"/>
  <c r="AE570" i="25"/>
  <c r="AL569" i="25"/>
  <c r="AK569" i="25"/>
  <c r="AJ569" i="25"/>
  <c r="AI569" i="25"/>
  <c r="AF569" i="25"/>
  <c r="AE569" i="25"/>
  <c r="AL568" i="25"/>
  <c r="AK568" i="25"/>
  <c r="AJ568" i="25"/>
  <c r="AI568" i="25"/>
  <c r="AF568" i="25"/>
  <c r="AE568" i="25"/>
  <c r="AE567" i="25"/>
  <c r="AL566" i="25"/>
  <c r="AK566" i="25"/>
  <c r="AJ566" i="25"/>
  <c r="AI566" i="25"/>
  <c r="AF566" i="25"/>
  <c r="AE566" i="25"/>
  <c r="AE565" i="25"/>
  <c r="AL564" i="25"/>
  <c r="AK564" i="25"/>
  <c r="AJ564" i="25"/>
  <c r="AI564" i="25"/>
  <c r="AF564" i="25"/>
  <c r="AE564" i="25"/>
  <c r="AL563" i="25"/>
  <c r="AK563" i="25"/>
  <c r="AJ563" i="25"/>
  <c r="AI563" i="25"/>
  <c r="AF563" i="25"/>
  <c r="AE563" i="25"/>
  <c r="AL562" i="25"/>
  <c r="AK562" i="25"/>
  <c r="AJ562" i="25"/>
  <c r="AI562" i="25"/>
  <c r="AF562" i="25"/>
  <c r="AE562" i="25"/>
  <c r="AL561" i="25"/>
  <c r="AK561" i="25"/>
  <c r="AJ561" i="25"/>
  <c r="AI561" i="25"/>
  <c r="AF561" i="25"/>
  <c r="AE561" i="25"/>
  <c r="AL560" i="25"/>
  <c r="AK560" i="25"/>
  <c r="AJ560" i="25"/>
  <c r="AI560" i="25"/>
  <c r="AF560" i="25"/>
  <c r="AE560" i="25"/>
  <c r="AL559" i="25"/>
  <c r="AK559" i="25"/>
  <c r="AJ559" i="25"/>
  <c r="AI559" i="25"/>
  <c r="AF559" i="25"/>
  <c r="AE559" i="25"/>
  <c r="AE558" i="25"/>
  <c r="AE557" i="25"/>
  <c r="AL556" i="25"/>
  <c r="AK556" i="25"/>
  <c r="AJ556" i="25"/>
  <c r="AI556" i="25"/>
  <c r="AF556" i="25"/>
  <c r="AE556" i="25"/>
  <c r="AE555" i="25"/>
  <c r="AL554" i="25"/>
  <c r="AK554" i="25"/>
  <c r="AJ554" i="25"/>
  <c r="AI554" i="25"/>
  <c r="AF554" i="25"/>
  <c r="AE554" i="25"/>
  <c r="AL553" i="25"/>
  <c r="AK553" i="25"/>
  <c r="AJ553" i="25"/>
  <c r="AI553" i="25"/>
  <c r="AF553" i="25"/>
  <c r="AE553" i="25"/>
  <c r="AE552" i="25"/>
  <c r="AE551" i="25"/>
  <c r="AL550" i="25"/>
  <c r="AK550" i="25"/>
  <c r="AJ550" i="25"/>
  <c r="AI550" i="25"/>
  <c r="AF550" i="25"/>
  <c r="AE550" i="25"/>
  <c r="AE549" i="25"/>
  <c r="AL548" i="25"/>
  <c r="AK548" i="25"/>
  <c r="AJ548" i="25"/>
  <c r="AI548" i="25"/>
  <c r="AF548" i="25"/>
  <c r="AE548" i="25"/>
  <c r="AE547" i="25"/>
  <c r="AL546" i="25"/>
  <c r="AK546" i="25"/>
  <c r="AJ546" i="25"/>
  <c r="AI546" i="25"/>
  <c r="AF546" i="25"/>
  <c r="AE546" i="25"/>
  <c r="AL545" i="25"/>
  <c r="AK545" i="25"/>
  <c r="AJ545" i="25"/>
  <c r="AI545" i="25"/>
  <c r="AF545" i="25"/>
  <c r="AE545" i="25"/>
  <c r="AL544" i="25"/>
  <c r="AK544" i="25"/>
  <c r="AJ544" i="25"/>
  <c r="AI544" i="25"/>
  <c r="AF544" i="25"/>
  <c r="AE544" i="25"/>
  <c r="AL543" i="25"/>
  <c r="AK543" i="25"/>
  <c r="AJ543" i="25"/>
  <c r="AI543" i="25"/>
  <c r="AF543" i="25"/>
  <c r="AE543" i="25"/>
  <c r="AE542" i="25"/>
  <c r="AL541" i="25"/>
  <c r="AK541" i="25"/>
  <c r="AJ541" i="25"/>
  <c r="AI541" i="25"/>
  <c r="AF541" i="25"/>
  <c r="AE541" i="25"/>
  <c r="AL540" i="25"/>
  <c r="AK540" i="25"/>
  <c r="AJ540" i="25"/>
  <c r="AI540" i="25"/>
  <c r="AF540" i="25"/>
  <c r="AE540" i="25"/>
  <c r="AL539" i="25"/>
  <c r="AK539" i="25"/>
  <c r="AJ539" i="25"/>
  <c r="AI539" i="25"/>
  <c r="AF539" i="25"/>
  <c r="AE539" i="25"/>
  <c r="AL538" i="25"/>
  <c r="AK538" i="25"/>
  <c r="AJ538" i="25"/>
  <c r="AI538" i="25"/>
  <c r="AF538" i="25"/>
  <c r="AE538" i="25"/>
  <c r="AL537" i="25"/>
  <c r="AK537" i="25"/>
  <c r="AJ537" i="25"/>
  <c r="AI537" i="25"/>
  <c r="AF537" i="25"/>
  <c r="AE537" i="25"/>
  <c r="AL536" i="25"/>
  <c r="AK536" i="25"/>
  <c r="AJ536" i="25"/>
  <c r="AI536" i="25"/>
  <c r="AF536" i="25"/>
  <c r="AE536" i="25"/>
  <c r="AL535" i="25"/>
  <c r="AK535" i="25"/>
  <c r="AJ535" i="25"/>
  <c r="AI535" i="25"/>
  <c r="AF535" i="25"/>
  <c r="AE535" i="25"/>
  <c r="AL534" i="25"/>
  <c r="AK534" i="25"/>
  <c r="AJ534" i="25"/>
  <c r="AI534" i="25"/>
  <c r="AF534" i="25"/>
  <c r="AE534" i="25"/>
  <c r="AL533" i="25"/>
  <c r="AK533" i="25"/>
  <c r="AJ533" i="25"/>
  <c r="AI533" i="25"/>
  <c r="AF533" i="25"/>
  <c r="AE533" i="25"/>
  <c r="AL532" i="25"/>
  <c r="AK532" i="25"/>
  <c r="AJ532" i="25"/>
  <c r="AI532" i="25"/>
  <c r="AF532" i="25"/>
  <c r="AE532" i="25"/>
  <c r="AL531" i="25"/>
  <c r="AK531" i="25"/>
  <c r="AJ531" i="25"/>
  <c r="AI531" i="25"/>
  <c r="AF531" i="25"/>
  <c r="AE531" i="25"/>
  <c r="AL530" i="25"/>
  <c r="AK530" i="25"/>
  <c r="AJ530" i="25"/>
  <c r="AI530" i="25"/>
  <c r="AF530" i="25"/>
  <c r="AE530" i="25"/>
  <c r="AL529" i="25"/>
  <c r="AK529" i="25"/>
  <c r="AJ529" i="25"/>
  <c r="AI529" i="25"/>
  <c r="AF529" i="25"/>
  <c r="AE529" i="25"/>
  <c r="AL528" i="25"/>
  <c r="AK528" i="25"/>
  <c r="AJ528" i="25"/>
  <c r="AI528" i="25"/>
  <c r="AF528" i="25"/>
  <c r="AE528" i="25"/>
  <c r="AL527" i="25"/>
  <c r="AK527" i="25"/>
  <c r="AJ527" i="25"/>
  <c r="AI527" i="25"/>
  <c r="AF527" i="25"/>
  <c r="AE527" i="25"/>
  <c r="AL526" i="25"/>
  <c r="AK526" i="25"/>
  <c r="AJ526" i="25"/>
  <c r="AI526" i="25"/>
  <c r="AF526" i="25"/>
  <c r="AE526" i="25"/>
  <c r="AL525" i="25"/>
  <c r="AK525" i="25"/>
  <c r="AJ525" i="25"/>
  <c r="AI525" i="25"/>
  <c r="AF525" i="25"/>
  <c r="AE525" i="25"/>
  <c r="AL524" i="25"/>
  <c r="AK524" i="25"/>
  <c r="AJ524" i="25"/>
  <c r="AI524" i="25"/>
  <c r="AF524" i="25"/>
  <c r="AE524" i="25"/>
  <c r="AL523" i="25"/>
  <c r="AK523" i="25"/>
  <c r="AJ523" i="25"/>
  <c r="AI523" i="25"/>
  <c r="AF523" i="25"/>
  <c r="AE523" i="25"/>
  <c r="AL522" i="25"/>
  <c r="AK522" i="25"/>
  <c r="AJ522" i="25"/>
  <c r="AI522" i="25"/>
  <c r="AF522" i="25"/>
  <c r="AE522" i="25"/>
  <c r="AL521" i="25"/>
  <c r="AK521" i="25"/>
  <c r="AJ521" i="25"/>
  <c r="AI521" i="25"/>
  <c r="AF521" i="25"/>
  <c r="AE521" i="25"/>
  <c r="AL520" i="25"/>
  <c r="AK520" i="25"/>
  <c r="AJ520" i="25"/>
  <c r="AI520" i="25"/>
  <c r="AF520" i="25"/>
  <c r="AE520" i="25"/>
  <c r="AL519" i="25"/>
  <c r="AK519" i="25"/>
  <c r="AJ519" i="25"/>
  <c r="AI519" i="25"/>
  <c r="AF519" i="25"/>
  <c r="AE519" i="25"/>
  <c r="AL518" i="25"/>
  <c r="AK518" i="25"/>
  <c r="AJ518" i="25"/>
  <c r="AI518" i="25"/>
  <c r="AF518" i="25"/>
  <c r="AE518" i="25"/>
  <c r="AL517" i="25"/>
  <c r="AK517" i="25"/>
  <c r="AJ517" i="25"/>
  <c r="AI517" i="25"/>
  <c r="AF517" i="25"/>
  <c r="AE517" i="25"/>
  <c r="AL516" i="25"/>
  <c r="AK516" i="25"/>
  <c r="AJ516" i="25"/>
  <c r="AI516" i="25"/>
  <c r="AF516" i="25"/>
  <c r="AE516" i="25"/>
  <c r="AL515" i="25"/>
  <c r="AK515" i="25"/>
  <c r="AJ515" i="25"/>
  <c r="AI515" i="25"/>
  <c r="AF515" i="25"/>
  <c r="AE515" i="25"/>
  <c r="AL514" i="25"/>
  <c r="AK514" i="25"/>
  <c r="AJ514" i="25"/>
  <c r="AI514" i="25"/>
  <c r="AF514" i="25"/>
  <c r="AE514" i="25"/>
  <c r="AL513" i="25"/>
  <c r="AK513" i="25"/>
  <c r="AJ513" i="25"/>
  <c r="AI513" i="25"/>
  <c r="AF513" i="25"/>
  <c r="AE513" i="25"/>
  <c r="AL512" i="25"/>
  <c r="AK512" i="25"/>
  <c r="AJ512" i="25"/>
  <c r="AI512" i="25"/>
  <c r="AF512" i="25"/>
  <c r="AE512" i="25"/>
  <c r="AL511" i="25"/>
  <c r="AK511" i="25"/>
  <c r="AJ511" i="25"/>
  <c r="AI511" i="25"/>
  <c r="AF511" i="25"/>
  <c r="AE511" i="25"/>
  <c r="AL510" i="25"/>
  <c r="AK510" i="25"/>
  <c r="AJ510" i="25"/>
  <c r="AI510" i="25"/>
  <c r="AF510" i="25"/>
  <c r="AE510" i="25"/>
  <c r="AL509" i="25"/>
  <c r="AK509" i="25"/>
  <c r="AJ509" i="25"/>
  <c r="AI509" i="25"/>
  <c r="AF509" i="25"/>
  <c r="AE509" i="25"/>
  <c r="AL508" i="25"/>
  <c r="AK508" i="25"/>
  <c r="AJ508" i="25"/>
  <c r="AI508" i="25"/>
  <c r="AF508" i="25"/>
  <c r="AE508" i="25"/>
  <c r="AL507" i="25"/>
  <c r="AK507" i="25"/>
  <c r="AJ507" i="25"/>
  <c r="AI507" i="25"/>
  <c r="AF507" i="25"/>
  <c r="AE507" i="25"/>
  <c r="AL506" i="25"/>
  <c r="AK506" i="25"/>
  <c r="AJ506" i="25"/>
  <c r="AI506" i="25"/>
  <c r="AF506" i="25"/>
  <c r="AE506" i="25"/>
  <c r="AL505" i="25"/>
  <c r="AK505" i="25"/>
  <c r="AJ505" i="25"/>
  <c r="AI505" i="25"/>
  <c r="AF505" i="25"/>
  <c r="AE505" i="25"/>
  <c r="AL504" i="25"/>
  <c r="AK504" i="25"/>
  <c r="AJ504" i="25"/>
  <c r="AI504" i="25"/>
  <c r="AF504" i="25"/>
  <c r="AE504" i="25"/>
  <c r="AL503" i="25"/>
  <c r="AK503" i="25"/>
  <c r="AJ503" i="25"/>
  <c r="AI503" i="25"/>
  <c r="AF503" i="25"/>
  <c r="AE503" i="25"/>
  <c r="AL502" i="25"/>
  <c r="AK502" i="25"/>
  <c r="AJ502" i="25"/>
  <c r="AI502" i="25"/>
  <c r="AF502" i="25"/>
  <c r="AE502" i="25"/>
  <c r="AL501" i="25"/>
  <c r="AK501" i="25"/>
  <c r="AJ501" i="25"/>
  <c r="AI501" i="25"/>
  <c r="AF501" i="25"/>
  <c r="AE501" i="25"/>
  <c r="AL500" i="25"/>
  <c r="AK500" i="25"/>
  <c r="AJ500" i="25"/>
  <c r="AI500" i="25"/>
  <c r="AF500" i="25"/>
  <c r="AE500" i="25"/>
  <c r="AL499" i="25"/>
  <c r="AK499" i="25"/>
  <c r="AJ499" i="25"/>
  <c r="AI499" i="25"/>
  <c r="AF499" i="25"/>
  <c r="AE499" i="25"/>
  <c r="AL498" i="25"/>
  <c r="AK498" i="25"/>
  <c r="AJ498" i="25"/>
  <c r="AI498" i="25"/>
  <c r="AF498" i="25"/>
  <c r="AE498" i="25"/>
  <c r="AL497" i="25"/>
  <c r="AK497" i="25"/>
  <c r="AJ497" i="25"/>
  <c r="AI497" i="25"/>
  <c r="AF497" i="25"/>
  <c r="AE497" i="25"/>
  <c r="AL496" i="25"/>
  <c r="AK496" i="25"/>
  <c r="AJ496" i="25"/>
  <c r="AI496" i="25"/>
  <c r="AF496" i="25"/>
  <c r="AE496" i="25"/>
  <c r="AL495" i="25"/>
  <c r="AK495" i="25"/>
  <c r="AJ495" i="25"/>
  <c r="AI495" i="25"/>
  <c r="AF495" i="25"/>
  <c r="AE495" i="25"/>
  <c r="AL494" i="25"/>
  <c r="AK494" i="25"/>
  <c r="AJ494" i="25"/>
  <c r="AI494" i="25"/>
  <c r="AF494" i="25"/>
  <c r="AE494" i="25"/>
  <c r="AL493" i="25"/>
  <c r="AK493" i="25"/>
  <c r="AJ493" i="25"/>
  <c r="AI493" i="25"/>
  <c r="AF493" i="25"/>
  <c r="AE493" i="25"/>
  <c r="AL492" i="25"/>
  <c r="AK492" i="25"/>
  <c r="AJ492" i="25"/>
  <c r="AI492" i="25"/>
  <c r="AF492" i="25"/>
  <c r="AE492" i="25"/>
  <c r="AL491" i="25"/>
  <c r="AK491" i="25"/>
  <c r="AJ491" i="25"/>
  <c r="AI491" i="25"/>
  <c r="AF491" i="25"/>
  <c r="AE491" i="25"/>
  <c r="AL490" i="25"/>
  <c r="AK490" i="25"/>
  <c r="AJ490" i="25"/>
  <c r="AI490" i="25"/>
  <c r="AF490" i="25"/>
  <c r="AE490" i="25"/>
  <c r="AL489" i="25"/>
  <c r="AK489" i="25"/>
  <c r="AJ489" i="25"/>
  <c r="AI489" i="25"/>
  <c r="AF489" i="25"/>
  <c r="AE489" i="25"/>
  <c r="AL488" i="25"/>
  <c r="AK488" i="25"/>
  <c r="AJ488" i="25"/>
  <c r="AI488" i="25"/>
  <c r="AF488" i="25"/>
  <c r="AE488" i="25"/>
  <c r="AL487" i="25"/>
  <c r="AK487" i="25"/>
  <c r="AJ487" i="25"/>
  <c r="AI487" i="25"/>
  <c r="AF487" i="25"/>
  <c r="AE487" i="25"/>
  <c r="AL486" i="25"/>
  <c r="AK486" i="25"/>
  <c r="AJ486" i="25"/>
  <c r="AI486" i="25"/>
  <c r="AF486" i="25"/>
  <c r="AE486" i="25"/>
  <c r="AL485" i="25"/>
  <c r="AK485" i="25"/>
  <c r="AJ485" i="25"/>
  <c r="AI485" i="25"/>
  <c r="AF485" i="25"/>
  <c r="AE485" i="25"/>
  <c r="AL484" i="25"/>
  <c r="AK484" i="25"/>
  <c r="AJ484" i="25"/>
  <c r="AI484" i="25"/>
  <c r="AF484" i="25"/>
  <c r="AE484" i="25"/>
  <c r="AL483" i="25"/>
  <c r="AK483" i="25"/>
  <c r="AJ483" i="25"/>
  <c r="AI483" i="25"/>
  <c r="AF483" i="25"/>
  <c r="AE483" i="25"/>
  <c r="AL482" i="25"/>
  <c r="AK482" i="25"/>
  <c r="AJ482" i="25"/>
  <c r="AI482" i="25"/>
  <c r="AF482" i="25"/>
  <c r="AE482" i="25"/>
  <c r="AL481" i="25"/>
  <c r="AK481" i="25"/>
  <c r="AJ481" i="25"/>
  <c r="AI481" i="25"/>
  <c r="AF481" i="25"/>
  <c r="AE481" i="25"/>
  <c r="AL480" i="25"/>
  <c r="AK480" i="25"/>
  <c r="AJ480" i="25"/>
  <c r="AI480" i="25"/>
  <c r="AF480" i="25"/>
  <c r="AE480" i="25"/>
  <c r="AL479" i="25"/>
  <c r="AK479" i="25"/>
  <c r="AJ479" i="25"/>
  <c r="AI479" i="25"/>
  <c r="AF479" i="25"/>
  <c r="AE479" i="25"/>
  <c r="AL478" i="25"/>
  <c r="AK478" i="25"/>
  <c r="AJ478" i="25"/>
  <c r="AI478" i="25"/>
  <c r="AF478" i="25"/>
  <c r="AE478" i="25"/>
  <c r="AL477" i="25"/>
  <c r="AK477" i="25"/>
  <c r="AJ477" i="25"/>
  <c r="AI477" i="25"/>
  <c r="AF477" i="25"/>
  <c r="AE477" i="25"/>
  <c r="AL476" i="25"/>
  <c r="AK476" i="25"/>
  <c r="AJ476" i="25"/>
  <c r="AI476" i="25"/>
  <c r="AF476" i="25"/>
  <c r="AE476" i="25"/>
  <c r="AL475" i="25"/>
  <c r="AK475" i="25"/>
  <c r="AJ475" i="25"/>
  <c r="AI475" i="25"/>
  <c r="AF475" i="25"/>
  <c r="AE475" i="25"/>
  <c r="AL474" i="25"/>
  <c r="AK474" i="25"/>
  <c r="AJ474" i="25"/>
  <c r="AI474" i="25"/>
  <c r="AF474" i="25"/>
  <c r="AE474" i="25"/>
  <c r="AL473" i="25"/>
  <c r="AK473" i="25"/>
  <c r="AJ473" i="25"/>
  <c r="AI473" i="25"/>
  <c r="AF473" i="25"/>
  <c r="AE473" i="25"/>
  <c r="AL472" i="25"/>
  <c r="AK472" i="25"/>
  <c r="AJ472" i="25"/>
  <c r="AI472" i="25"/>
  <c r="AF472" i="25"/>
  <c r="AE472" i="25"/>
  <c r="AL471" i="25"/>
  <c r="AK471" i="25"/>
  <c r="AJ471" i="25"/>
  <c r="AI471" i="25"/>
  <c r="AF471" i="25"/>
  <c r="AE471" i="25"/>
  <c r="AE470" i="25"/>
  <c r="AE469" i="25"/>
  <c r="AE468" i="25"/>
  <c r="AL467" i="25"/>
  <c r="AK467" i="25"/>
  <c r="AJ467" i="25"/>
  <c r="AI467" i="25"/>
  <c r="AF467" i="25"/>
  <c r="AE467" i="25"/>
  <c r="AE466" i="25"/>
  <c r="AE465" i="25"/>
  <c r="AE464" i="25"/>
  <c r="AE463" i="25"/>
  <c r="AE462" i="25"/>
  <c r="AL461" i="25"/>
  <c r="AK461" i="25"/>
  <c r="AJ461" i="25"/>
  <c r="AI461" i="25"/>
  <c r="AF461" i="25"/>
  <c r="AE461" i="25"/>
  <c r="AE460" i="25"/>
  <c r="AE459" i="25"/>
  <c r="AL458" i="25"/>
  <c r="AK458" i="25"/>
  <c r="AJ458" i="25"/>
  <c r="AI458" i="25"/>
  <c r="AF458" i="25"/>
  <c r="AE458" i="25"/>
  <c r="AL457" i="25"/>
  <c r="AK457" i="25"/>
  <c r="AJ457" i="25"/>
  <c r="AI457" i="25"/>
  <c r="AF457" i="25"/>
  <c r="AE457" i="25"/>
  <c r="AL456" i="25"/>
  <c r="AK456" i="25"/>
  <c r="AJ456" i="25"/>
  <c r="AI456" i="25"/>
  <c r="AF456" i="25"/>
  <c r="AE456" i="25"/>
  <c r="AL455" i="25"/>
  <c r="AK455" i="25"/>
  <c r="AJ455" i="25"/>
  <c r="AI455" i="25"/>
  <c r="AF455" i="25"/>
  <c r="AE455" i="25"/>
  <c r="AL454" i="25"/>
  <c r="AK454" i="25"/>
  <c r="AJ454" i="25"/>
  <c r="AI454" i="25"/>
  <c r="AF454" i="25"/>
  <c r="AE454" i="25"/>
  <c r="AL453" i="25"/>
  <c r="AK453" i="25"/>
  <c r="AJ453" i="25"/>
  <c r="AI453" i="25"/>
  <c r="AF453" i="25"/>
  <c r="AE453" i="25"/>
  <c r="AL452" i="25"/>
  <c r="AK452" i="25"/>
  <c r="AJ452" i="25"/>
  <c r="AI452" i="25"/>
  <c r="AF452" i="25"/>
  <c r="AE452" i="25"/>
  <c r="AL451" i="25"/>
  <c r="AK451" i="25"/>
  <c r="AJ451" i="25"/>
  <c r="AI451" i="25"/>
  <c r="AF451" i="25"/>
  <c r="AE451" i="25"/>
  <c r="AL450" i="25"/>
  <c r="AK450" i="25"/>
  <c r="AJ450" i="25"/>
  <c r="AI450" i="25"/>
  <c r="AF450" i="25"/>
  <c r="AE450" i="25"/>
  <c r="AL449" i="25"/>
  <c r="AK449" i="25"/>
  <c r="AJ449" i="25"/>
  <c r="AI449" i="25"/>
  <c r="AF449" i="25"/>
  <c r="AE449" i="25"/>
  <c r="AL448" i="25"/>
  <c r="AK448" i="25"/>
  <c r="AJ448" i="25"/>
  <c r="AI448" i="25"/>
  <c r="AF448" i="25"/>
  <c r="AE448" i="25"/>
  <c r="AE447" i="25"/>
  <c r="AE446" i="25"/>
  <c r="AE445" i="25"/>
  <c r="AE444" i="25"/>
  <c r="AE443" i="25"/>
  <c r="AL442" i="25"/>
  <c r="AK442" i="25"/>
  <c r="AJ442" i="25"/>
  <c r="AI442" i="25"/>
  <c r="AF442" i="25"/>
  <c r="AE442" i="25"/>
  <c r="AE441" i="25"/>
  <c r="AL440" i="25"/>
  <c r="AK440" i="25"/>
  <c r="AJ440" i="25"/>
  <c r="AI440" i="25"/>
  <c r="AF440" i="25"/>
  <c r="AE440" i="25"/>
  <c r="AL439" i="25"/>
  <c r="AK439" i="25"/>
  <c r="AJ439" i="25"/>
  <c r="AI439" i="25"/>
  <c r="AF439" i="25"/>
  <c r="AE439" i="25"/>
  <c r="AE438" i="25"/>
  <c r="AL437" i="25"/>
  <c r="AK437" i="25"/>
  <c r="AJ437" i="25"/>
  <c r="AI437" i="25"/>
  <c r="AF437" i="25"/>
  <c r="AE437" i="25"/>
  <c r="AL436" i="25"/>
  <c r="AK436" i="25"/>
  <c r="AJ436" i="25"/>
  <c r="AI436" i="25"/>
  <c r="AF436" i="25"/>
  <c r="AE436" i="25"/>
  <c r="AL435" i="25"/>
  <c r="AK435" i="25"/>
  <c r="AJ435" i="25"/>
  <c r="AI435" i="25"/>
  <c r="AF435" i="25"/>
  <c r="AE435" i="25"/>
  <c r="AL434" i="25"/>
  <c r="AK434" i="25"/>
  <c r="AJ434" i="25"/>
  <c r="AI434" i="25"/>
  <c r="AF434" i="25"/>
  <c r="AE434" i="25"/>
  <c r="AL433" i="25"/>
  <c r="AK433" i="25"/>
  <c r="AJ433" i="25"/>
  <c r="AI433" i="25"/>
  <c r="AF433" i="25"/>
  <c r="AE433" i="25"/>
  <c r="AL432" i="25"/>
  <c r="AK432" i="25"/>
  <c r="AJ432" i="25"/>
  <c r="AI432" i="25"/>
  <c r="AF432" i="25"/>
  <c r="AE432" i="25"/>
  <c r="AL431" i="25"/>
  <c r="AK431" i="25"/>
  <c r="AJ431" i="25"/>
  <c r="AI431" i="25"/>
  <c r="AF431" i="25"/>
  <c r="AE431" i="25"/>
  <c r="AL430" i="25"/>
  <c r="AK430" i="25"/>
  <c r="AJ430" i="25"/>
  <c r="AI430" i="25"/>
  <c r="AF430" i="25"/>
  <c r="AE430" i="25"/>
  <c r="AL429" i="25"/>
  <c r="AK429" i="25"/>
  <c r="AJ429" i="25"/>
  <c r="AI429" i="25"/>
  <c r="AF429" i="25"/>
  <c r="AE429" i="25"/>
  <c r="AL428" i="25"/>
  <c r="AK428" i="25"/>
  <c r="AJ428" i="25"/>
  <c r="AI428" i="25"/>
  <c r="AF428" i="25"/>
  <c r="AE428" i="25"/>
  <c r="AL427" i="25"/>
  <c r="AK427" i="25"/>
  <c r="AJ427" i="25"/>
  <c r="AI427" i="25"/>
  <c r="AF427" i="25"/>
  <c r="AE427" i="25"/>
  <c r="AL426" i="25"/>
  <c r="AK426" i="25"/>
  <c r="AJ426" i="25"/>
  <c r="AI426" i="25"/>
  <c r="AF426" i="25"/>
  <c r="AE426" i="25"/>
  <c r="AL425" i="25"/>
  <c r="AK425" i="25"/>
  <c r="AJ425" i="25"/>
  <c r="AI425" i="25"/>
  <c r="AF425" i="25"/>
  <c r="AE425" i="25"/>
  <c r="AL424" i="25"/>
  <c r="AK424" i="25"/>
  <c r="AJ424" i="25"/>
  <c r="AI424" i="25"/>
  <c r="AF424" i="25"/>
  <c r="AE424" i="25"/>
  <c r="AL423" i="25"/>
  <c r="AK423" i="25"/>
  <c r="AJ423" i="25"/>
  <c r="AI423" i="25"/>
  <c r="AF423" i="25"/>
  <c r="AE423" i="25"/>
  <c r="AL422" i="25"/>
  <c r="AK422" i="25"/>
  <c r="AJ422" i="25"/>
  <c r="AI422" i="25"/>
  <c r="AF422" i="25"/>
  <c r="AE422" i="25"/>
  <c r="AL421" i="25"/>
  <c r="AK421" i="25"/>
  <c r="AJ421" i="25"/>
  <c r="AI421" i="25"/>
  <c r="AF421" i="25"/>
  <c r="AE421" i="25"/>
  <c r="AL420" i="25"/>
  <c r="AK420" i="25"/>
  <c r="AJ420" i="25"/>
  <c r="AI420" i="25"/>
  <c r="AF420" i="25"/>
  <c r="AE420" i="25"/>
  <c r="AL419" i="25"/>
  <c r="AK419" i="25"/>
  <c r="AJ419" i="25"/>
  <c r="AI419" i="25"/>
  <c r="AF419" i="25"/>
  <c r="AE419" i="25"/>
  <c r="AL418" i="25"/>
  <c r="AK418" i="25"/>
  <c r="AJ418" i="25"/>
  <c r="AI418" i="25"/>
  <c r="AF418" i="25"/>
  <c r="AE418" i="25"/>
  <c r="AL417" i="25"/>
  <c r="AK417" i="25"/>
  <c r="AJ417" i="25"/>
  <c r="AI417" i="25"/>
  <c r="AF417" i="25"/>
  <c r="AE417" i="25"/>
  <c r="AL416" i="25"/>
  <c r="AK416" i="25"/>
  <c r="AJ416" i="25"/>
  <c r="AI416" i="25"/>
  <c r="AF416" i="25"/>
  <c r="AE416" i="25"/>
  <c r="AL415" i="25"/>
  <c r="AK415" i="25"/>
  <c r="AJ415" i="25"/>
  <c r="AI415" i="25"/>
  <c r="AF415" i="25"/>
  <c r="AE415" i="25"/>
  <c r="AL414" i="25"/>
  <c r="AK414" i="25"/>
  <c r="AJ414" i="25"/>
  <c r="AI414" i="25"/>
  <c r="AF414" i="25"/>
  <c r="AE414" i="25"/>
  <c r="AE413" i="25"/>
  <c r="AE412" i="25"/>
  <c r="AE411" i="25"/>
  <c r="AL410" i="25"/>
  <c r="AK410" i="25"/>
  <c r="AJ410" i="25"/>
  <c r="AI410" i="25"/>
  <c r="AF410" i="25"/>
  <c r="AE410" i="25"/>
  <c r="AL409" i="25"/>
  <c r="AK409" i="25"/>
  <c r="AJ409" i="25"/>
  <c r="AI409" i="25"/>
  <c r="AF409" i="25"/>
  <c r="AE409" i="25"/>
  <c r="AL408" i="25"/>
  <c r="AK408" i="25"/>
  <c r="AJ408" i="25"/>
  <c r="AI408" i="25"/>
  <c r="AF408" i="25"/>
  <c r="AE408" i="25"/>
  <c r="AE407" i="25"/>
  <c r="AL406" i="25"/>
  <c r="AK406" i="25"/>
  <c r="AJ406" i="25"/>
  <c r="AI406" i="25"/>
  <c r="AF406" i="25"/>
  <c r="AE406" i="25"/>
  <c r="AL405" i="25"/>
  <c r="AK405" i="25"/>
  <c r="AJ405" i="25"/>
  <c r="AI405" i="25"/>
  <c r="AF405" i="25"/>
  <c r="AE405" i="25"/>
  <c r="AE404" i="25"/>
  <c r="AE403" i="25"/>
  <c r="AE402" i="25"/>
  <c r="AL401" i="25"/>
  <c r="AK401" i="25"/>
  <c r="AJ401" i="25"/>
  <c r="AI401" i="25"/>
  <c r="AF401" i="25"/>
  <c r="AE401" i="25"/>
  <c r="AL400" i="25"/>
  <c r="AK400" i="25"/>
  <c r="AJ400" i="25"/>
  <c r="AI400" i="25"/>
  <c r="AF400" i="25"/>
  <c r="AE400" i="25"/>
  <c r="AL399" i="25"/>
  <c r="AK399" i="25"/>
  <c r="AJ399" i="25"/>
  <c r="AI399" i="25"/>
  <c r="AF399" i="25"/>
  <c r="AE399" i="25"/>
  <c r="AL398" i="25"/>
  <c r="AK398" i="25"/>
  <c r="AJ398" i="25"/>
  <c r="AI398" i="25"/>
  <c r="AF398" i="25"/>
  <c r="AE398" i="25"/>
  <c r="AL397" i="25"/>
  <c r="AK397" i="25"/>
  <c r="AJ397" i="25"/>
  <c r="AI397" i="25"/>
  <c r="AF397" i="25"/>
  <c r="AE397" i="25"/>
  <c r="AL396" i="25"/>
  <c r="AK396" i="25"/>
  <c r="AJ396" i="25"/>
  <c r="AI396" i="25"/>
  <c r="AF396" i="25"/>
  <c r="AE396" i="25"/>
  <c r="AL395" i="25"/>
  <c r="AK395" i="25"/>
  <c r="AJ395" i="25"/>
  <c r="AI395" i="25"/>
  <c r="AF395" i="25"/>
  <c r="AE395" i="25"/>
  <c r="AL394" i="25"/>
  <c r="AK394" i="25"/>
  <c r="AJ394" i="25"/>
  <c r="AI394" i="25"/>
  <c r="AF394" i="25"/>
  <c r="AE394" i="25"/>
  <c r="AL393" i="25"/>
  <c r="AK393" i="25"/>
  <c r="AJ393" i="25"/>
  <c r="AI393" i="25"/>
  <c r="AF393" i="25"/>
  <c r="AE393" i="25"/>
  <c r="AL392" i="25"/>
  <c r="AK392" i="25"/>
  <c r="AJ392" i="25"/>
  <c r="AI392" i="25"/>
  <c r="AF392" i="25"/>
  <c r="AE392" i="25"/>
  <c r="AL391" i="25"/>
  <c r="AK391" i="25"/>
  <c r="AJ391" i="25"/>
  <c r="AI391" i="25"/>
  <c r="AF391" i="25"/>
  <c r="AE391" i="25"/>
  <c r="AL390" i="25"/>
  <c r="AK390" i="25"/>
  <c r="AJ390" i="25"/>
  <c r="AI390" i="25"/>
  <c r="AF390" i="25"/>
  <c r="AE390" i="25"/>
  <c r="AL389" i="25"/>
  <c r="AK389" i="25"/>
  <c r="AJ389" i="25"/>
  <c r="AI389" i="25"/>
  <c r="AF389" i="25"/>
  <c r="AE389" i="25"/>
  <c r="AL388" i="25"/>
  <c r="AK388" i="25"/>
  <c r="AJ388" i="25"/>
  <c r="AI388" i="25"/>
  <c r="AF388" i="25"/>
  <c r="AE388" i="25"/>
  <c r="AL387" i="25"/>
  <c r="AK387" i="25"/>
  <c r="AJ387" i="25"/>
  <c r="AI387" i="25"/>
  <c r="AF387" i="25"/>
  <c r="AE387" i="25"/>
  <c r="AL386" i="25"/>
  <c r="AK386" i="25"/>
  <c r="AJ386" i="25"/>
  <c r="AI386" i="25"/>
  <c r="AF386" i="25"/>
  <c r="AE386" i="25"/>
  <c r="AE385" i="25"/>
  <c r="AL384" i="25"/>
  <c r="AK384" i="25"/>
  <c r="AJ384" i="25"/>
  <c r="AI384" i="25"/>
  <c r="AF384" i="25"/>
  <c r="AE384" i="25"/>
  <c r="AL383" i="25"/>
  <c r="AK383" i="25"/>
  <c r="AJ383" i="25"/>
  <c r="AI383" i="25"/>
  <c r="AF383" i="25"/>
  <c r="AE383" i="25"/>
  <c r="AL382" i="25"/>
  <c r="AK382" i="25"/>
  <c r="AJ382" i="25"/>
  <c r="AI382" i="25"/>
  <c r="AF382" i="25"/>
  <c r="AE382" i="25"/>
  <c r="AL381" i="25"/>
  <c r="AK381" i="25"/>
  <c r="AJ381" i="25"/>
  <c r="AI381" i="25"/>
  <c r="AF381" i="25"/>
  <c r="AE381" i="25"/>
  <c r="AL380" i="25"/>
  <c r="AK380" i="25"/>
  <c r="AJ380" i="25"/>
  <c r="AI380" i="25"/>
  <c r="AF380" i="25"/>
  <c r="AE380" i="25"/>
  <c r="AL379" i="25"/>
  <c r="AK379" i="25"/>
  <c r="AJ379" i="25"/>
  <c r="AI379" i="25"/>
  <c r="AF379" i="25"/>
  <c r="AE379" i="25"/>
  <c r="AL378" i="25"/>
  <c r="AK378" i="25"/>
  <c r="AJ378" i="25"/>
  <c r="AI378" i="25"/>
  <c r="AF378" i="25"/>
  <c r="AE378" i="25"/>
  <c r="AL377" i="25"/>
  <c r="AK377" i="25"/>
  <c r="AJ377" i="25"/>
  <c r="AI377" i="25"/>
  <c r="AF377" i="25"/>
  <c r="AE377" i="25"/>
  <c r="AL376" i="25"/>
  <c r="AK376" i="25"/>
  <c r="AJ376" i="25"/>
  <c r="AI376" i="25"/>
  <c r="AF376" i="25"/>
  <c r="AE376" i="25"/>
  <c r="AL375" i="25"/>
  <c r="AK375" i="25"/>
  <c r="AJ375" i="25"/>
  <c r="AI375" i="25"/>
  <c r="AF375" i="25"/>
  <c r="AE375" i="25"/>
  <c r="AL374" i="25"/>
  <c r="AK374" i="25"/>
  <c r="AJ374" i="25"/>
  <c r="AI374" i="25"/>
  <c r="AF374" i="25"/>
  <c r="AE374" i="25"/>
  <c r="AL373" i="25"/>
  <c r="AK373" i="25"/>
  <c r="AJ373" i="25"/>
  <c r="AI373" i="25"/>
  <c r="AF373" i="25"/>
  <c r="AE373" i="25"/>
  <c r="AL372" i="25"/>
  <c r="AK372" i="25"/>
  <c r="AJ372" i="25"/>
  <c r="AI372" i="25"/>
  <c r="AF372" i="25"/>
  <c r="AE372" i="25"/>
  <c r="AL371" i="25"/>
  <c r="AK371" i="25"/>
  <c r="AJ371" i="25"/>
  <c r="AI371" i="25"/>
  <c r="AF371" i="25"/>
  <c r="AE371" i="25"/>
  <c r="AL370" i="25"/>
  <c r="AK370" i="25"/>
  <c r="AJ370" i="25"/>
  <c r="AI370" i="25"/>
  <c r="AF370" i="25"/>
  <c r="AE370" i="25"/>
  <c r="AL369" i="25"/>
  <c r="AK369" i="25"/>
  <c r="AJ369" i="25"/>
  <c r="AI369" i="25"/>
  <c r="AF369" i="25"/>
  <c r="AE369" i="25"/>
  <c r="AL368" i="25"/>
  <c r="AK368" i="25"/>
  <c r="AJ368" i="25"/>
  <c r="AI368" i="25"/>
  <c r="AF368" i="25"/>
  <c r="AE368" i="25"/>
  <c r="AL367" i="25"/>
  <c r="AK367" i="25"/>
  <c r="AJ367" i="25"/>
  <c r="AI367" i="25"/>
  <c r="AF367" i="25"/>
  <c r="AE367" i="25"/>
  <c r="AL366" i="25"/>
  <c r="AK366" i="25"/>
  <c r="AJ366" i="25"/>
  <c r="AI366" i="25"/>
  <c r="AF366" i="25"/>
  <c r="AE366" i="25"/>
  <c r="AL365" i="25"/>
  <c r="AK365" i="25"/>
  <c r="AJ365" i="25"/>
  <c r="AI365" i="25"/>
  <c r="AF365" i="25"/>
  <c r="AE365" i="25"/>
  <c r="AL364" i="25"/>
  <c r="AK364" i="25"/>
  <c r="AJ364" i="25"/>
  <c r="AI364" i="25"/>
  <c r="AF364" i="25"/>
  <c r="AE364" i="25"/>
  <c r="AL363" i="25"/>
  <c r="AK363" i="25"/>
  <c r="AJ363" i="25"/>
  <c r="AI363" i="25"/>
  <c r="AF363" i="25"/>
  <c r="AE363" i="25"/>
  <c r="AL362" i="25"/>
  <c r="AK362" i="25"/>
  <c r="AJ362" i="25"/>
  <c r="AI362" i="25"/>
  <c r="AF362" i="25"/>
  <c r="AE362" i="25"/>
  <c r="AL361" i="25"/>
  <c r="AK361" i="25"/>
  <c r="AJ361" i="25"/>
  <c r="AI361" i="25"/>
  <c r="AF361" i="25"/>
  <c r="AE361" i="25"/>
  <c r="AL360" i="25"/>
  <c r="AK360" i="25"/>
  <c r="AJ360" i="25"/>
  <c r="AI360" i="25"/>
  <c r="AF360" i="25"/>
  <c r="AE360" i="25"/>
  <c r="AL359" i="25"/>
  <c r="AK359" i="25"/>
  <c r="AJ359" i="25"/>
  <c r="AI359" i="25"/>
  <c r="AF359" i="25"/>
  <c r="AE359" i="25"/>
  <c r="AL358" i="25"/>
  <c r="AK358" i="25"/>
  <c r="AJ358" i="25"/>
  <c r="AI358" i="25"/>
  <c r="AF358" i="25"/>
  <c r="AE358" i="25"/>
  <c r="AL357" i="25"/>
  <c r="AK357" i="25"/>
  <c r="AJ357" i="25"/>
  <c r="AI357" i="25"/>
  <c r="AF357" i="25"/>
  <c r="AE357" i="25"/>
  <c r="AL356" i="25"/>
  <c r="AK356" i="25"/>
  <c r="AJ356" i="25"/>
  <c r="AI356" i="25"/>
  <c r="AF356" i="25"/>
  <c r="AE356" i="25"/>
  <c r="AL355" i="25"/>
  <c r="AK355" i="25"/>
  <c r="AJ355" i="25"/>
  <c r="AI355" i="25"/>
  <c r="AF355" i="25"/>
  <c r="AE355" i="25"/>
  <c r="AL354" i="25"/>
  <c r="AK354" i="25"/>
  <c r="AJ354" i="25"/>
  <c r="AI354" i="25"/>
  <c r="AF354" i="25"/>
  <c r="AE354" i="25"/>
  <c r="AL353" i="25"/>
  <c r="AK353" i="25"/>
  <c r="AJ353" i="25"/>
  <c r="AI353" i="25"/>
  <c r="AF353" i="25"/>
  <c r="AE353" i="25"/>
  <c r="AL352" i="25"/>
  <c r="AK352" i="25"/>
  <c r="AJ352" i="25"/>
  <c r="AI352" i="25"/>
  <c r="AF352" i="25"/>
  <c r="AE352" i="25"/>
  <c r="AL351" i="25"/>
  <c r="AK351" i="25"/>
  <c r="AJ351" i="25"/>
  <c r="AI351" i="25"/>
  <c r="AF351" i="25"/>
  <c r="AE351" i="25"/>
  <c r="AL350" i="25"/>
  <c r="AK350" i="25"/>
  <c r="AJ350" i="25"/>
  <c r="AI350" i="25"/>
  <c r="AF350" i="25"/>
  <c r="AE350" i="25"/>
  <c r="AE349" i="25"/>
  <c r="AL348" i="25"/>
  <c r="AK348" i="25"/>
  <c r="AJ348" i="25"/>
  <c r="AI348" i="25"/>
  <c r="AF348" i="25"/>
  <c r="AE348" i="25"/>
  <c r="AE347" i="25"/>
  <c r="AL346" i="25"/>
  <c r="AK346" i="25"/>
  <c r="AJ346" i="25"/>
  <c r="AI346" i="25"/>
  <c r="AF346" i="25"/>
  <c r="AE346" i="25"/>
  <c r="AL345" i="25"/>
  <c r="AK345" i="25"/>
  <c r="AJ345" i="25"/>
  <c r="AI345" i="25"/>
  <c r="AF345" i="25"/>
  <c r="AE345" i="25"/>
  <c r="AE344" i="25"/>
  <c r="AE343" i="25"/>
  <c r="AL342" i="25"/>
  <c r="AK342" i="25"/>
  <c r="AJ342" i="25"/>
  <c r="AI342" i="25"/>
  <c r="AF342" i="25"/>
  <c r="AE342" i="25"/>
  <c r="AE341" i="25"/>
  <c r="AL340" i="25"/>
  <c r="AK340" i="25"/>
  <c r="AJ340" i="25"/>
  <c r="AI340" i="25"/>
  <c r="AF340" i="25"/>
  <c r="AE340" i="25"/>
  <c r="AL339" i="25"/>
  <c r="AK339" i="25"/>
  <c r="AJ339" i="25"/>
  <c r="AI339" i="25"/>
  <c r="AF339" i="25"/>
  <c r="AE339" i="25"/>
  <c r="AL338" i="25"/>
  <c r="AK338" i="25"/>
  <c r="AJ338" i="25"/>
  <c r="AI338" i="25"/>
  <c r="AF338" i="25"/>
  <c r="AE338" i="25"/>
  <c r="AL337" i="25"/>
  <c r="AK337" i="25"/>
  <c r="AJ337" i="25"/>
  <c r="AI337" i="25"/>
  <c r="AF337" i="25"/>
  <c r="AE337" i="25"/>
  <c r="AL336" i="25"/>
  <c r="AK336" i="25"/>
  <c r="AJ336" i="25"/>
  <c r="AI336" i="25"/>
  <c r="AF336" i="25"/>
  <c r="AE336" i="25"/>
  <c r="AL335" i="25"/>
  <c r="AK335" i="25"/>
  <c r="AJ335" i="25"/>
  <c r="AI335" i="25"/>
  <c r="AF335" i="25"/>
  <c r="AE335" i="25"/>
  <c r="AE334" i="25"/>
  <c r="AL333" i="25"/>
  <c r="AK333" i="25"/>
  <c r="AJ333" i="25"/>
  <c r="AI333" i="25"/>
  <c r="AF333" i="25"/>
  <c r="AE333" i="25"/>
  <c r="AL332" i="25"/>
  <c r="AK332" i="25"/>
  <c r="AJ332" i="25"/>
  <c r="AI332" i="25"/>
  <c r="AF332" i="25"/>
  <c r="AE332" i="25"/>
  <c r="AL331" i="25"/>
  <c r="AK331" i="25"/>
  <c r="AJ331" i="25"/>
  <c r="AI331" i="25"/>
  <c r="AF331" i="25"/>
  <c r="AE331" i="25"/>
  <c r="AE330" i="25"/>
  <c r="AL329" i="25"/>
  <c r="AK329" i="25"/>
  <c r="AJ329" i="25"/>
  <c r="AI329" i="25"/>
  <c r="AF329" i="25"/>
  <c r="AE329" i="25"/>
  <c r="AL328" i="25"/>
  <c r="AK328" i="25"/>
  <c r="AJ328" i="25"/>
  <c r="AI328" i="25"/>
  <c r="AF328" i="25"/>
  <c r="AE328" i="25"/>
  <c r="AL327" i="25"/>
  <c r="AK327" i="25"/>
  <c r="AJ327" i="25"/>
  <c r="AI327" i="25"/>
  <c r="AF327" i="25"/>
  <c r="AE327" i="25"/>
  <c r="AL326" i="25"/>
  <c r="AK326" i="25"/>
  <c r="AJ326" i="25"/>
  <c r="AI326" i="25"/>
  <c r="AF326" i="25"/>
  <c r="AE326" i="25"/>
  <c r="AE325" i="25"/>
  <c r="AL324" i="25"/>
  <c r="AK324" i="25"/>
  <c r="AJ324" i="25"/>
  <c r="AI324" i="25"/>
  <c r="AF324" i="25"/>
  <c r="AE324" i="25"/>
  <c r="AL323" i="25"/>
  <c r="AK323" i="25"/>
  <c r="AJ323" i="25"/>
  <c r="AI323" i="25"/>
  <c r="AF323" i="25"/>
  <c r="AE323" i="25"/>
  <c r="AL322" i="25"/>
  <c r="AK322" i="25"/>
  <c r="AJ322" i="25"/>
  <c r="AI322" i="25"/>
  <c r="AF322" i="25"/>
  <c r="AE322" i="25"/>
  <c r="AE321" i="25"/>
  <c r="AL320" i="25"/>
  <c r="AK320" i="25"/>
  <c r="AJ320" i="25"/>
  <c r="AI320" i="25"/>
  <c r="AF320" i="25"/>
  <c r="AE320" i="25"/>
  <c r="AL319" i="25"/>
  <c r="AK319" i="25"/>
  <c r="AJ319" i="25"/>
  <c r="AI319" i="25"/>
  <c r="AF319" i="25"/>
  <c r="AE319" i="25"/>
  <c r="AL318" i="25"/>
  <c r="AK318" i="25"/>
  <c r="AJ318" i="25"/>
  <c r="AI318" i="25"/>
  <c r="AF318" i="25"/>
  <c r="AE318" i="25"/>
  <c r="AL317" i="25"/>
  <c r="AK317" i="25"/>
  <c r="AJ317" i="25"/>
  <c r="AI317" i="25"/>
  <c r="AF317" i="25"/>
  <c r="AE317" i="25"/>
  <c r="AL316" i="25"/>
  <c r="AK316" i="25"/>
  <c r="AJ316" i="25"/>
  <c r="AI316" i="25"/>
  <c r="AF316" i="25"/>
  <c r="AE316" i="25"/>
  <c r="AL315" i="25"/>
  <c r="AK315" i="25"/>
  <c r="AJ315" i="25"/>
  <c r="AI315" i="25"/>
  <c r="AF315" i="25"/>
  <c r="AE315" i="25"/>
  <c r="AL314" i="25"/>
  <c r="AK314" i="25"/>
  <c r="AJ314" i="25"/>
  <c r="AI314" i="25"/>
  <c r="AF314" i="25"/>
  <c r="AE314" i="25"/>
  <c r="AE313" i="25"/>
  <c r="AL312" i="25"/>
  <c r="AK312" i="25"/>
  <c r="AJ312" i="25"/>
  <c r="AI312" i="25"/>
  <c r="AF312" i="25"/>
  <c r="AE312" i="25"/>
  <c r="AE311" i="25"/>
  <c r="AL310" i="25"/>
  <c r="AK310" i="25"/>
  <c r="AJ310" i="25"/>
  <c r="AI310" i="25"/>
  <c r="AF310" i="25"/>
  <c r="AE310" i="25"/>
  <c r="AL309" i="25"/>
  <c r="AK309" i="25"/>
  <c r="AJ309" i="25"/>
  <c r="AI309" i="25"/>
  <c r="AF309" i="25"/>
  <c r="AE309" i="25"/>
  <c r="AE308" i="25"/>
  <c r="AL307" i="25"/>
  <c r="AK307" i="25"/>
  <c r="AJ307" i="25"/>
  <c r="AI307" i="25"/>
  <c r="AF307" i="25"/>
  <c r="AE307" i="25"/>
  <c r="AL306" i="25"/>
  <c r="AK306" i="25"/>
  <c r="AJ306" i="25"/>
  <c r="AI306" i="25"/>
  <c r="AF306" i="25"/>
  <c r="AE306" i="25"/>
  <c r="AE305" i="25"/>
  <c r="AL304" i="25"/>
  <c r="AK304" i="25"/>
  <c r="AJ304" i="25"/>
  <c r="AI304" i="25"/>
  <c r="AF304" i="25"/>
  <c r="AE304" i="25"/>
  <c r="AL303" i="25"/>
  <c r="AK303" i="25"/>
  <c r="AJ303" i="25"/>
  <c r="AI303" i="25"/>
  <c r="AF303" i="25"/>
  <c r="AE303" i="25"/>
  <c r="AL302" i="25"/>
  <c r="AK302" i="25"/>
  <c r="AJ302" i="25"/>
  <c r="AI302" i="25"/>
  <c r="AF302" i="25"/>
  <c r="AE302" i="25"/>
  <c r="AL301" i="25"/>
  <c r="AK301" i="25"/>
  <c r="AJ301" i="25"/>
  <c r="AI301" i="25"/>
  <c r="AF301" i="25"/>
  <c r="AE301" i="25"/>
  <c r="AL300" i="25"/>
  <c r="AK300" i="25"/>
  <c r="AJ300" i="25"/>
  <c r="AI300" i="25"/>
  <c r="AF300" i="25"/>
  <c r="AE300" i="25"/>
  <c r="AL299" i="25"/>
  <c r="AK299" i="25"/>
  <c r="AJ299" i="25"/>
  <c r="AI299" i="25"/>
  <c r="AF299" i="25"/>
  <c r="AE299" i="25"/>
  <c r="AL298" i="25"/>
  <c r="AK298" i="25"/>
  <c r="AJ298" i="25"/>
  <c r="AI298" i="25"/>
  <c r="AF298" i="25"/>
  <c r="AE298" i="25"/>
  <c r="AL297" i="25"/>
  <c r="AK297" i="25"/>
  <c r="AJ297" i="25"/>
  <c r="AI297" i="25"/>
  <c r="AF297" i="25"/>
  <c r="AE297" i="25"/>
  <c r="AL296" i="25"/>
  <c r="AK296" i="25"/>
  <c r="AJ296" i="25"/>
  <c r="AI296" i="25"/>
  <c r="AF296" i="25"/>
  <c r="AE296" i="25"/>
  <c r="AE295" i="25"/>
  <c r="AL294" i="25"/>
  <c r="AK294" i="25"/>
  <c r="AJ294" i="25"/>
  <c r="AI294" i="25"/>
  <c r="AF294" i="25"/>
  <c r="AE294" i="25"/>
  <c r="AL293" i="25"/>
  <c r="AK293" i="25"/>
  <c r="AJ293" i="25"/>
  <c r="AI293" i="25"/>
  <c r="AF293" i="25"/>
  <c r="AE293" i="25"/>
  <c r="AE292" i="25"/>
  <c r="AL291" i="25"/>
  <c r="AK291" i="25"/>
  <c r="AJ291" i="25"/>
  <c r="AI291" i="25"/>
  <c r="AF291" i="25"/>
  <c r="AE291" i="25"/>
  <c r="AL290" i="25"/>
  <c r="AK290" i="25"/>
  <c r="AJ290" i="25"/>
  <c r="AI290" i="25"/>
  <c r="AF290" i="25"/>
  <c r="AE290" i="25"/>
  <c r="AL289" i="25"/>
  <c r="AK289" i="25"/>
  <c r="AJ289" i="25"/>
  <c r="AI289" i="25"/>
  <c r="AF289" i="25"/>
  <c r="AE289" i="25"/>
  <c r="AL288" i="25"/>
  <c r="AK288" i="25"/>
  <c r="AJ288" i="25"/>
  <c r="AI288" i="25"/>
  <c r="AF288" i="25"/>
  <c r="AE288" i="25"/>
  <c r="AL287" i="25"/>
  <c r="AK287" i="25"/>
  <c r="AJ287" i="25"/>
  <c r="AI287" i="25"/>
  <c r="AF287" i="25"/>
  <c r="AE287" i="25"/>
  <c r="AL286" i="25"/>
  <c r="AK286" i="25"/>
  <c r="AJ286" i="25"/>
  <c r="AI286" i="25"/>
  <c r="AF286" i="25"/>
  <c r="AE286" i="25"/>
  <c r="AE285" i="25"/>
  <c r="AL284" i="25"/>
  <c r="AK284" i="25"/>
  <c r="AJ284" i="25"/>
  <c r="AI284" i="25"/>
  <c r="AF284" i="25"/>
  <c r="AE284" i="25"/>
  <c r="AL283" i="25"/>
  <c r="AK283" i="25"/>
  <c r="AJ283" i="25"/>
  <c r="AI283" i="25"/>
  <c r="AF283" i="25"/>
  <c r="AE283" i="25"/>
  <c r="AL282" i="25"/>
  <c r="AK282" i="25"/>
  <c r="AJ282" i="25"/>
  <c r="AI282" i="25"/>
  <c r="AF282" i="25"/>
  <c r="AE282" i="25"/>
  <c r="AL281" i="25"/>
  <c r="AK281" i="25"/>
  <c r="AJ281" i="25"/>
  <c r="AI281" i="25"/>
  <c r="AF281" i="25"/>
  <c r="AE281" i="25"/>
  <c r="AE280" i="25"/>
  <c r="AL279" i="25"/>
  <c r="AK279" i="25"/>
  <c r="AJ279" i="25"/>
  <c r="AI279" i="25"/>
  <c r="AF279" i="25"/>
  <c r="AE279" i="25"/>
  <c r="AL278" i="25"/>
  <c r="AK278" i="25"/>
  <c r="AJ278" i="25"/>
  <c r="AI278" i="25"/>
  <c r="AF278" i="25"/>
  <c r="AE278" i="25"/>
  <c r="AL277" i="25"/>
  <c r="AK277" i="25"/>
  <c r="AJ277" i="25"/>
  <c r="AI277" i="25"/>
  <c r="AF277" i="25"/>
  <c r="AE277" i="25"/>
  <c r="AL276" i="25"/>
  <c r="AK276" i="25"/>
  <c r="AJ276" i="25"/>
  <c r="AI276" i="25"/>
  <c r="AF276" i="25"/>
  <c r="AE276" i="25"/>
  <c r="AE275" i="25"/>
  <c r="AE274" i="25"/>
  <c r="AE273" i="25"/>
  <c r="AL272" i="25"/>
  <c r="AK272" i="25"/>
  <c r="AJ272" i="25"/>
  <c r="AI272" i="25"/>
  <c r="AF272" i="25"/>
  <c r="AE272" i="25"/>
  <c r="AE271" i="25"/>
  <c r="AL270" i="25"/>
  <c r="AK270" i="25"/>
  <c r="AJ270" i="25"/>
  <c r="AI270" i="25"/>
  <c r="AF270" i="25"/>
  <c r="AE270" i="25"/>
  <c r="AE269" i="25"/>
  <c r="AL268" i="25"/>
  <c r="AK268" i="25"/>
  <c r="AJ268" i="25"/>
  <c r="AI268" i="25"/>
  <c r="AF268" i="25"/>
  <c r="AE268" i="25"/>
  <c r="AL267" i="25"/>
  <c r="AK267" i="25"/>
  <c r="AJ267" i="25"/>
  <c r="AI267" i="25"/>
  <c r="AF267" i="25"/>
  <c r="AE267" i="25"/>
  <c r="AL266" i="25"/>
  <c r="AK266" i="25"/>
  <c r="AJ266" i="25"/>
  <c r="AI266" i="25"/>
  <c r="AF266" i="25"/>
  <c r="AE266" i="25"/>
  <c r="AL265" i="25"/>
  <c r="AK265" i="25"/>
  <c r="AJ265" i="25"/>
  <c r="AI265" i="25"/>
  <c r="AF265" i="25"/>
  <c r="AE265" i="25"/>
  <c r="AL264" i="25"/>
  <c r="AK264" i="25"/>
  <c r="AJ264" i="25"/>
  <c r="AI264" i="25"/>
  <c r="AF264" i="25"/>
  <c r="AE264" i="25"/>
  <c r="AL263" i="25"/>
  <c r="AK263" i="25"/>
  <c r="AJ263" i="25"/>
  <c r="AI263" i="25"/>
  <c r="AF263" i="25"/>
  <c r="AE263" i="25"/>
  <c r="AL262" i="25"/>
  <c r="AK262" i="25"/>
  <c r="AJ262" i="25"/>
  <c r="AI262" i="25"/>
  <c r="AF262" i="25"/>
  <c r="AE262" i="25"/>
  <c r="AL261" i="25"/>
  <c r="AK261" i="25"/>
  <c r="AJ261" i="25"/>
  <c r="AI261" i="25"/>
  <c r="AF261" i="25"/>
  <c r="AE261" i="25"/>
  <c r="AL260" i="25"/>
  <c r="AK260" i="25"/>
  <c r="AJ260" i="25"/>
  <c r="AI260" i="25"/>
  <c r="AF260" i="25"/>
  <c r="AE260" i="25"/>
  <c r="AL259" i="25"/>
  <c r="AK259" i="25"/>
  <c r="AJ259" i="25"/>
  <c r="AI259" i="25"/>
  <c r="AF259" i="25"/>
  <c r="AE259" i="25"/>
  <c r="AL258" i="25"/>
  <c r="AK258" i="25"/>
  <c r="AJ258" i="25"/>
  <c r="AI258" i="25"/>
  <c r="AF258" i="25"/>
  <c r="AE258" i="25"/>
  <c r="AL257" i="25"/>
  <c r="AK257" i="25"/>
  <c r="AJ257" i="25"/>
  <c r="AI257" i="25"/>
  <c r="AF257" i="25"/>
  <c r="AE257" i="25"/>
  <c r="AL256" i="25"/>
  <c r="AK256" i="25"/>
  <c r="AJ256" i="25"/>
  <c r="AI256" i="25"/>
  <c r="AF256" i="25"/>
  <c r="AE256" i="25"/>
  <c r="AL255" i="25"/>
  <c r="AK255" i="25"/>
  <c r="AJ255" i="25"/>
  <c r="AI255" i="25"/>
  <c r="AF255" i="25"/>
  <c r="AE255" i="25"/>
  <c r="AL254" i="25"/>
  <c r="AK254" i="25"/>
  <c r="AJ254" i="25"/>
  <c r="AI254" i="25"/>
  <c r="AF254" i="25"/>
  <c r="AE254" i="25"/>
  <c r="AL253" i="25"/>
  <c r="AK253" i="25"/>
  <c r="AJ253" i="25"/>
  <c r="AI253" i="25"/>
  <c r="AF253" i="25"/>
  <c r="AE253" i="25"/>
  <c r="AL252" i="25"/>
  <c r="AK252" i="25"/>
  <c r="AJ252" i="25"/>
  <c r="AI252" i="25"/>
  <c r="AF252" i="25"/>
  <c r="AE252" i="25"/>
  <c r="AL251" i="25"/>
  <c r="AK251" i="25"/>
  <c r="AJ251" i="25"/>
  <c r="AI251" i="25"/>
  <c r="AF251" i="25"/>
  <c r="AE251" i="25"/>
  <c r="AL250" i="25"/>
  <c r="AK250" i="25"/>
  <c r="AJ250" i="25"/>
  <c r="AI250" i="25"/>
  <c r="AF250" i="25"/>
  <c r="AE250" i="25"/>
  <c r="AL249" i="25"/>
  <c r="AK249" i="25"/>
  <c r="AJ249" i="25"/>
  <c r="AI249" i="25"/>
  <c r="AF249" i="25"/>
  <c r="AE249" i="25"/>
  <c r="AL248" i="25"/>
  <c r="AK248" i="25"/>
  <c r="AJ248" i="25"/>
  <c r="AI248" i="25"/>
  <c r="AF248" i="25"/>
  <c r="AE248" i="25"/>
  <c r="AL247" i="25"/>
  <c r="AK247" i="25"/>
  <c r="AJ247" i="25"/>
  <c r="AI247" i="25"/>
  <c r="AF247" i="25"/>
  <c r="AE247" i="25"/>
  <c r="AL246" i="25"/>
  <c r="AK246" i="25"/>
  <c r="AJ246" i="25"/>
  <c r="AI246" i="25"/>
  <c r="AF246" i="25"/>
  <c r="AE246" i="25"/>
  <c r="AL245" i="25"/>
  <c r="AK245" i="25"/>
  <c r="AJ245" i="25"/>
  <c r="AI245" i="25"/>
  <c r="AF245" i="25"/>
  <c r="AE245" i="25"/>
  <c r="AL244" i="25"/>
  <c r="AK244" i="25"/>
  <c r="AJ244" i="25"/>
  <c r="AI244" i="25"/>
  <c r="AF244" i="25"/>
  <c r="AE244" i="25"/>
  <c r="AL243" i="25"/>
  <c r="AK243" i="25"/>
  <c r="AJ243" i="25"/>
  <c r="AI243" i="25"/>
  <c r="AF243" i="25"/>
  <c r="AE243" i="25"/>
  <c r="AL242" i="25"/>
  <c r="AK242" i="25"/>
  <c r="AJ242" i="25"/>
  <c r="AI242" i="25"/>
  <c r="AF242" i="25"/>
  <c r="AE242" i="25"/>
  <c r="AL241" i="25"/>
  <c r="AK241" i="25"/>
  <c r="AJ241" i="25"/>
  <c r="AI241" i="25"/>
  <c r="AF241" i="25"/>
  <c r="AE241" i="25"/>
  <c r="AL240" i="25"/>
  <c r="AK240" i="25"/>
  <c r="AJ240" i="25"/>
  <c r="AI240" i="25"/>
  <c r="AF240" i="25"/>
  <c r="AE240" i="25"/>
  <c r="AL239" i="25"/>
  <c r="AK239" i="25"/>
  <c r="AJ239" i="25"/>
  <c r="AI239" i="25"/>
  <c r="AF239" i="25"/>
  <c r="AE239" i="25"/>
  <c r="AL238" i="25"/>
  <c r="AK238" i="25"/>
  <c r="AJ238" i="25"/>
  <c r="AI238" i="25"/>
  <c r="AF238" i="25"/>
  <c r="AE238" i="25"/>
  <c r="AL237" i="25"/>
  <c r="AK237" i="25"/>
  <c r="AJ237" i="25"/>
  <c r="AI237" i="25"/>
  <c r="AF237" i="25"/>
  <c r="AE237" i="25"/>
  <c r="AL236" i="25"/>
  <c r="AK236" i="25"/>
  <c r="AJ236" i="25"/>
  <c r="AI236" i="25"/>
  <c r="AF236" i="25"/>
  <c r="AE236" i="25"/>
  <c r="AL235" i="25"/>
  <c r="AK235" i="25"/>
  <c r="AJ235" i="25"/>
  <c r="AI235" i="25"/>
  <c r="AF235" i="25"/>
  <c r="AE235" i="25"/>
  <c r="AL234" i="25"/>
  <c r="AK234" i="25"/>
  <c r="AJ234" i="25"/>
  <c r="AI234" i="25"/>
  <c r="AF234" i="25"/>
  <c r="AE234" i="25"/>
  <c r="AL233" i="25"/>
  <c r="AK233" i="25"/>
  <c r="AJ233" i="25"/>
  <c r="AI233" i="25"/>
  <c r="AF233" i="25"/>
  <c r="AE233" i="25"/>
  <c r="AL232" i="25"/>
  <c r="AK232" i="25"/>
  <c r="AJ232" i="25"/>
  <c r="AI232" i="25"/>
  <c r="AF232" i="25"/>
  <c r="AE232" i="25"/>
  <c r="AE231" i="25"/>
  <c r="AL230" i="25"/>
  <c r="AK230" i="25"/>
  <c r="AJ230" i="25"/>
  <c r="AI230" i="25"/>
  <c r="AF230" i="25"/>
  <c r="AE230" i="25"/>
  <c r="AL229" i="25"/>
  <c r="AK229" i="25"/>
  <c r="AJ229" i="25"/>
  <c r="AI229" i="25"/>
  <c r="AF229" i="25"/>
  <c r="AE229" i="25"/>
  <c r="AL228" i="25"/>
  <c r="AK228" i="25"/>
  <c r="AJ228" i="25"/>
  <c r="AI228" i="25"/>
  <c r="AF228" i="25"/>
  <c r="AE228" i="25"/>
  <c r="AL227" i="25"/>
  <c r="AK227" i="25"/>
  <c r="AJ227" i="25"/>
  <c r="AI227" i="25"/>
  <c r="AF227" i="25"/>
  <c r="AE227" i="25"/>
  <c r="AE226" i="25"/>
  <c r="AL225" i="25"/>
  <c r="AK225" i="25"/>
  <c r="AJ225" i="25"/>
  <c r="AI225" i="25"/>
  <c r="AF225" i="25"/>
  <c r="AE225" i="25"/>
  <c r="AL224" i="25"/>
  <c r="AK224" i="25"/>
  <c r="AJ224" i="25"/>
  <c r="AI224" i="25"/>
  <c r="AF224" i="25"/>
  <c r="AE224" i="25"/>
  <c r="AL223" i="25"/>
  <c r="AK223" i="25"/>
  <c r="AJ223" i="25"/>
  <c r="AI223" i="25"/>
  <c r="AF223" i="25"/>
  <c r="AE223" i="25"/>
  <c r="AE222" i="25"/>
  <c r="AL221" i="25"/>
  <c r="AK221" i="25"/>
  <c r="AJ221" i="25"/>
  <c r="AI221" i="25"/>
  <c r="AF221" i="25"/>
  <c r="AE221" i="25"/>
  <c r="AL220" i="25"/>
  <c r="AK220" i="25"/>
  <c r="AJ220" i="25"/>
  <c r="AI220" i="25"/>
  <c r="AF220" i="25"/>
  <c r="AE220" i="25"/>
  <c r="AL219" i="25"/>
  <c r="AK219" i="25"/>
  <c r="AJ219" i="25"/>
  <c r="AI219" i="25"/>
  <c r="AF219" i="25"/>
  <c r="AE219" i="25"/>
  <c r="AL218" i="25"/>
  <c r="AK218" i="25"/>
  <c r="AJ218" i="25"/>
  <c r="AI218" i="25"/>
  <c r="AF218" i="25"/>
  <c r="AE218" i="25"/>
  <c r="AL217" i="25"/>
  <c r="AK217" i="25"/>
  <c r="AJ217" i="25"/>
  <c r="AI217" i="25"/>
  <c r="AF217" i="25"/>
  <c r="AE217" i="25"/>
  <c r="AL216" i="25"/>
  <c r="AK216" i="25"/>
  <c r="AJ216" i="25"/>
  <c r="AI216" i="25"/>
  <c r="AF216" i="25"/>
  <c r="AE216" i="25"/>
  <c r="AL215" i="25"/>
  <c r="AK215" i="25"/>
  <c r="AJ215" i="25"/>
  <c r="AI215" i="25"/>
  <c r="AF215" i="25"/>
  <c r="AE215" i="25"/>
  <c r="AL214" i="25"/>
  <c r="AK214" i="25"/>
  <c r="AJ214" i="25"/>
  <c r="AI214" i="25"/>
  <c r="AF214" i="25"/>
  <c r="AE214" i="25"/>
  <c r="AE213" i="25"/>
  <c r="AL212" i="25"/>
  <c r="AK212" i="25"/>
  <c r="AJ212" i="25"/>
  <c r="AI212" i="25"/>
  <c r="AF212" i="25"/>
  <c r="AE212" i="25"/>
  <c r="AE211" i="25"/>
  <c r="AL210" i="25"/>
  <c r="AK210" i="25"/>
  <c r="AJ210" i="25"/>
  <c r="AI210" i="25"/>
  <c r="AF210" i="25"/>
  <c r="AE210" i="25"/>
  <c r="AE209" i="25"/>
  <c r="AL208" i="25"/>
  <c r="AK208" i="25"/>
  <c r="AJ208" i="25"/>
  <c r="AI208" i="25"/>
  <c r="AF208" i="25"/>
  <c r="AE208" i="25"/>
  <c r="AL207" i="25"/>
  <c r="AK207" i="25"/>
  <c r="AJ207" i="25"/>
  <c r="AI207" i="25"/>
  <c r="AF207" i="25"/>
  <c r="AE207" i="25"/>
  <c r="AL206" i="25"/>
  <c r="AK206" i="25"/>
  <c r="AJ206" i="25"/>
  <c r="AI206" i="25"/>
  <c r="AF206" i="25"/>
  <c r="AE206" i="25"/>
  <c r="AL205" i="25"/>
  <c r="AK205" i="25"/>
  <c r="AJ205" i="25"/>
  <c r="AI205" i="25"/>
  <c r="AF205" i="25"/>
  <c r="AE205" i="25"/>
  <c r="AL204" i="25"/>
  <c r="AK204" i="25"/>
  <c r="AJ204" i="25"/>
  <c r="AI204" i="25"/>
  <c r="AF204" i="25"/>
  <c r="AE204" i="25"/>
  <c r="AL203" i="25"/>
  <c r="AK203" i="25"/>
  <c r="AJ203" i="25"/>
  <c r="AI203" i="25"/>
  <c r="AF203" i="25"/>
  <c r="AE203" i="25"/>
  <c r="AL202" i="25"/>
  <c r="AK202" i="25"/>
  <c r="AJ202" i="25"/>
  <c r="AI202" i="25"/>
  <c r="AF202" i="25"/>
  <c r="AE202" i="25"/>
  <c r="AL201" i="25"/>
  <c r="AK201" i="25"/>
  <c r="AJ201" i="25"/>
  <c r="AI201" i="25"/>
  <c r="AF201" i="25"/>
  <c r="AE201" i="25"/>
  <c r="AL200" i="25"/>
  <c r="AK200" i="25"/>
  <c r="AJ200" i="25"/>
  <c r="AI200" i="25"/>
  <c r="AF200" i="25"/>
  <c r="AE200" i="25"/>
  <c r="AL199" i="25"/>
  <c r="AK199" i="25"/>
  <c r="AJ199" i="25"/>
  <c r="AI199" i="25"/>
  <c r="AF199" i="25"/>
  <c r="AE199" i="25"/>
  <c r="AL198" i="25"/>
  <c r="AK198" i="25"/>
  <c r="AJ198" i="25"/>
  <c r="AI198" i="25"/>
  <c r="AF198" i="25"/>
  <c r="AE198" i="25"/>
  <c r="AL197" i="25"/>
  <c r="AK197" i="25"/>
  <c r="AJ197" i="25"/>
  <c r="AI197" i="25"/>
  <c r="AF197" i="25"/>
  <c r="AE197" i="25"/>
  <c r="AE196" i="25"/>
  <c r="AL195" i="25"/>
  <c r="AK195" i="25"/>
  <c r="AJ195" i="25"/>
  <c r="AI195" i="25"/>
  <c r="AF195" i="25"/>
  <c r="AE195" i="25"/>
  <c r="AL194" i="25"/>
  <c r="AK194" i="25"/>
  <c r="AJ194" i="25"/>
  <c r="AI194" i="25"/>
  <c r="AF194" i="25"/>
  <c r="AE194" i="25"/>
  <c r="AE193" i="25"/>
  <c r="AL192" i="25"/>
  <c r="AK192" i="25"/>
  <c r="AJ192" i="25"/>
  <c r="AI192" i="25"/>
  <c r="AF192" i="25"/>
  <c r="AE192" i="25"/>
  <c r="AL191" i="25"/>
  <c r="AK191" i="25"/>
  <c r="AJ191" i="25"/>
  <c r="AI191" i="25"/>
  <c r="AF191" i="25"/>
  <c r="AE191" i="25"/>
  <c r="AE190" i="25"/>
  <c r="AL189" i="25"/>
  <c r="AK189" i="25"/>
  <c r="AJ189" i="25"/>
  <c r="AI189" i="25"/>
  <c r="AF189" i="25"/>
  <c r="AE189" i="25"/>
  <c r="AL188" i="25"/>
  <c r="AK188" i="25"/>
  <c r="AJ188" i="25"/>
  <c r="AI188" i="25"/>
  <c r="AF188" i="25"/>
  <c r="AE188" i="25"/>
  <c r="AL187" i="25"/>
  <c r="AK187" i="25"/>
  <c r="AJ187" i="25"/>
  <c r="AI187" i="25"/>
  <c r="AF187" i="25"/>
  <c r="AE187" i="25"/>
  <c r="AE186" i="25"/>
  <c r="AL185" i="25"/>
  <c r="AK185" i="25"/>
  <c r="AJ185" i="25"/>
  <c r="AI185" i="25"/>
  <c r="AF185" i="25"/>
  <c r="AE185" i="25"/>
  <c r="AL184" i="25"/>
  <c r="AK184" i="25"/>
  <c r="AJ184" i="25"/>
  <c r="AI184" i="25"/>
  <c r="AF184" i="25"/>
  <c r="AE184" i="25"/>
  <c r="AL183" i="25"/>
  <c r="AK183" i="25"/>
  <c r="AJ183" i="25"/>
  <c r="AI183" i="25"/>
  <c r="AF183" i="25"/>
  <c r="AE183" i="25"/>
  <c r="AL182" i="25"/>
  <c r="AK182" i="25"/>
  <c r="AJ182" i="25"/>
  <c r="AI182" i="25"/>
  <c r="AF182" i="25"/>
  <c r="AE182" i="25"/>
  <c r="AL181" i="25"/>
  <c r="AK181" i="25"/>
  <c r="AJ181" i="25"/>
  <c r="AI181" i="25"/>
  <c r="AF181" i="25"/>
  <c r="AE181" i="25"/>
  <c r="AL180" i="25"/>
  <c r="AK180" i="25"/>
  <c r="AJ180" i="25"/>
  <c r="AI180" i="25"/>
  <c r="AF180" i="25"/>
  <c r="AE180" i="25"/>
  <c r="AL179" i="25"/>
  <c r="AK179" i="25"/>
  <c r="AJ179" i="25"/>
  <c r="AI179" i="25"/>
  <c r="AF179" i="25"/>
  <c r="AE179" i="25"/>
  <c r="AL178" i="25"/>
  <c r="AK178" i="25"/>
  <c r="AJ178" i="25"/>
  <c r="AI178" i="25"/>
  <c r="AF178" i="25"/>
  <c r="AE178" i="25"/>
  <c r="AL177" i="25"/>
  <c r="AK177" i="25"/>
  <c r="AJ177" i="25"/>
  <c r="AI177" i="25"/>
  <c r="AF177" i="25"/>
  <c r="AE177" i="25"/>
  <c r="AL176" i="25"/>
  <c r="AK176" i="25"/>
  <c r="AJ176" i="25"/>
  <c r="AI176" i="25"/>
  <c r="AF176" i="25"/>
  <c r="AE176" i="25"/>
  <c r="AL175" i="25"/>
  <c r="AK175" i="25"/>
  <c r="AJ175" i="25"/>
  <c r="AI175" i="25"/>
  <c r="AF175" i="25"/>
  <c r="AE175" i="25"/>
  <c r="AE174" i="25"/>
  <c r="AE173" i="25"/>
  <c r="AL172" i="25"/>
  <c r="AK172" i="25"/>
  <c r="AJ172" i="25"/>
  <c r="AI172" i="25"/>
  <c r="AF172" i="25"/>
  <c r="AE172" i="25"/>
  <c r="AE171" i="25"/>
  <c r="AE170" i="25"/>
  <c r="AL169" i="25"/>
  <c r="AK169" i="25"/>
  <c r="AJ169" i="25"/>
  <c r="AI169" i="25"/>
  <c r="AF169" i="25"/>
  <c r="AE169" i="25"/>
  <c r="AE168" i="25"/>
  <c r="AL167" i="25"/>
  <c r="AK167" i="25"/>
  <c r="AJ167" i="25"/>
  <c r="AI167" i="25"/>
  <c r="AF167" i="25"/>
  <c r="AE167" i="25"/>
  <c r="AE166" i="25"/>
  <c r="AE165" i="25"/>
  <c r="AE164" i="25"/>
  <c r="AE163" i="25"/>
  <c r="AL162" i="25"/>
  <c r="AK162" i="25"/>
  <c r="AJ162" i="25"/>
  <c r="AI162" i="25"/>
  <c r="AF162" i="25"/>
  <c r="AE162" i="25"/>
  <c r="AL161" i="25"/>
  <c r="AK161" i="25"/>
  <c r="AJ161" i="25"/>
  <c r="AI161" i="25"/>
  <c r="AF161" i="25"/>
  <c r="AE161" i="25"/>
  <c r="AE160" i="25"/>
  <c r="AE159" i="25"/>
  <c r="AE158" i="25"/>
  <c r="AE157" i="25"/>
  <c r="AL156" i="25"/>
  <c r="AK156" i="25"/>
  <c r="AJ156" i="25"/>
  <c r="AI156" i="25"/>
  <c r="AF156" i="25"/>
  <c r="AE156" i="25"/>
  <c r="AL155" i="25"/>
  <c r="AK155" i="25"/>
  <c r="AJ155" i="25"/>
  <c r="AI155" i="25"/>
  <c r="AF155" i="25"/>
  <c r="AE155" i="25"/>
  <c r="AE154" i="25"/>
  <c r="AE153" i="25"/>
  <c r="AE152" i="25"/>
  <c r="AE151" i="25"/>
  <c r="AL150" i="25"/>
  <c r="AK150" i="25"/>
  <c r="AJ150" i="25"/>
  <c r="AI150" i="25"/>
  <c r="AF150" i="25"/>
  <c r="AE150" i="25"/>
  <c r="AL149" i="25"/>
  <c r="AK149" i="25"/>
  <c r="AJ149" i="25"/>
  <c r="AI149" i="25"/>
  <c r="AF149" i="25"/>
  <c r="AE149" i="25"/>
  <c r="AL148" i="25"/>
  <c r="AK148" i="25"/>
  <c r="AJ148" i="25"/>
  <c r="AI148" i="25"/>
  <c r="AF148" i="25"/>
  <c r="AE148" i="25"/>
  <c r="AL147" i="25"/>
  <c r="AK147" i="25"/>
  <c r="AJ147" i="25"/>
  <c r="AI147" i="25"/>
  <c r="AF147" i="25"/>
  <c r="AE147" i="25"/>
  <c r="AE146" i="25"/>
  <c r="AL145" i="25"/>
  <c r="AK145" i="25"/>
  <c r="AJ145" i="25"/>
  <c r="AI145" i="25"/>
  <c r="AF145" i="25"/>
  <c r="AE145" i="25"/>
  <c r="AL144" i="25"/>
  <c r="AK144" i="25"/>
  <c r="AJ144" i="25"/>
  <c r="AI144" i="25"/>
  <c r="AF144" i="25"/>
  <c r="AE144" i="25"/>
  <c r="AL143" i="25"/>
  <c r="AK143" i="25"/>
  <c r="AJ143" i="25"/>
  <c r="AI143" i="25"/>
  <c r="AF143" i="25"/>
  <c r="AE143" i="25"/>
  <c r="AL142" i="25"/>
  <c r="AK142" i="25"/>
  <c r="AJ142" i="25"/>
  <c r="AI142" i="25"/>
  <c r="AF142" i="25"/>
  <c r="AE142" i="25"/>
  <c r="AL141" i="25"/>
  <c r="AK141" i="25"/>
  <c r="AJ141" i="25"/>
  <c r="AI141" i="25"/>
  <c r="AF141" i="25"/>
  <c r="AE141" i="25"/>
  <c r="AL140" i="25"/>
  <c r="AK140" i="25"/>
  <c r="AJ140" i="25"/>
  <c r="AI140" i="25"/>
  <c r="AF140" i="25"/>
  <c r="AE140" i="25"/>
  <c r="AL139" i="25"/>
  <c r="AK139" i="25"/>
  <c r="AJ139" i="25"/>
  <c r="AI139" i="25"/>
  <c r="AF139" i="25"/>
  <c r="AE139" i="25"/>
  <c r="AL138" i="25"/>
  <c r="AK138" i="25"/>
  <c r="AJ138" i="25"/>
  <c r="AI138" i="25"/>
  <c r="AF138" i="25"/>
  <c r="AE138" i="25"/>
  <c r="AL137" i="25"/>
  <c r="AK137" i="25"/>
  <c r="AJ137" i="25"/>
  <c r="AI137" i="25"/>
  <c r="AF137" i="25"/>
  <c r="AE137" i="25"/>
  <c r="AL136" i="25"/>
  <c r="AK136" i="25"/>
  <c r="AJ136" i="25"/>
  <c r="AI136" i="25"/>
  <c r="AF136" i="25"/>
  <c r="AE136" i="25"/>
  <c r="AL135" i="25"/>
  <c r="AK135" i="25"/>
  <c r="AJ135" i="25"/>
  <c r="AI135" i="25"/>
  <c r="AF135" i="25"/>
  <c r="AE135" i="25"/>
  <c r="AL134" i="25"/>
  <c r="AK134" i="25"/>
  <c r="AJ134" i="25"/>
  <c r="AI134" i="25"/>
  <c r="AF134" i="25"/>
  <c r="AE134" i="25"/>
  <c r="AL133" i="25"/>
  <c r="AK133" i="25"/>
  <c r="AJ133" i="25"/>
  <c r="AI133" i="25"/>
  <c r="AF133" i="25"/>
  <c r="AE133" i="25"/>
  <c r="AL132" i="25"/>
  <c r="AK132" i="25"/>
  <c r="AJ132" i="25"/>
  <c r="AI132" i="25"/>
  <c r="AF132" i="25"/>
  <c r="AE132" i="25"/>
  <c r="AL131" i="25"/>
  <c r="AK131" i="25"/>
  <c r="AJ131" i="25"/>
  <c r="AI131" i="25"/>
  <c r="AF131" i="25"/>
  <c r="AE131" i="25"/>
  <c r="AL130" i="25"/>
  <c r="AK130" i="25"/>
  <c r="AJ130" i="25"/>
  <c r="AI130" i="25"/>
  <c r="AF130" i="25"/>
  <c r="AE130" i="25"/>
  <c r="AL129" i="25"/>
  <c r="AK129" i="25"/>
  <c r="AJ129" i="25"/>
  <c r="AI129" i="25"/>
  <c r="AF129" i="25"/>
  <c r="AE129" i="25"/>
  <c r="AL128" i="25"/>
  <c r="AK128" i="25"/>
  <c r="AJ128" i="25"/>
  <c r="AI128" i="25"/>
  <c r="AF128" i="25"/>
  <c r="AE128" i="25"/>
  <c r="AL127" i="25"/>
  <c r="AK127" i="25"/>
  <c r="AJ127" i="25"/>
  <c r="AI127" i="25"/>
  <c r="AF127" i="25"/>
  <c r="AE127" i="25"/>
  <c r="AL126" i="25"/>
  <c r="AK126" i="25"/>
  <c r="AJ126" i="25"/>
  <c r="AI126" i="25"/>
  <c r="AF126" i="25"/>
  <c r="AE126" i="25"/>
  <c r="AL125" i="25"/>
  <c r="AK125" i="25"/>
  <c r="AJ125" i="25"/>
  <c r="AI125" i="25"/>
  <c r="AF125" i="25"/>
  <c r="AE125" i="25"/>
  <c r="AL124" i="25"/>
  <c r="AK124" i="25"/>
  <c r="AJ124" i="25"/>
  <c r="AI124" i="25"/>
  <c r="AF124" i="25"/>
  <c r="AE124" i="25"/>
  <c r="AL123" i="25"/>
  <c r="AK123" i="25"/>
  <c r="AJ123" i="25"/>
  <c r="AI123" i="25"/>
  <c r="AF123" i="25"/>
  <c r="AE123" i="25"/>
  <c r="AE122" i="25"/>
  <c r="AE121" i="25"/>
  <c r="AE120" i="25"/>
  <c r="AE119" i="25"/>
  <c r="AE118" i="25"/>
  <c r="AE117" i="25"/>
  <c r="AL116" i="25"/>
  <c r="AK116" i="25"/>
  <c r="AJ116" i="25"/>
  <c r="AI116" i="25"/>
  <c r="AF116" i="25"/>
  <c r="AE116" i="25"/>
  <c r="AL115" i="25"/>
  <c r="AK115" i="25"/>
  <c r="AJ115" i="25"/>
  <c r="AI115" i="25"/>
  <c r="AF115" i="25"/>
  <c r="AE115" i="25"/>
  <c r="AL114" i="25"/>
  <c r="AK114" i="25"/>
  <c r="AJ114" i="25"/>
  <c r="AI114" i="25"/>
  <c r="AF114" i="25"/>
  <c r="AE114" i="25"/>
  <c r="AL113" i="25"/>
  <c r="AK113" i="25"/>
  <c r="AJ113" i="25"/>
  <c r="AI113" i="25"/>
  <c r="AF113" i="25"/>
  <c r="AE113" i="25"/>
  <c r="AL112" i="25"/>
  <c r="AK112" i="25"/>
  <c r="AJ112" i="25"/>
  <c r="AI112" i="25"/>
  <c r="AF112" i="25"/>
  <c r="AE112" i="25"/>
  <c r="AL111" i="25"/>
  <c r="AK111" i="25"/>
  <c r="AJ111" i="25"/>
  <c r="AI111" i="25"/>
  <c r="AF111" i="25"/>
  <c r="AE111" i="25"/>
  <c r="AL110" i="25"/>
  <c r="AK110" i="25"/>
  <c r="AJ110" i="25"/>
  <c r="AI110" i="25"/>
  <c r="AF110" i="25"/>
  <c r="AE110" i="25"/>
  <c r="AL109" i="25"/>
  <c r="AK109" i="25"/>
  <c r="AJ109" i="25"/>
  <c r="AI109" i="25"/>
  <c r="AF109" i="25"/>
  <c r="AE109" i="25"/>
  <c r="AE108" i="25"/>
  <c r="AE107" i="25"/>
  <c r="AE106" i="25"/>
  <c r="AL105" i="25"/>
  <c r="AK105" i="25"/>
  <c r="AJ105" i="25"/>
  <c r="AI105" i="25"/>
  <c r="AF105" i="25"/>
  <c r="AE105" i="25"/>
  <c r="AL104" i="25"/>
  <c r="AK104" i="25"/>
  <c r="AJ104" i="25"/>
  <c r="AI104" i="25"/>
  <c r="AF104" i="25"/>
  <c r="AE104" i="25"/>
  <c r="AL103" i="25"/>
  <c r="AK103" i="25"/>
  <c r="AJ103" i="25"/>
  <c r="AI103" i="25"/>
  <c r="AF103" i="25"/>
  <c r="AE103" i="25"/>
  <c r="AL102" i="25"/>
  <c r="AK102" i="25"/>
  <c r="AJ102" i="25"/>
  <c r="AI102" i="25"/>
  <c r="AF102" i="25"/>
  <c r="AE102" i="25"/>
  <c r="AL101" i="25"/>
  <c r="AK101" i="25"/>
  <c r="AJ101" i="25"/>
  <c r="AI101" i="25"/>
  <c r="AF101" i="25"/>
  <c r="AE101" i="25"/>
  <c r="AL100" i="25"/>
  <c r="AK100" i="25"/>
  <c r="AJ100" i="25"/>
  <c r="AI100" i="25"/>
  <c r="AF100" i="25"/>
  <c r="AE100" i="25"/>
  <c r="AL99" i="25"/>
  <c r="AK99" i="25"/>
  <c r="AJ99" i="25"/>
  <c r="AI99" i="25"/>
  <c r="AF99" i="25"/>
  <c r="AE99" i="25"/>
  <c r="AL98" i="25"/>
  <c r="AK98" i="25"/>
  <c r="AJ98" i="25"/>
  <c r="AI98" i="25"/>
  <c r="AF98" i="25"/>
  <c r="AE98" i="25"/>
  <c r="AL97" i="25"/>
  <c r="AK97" i="25"/>
  <c r="AJ97" i="25"/>
  <c r="AI97" i="25"/>
  <c r="AF97" i="25"/>
  <c r="AE97" i="25"/>
  <c r="AL96" i="25"/>
  <c r="AK96" i="25"/>
  <c r="AJ96" i="25"/>
  <c r="AI96" i="25"/>
  <c r="AF96" i="25"/>
  <c r="AE96" i="25"/>
  <c r="AL95" i="25"/>
  <c r="AK95" i="25"/>
  <c r="AJ95" i="25"/>
  <c r="AI95" i="25"/>
  <c r="AF95" i="25"/>
  <c r="AE95" i="25"/>
  <c r="AL94" i="25"/>
  <c r="AK94" i="25"/>
  <c r="AJ94" i="25"/>
  <c r="AI94" i="25"/>
  <c r="AF94" i="25"/>
  <c r="AE94" i="25"/>
  <c r="AE93" i="25"/>
  <c r="AL92" i="25"/>
  <c r="AK92" i="25"/>
  <c r="AJ92" i="25"/>
  <c r="AI92" i="25"/>
  <c r="AF92" i="25"/>
  <c r="AE92" i="25"/>
  <c r="AE91" i="25"/>
  <c r="AL90" i="25"/>
  <c r="AK90" i="25"/>
  <c r="AJ90" i="25"/>
  <c r="AI90" i="25"/>
  <c r="AF90" i="25"/>
  <c r="AE90" i="25"/>
  <c r="AL89" i="25"/>
  <c r="AK89" i="25"/>
  <c r="AJ89" i="25"/>
  <c r="AI89" i="25"/>
  <c r="AF89" i="25"/>
  <c r="AE89" i="25"/>
  <c r="AL88" i="25"/>
  <c r="AK88" i="25"/>
  <c r="AJ88" i="25"/>
  <c r="AI88" i="25"/>
  <c r="AF88" i="25"/>
  <c r="AE88" i="25"/>
  <c r="AE87" i="25"/>
  <c r="AL86" i="25"/>
  <c r="AK86" i="25"/>
  <c r="AJ86" i="25"/>
  <c r="AI86" i="25"/>
  <c r="AF86" i="25"/>
  <c r="AE86" i="25"/>
  <c r="AE85" i="25"/>
  <c r="AL84" i="25"/>
  <c r="AK84" i="25"/>
  <c r="AJ84" i="25"/>
  <c r="AI84" i="25"/>
  <c r="AF84" i="25"/>
  <c r="AE84" i="25"/>
  <c r="AL83" i="25"/>
  <c r="AK83" i="25"/>
  <c r="AJ83" i="25"/>
  <c r="AI83" i="25"/>
  <c r="AF83" i="25"/>
  <c r="AE83" i="25"/>
  <c r="AL82" i="25"/>
  <c r="AK82" i="25"/>
  <c r="AJ82" i="25"/>
  <c r="AI82" i="25"/>
  <c r="AF82" i="25"/>
  <c r="AE82" i="25"/>
  <c r="AL81" i="25"/>
  <c r="AK81" i="25"/>
  <c r="AJ81" i="25"/>
  <c r="AI81" i="25"/>
  <c r="AF81" i="25"/>
  <c r="AE81" i="25"/>
  <c r="AL80" i="25"/>
  <c r="AK80" i="25"/>
  <c r="AJ80" i="25"/>
  <c r="AI80" i="25"/>
  <c r="AF80" i="25"/>
  <c r="AE80" i="25"/>
  <c r="AE79" i="25"/>
  <c r="AE78" i="25"/>
  <c r="AL77" i="25"/>
  <c r="AK77" i="25"/>
  <c r="AJ77" i="25"/>
  <c r="AI77" i="25"/>
  <c r="AF77" i="25"/>
  <c r="AE77" i="25"/>
  <c r="AL76" i="25"/>
  <c r="AK76" i="25"/>
  <c r="AJ76" i="25"/>
  <c r="AI76" i="25"/>
  <c r="AF76" i="25"/>
  <c r="AE76" i="25"/>
  <c r="AE75" i="25"/>
  <c r="AE74" i="25"/>
  <c r="AE73" i="25"/>
  <c r="AL72" i="25"/>
  <c r="AK72" i="25"/>
  <c r="AJ72" i="25"/>
  <c r="AI72" i="25"/>
  <c r="AF72" i="25"/>
  <c r="AE72" i="25"/>
  <c r="AL71" i="25"/>
  <c r="AK71" i="25"/>
  <c r="AJ71" i="25"/>
  <c r="AI71" i="25"/>
  <c r="AF71" i="25"/>
  <c r="AE71" i="25"/>
  <c r="AL70" i="25"/>
  <c r="AK70" i="25"/>
  <c r="AJ70" i="25"/>
  <c r="AI70" i="25"/>
  <c r="AF70" i="25"/>
  <c r="AE70" i="25"/>
  <c r="AL69" i="25"/>
  <c r="AK69" i="25"/>
  <c r="AJ69" i="25"/>
  <c r="AI69" i="25"/>
  <c r="AF69" i="25"/>
  <c r="AE69" i="25"/>
  <c r="AL68" i="25"/>
  <c r="AK68" i="25"/>
  <c r="AJ68" i="25"/>
  <c r="AI68" i="25"/>
  <c r="AF68" i="25"/>
  <c r="AE68" i="25"/>
  <c r="AL67" i="25"/>
  <c r="AK67" i="25"/>
  <c r="AJ67" i="25"/>
  <c r="AI67" i="25"/>
  <c r="AF67" i="25"/>
  <c r="AE67" i="25"/>
  <c r="AL66" i="25"/>
  <c r="AK66" i="25"/>
  <c r="AJ66" i="25"/>
  <c r="AI66" i="25"/>
  <c r="AF66" i="25"/>
  <c r="AE66" i="25"/>
  <c r="AL65" i="25"/>
  <c r="AK65" i="25"/>
  <c r="AJ65" i="25"/>
  <c r="AI65" i="25"/>
  <c r="AF65" i="25"/>
  <c r="AE65" i="25"/>
  <c r="AL64" i="25"/>
  <c r="AK64" i="25"/>
  <c r="AJ64" i="25"/>
  <c r="AI64" i="25"/>
  <c r="AF64" i="25"/>
  <c r="AE64" i="25"/>
  <c r="AL63" i="25"/>
  <c r="AK63" i="25"/>
  <c r="AJ63" i="25"/>
  <c r="AI63" i="25"/>
  <c r="AF63" i="25"/>
  <c r="AE63" i="25"/>
  <c r="AL62" i="25"/>
  <c r="AK62" i="25"/>
  <c r="AJ62" i="25"/>
  <c r="AI62" i="25"/>
  <c r="AF62" i="25"/>
  <c r="AE62" i="25"/>
  <c r="AL61" i="25"/>
  <c r="AK61" i="25"/>
  <c r="AJ61" i="25"/>
  <c r="AI61" i="25"/>
  <c r="AF61" i="25"/>
  <c r="AE61" i="25"/>
  <c r="AL60" i="25"/>
  <c r="AK60" i="25"/>
  <c r="AJ60" i="25"/>
  <c r="AI60" i="25"/>
  <c r="AF60" i="25"/>
  <c r="AE60" i="25"/>
  <c r="AL59" i="25"/>
  <c r="AK59" i="25"/>
  <c r="AJ59" i="25"/>
  <c r="AI59" i="25"/>
  <c r="AF59" i="25"/>
  <c r="AE59" i="25"/>
  <c r="AL58" i="25"/>
  <c r="AK58" i="25"/>
  <c r="AJ58" i="25"/>
  <c r="AI58" i="25"/>
  <c r="AF58" i="25"/>
  <c r="AE58" i="25"/>
  <c r="AL57" i="25"/>
  <c r="AK57" i="25"/>
  <c r="AJ57" i="25"/>
  <c r="AI57" i="25"/>
  <c r="AF57" i="25"/>
  <c r="AE57" i="25"/>
  <c r="AL56" i="25"/>
  <c r="AK56" i="25"/>
  <c r="AJ56" i="25"/>
  <c r="AI56" i="25"/>
  <c r="AF56" i="25"/>
  <c r="AE56" i="25"/>
  <c r="AL55" i="25"/>
  <c r="AK55" i="25"/>
  <c r="AJ55" i="25"/>
  <c r="AI55" i="25"/>
  <c r="AF55" i="25"/>
  <c r="AE55" i="25"/>
  <c r="AL54" i="25"/>
  <c r="AK54" i="25"/>
  <c r="AJ54" i="25"/>
  <c r="AI54" i="25"/>
  <c r="AF54" i="25"/>
  <c r="AE54" i="25"/>
  <c r="AL53" i="25"/>
  <c r="AK53" i="25"/>
  <c r="AJ53" i="25"/>
  <c r="AI53" i="25"/>
  <c r="AF53" i="25"/>
  <c r="AE53" i="25"/>
  <c r="AL52" i="25"/>
  <c r="AK52" i="25"/>
  <c r="AJ52" i="25"/>
  <c r="AI52" i="25"/>
  <c r="AF52" i="25"/>
  <c r="AE52" i="25"/>
  <c r="AL51" i="25"/>
  <c r="AK51" i="25"/>
  <c r="AJ51" i="25"/>
  <c r="AI51" i="25"/>
  <c r="AF51" i="25"/>
  <c r="AE51" i="25"/>
  <c r="AL50" i="25"/>
  <c r="AK50" i="25"/>
  <c r="AJ50" i="25"/>
  <c r="AI50" i="25"/>
  <c r="AF50" i="25"/>
  <c r="AE50" i="25"/>
  <c r="AL49" i="25"/>
  <c r="AK49" i="25"/>
  <c r="AJ49" i="25"/>
  <c r="AI49" i="25"/>
  <c r="AF49" i="25"/>
  <c r="AE49" i="25"/>
  <c r="AL48" i="25"/>
  <c r="AK48" i="25"/>
  <c r="AJ48" i="25"/>
  <c r="AI48" i="25"/>
  <c r="AF48" i="25"/>
  <c r="AE48" i="25"/>
  <c r="AL47" i="25"/>
  <c r="AK47" i="25"/>
  <c r="AJ47" i="25"/>
  <c r="AI47" i="25"/>
  <c r="AF47" i="25"/>
  <c r="AE47" i="25"/>
  <c r="AL46" i="25"/>
  <c r="AK46" i="25"/>
  <c r="AJ46" i="25"/>
  <c r="AI46" i="25"/>
  <c r="AF46" i="25"/>
  <c r="AE46" i="25"/>
  <c r="AL45" i="25"/>
  <c r="AK45" i="25"/>
  <c r="AJ45" i="25"/>
  <c r="AI45" i="25"/>
  <c r="AF45" i="25"/>
  <c r="AE45" i="25"/>
  <c r="AL44" i="25"/>
  <c r="AK44" i="25"/>
  <c r="AJ44" i="25"/>
  <c r="AI44" i="25"/>
  <c r="AF44" i="25"/>
  <c r="AE44" i="25"/>
  <c r="AL43" i="25"/>
  <c r="AK43" i="25"/>
  <c r="AJ43" i="25"/>
  <c r="AI43" i="25"/>
  <c r="AF43" i="25"/>
  <c r="AE43" i="25"/>
  <c r="AL42" i="25"/>
  <c r="AK42" i="25"/>
  <c r="AJ42" i="25"/>
  <c r="AI42" i="25"/>
  <c r="AF42" i="25"/>
  <c r="AE42" i="25"/>
  <c r="AL41" i="25"/>
  <c r="AK41" i="25"/>
  <c r="AJ41" i="25"/>
  <c r="AI41" i="25"/>
  <c r="AF41" i="25"/>
  <c r="AE41" i="25"/>
  <c r="AL40" i="25"/>
  <c r="AK40" i="25"/>
  <c r="AJ40" i="25"/>
  <c r="AI40" i="25"/>
  <c r="AF40" i="25"/>
  <c r="AE40" i="25"/>
  <c r="AL39" i="25"/>
  <c r="AK39" i="25"/>
  <c r="AJ39" i="25"/>
  <c r="AI39" i="25"/>
  <c r="AF39" i="25"/>
  <c r="AE39" i="25"/>
  <c r="AL38" i="25"/>
  <c r="AK38" i="25"/>
  <c r="AJ38" i="25"/>
  <c r="AI38" i="25"/>
  <c r="AF38" i="25"/>
  <c r="AE38" i="25"/>
  <c r="AL37" i="25"/>
  <c r="AK37" i="25"/>
  <c r="AJ37" i="25"/>
  <c r="AI37" i="25"/>
  <c r="AF37" i="25"/>
  <c r="AE37" i="25"/>
  <c r="AL36" i="25"/>
  <c r="AK36" i="25"/>
  <c r="AJ36" i="25"/>
  <c r="AI36" i="25"/>
  <c r="AF36" i="25"/>
  <c r="AE36" i="25"/>
  <c r="AL35" i="25"/>
  <c r="AK35" i="25"/>
  <c r="AJ35" i="25"/>
  <c r="AI35" i="25"/>
  <c r="AF35" i="25"/>
  <c r="AE35" i="25"/>
  <c r="AL34" i="25"/>
  <c r="AK34" i="25"/>
  <c r="AJ34" i="25"/>
  <c r="AI34" i="25"/>
  <c r="AF34" i="25"/>
  <c r="AE34" i="25"/>
  <c r="AL33" i="25"/>
  <c r="AK33" i="25"/>
  <c r="AJ33" i="25"/>
  <c r="AI33" i="25"/>
  <c r="AF33" i="25"/>
  <c r="AE33" i="25"/>
  <c r="AL32" i="25"/>
  <c r="AK32" i="25"/>
  <c r="AJ32" i="25"/>
  <c r="AI32" i="25"/>
  <c r="AF32" i="25"/>
  <c r="AE32" i="25"/>
  <c r="AL31" i="25"/>
  <c r="AK31" i="25"/>
  <c r="AJ31" i="25"/>
  <c r="AI31" i="25"/>
  <c r="AF31" i="25"/>
  <c r="AE31" i="25"/>
  <c r="AL30" i="25"/>
  <c r="AK30" i="25"/>
  <c r="AJ30" i="25"/>
  <c r="AI30" i="25"/>
  <c r="AF30" i="25"/>
  <c r="AE30" i="25"/>
  <c r="AL29" i="25"/>
  <c r="AK29" i="25"/>
  <c r="AJ29" i="25"/>
  <c r="AI29" i="25"/>
  <c r="AF29" i="25"/>
  <c r="AE29" i="25"/>
  <c r="AL28" i="25"/>
  <c r="AK28" i="25"/>
  <c r="AJ28" i="25"/>
  <c r="AI28" i="25"/>
  <c r="AF28" i="25"/>
  <c r="AE28" i="25"/>
  <c r="AL27" i="25"/>
  <c r="AK27" i="25"/>
  <c r="AJ27" i="25"/>
  <c r="AI27" i="25"/>
  <c r="AF27" i="25"/>
  <c r="AE27" i="25"/>
  <c r="AL26" i="25"/>
  <c r="AK26" i="25"/>
  <c r="AJ26" i="25"/>
  <c r="AI26" i="25"/>
  <c r="AF26" i="25"/>
  <c r="AE26" i="25"/>
  <c r="AL25" i="25"/>
  <c r="AK25" i="25"/>
  <c r="AJ25" i="25"/>
  <c r="AI25" i="25"/>
  <c r="AF25" i="25"/>
  <c r="AE25" i="25"/>
  <c r="AL24" i="25"/>
  <c r="AK24" i="25"/>
  <c r="AJ24" i="25"/>
  <c r="AI24" i="25"/>
  <c r="AF24" i="25"/>
  <c r="AE24" i="25"/>
  <c r="AL23" i="25"/>
  <c r="AK23" i="25"/>
  <c r="AJ23" i="25"/>
  <c r="AI23" i="25"/>
  <c r="AF23" i="25"/>
  <c r="AE23" i="25"/>
  <c r="AL22" i="25"/>
  <c r="AK22" i="25"/>
  <c r="AJ22" i="25"/>
  <c r="AI22" i="25"/>
  <c r="AF22" i="25"/>
  <c r="AE22" i="25"/>
  <c r="AL21" i="25"/>
  <c r="AK21" i="25"/>
  <c r="AJ21" i="25"/>
  <c r="AI21" i="25"/>
  <c r="AF21" i="25"/>
  <c r="AE21" i="25"/>
  <c r="AL20" i="25"/>
  <c r="AK20" i="25"/>
  <c r="AJ20" i="25"/>
  <c r="AI20" i="25"/>
  <c r="AF20" i="25"/>
  <c r="AE20" i="25"/>
  <c r="AL19" i="25"/>
  <c r="AK19" i="25"/>
  <c r="AJ19" i="25"/>
  <c r="AI19" i="25"/>
  <c r="AF19" i="25"/>
  <c r="AE19" i="25"/>
  <c r="AL18" i="25"/>
  <c r="AK18" i="25"/>
  <c r="AJ18" i="25"/>
  <c r="AI18" i="25"/>
  <c r="AF18" i="25"/>
  <c r="AE18" i="25"/>
  <c r="AL17" i="25"/>
  <c r="AK17" i="25"/>
  <c r="AJ17" i="25"/>
  <c r="AI17" i="25"/>
  <c r="AF17" i="25"/>
  <c r="AE17" i="25"/>
  <c r="AL16" i="25"/>
  <c r="AK16" i="25"/>
  <c r="AJ16" i="25"/>
  <c r="AI16" i="25"/>
  <c r="AF16" i="25"/>
  <c r="AE16" i="25"/>
  <c r="AL15" i="25"/>
  <c r="AK15" i="25"/>
  <c r="AJ15" i="25"/>
  <c r="AI15" i="25"/>
  <c r="AF15" i="25"/>
  <c r="AE15" i="25"/>
  <c r="AL14" i="25"/>
  <c r="AK14" i="25"/>
  <c r="AJ14" i="25"/>
  <c r="AI14" i="25"/>
  <c r="AF14" i="25"/>
  <c r="AE14" i="25"/>
  <c r="AL13" i="25"/>
  <c r="AK13" i="25"/>
  <c r="AJ13" i="25"/>
  <c r="AI13" i="25"/>
  <c r="AF13" i="25"/>
  <c r="AE13" i="25"/>
  <c r="AL12" i="25"/>
  <c r="AK12" i="25"/>
  <c r="AJ12" i="25"/>
  <c r="AI12" i="25"/>
  <c r="AF12" i="25"/>
  <c r="AE12" i="25"/>
  <c r="AL11" i="25"/>
  <c r="AK11" i="25"/>
  <c r="AJ11" i="25"/>
  <c r="AI11" i="25"/>
  <c r="AF11" i="25"/>
  <c r="AE11" i="25"/>
  <c r="AL10" i="25"/>
  <c r="AK10" i="25"/>
  <c r="AJ10" i="25"/>
  <c r="AI10" i="25"/>
  <c r="AF10" i="25"/>
  <c r="AE10" i="25"/>
  <c r="AL9" i="25"/>
  <c r="AK9" i="25"/>
  <c r="AJ9" i="25"/>
  <c r="AI9" i="25"/>
  <c r="AF9" i="25"/>
  <c r="AE9" i="25"/>
  <c r="AL8" i="25"/>
  <c r="AK8" i="25"/>
  <c r="AJ8" i="25"/>
  <c r="AI8" i="25"/>
  <c r="AF8" i="25"/>
  <c r="AE8" i="25"/>
  <c r="AL7" i="25"/>
  <c r="AK7" i="25"/>
  <c r="AJ7" i="25"/>
  <c r="AI7" i="25"/>
  <c r="AF7" i="25"/>
  <c r="AE7" i="25"/>
  <c r="AL6" i="25"/>
  <c r="AK6" i="25"/>
  <c r="AJ6" i="25"/>
  <c r="AI6" i="25"/>
  <c r="AF6" i="25"/>
  <c r="AE6" i="25"/>
  <c r="AL5" i="25"/>
  <c r="AK5" i="25"/>
  <c r="AJ5" i="25"/>
  <c r="AI5" i="25"/>
  <c r="AF5" i="25"/>
  <c r="AE5" i="25"/>
  <c r="BC4" i="25"/>
  <c r="BB4" i="25"/>
  <c r="BA4" i="25"/>
  <c r="AZ4" i="25"/>
  <c r="AX4" i="25"/>
  <c r="AW4" i="25"/>
  <c r="AV4" i="25"/>
  <c r="AS4" i="25"/>
  <c r="X1" i="25"/>
  <c r="W1" i="25"/>
  <c r="V1" i="25"/>
  <c r="U1" i="25"/>
  <c r="T1" i="25"/>
  <c r="S1" i="25"/>
  <c r="R1" i="25"/>
  <c r="K1" i="25"/>
  <c r="J1" i="25"/>
  <c r="I1" i="25"/>
  <c r="H1" i="25"/>
  <c r="G1" i="25"/>
  <c r="F1" i="25"/>
  <c r="E1" i="25"/>
  <c r="D1" i="25"/>
  <c r="C1" i="25"/>
  <c r="F4" i="7"/>
  <c r="E4" i="7"/>
  <c r="D4" i="7"/>
  <c r="C4" i="7"/>
  <c r="B4" i="7"/>
  <c r="L4" i="7"/>
  <c r="M4" i="7"/>
  <c r="BE4" i="25" l="1"/>
  <c r="BF4" i="25" s="1"/>
  <c r="BG4" i="25" s="1"/>
  <c r="AO1" i="25"/>
  <c r="AQ1" i="25"/>
  <c r="AK1" i="25"/>
  <c r="AM1" i="25"/>
  <c r="AF1" i="25"/>
  <c r="AN1" i="25"/>
  <c r="AI1" i="25"/>
  <c r="AP1" i="25"/>
  <c r="AJ1" i="25"/>
  <c r="AL1" i="25"/>
  <c r="AI146" i="25"/>
  <c r="AF2295" i="25"/>
  <c r="AF2215" i="25"/>
  <c r="AF2064" i="25"/>
  <c r="AF2020" i="25"/>
  <c r="AF1958" i="25"/>
  <c r="AF1936" i="25"/>
  <c r="AF1545" i="25"/>
  <c r="AF1070" i="25"/>
  <c r="AF1003" i="25"/>
  <c r="AF987" i="25"/>
  <c r="AF910" i="25"/>
  <c r="AF908" i="25"/>
  <c r="AF901" i="25"/>
  <c r="AF769" i="25"/>
  <c r="AF704" i="25"/>
  <c r="AF703" i="25"/>
  <c r="AF692" i="25"/>
  <c r="AF552" i="25"/>
  <c r="AF163" i="25"/>
  <c r="AF146" i="25"/>
  <c r="AL146" i="25"/>
  <c r="AI2245" i="25"/>
  <c r="AI2216" i="25"/>
  <c r="AI2063" i="25"/>
  <c r="AI2055" i="25"/>
  <c r="AI910" i="25"/>
  <c r="AI908" i="25"/>
  <c r="AI703" i="25"/>
  <c r="AI692" i="25"/>
  <c r="AI552" i="25"/>
  <c r="AI551" i="25"/>
  <c r="AK118" i="25"/>
  <c r="AF122" i="25"/>
  <c r="AJ2216" i="25"/>
  <c r="AJ2215" i="25"/>
  <c r="AJ2055" i="25"/>
  <c r="AJ2020" i="25"/>
  <c r="AJ984" i="25"/>
  <c r="AJ908" i="25"/>
  <c r="AJ901" i="25"/>
  <c r="AJ692" i="25"/>
  <c r="AJ551" i="25"/>
  <c r="AJ173" i="25"/>
  <c r="AJ163" i="25"/>
  <c r="AJ146" i="25"/>
  <c r="AF106" i="25"/>
  <c r="AL118" i="25"/>
  <c r="AI122" i="25"/>
  <c r="AK2388" i="25"/>
  <c r="AK2295" i="25"/>
  <c r="AK2245" i="25"/>
  <c r="AK2216" i="25"/>
  <c r="AK2215" i="25"/>
  <c r="AK2212" i="25"/>
  <c r="AK2211" i="25"/>
  <c r="AK2064" i="25"/>
  <c r="AK2063" i="25"/>
  <c r="AK2055" i="25"/>
  <c r="AK2020" i="25"/>
  <c r="AK1958" i="25"/>
  <c r="AK1936" i="25"/>
  <c r="AK1545" i="25"/>
  <c r="AK1070" i="25"/>
  <c r="AK1003" i="25"/>
  <c r="AK985" i="25"/>
  <c r="AK984" i="25"/>
  <c r="AK946" i="25"/>
  <c r="AK912" i="25"/>
  <c r="AK910" i="25"/>
  <c r="AK908" i="25"/>
  <c r="AK901" i="25"/>
  <c r="AK898" i="25"/>
  <c r="AK769" i="25"/>
  <c r="AK704" i="25"/>
  <c r="AK703" i="25"/>
  <c r="AK692" i="25"/>
  <c r="AK669" i="25"/>
  <c r="AK552" i="25"/>
  <c r="AK551" i="25"/>
  <c r="AK280" i="25"/>
  <c r="AK269" i="25"/>
  <c r="AK173" i="25"/>
  <c r="AK164" i="25"/>
  <c r="AK163" i="25"/>
  <c r="AK158" i="25"/>
  <c r="AK146" i="25"/>
  <c r="AK122" i="25"/>
  <c r="AI79" i="25"/>
  <c r="AL122" i="25"/>
  <c r="AL2388" i="25"/>
  <c r="AL2295" i="25"/>
  <c r="AL2245" i="25"/>
  <c r="AL2216" i="25"/>
  <c r="AL2215" i="25"/>
  <c r="AL2212" i="25"/>
  <c r="AL2211" i="25"/>
  <c r="AL2064" i="25"/>
  <c r="AL2063" i="25"/>
  <c r="AL2055" i="25"/>
  <c r="AL2020" i="25"/>
  <c r="AL1958" i="25"/>
  <c r="AL1936" i="25"/>
  <c r="AL1545" i="25"/>
  <c r="AL1070" i="25"/>
  <c r="AL1003" i="25"/>
  <c r="AL987" i="25"/>
  <c r="AL984" i="25"/>
  <c r="AL948" i="25"/>
  <c r="AL946" i="25"/>
  <c r="AL912" i="25"/>
  <c r="AL910" i="25"/>
  <c r="AL908" i="25"/>
  <c r="AL901" i="25"/>
  <c r="AL769" i="25"/>
  <c r="AL704" i="25"/>
  <c r="AL703" i="25"/>
  <c r="AL692" i="25"/>
  <c r="AL552" i="25"/>
  <c r="AL551" i="25"/>
  <c r="AL549" i="25"/>
  <c r="AL173" i="25"/>
  <c r="AL158" i="25"/>
  <c r="AJ933" i="25" l="1"/>
  <c r="AK933" i="25"/>
  <c r="AI933" i="25"/>
  <c r="AF933" i="25"/>
  <c r="AI193" i="25"/>
  <c r="AL443" i="25"/>
  <c r="AL933" i="25"/>
  <c r="AL313" i="25"/>
  <c r="AJ462" i="25"/>
  <c r="AJ413" i="25"/>
  <c r="AK462" i="25"/>
  <c r="AK413" i="25"/>
  <c r="AL462" i="25"/>
  <c r="AL413" i="25"/>
  <c r="AF462" i="25"/>
  <c r="AF413" i="25"/>
  <c r="AL468" i="25"/>
  <c r="AF158" i="25"/>
  <c r="AI462" i="25"/>
  <c r="AI413" i="25"/>
  <c r="AK343" i="25"/>
  <c r="AF153" i="25"/>
  <c r="AK468" i="25"/>
  <c r="AF896" i="25"/>
  <c r="AF190" i="25"/>
  <c r="AF603" i="25"/>
  <c r="AF1863" i="25"/>
  <c r="AF1860" i="25"/>
  <c r="AL603" i="25"/>
  <c r="AL190" i="25"/>
  <c r="AL896" i="25"/>
  <c r="AL1863" i="25"/>
  <c r="AL1860" i="25"/>
  <c r="AJ896" i="25"/>
  <c r="AJ190" i="25"/>
  <c r="AJ1863" i="25"/>
  <c r="AJ1860" i="25"/>
  <c r="AJ603" i="25"/>
  <c r="AK1863" i="25"/>
  <c r="AK1860" i="25"/>
  <c r="AK603" i="25"/>
  <c r="AK190" i="25"/>
  <c r="AK896" i="25"/>
  <c r="AI896" i="25"/>
  <c r="AI190" i="25"/>
  <c r="AI1863" i="25"/>
  <c r="AI1860" i="25"/>
  <c r="AI603" i="25"/>
  <c r="AJ74" i="25"/>
  <c r="AJ460" i="25"/>
  <c r="AJ459" i="25"/>
  <c r="AJ1298" i="25"/>
  <c r="AJ157" i="25"/>
  <c r="AF269" i="25"/>
  <c r="AF157" i="25"/>
  <c r="AF460" i="25"/>
  <c r="AF459" i="25"/>
  <c r="AF1298" i="25"/>
  <c r="AL269" i="25"/>
  <c r="AL460" i="25"/>
  <c r="AL459" i="25"/>
  <c r="AL1298" i="25"/>
  <c r="AL157" i="25"/>
  <c r="AK460" i="25"/>
  <c r="AK459" i="25"/>
  <c r="AK1298" i="25"/>
  <c r="AK157" i="25"/>
  <c r="AI157" i="25"/>
  <c r="AI460" i="25"/>
  <c r="AI459" i="25"/>
  <c r="AI1298" i="25"/>
  <c r="AF117" i="25"/>
  <c r="AF468" i="25"/>
  <c r="AF898" i="25"/>
  <c r="AL117" i="25"/>
  <c r="AL193" i="25"/>
  <c r="AL898" i="25"/>
  <c r="AJ305" i="25"/>
  <c r="AJ469" i="25"/>
  <c r="AJ446" i="25"/>
  <c r="AJ321" i="25"/>
  <c r="AJ713" i="25"/>
  <c r="AJ222" i="25"/>
  <c r="AF193" i="25"/>
  <c r="AF713" i="25"/>
  <c r="AF222" i="25"/>
  <c r="AF305" i="25"/>
  <c r="AF469" i="25"/>
  <c r="AF446" i="25"/>
  <c r="AF321" i="25"/>
  <c r="AL321" i="25"/>
  <c r="AL713" i="25"/>
  <c r="AL222" i="25"/>
  <c r="AL305" i="25"/>
  <c r="AL469" i="25"/>
  <c r="AL446" i="25"/>
  <c r="AK469" i="25"/>
  <c r="AK446" i="25"/>
  <c r="AK321" i="25"/>
  <c r="AK713" i="25"/>
  <c r="AK222" i="25"/>
  <c r="AK305" i="25"/>
  <c r="AI713" i="25"/>
  <c r="AI222" i="25"/>
  <c r="AI305" i="25"/>
  <c r="AI469" i="25"/>
  <c r="AI446" i="25"/>
  <c r="AI321" i="25"/>
  <c r="AF669" i="25"/>
  <c r="AJ1571" i="25"/>
  <c r="AJ1570" i="25"/>
  <c r="AJ565" i="25"/>
  <c r="AJ951" i="25"/>
  <c r="AJ445" i="25"/>
  <c r="AF445" i="25"/>
  <c r="AF1571" i="25"/>
  <c r="AF1570" i="25"/>
  <c r="AF565" i="25"/>
  <c r="AF951" i="25"/>
  <c r="AJ275" i="25"/>
  <c r="AF443" i="25"/>
  <c r="AF984" i="25"/>
  <c r="AL669" i="25"/>
  <c r="AL951" i="25"/>
  <c r="AL445" i="25"/>
  <c r="AL1571" i="25"/>
  <c r="AL1570" i="25"/>
  <c r="AL565" i="25"/>
  <c r="AK193" i="25"/>
  <c r="AK565" i="25"/>
  <c r="AK951" i="25"/>
  <c r="AK445" i="25"/>
  <c r="AK1571" i="25"/>
  <c r="AK1570" i="25"/>
  <c r="AI1571" i="25"/>
  <c r="AI1570" i="25"/>
  <c r="AI565" i="25"/>
  <c r="AI951" i="25"/>
  <c r="AI445" i="25"/>
  <c r="AK106" i="25"/>
  <c r="AL196" i="25"/>
  <c r="AK443" i="25"/>
  <c r="AK987" i="25"/>
  <c r="AK463" i="25"/>
  <c r="AL311" i="25"/>
  <c r="AL163" i="25"/>
  <c r="AL343" i="25"/>
  <c r="AI987" i="25"/>
  <c r="AJ669" i="25"/>
  <c r="AJ85" i="25"/>
  <c r="AJ945" i="25"/>
  <c r="AJ661" i="25"/>
  <c r="AJ1125" i="25"/>
  <c r="AF948" i="25"/>
  <c r="AF85" i="25"/>
  <c r="AF945" i="25"/>
  <c r="AF661" i="25"/>
  <c r="AF1125" i="25"/>
  <c r="AL945" i="25"/>
  <c r="AL661" i="25"/>
  <c r="AL1125" i="25"/>
  <c r="AL85" i="25"/>
  <c r="AK948" i="25"/>
  <c r="AK85" i="25"/>
  <c r="AK945" i="25"/>
  <c r="AK661" i="25"/>
  <c r="AK1125" i="25"/>
  <c r="AI269" i="25"/>
  <c r="AI85" i="25"/>
  <c r="AI945" i="25"/>
  <c r="AI661" i="25"/>
  <c r="AI1125" i="25"/>
  <c r="AJ117" i="25"/>
  <c r="AF343" i="25"/>
  <c r="AJ1001" i="25"/>
  <c r="AJ404" i="25"/>
  <c r="AF946" i="25"/>
  <c r="AF1001" i="25"/>
  <c r="AF404" i="25"/>
  <c r="AL1001" i="25"/>
  <c r="AL404" i="25"/>
  <c r="AK1001" i="25"/>
  <c r="AK404" i="25"/>
  <c r="AI404" i="25"/>
  <c r="AI1001" i="25"/>
  <c r="AJ1064" i="25"/>
  <c r="AJ1062" i="25"/>
  <c r="AJ1061" i="25"/>
  <c r="AJ1058" i="25"/>
  <c r="AJ567" i="25"/>
  <c r="AJ411" i="25"/>
  <c r="AJ108" i="25"/>
  <c r="AJ1572" i="25"/>
  <c r="AJ557" i="25"/>
  <c r="AJ1956" i="25"/>
  <c r="AJ1359" i="25"/>
  <c r="AJ1000" i="25"/>
  <c r="AJ996" i="25"/>
  <c r="AJ586" i="25"/>
  <c r="AJ2249" i="25"/>
  <c r="AJ119" i="25"/>
  <c r="AJ900" i="25"/>
  <c r="AJ547" i="25"/>
  <c r="AF551" i="25"/>
  <c r="AF2249" i="25"/>
  <c r="AF119" i="25"/>
  <c r="AF900" i="25"/>
  <c r="AF547" i="25"/>
  <c r="AF1064" i="25"/>
  <c r="AF1062" i="25"/>
  <c r="AF1061" i="25"/>
  <c r="AF1058" i="25"/>
  <c r="AF567" i="25"/>
  <c r="AF411" i="25"/>
  <c r="AF108" i="25"/>
  <c r="AF1572" i="25"/>
  <c r="AF557" i="25"/>
  <c r="AF1956" i="25"/>
  <c r="AF1359" i="25"/>
  <c r="AF1000" i="25"/>
  <c r="AF996" i="25"/>
  <c r="AF586" i="25"/>
  <c r="AL1956" i="25"/>
  <c r="AL1359" i="25"/>
  <c r="AL1000" i="25"/>
  <c r="AL996" i="25"/>
  <c r="AL586" i="25"/>
  <c r="AL2249" i="25"/>
  <c r="AL119" i="25"/>
  <c r="AL900" i="25"/>
  <c r="AL547" i="25"/>
  <c r="AL1064" i="25"/>
  <c r="AL1062" i="25"/>
  <c r="AL1061" i="25"/>
  <c r="AL1058" i="25"/>
  <c r="AL567" i="25"/>
  <c r="AL411" i="25"/>
  <c r="AL108" i="25"/>
  <c r="AL1572" i="25"/>
  <c r="AL557" i="25"/>
  <c r="AK1572" i="25"/>
  <c r="AK557" i="25"/>
  <c r="AK1956" i="25"/>
  <c r="AK1359" i="25"/>
  <c r="AK1000" i="25"/>
  <c r="AK996" i="25"/>
  <c r="AK586" i="25"/>
  <c r="AK2249" i="25"/>
  <c r="AK119" i="25"/>
  <c r="AK900" i="25"/>
  <c r="AK547" i="25"/>
  <c r="AK1064" i="25"/>
  <c r="AK1062" i="25"/>
  <c r="AK1061" i="25"/>
  <c r="AK1058" i="25"/>
  <c r="AK567" i="25"/>
  <c r="AK411" i="25"/>
  <c r="AK108" i="25"/>
  <c r="AI900" i="25"/>
  <c r="AI547" i="25"/>
  <c r="AI1064" i="25"/>
  <c r="AI1062" i="25"/>
  <c r="AI1061" i="25"/>
  <c r="AI1058" i="25"/>
  <c r="AI567" i="25"/>
  <c r="AI411" i="25"/>
  <c r="AI108" i="25"/>
  <c r="AI1572" i="25"/>
  <c r="AI557" i="25"/>
  <c r="AI1956" i="25"/>
  <c r="AI1359" i="25"/>
  <c r="AI1000" i="25"/>
  <c r="AI996" i="25"/>
  <c r="AI586" i="25"/>
  <c r="AI2249" i="25"/>
  <c r="AI119" i="25"/>
  <c r="AF173" i="25"/>
  <c r="AJ447" i="25"/>
  <c r="AJ1111" i="25"/>
  <c r="AJ725" i="25"/>
  <c r="AJ721" i="25"/>
  <c r="AJ596" i="25"/>
  <c r="AJ592" i="25"/>
  <c r="AJ584" i="25"/>
  <c r="AJ334" i="25"/>
  <c r="AJ75" i="25"/>
  <c r="AJ1077" i="25"/>
  <c r="AJ715" i="25"/>
  <c r="AJ572" i="25"/>
  <c r="AJ402" i="25"/>
  <c r="AJ1227" i="25"/>
  <c r="AJ1226" i="25"/>
  <c r="AJ1014" i="25"/>
  <c r="AJ662" i="25"/>
  <c r="AJ555" i="25"/>
  <c r="AJ999" i="25"/>
  <c r="AJ942" i="25"/>
  <c r="AJ702" i="25"/>
  <c r="AJ91" i="25"/>
  <c r="AJ2404" i="25"/>
  <c r="AJ1955" i="25"/>
  <c r="AJ616" i="25"/>
  <c r="AJ344" i="25"/>
  <c r="AJ1917" i="25"/>
  <c r="AJ412" i="25"/>
  <c r="AJ273" i="25"/>
  <c r="AJ271" i="25"/>
  <c r="AF464" i="25"/>
  <c r="AF2404" i="25"/>
  <c r="AF1955" i="25"/>
  <c r="AF616" i="25"/>
  <c r="AF344" i="25"/>
  <c r="AF1917" i="25"/>
  <c r="AF412" i="25"/>
  <c r="AF273" i="25"/>
  <c r="AF271" i="25"/>
  <c r="AF1111" i="25"/>
  <c r="AF725" i="25"/>
  <c r="AF721" i="25"/>
  <c r="AF596" i="25"/>
  <c r="AF592" i="25"/>
  <c r="AF584" i="25"/>
  <c r="AF334" i="25"/>
  <c r="AF75" i="25"/>
  <c r="AF1077" i="25"/>
  <c r="AF715" i="25"/>
  <c r="AF572" i="25"/>
  <c r="AF402" i="25"/>
  <c r="AF1227" i="25"/>
  <c r="AF1226" i="25"/>
  <c r="AF1014" i="25"/>
  <c r="AF662" i="25"/>
  <c r="AF555" i="25"/>
  <c r="AF999" i="25"/>
  <c r="AF942" i="25"/>
  <c r="AF702" i="25"/>
  <c r="AF91" i="25"/>
  <c r="AL599" i="25"/>
  <c r="AL1227" i="25"/>
  <c r="AL1226" i="25"/>
  <c r="AL1014" i="25"/>
  <c r="AL662" i="25"/>
  <c r="AL555" i="25"/>
  <c r="AL999" i="25"/>
  <c r="AL942" i="25"/>
  <c r="AL702" i="25"/>
  <c r="AL91" i="25"/>
  <c r="AL2404" i="25"/>
  <c r="AL1955" i="25"/>
  <c r="AL616" i="25"/>
  <c r="AL344" i="25"/>
  <c r="AL1917" i="25"/>
  <c r="AL412" i="25"/>
  <c r="AL273" i="25"/>
  <c r="AL271" i="25"/>
  <c r="AL1111" i="25"/>
  <c r="AL725" i="25"/>
  <c r="AL721" i="25"/>
  <c r="AL596" i="25"/>
  <c r="AL592" i="25"/>
  <c r="AL584" i="25"/>
  <c r="AL334" i="25"/>
  <c r="AL75" i="25"/>
  <c r="AL1077" i="25"/>
  <c r="AL715" i="25"/>
  <c r="AL572" i="25"/>
  <c r="AL402" i="25"/>
  <c r="AK120" i="25"/>
  <c r="AK1077" i="25"/>
  <c r="AK715" i="25"/>
  <c r="AK572" i="25"/>
  <c r="AK402" i="25"/>
  <c r="AK1227" i="25"/>
  <c r="AK1226" i="25"/>
  <c r="AK1014" i="25"/>
  <c r="AK662" i="25"/>
  <c r="AK555" i="25"/>
  <c r="AK999" i="25"/>
  <c r="AK942" i="25"/>
  <c r="AK702" i="25"/>
  <c r="AK91" i="25"/>
  <c r="AK2404" i="25"/>
  <c r="AK1955" i="25"/>
  <c r="AK616" i="25"/>
  <c r="AK344" i="25"/>
  <c r="AK1917" i="25"/>
  <c r="AK412" i="25"/>
  <c r="AK273" i="25"/>
  <c r="AK271" i="25"/>
  <c r="AK1111" i="25"/>
  <c r="AK725" i="25"/>
  <c r="AK721" i="25"/>
  <c r="AK596" i="25"/>
  <c r="AK592" i="25"/>
  <c r="AK584" i="25"/>
  <c r="AK334" i="25"/>
  <c r="AK75" i="25"/>
  <c r="AF912" i="25"/>
  <c r="AI985" i="25"/>
  <c r="AI1917" i="25"/>
  <c r="AI412" i="25"/>
  <c r="AI273" i="25"/>
  <c r="AI271" i="25"/>
  <c r="AI1111" i="25"/>
  <c r="AI725" i="25"/>
  <c r="AI721" i="25"/>
  <c r="AI596" i="25"/>
  <c r="AI592" i="25"/>
  <c r="AI584" i="25"/>
  <c r="AI334" i="25"/>
  <c r="AI75" i="25"/>
  <c r="AI1077" i="25"/>
  <c r="AI715" i="25"/>
  <c r="AI572" i="25"/>
  <c r="AI402" i="25"/>
  <c r="AI1227" i="25"/>
  <c r="AI1226" i="25"/>
  <c r="AI1014" i="25"/>
  <c r="AI662" i="25"/>
  <c r="AI555" i="25"/>
  <c r="AI999" i="25"/>
  <c r="AI942" i="25"/>
  <c r="AI702" i="25"/>
  <c r="AI91" i="25"/>
  <c r="AI2404" i="25"/>
  <c r="AI1955" i="25"/>
  <c r="AI616" i="25"/>
  <c r="AI344" i="25"/>
  <c r="AI211" i="25"/>
  <c r="AL211" i="25"/>
  <c r="AL1122" i="25"/>
  <c r="AK152" i="25"/>
  <c r="AK330" i="25"/>
  <c r="AF78" i="25"/>
  <c r="AF165" i="25"/>
  <c r="AF292" i="25"/>
  <c r="AL170" i="25"/>
  <c r="AL1123" i="25"/>
  <c r="AK209" i="25"/>
  <c r="AF74" i="25"/>
  <c r="AI1124" i="25"/>
  <c r="AL275" i="25"/>
  <c r="AL463" i="25"/>
  <c r="AL985" i="25"/>
  <c r="AK107" i="25"/>
  <c r="AK159" i="25"/>
  <c r="AK211" i="25"/>
  <c r="AJ211" i="25"/>
  <c r="AF186" i="25"/>
  <c r="AF347" i="25"/>
  <c r="AF558" i="25"/>
  <c r="AJ151" i="25"/>
  <c r="AJ463" i="25"/>
  <c r="AF226" i="25"/>
  <c r="AF465" i="25"/>
  <c r="AL159" i="25"/>
  <c r="AL209" i="25"/>
  <c r="AL330" i="25"/>
  <c r="AK313" i="25"/>
  <c r="AK549" i="25"/>
  <c r="AJ159" i="25"/>
  <c r="AJ549" i="25"/>
  <c r="AL280" i="25"/>
  <c r="AL447" i="25"/>
  <c r="AL666" i="25"/>
  <c r="AL1086" i="25"/>
  <c r="AI349" i="25"/>
  <c r="AI87" i="25"/>
  <c r="AK174" i="25"/>
  <c r="AK275" i="25"/>
  <c r="AK447" i="25"/>
  <c r="AK1123" i="25"/>
  <c r="AK87" i="25"/>
  <c r="AL171" i="25"/>
  <c r="AK151" i="25"/>
  <c r="AK171" i="25"/>
  <c r="AK213" i="25"/>
  <c r="AI447" i="25"/>
  <c r="AI463" i="25"/>
  <c r="AK1122" i="25"/>
  <c r="AI186" i="25"/>
  <c r="AI1123" i="25"/>
  <c r="AL93" i="25"/>
  <c r="AL107" i="25"/>
  <c r="AL154" i="25"/>
  <c r="AL168" i="25"/>
  <c r="AL231" i="25"/>
  <c r="AL308" i="25"/>
  <c r="AL349" i="25"/>
  <c r="AL466" i="25"/>
  <c r="AF121" i="25"/>
  <c r="AK170" i="25"/>
  <c r="AK196" i="25"/>
  <c r="AK311" i="25"/>
  <c r="AK666" i="25"/>
  <c r="AK1086" i="25"/>
  <c r="AI151" i="25"/>
  <c r="AF79" i="25"/>
  <c r="AJ209" i="25"/>
  <c r="AI209" i="25"/>
  <c r="AF152" i="25"/>
  <c r="AF164" i="25"/>
  <c r="AF174" i="25"/>
  <c r="AF213" i="25"/>
  <c r="AF285" i="25"/>
  <c r="AJ2212" i="25"/>
  <c r="AJ981" i="25"/>
  <c r="AJ542" i="25"/>
  <c r="AJ470" i="25"/>
  <c r="AJ444" i="25"/>
  <c r="AJ274" i="25"/>
  <c r="AJ664" i="25"/>
  <c r="AJ620" i="25"/>
  <c r="AJ617" i="25"/>
  <c r="AJ441" i="25"/>
  <c r="AJ438" i="25"/>
  <c r="AJ407" i="25"/>
  <c r="AJ403" i="25"/>
  <c r="AJ385" i="25"/>
  <c r="AJ1776" i="25"/>
  <c r="AJ1613" i="25"/>
  <c r="AJ920" i="25"/>
  <c r="AJ716" i="25"/>
  <c r="AJ598" i="25"/>
  <c r="AJ575" i="25"/>
  <c r="AJ295" i="25"/>
  <c r="AJ166" i="25"/>
  <c r="AJ1176" i="25"/>
  <c r="AJ700" i="25"/>
  <c r="AJ341" i="25"/>
  <c r="AJ906" i="25"/>
  <c r="AJ902" i="25"/>
  <c r="AJ325" i="25"/>
  <c r="AJ160" i="25"/>
  <c r="AF118" i="25"/>
  <c r="AF700" i="25"/>
  <c r="AF341" i="25"/>
  <c r="AF906" i="25"/>
  <c r="AF902" i="25"/>
  <c r="AF325" i="25"/>
  <c r="AF160" i="25"/>
  <c r="AF981" i="25"/>
  <c r="AF542" i="25"/>
  <c r="AF470" i="25"/>
  <c r="AF444" i="25"/>
  <c r="AF274" i="25"/>
  <c r="AF664" i="25"/>
  <c r="AF620" i="25"/>
  <c r="AF617" i="25"/>
  <c r="AF441" i="25"/>
  <c r="AF438" i="25"/>
  <c r="AF407" i="25"/>
  <c r="AF403" i="25"/>
  <c r="AF385" i="25"/>
  <c r="AF1776" i="25"/>
  <c r="AF1613" i="25"/>
  <c r="AF920" i="25"/>
  <c r="AF716" i="25"/>
  <c r="AF598" i="25"/>
  <c r="AF575" i="25"/>
  <c r="AF295" i="25"/>
  <c r="AF166" i="25"/>
  <c r="AF1176" i="25"/>
  <c r="AF154" i="25"/>
  <c r="AF168" i="25"/>
  <c r="AF231" i="25"/>
  <c r="AF308" i="25"/>
  <c r="AF349" i="25"/>
  <c r="AF466" i="25"/>
  <c r="AF599" i="25"/>
  <c r="AL151" i="25"/>
  <c r="AL1776" i="25"/>
  <c r="AL1613" i="25"/>
  <c r="AL920" i="25"/>
  <c r="AL716" i="25"/>
  <c r="AL598" i="25"/>
  <c r="AL575" i="25"/>
  <c r="AL295" i="25"/>
  <c r="AL166" i="25"/>
  <c r="AL1176" i="25"/>
  <c r="AL700" i="25"/>
  <c r="AL341" i="25"/>
  <c r="AL906" i="25"/>
  <c r="AL902" i="25"/>
  <c r="AL325" i="25"/>
  <c r="AL160" i="25"/>
  <c r="AL981" i="25"/>
  <c r="AL542" i="25"/>
  <c r="AL470" i="25"/>
  <c r="AL444" i="25"/>
  <c r="AL274" i="25"/>
  <c r="AL664" i="25"/>
  <c r="AL620" i="25"/>
  <c r="AL617" i="25"/>
  <c r="AL441" i="25"/>
  <c r="AL438" i="25"/>
  <c r="AL407" i="25"/>
  <c r="AL403" i="25"/>
  <c r="AL385" i="25"/>
  <c r="AK117" i="25"/>
  <c r="AK664" i="25"/>
  <c r="AK620" i="25"/>
  <c r="AK617" i="25"/>
  <c r="AK441" i="25"/>
  <c r="AK438" i="25"/>
  <c r="AK407" i="25"/>
  <c r="AK403" i="25"/>
  <c r="AK385" i="25"/>
  <c r="AK1776" i="25"/>
  <c r="AK1613" i="25"/>
  <c r="AK920" i="25"/>
  <c r="AK716" i="25"/>
  <c r="AK598" i="25"/>
  <c r="AK575" i="25"/>
  <c r="AK295" i="25"/>
  <c r="AK166" i="25"/>
  <c r="AK1176" i="25"/>
  <c r="AK700" i="25"/>
  <c r="AK341" i="25"/>
  <c r="AK906" i="25"/>
  <c r="AK902" i="25"/>
  <c r="AK325" i="25"/>
  <c r="AK160" i="25"/>
  <c r="AK981" i="25"/>
  <c r="AK542" i="25"/>
  <c r="AK470" i="25"/>
  <c r="AK444" i="25"/>
  <c r="AK274" i="25"/>
  <c r="AJ73" i="25"/>
  <c r="AK285" i="25"/>
  <c r="AK464" i="25"/>
  <c r="AK1124" i="25"/>
  <c r="AF73" i="25"/>
  <c r="AJ280" i="25"/>
  <c r="AJ985" i="25"/>
  <c r="AL120" i="25"/>
  <c r="AF170" i="25"/>
  <c r="AF196" i="25"/>
  <c r="AF311" i="25"/>
  <c r="AF666" i="25"/>
  <c r="AF1086" i="25"/>
  <c r="AK79" i="25"/>
  <c r="AL152" i="25"/>
  <c r="AL164" i="25"/>
  <c r="AL174" i="25"/>
  <c r="AL213" i="25"/>
  <c r="AL285" i="25"/>
  <c r="AL464" i="25"/>
  <c r="AL1124" i="25"/>
  <c r="AK153" i="25"/>
  <c r="AK165" i="25"/>
  <c r="AK186" i="25"/>
  <c r="AK226" i="25"/>
  <c r="AK292" i="25"/>
  <c r="AK347" i="25"/>
  <c r="AK465" i="25"/>
  <c r="AK558" i="25"/>
  <c r="AF93" i="25"/>
  <c r="AJ107" i="25"/>
  <c r="AJ171" i="25"/>
  <c r="AJ313" i="25"/>
  <c r="AJ1122" i="25"/>
  <c r="AF159" i="25"/>
  <c r="AF171" i="25"/>
  <c r="AF209" i="25"/>
  <c r="AF275" i="25"/>
  <c r="AF313" i="25"/>
  <c r="AF447" i="25"/>
  <c r="AF549" i="25"/>
  <c r="AF1122" i="25"/>
  <c r="AK74" i="25"/>
  <c r="AI468" i="25"/>
  <c r="AI906" i="25"/>
  <c r="AI902" i="25"/>
  <c r="AI325" i="25"/>
  <c r="AI160" i="25"/>
  <c r="AI981" i="25"/>
  <c r="AI542" i="25"/>
  <c r="AI470" i="25"/>
  <c r="AI444" i="25"/>
  <c r="AI274" i="25"/>
  <c r="AI664" i="25"/>
  <c r="AI620" i="25"/>
  <c r="AI617" i="25"/>
  <c r="AI441" i="25"/>
  <c r="AI438" i="25"/>
  <c r="AI407" i="25"/>
  <c r="AI403" i="25"/>
  <c r="AI385" i="25"/>
  <c r="AI1776" i="25"/>
  <c r="AI1613" i="25"/>
  <c r="AI920" i="25"/>
  <c r="AI716" i="25"/>
  <c r="AI598" i="25"/>
  <c r="AI575" i="25"/>
  <c r="AI295" i="25"/>
  <c r="AI166" i="25"/>
  <c r="AI1176" i="25"/>
  <c r="AI700" i="25"/>
  <c r="AI341" i="25"/>
  <c r="AF120" i="25"/>
  <c r="AL153" i="25"/>
  <c r="AL165" i="25"/>
  <c r="AL186" i="25"/>
  <c r="AL226" i="25"/>
  <c r="AL292" i="25"/>
  <c r="AL347" i="25"/>
  <c r="AL465" i="25"/>
  <c r="AL558" i="25"/>
  <c r="AK121" i="25"/>
  <c r="AK154" i="25"/>
  <c r="AK168" i="25"/>
  <c r="AK231" i="25"/>
  <c r="AK308" i="25"/>
  <c r="AK349" i="25"/>
  <c r="AK466" i="25"/>
  <c r="AK599" i="25"/>
  <c r="AF87" i="25"/>
  <c r="AJ330" i="25"/>
  <c r="AJ1123" i="25"/>
  <c r="AI347" i="25"/>
  <c r="AF107" i="25"/>
  <c r="AF151" i="25"/>
  <c r="AF211" i="25"/>
  <c r="AF280" i="25"/>
  <c r="AF330" i="25"/>
  <c r="AF463" i="25"/>
  <c r="AF985" i="25"/>
  <c r="AK73" i="25"/>
  <c r="AI196" i="25"/>
  <c r="AI120" i="25"/>
  <c r="AI121" i="25"/>
  <c r="AI330" i="25"/>
  <c r="AI173" i="25"/>
  <c r="AI78" i="25"/>
  <c r="AI313" i="25"/>
  <c r="AI171" i="25"/>
  <c r="AI558" i="25"/>
  <c r="AI704" i="25"/>
  <c r="AI912" i="25"/>
  <c r="AI1003" i="25"/>
  <c r="AI1545" i="25"/>
  <c r="AI2064" i="25"/>
  <c r="AI2295" i="25"/>
  <c r="AI443" i="25"/>
  <c r="AI174" i="25"/>
  <c r="AK93" i="25"/>
  <c r="AI118" i="25"/>
  <c r="AI308" i="25"/>
  <c r="AI168" i="25"/>
  <c r="AI74" i="25"/>
  <c r="AI107" i="25"/>
  <c r="AI292" i="25"/>
  <c r="AI165" i="25"/>
  <c r="AI117" i="25"/>
  <c r="AI599" i="25"/>
  <c r="AI769" i="25"/>
  <c r="AI946" i="25"/>
  <c r="AI1070" i="25"/>
  <c r="AI1936" i="25"/>
  <c r="AI2211" i="25"/>
  <c r="AI2388" i="25"/>
  <c r="AI343" i="25"/>
  <c r="AI170" i="25"/>
  <c r="AI280" i="25"/>
  <c r="AI163" i="25"/>
  <c r="AI106" i="25"/>
  <c r="AI73" i="25"/>
  <c r="AI275" i="25"/>
  <c r="AI159" i="25"/>
  <c r="AI666" i="25"/>
  <c r="AI898" i="25"/>
  <c r="AI948" i="25"/>
  <c r="AI1086" i="25"/>
  <c r="AI1958" i="25"/>
  <c r="AI2212" i="25"/>
  <c r="AI311" i="25"/>
  <c r="AI164" i="25"/>
  <c r="AI466" i="25"/>
  <c r="AI231" i="25"/>
  <c r="AI154" i="25"/>
  <c r="AI93" i="25"/>
  <c r="AI465" i="25"/>
  <c r="AI226" i="25"/>
  <c r="AI153" i="25"/>
  <c r="AI549" i="25"/>
  <c r="AI669" i="25"/>
  <c r="AI901" i="25"/>
  <c r="AI984" i="25"/>
  <c r="AI1122" i="25"/>
  <c r="AI2020" i="25"/>
  <c r="AI2215" i="25"/>
  <c r="AI285" i="25"/>
  <c r="AI158" i="25"/>
  <c r="AJ93" i="25"/>
  <c r="AJ118" i="25"/>
  <c r="AJ152" i="25"/>
  <c r="AJ164" i="25"/>
  <c r="AJ174" i="25"/>
  <c r="AJ213" i="25"/>
  <c r="AJ285" i="25"/>
  <c r="AJ343" i="25"/>
  <c r="AJ464" i="25"/>
  <c r="AJ552" i="25"/>
  <c r="AJ703" i="25"/>
  <c r="AJ910" i="25"/>
  <c r="AJ987" i="25"/>
  <c r="AJ1124" i="25"/>
  <c r="AJ2063" i="25"/>
  <c r="AJ2245" i="25"/>
  <c r="AI464" i="25"/>
  <c r="AI213" i="25"/>
  <c r="AI152" i="25"/>
  <c r="AK78" i="25"/>
  <c r="AJ87" i="25"/>
  <c r="AJ120" i="25"/>
  <c r="AJ153" i="25"/>
  <c r="AJ165" i="25"/>
  <c r="AJ186" i="25"/>
  <c r="AJ226" i="25"/>
  <c r="AJ292" i="25"/>
  <c r="AJ347" i="25"/>
  <c r="AJ465" i="25"/>
  <c r="AJ558" i="25"/>
  <c r="AJ704" i="25"/>
  <c r="AJ912" i="25"/>
  <c r="AJ1003" i="25"/>
  <c r="AJ1545" i="25"/>
  <c r="AJ2064" i="25"/>
  <c r="AJ2295" i="25"/>
  <c r="AJ79" i="25"/>
  <c r="AJ121" i="25"/>
  <c r="AJ154" i="25"/>
  <c r="AJ168" i="25"/>
  <c r="AJ193" i="25"/>
  <c r="AJ231" i="25"/>
  <c r="AJ308" i="25"/>
  <c r="AJ349" i="25"/>
  <c r="AJ466" i="25"/>
  <c r="AJ599" i="25"/>
  <c r="AJ769" i="25"/>
  <c r="AJ946" i="25"/>
  <c r="AJ1070" i="25"/>
  <c r="AJ1936" i="25"/>
  <c r="AJ2211" i="25"/>
  <c r="AJ2388" i="25"/>
  <c r="AJ78" i="25"/>
  <c r="AJ106" i="25"/>
  <c r="AJ122" i="25"/>
  <c r="AJ158" i="25"/>
  <c r="AJ170" i="25"/>
  <c r="AJ196" i="25"/>
  <c r="AJ269" i="25"/>
  <c r="AJ311" i="25"/>
  <c r="AJ443" i="25"/>
  <c r="AJ468" i="25"/>
  <c r="AJ666" i="25"/>
  <c r="AJ898" i="25"/>
  <c r="AJ948" i="25"/>
  <c r="AJ1086" i="25"/>
  <c r="AJ1958" i="25"/>
  <c r="AF1123" i="25"/>
  <c r="AF2055" i="25"/>
  <c r="AF2216" i="25"/>
  <c r="AL121" i="25"/>
  <c r="AL78" i="25"/>
  <c r="AF1124" i="25"/>
  <c r="AF2063" i="25"/>
  <c r="AF2245" i="25"/>
  <c r="AL87" i="25"/>
  <c r="AL106" i="25"/>
  <c r="AL74" i="25"/>
  <c r="AF2211" i="25"/>
  <c r="AF2388" i="25"/>
  <c r="AL79" i="25"/>
  <c r="AF2212" i="25"/>
  <c r="AL73" i="25"/>
</calcChain>
</file>

<file path=xl/sharedStrings.xml><?xml version="1.0" encoding="utf-8"?>
<sst xmlns="http://schemas.openxmlformats.org/spreadsheetml/2006/main" count="16786" uniqueCount="5765">
  <si>
    <t>商品コード</t>
  </si>
  <si>
    <t>商品名</t>
  </si>
  <si>
    <t>NWA</t>
  </si>
  <si>
    <t>ZOZO</t>
  </si>
  <si>
    <t>名古屋</t>
  </si>
  <si>
    <t>丸井web</t>
  </si>
  <si>
    <t>YSEC</t>
  </si>
  <si>
    <t>Ovik Organic Printed T-Shirts W</t>
  </si>
  <si>
    <t>08164205AS</t>
  </si>
  <si>
    <t>08164509AM</t>
  </si>
  <si>
    <t>08164509AS</t>
  </si>
  <si>
    <t>08164509AXS</t>
  </si>
  <si>
    <t>08180550A42</t>
  </si>
  <si>
    <t>Abisko H-loft Trekking Trousers</t>
  </si>
  <si>
    <t>08180550A44</t>
  </si>
  <si>
    <t>08186550A32</t>
  </si>
  <si>
    <t>Barents Pro Stretch Trousers W</t>
  </si>
  <si>
    <t>08186550A34</t>
  </si>
  <si>
    <t>08186550A36</t>
  </si>
  <si>
    <t>21758160X</t>
  </si>
  <si>
    <t>Rucksack No.21 Mini</t>
  </si>
  <si>
    <t>21758320X</t>
  </si>
  <si>
    <t>21758519X</t>
  </si>
  <si>
    <t>21758539X</t>
  </si>
  <si>
    <t>21758550X</t>
  </si>
  <si>
    <t>21758560X</t>
  </si>
  <si>
    <t>21758602X</t>
  </si>
  <si>
    <t>21758620X</t>
  </si>
  <si>
    <t>23058293X</t>
  </si>
  <si>
    <t>Ovik Backpack 15L</t>
  </si>
  <si>
    <t>23058325X</t>
  </si>
  <si>
    <t>23058550X</t>
  </si>
  <si>
    <t>23058620X</t>
  </si>
  <si>
    <t>23058633X</t>
  </si>
  <si>
    <t>23059220X</t>
  </si>
  <si>
    <t>Ovik Backpack 20L</t>
  </si>
  <si>
    <t>23059293X</t>
  </si>
  <si>
    <t>23059550X</t>
  </si>
  <si>
    <t>23059620X</t>
  </si>
  <si>
    <t>23059633X</t>
  </si>
  <si>
    <t>23137018-550X</t>
  </si>
  <si>
    <t>Greenland Backpack Small</t>
  </si>
  <si>
    <t>23137215X</t>
  </si>
  <si>
    <t>23137255-220X</t>
  </si>
  <si>
    <t>23137293X</t>
  </si>
  <si>
    <t>23137330X</t>
  </si>
  <si>
    <t>23137420X</t>
  </si>
  <si>
    <t>23137550X</t>
  </si>
  <si>
    <t>23137555-520X</t>
  </si>
  <si>
    <t>23137555X</t>
  </si>
  <si>
    <t>23137620X</t>
  </si>
  <si>
    <t>23137633X</t>
  </si>
  <si>
    <t>23138018-550X</t>
  </si>
  <si>
    <t>Greenland Backpack Large</t>
  </si>
  <si>
    <t>23138255-220X</t>
  </si>
  <si>
    <t>23138525X</t>
  </si>
  <si>
    <t>23138550X</t>
  </si>
  <si>
    <t>23138555-520X</t>
  </si>
  <si>
    <t>Save the Arctic Fox Kanken</t>
  </si>
  <si>
    <t>23495580-462X</t>
  </si>
  <si>
    <t>Save the Arctic Fox Kanken Mini</t>
  </si>
  <si>
    <t>23496580-462X</t>
  </si>
  <si>
    <t>Chest Strap</t>
  </si>
  <si>
    <t>23500312X</t>
  </si>
  <si>
    <t>23500525X</t>
  </si>
  <si>
    <t>23500550X</t>
  </si>
  <si>
    <t>23501141X</t>
  </si>
  <si>
    <t>Chest Strap Long</t>
  </si>
  <si>
    <t>23501312X</t>
  </si>
  <si>
    <t>23501525X</t>
  </si>
  <si>
    <t>23501550X</t>
  </si>
  <si>
    <t>23502550X</t>
  </si>
  <si>
    <t>Kanken Photo Insert</t>
  </si>
  <si>
    <t>Kanken Shoulder Pads</t>
  </si>
  <si>
    <t>23503312X</t>
  </si>
  <si>
    <t>23503525X</t>
  </si>
  <si>
    <t>23504141X</t>
  </si>
  <si>
    <t>Kanken Mini Shoulder Pads</t>
  </si>
  <si>
    <t>23504312X</t>
  </si>
  <si>
    <t>23504326X</t>
  </si>
  <si>
    <t>23504525X</t>
  </si>
  <si>
    <t>23504550X</t>
  </si>
  <si>
    <t>23504560X</t>
  </si>
  <si>
    <t>23504580X</t>
  </si>
  <si>
    <t>23504660X</t>
  </si>
  <si>
    <t>23510021X</t>
  </si>
  <si>
    <t>Kanken</t>
  </si>
  <si>
    <t>23510031-525X</t>
  </si>
  <si>
    <t>23510031X</t>
  </si>
  <si>
    <t>23510141-905X</t>
  </si>
  <si>
    <t>23510141X</t>
  </si>
  <si>
    <t>23510160X</t>
  </si>
  <si>
    <t>23510164X</t>
  </si>
  <si>
    <t>23510192X</t>
  </si>
  <si>
    <t>23510212-325X</t>
  </si>
  <si>
    <t>23510212X</t>
  </si>
  <si>
    <t>23510220X</t>
  </si>
  <si>
    <t>23510290X</t>
  </si>
  <si>
    <t>23510312-508X</t>
  </si>
  <si>
    <t>23510312X</t>
  </si>
  <si>
    <t>23510319X</t>
  </si>
  <si>
    <t>23510325-903X</t>
  </si>
  <si>
    <t>23510325X</t>
  </si>
  <si>
    <t>23510326-540X</t>
  </si>
  <si>
    <t>23510326X</t>
  </si>
  <si>
    <t>23510420X</t>
  </si>
  <si>
    <t>23510462X</t>
  </si>
  <si>
    <t>23510501X</t>
  </si>
  <si>
    <t>23510508X</t>
  </si>
  <si>
    <t>23510519X</t>
  </si>
  <si>
    <t>23510525-141X</t>
  </si>
  <si>
    <t>23510525-560X</t>
  </si>
  <si>
    <t>23510525X</t>
  </si>
  <si>
    <t>23510539X</t>
  </si>
  <si>
    <t>23510540-326X</t>
  </si>
  <si>
    <t>23510540-902X</t>
  </si>
  <si>
    <t>23510540X</t>
  </si>
  <si>
    <t>23510550-901X</t>
  </si>
  <si>
    <t>23510550X</t>
  </si>
  <si>
    <t>23510560-141X</t>
  </si>
  <si>
    <t>23510560X</t>
  </si>
  <si>
    <t>23510580-465X</t>
  </si>
  <si>
    <t>23510580X</t>
  </si>
  <si>
    <t>23510606X</t>
  </si>
  <si>
    <t>23510609X</t>
  </si>
  <si>
    <t>23510615-212X</t>
  </si>
  <si>
    <t>23510615X</t>
  </si>
  <si>
    <t>23510620X</t>
  </si>
  <si>
    <t>23510645X</t>
  </si>
  <si>
    <t>23510660-326X</t>
  </si>
  <si>
    <t>23510660X</t>
  </si>
  <si>
    <t>23510664-319X</t>
  </si>
  <si>
    <t>23510664-904X</t>
  </si>
  <si>
    <t>23510664X</t>
  </si>
  <si>
    <t>Re-Kanken</t>
  </si>
  <si>
    <t>23548142X</t>
  </si>
  <si>
    <t>23548309X</t>
  </si>
  <si>
    <t>23548320X</t>
  </si>
  <si>
    <t>23548326X</t>
  </si>
  <si>
    <t>23548463X</t>
  </si>
  <si>
    <t>23548525X</t>
  </si>
  <si>
    <t>23548550X</t>
  </si>
  <si>
    <t>23548558X</t>
  </si>
  <si>
    <t>23548607X</t>
  </si>
  <si>
    <t>23548633X</t>
  </si>
  <si>
    <t>23548644X</t>
  </si>
  <si>
    <t>23549041X</t>
  </si>
  <si>
    <t>Re-Kanken Mini</t>
  </si>
  <si>
    <t>23549142X</t>
  </si>
  <si>
    <t>23549309X</t>
  </si>
  <si>
    <t>23549320X</t>
  </si>
  <si>
    <t>23549326X</t>
  </si>
  <si>
    <t>23549463X</t>
  </si>
  <si>
    <t>23549525X</t>
  </si>
  <si>
    <t>23549550X</t>
  </si>
  <si>
    <t>23549558X</t>
  </si>
  <si>
    <t>23549607X</t>
  </si>
  <si>
    <t>23549633X</t>
  </si>
  <si>
    <t>23549644X</t>
  </si>
  <si>
    <t>23551141X</t>
  </si>
  <si>
    <t>Kanken Kids</t>
  </si>
  <si>
    <t>23551212X</t>
  </si>
  <si>
    <t>23551319X</t>
  </si>
  <si>
    <t>23551325X</t>
  </si>
  <si>
    <t>23551326-540X</t>
  </si>
  <si>
    <t>23551462X</t>
  </si>
  <si>
    <t>23551501X</t>
  </si>
  <si>
    <t>23551525X</t>
  </si>
  <si>
    <t>23551580X</t>
  </si>
  <si>
    <t>23551615X</t>
  </si>
  <si>
    <t>23551664-319X</t>
  </si>
  <si>
    <t>23561021X</t>
  </si>
  <si>
    <t>Kanken Mini</t>
  </si>
  <si>
    <t>23561031-525X</t>
  </si>
  <si>
    <t>23561031X</t>
  </si>
  <si>
    <t>23561141X</t>
  </si>
  <si>
    <t>23561160X</t>
  </si>
  <si>
    <t>23561164X</t>
  </si>
  <si>
    <t>23561212-325X</t>
  </si>
  <si>
    <t>23561212X</t>
  </si>
  <si>
    <t>23561290X</t>
  </si>
  <si>
    <t>23561312-508X</t>
  </si>
  <si>
    <t>23561312X</t>
  </si>
  <si>
    <t>23561319X</t>
  </si>
  <si>
    <t>23561325-903X</t>
  </si>
  <si>
    <t>23561325X</t>
  </si>
  <si>
    <t>23561326-540X</t>
  </si>
  <si>
    <t>23561326X</t>
  </si>
  <si>
    <t>23561420X</t>
  </si>
  <si>
    <t>23561462X</t>
  </si>
  <si>
    <t>23561501X</t>
  </si>
  <si>
    <t>23561508X</t>
  </si>
  <si>
    <t>23561519X</t>
  </si>
  <si>
    <t>23561525-141X</t>
  </si>
  <si>
    <t>23561525-560X</t>
  </si>
  <si>
    <t>23561525X</t>
  </si>
  <si>
    <t>23561539X</t>
  </si>
  <si>
    <t>23561540-326X</t>
  </si>
  <si>
    <t>23561540-902X</t>
  </si>
  <si>
    <t>23561540X</t>
  </si>
  <si>
    <t>23561550-326X</t>
  </si>
  <si>
    <t>23561550-901X</t>
  </si>
  <si>
    <t>23561550X</t>
  </si>
  <si>
    <t>23561560-141X</t>
  </si>
  <si>
    <t>23561560X</t>
  </si>
  <si>
    <t>23561580-465X</t>
  </si>
  <si>
    <t>23561580X</t>
  </si>
  <si>
    <t>23561606X</t>
  </si>
  <si>
    <t>23561615-212X</t>
  </si>
  <si>
    <t>23561615X</t>
  </si>
  <si>
    <t>23561620X</t>
  </si>
  <si>
    <t>23561645X</t>
  </si>
  <si>
    <t>23561660-326X</t>
  </si>
  <si>
    <t>23561660X</t>
  </si>
  <si>
    <t>23561664-319X</t>
  </si>
  <si>
    <t>23561664-904X</t>
  </si>
  <si>
    <t>23561664X</t>
  </si>
  <si>
    <t>Kanken Big</t>
  </si>
  <si>
    <t>23563580X</t>
  </si>
  <si>
    <t>23565205X</t>
  </si>
  <si>
    <t>Kanken No.2</t>
  </si>
  <si>
    <t>23565215X</t>
  </si>
  <si>
    <t>23565220X</t>
  </si>
  <si>
    <t>23565293X</t>
  </si>
  <si>
    <t>23565325X</t>
  </si>
  <si>
    <t>23565420X</t>
  </si>
  <si>
    <t>23565519X</t>
  </si>
  <si>
    <t>23565539X</t>
  </si>
  <si>
    <t>23565550X</t>
  </si>
  <si>
    <t>23565560X</t>
  </si>
  <si>
    <t>23565590X</t>
  </si>
  <si>
    <t>23565620X</t>
  </si>
  <si>
    <t>23565633X</t>
  </si>
  <si>
    <t>23567550X</t>
  </si>
  <si>
    <t>Kanken No. 2 Black</t>
  </si>
  <si>
    <t>23568550X</t>
  </si>
  <si>
    <t>Kanken No.2 Laptop 15  Black</t>
  </si>
  <si>
    <t>Kanken No.2 Laptop 15</t>
  </si>
  <si>
    <t>23569325X</t>
  </si>
  <si>
    <t>23569420X</t>
  </si>
  <si>
    <t>23569519X</t>
  </si>
  <si>
    <t>23569560X</t>
  </si>
  <si>
    <t>23569590X</t>
  </si>
  <si>
    <t>23569633X</t>
  </si>
  <si>
    <t>Duffel No.4</t>
  </si>
  <si>
    <t>24200620X</t>
  </si>
  <si>
    <t>24201255-220X</t>
  </si>
  <si>
    <t>Duffel No.4 Large</t>
  </si>
  <si>
    <t>24201550X</t>
  </si>
  <si>
    <t>24201555-520X</t>
  </si>
  <si>
    <t>24201620X</t>
  </si>
  <si>
    <t>Totepack No.1</t>
  </si>
  <si>
    <t>24203160X</t>
  </si>
  <si>
    <t>24203420X</t>
  </si>
  <si>
    <t>24203519X</t>
  </si>
  <si>
    <t>24203550X</t>
  </si>
  <si>
    <t>24203560X</t>
  </si>
  <si>
    <t>24203580X</t>
  </si>
  <si>
    <t>24203620X</t>
  </si>
  <si>
    <t>24203647X</t>
  </si>
  <si>
    <t>24204220X</t>
  </si>
  <si>
    <t>Rucksack No.21 Small</t>
  </si>
  <si>
    <t>24204255-220X</t>
  </si>
  <si>
    <t>24204293X</t>
  </si>
  <si>
    <t>24204320X</t>
  </si>
  <si>
    <t>24204356X</t>
  </si>
  <si>
    <t>24204420X</t>
  </si>
  <si>
    <t>24204519X</t>
  </si>
  <si>
    <t>24204539X</t>
  </si>
  <si>
    <t>24204550X</t>
  </si>
  <si>
    <t>24204555-520X</t>
  </si>
  <si>
    <t>24204560X</t>
  </si>
  <si>
    <t>24204602X</t>
  </si>
  <si>
    <t>24204633X</t>
  </si>
  <si>
    <t>24205018-550X</t>
  </si>
  <si>
    <t>Rucksack No.21 Medium</t>
  </si>
  <si>
    <t>24205220X</t>
  </si>
  <si>
    <t>24205255-220X</t>
  </si>
  <si>
    <t>24205293X</t>
  </si>
  <si>
    <t>24205320X</t>
  </si>
  <si>
    <t>24205420X</t>
  </si>
  <si>
    <t>24205519X</t>
  </si>
  <si>
    <t>24205539X</t>
  </si>
  <si>
    <t>24205550X</t>
  </si>
  <si>
    <t>24205555-520X</t>
  </si>
  <si>
    <t>24205560X</t>
  </si>
  <si>
    <t>24205602X</t>
  </si>
  <si>
    <t>24205620X</t>
  </si>
  <si>
    <t>24205633X</t>
  </si>
  <si>
    <t>24206255-220X</t>
  </si>
  <si>
    <t>Rucksack No.21 Large</t>
  </si>
  <si>
    <t>24206293X</t>
  </si>
  <si>
    <t>24206420X</t>
  </si>
  <si>
    <t>24206519X</t>
  </si>
  <si>
    <t>24206550X</t>
  </si>
  <si>
    <t>24206555-520X</t>
  </si>
  <si>
    <t>24206560X</t>
  </si>
  <si>
    <t>24210160X</t>
  </si>
  <si>
    <t>Foldsack No.1</t>
  </si>
  <si>
    <t>24210205X</t>
  </si>
  <si>
    <t>24210220X</t>
  </si>
  <si>
    <t>24210255-220X</t>
  </si>
  <si>
    <t>24210420X</t>
  </si>
  <si>
    <t>24210539X</t>
  </si>
  <si>
    <t>24210580X</t>
  </si>
  <si>
    <t>24210620X</t>
  </si>
  <si>
    <t>24210647X</t>
  </si>
  <si>
    <t>24213030X</t>
  </si>
  <si>
    <t>Gear Bag</t>
  </si>
  <si>
    <t>24213220X</t>
  </si>
  <si>
    <t>24213330X</t>
  </si>
  <si>
    <t>24213519X</t>
  </si>
  <si>
    <t>24213539X</t>
  </si>
  <si>
    <t>24213560X</t>
  </si>
  <si>
    <t>24213620X</t>
  </si>
  <si>
    <t>24214030X</t>
  </si>
  <si>
    <t>Gear Bag Large</t>
  </si>
  <si>
    <t>24214160X</t>
  </si>
  <si>
    <t>24214220X</t>
  </si>
  <si>
    <t>24214330X</t>
  </si>
  <si>
    <t>24214519X</t>
  </si>
  <si>
    <t>24214539X</t>
  </si>
  <si>
    <t>24214560X</t>
  </si>
  <si>
    <t>24214620X</t>
  </si>
  <si>
    <t>24214633X</t>
  </si>
  <si>
    <t>24215030X</t>
  </si>
  <si>
    <t>Gear Pocket</t>
  </si>
  <si>
    <t>24215160X</t>
  </si>
  <si>
    <t>24215220X</t>
  </si>
  <si>
    <t>24215330X</t>
  </si>
  <si>
    <t>24215519X</t>
  </si>
  <si>
    <t>24215560X</t>
  </si>
  <si>
    <t>24215620X</t>
  </si>
  <si>
    <t>24215633X</t>
  </si>
  <si>
    <t>Zip Wallet</t>
  </si>
  <si>
    <t>24216420X</t>
  </si>
  <si>
    <t>24216519X</t>
  </si>
  <si>
    <t>24216560X</t>
  </si>
  <si>
    <t>24216620X</t>
  </si>
  <si>
    <t>24218030X</t>
  </si>
  <si>
    <t>Zip Card Holder</t>
  </si>
  <si>
    <t>24218160X</t>
  </si>
  <si>
    <t>24218325X</t>
  </si>
  <si>
    <t>24218420X</t>
  </si>
  <si>
    <t>24218519X</t>
  </si>
  <si>
    <t>24218539X</t>
  </si>
  <si>
    <t>24218560X</t>
  </si>
  <si>
    <t>24218620X</t>
  </si>
  <si>
    <t>24218633X</t>
  </si>
  <si>
    <t>24219030X</t>
  </si>
  <si>
    <t>Travel Wallet</t>
  </si>
  <si>
    <t>24219420X</t>
  </si>
  <si>
    <t>24219560X</t>
  </si>
  <si>
    <t>24219620X</t>
  </si>
  <si>
    <t>24220030X</t>
  </si>
  <si>
    <t>Passport Wallet</t>
  </si>
  <si>
    <t>24220325X</t>
  </si>
  <si>
    <t>24220420X</t>
  </si>
  <si>
    <t>24220560X</t>
  </si>
  <si>
    <t>24220620X</t>
  </si>
  <si>
    <t>24221030X</t>
  </si>
  <si>
    <t>Pocket</t>
  </si>
  <si>
    <t>24221160X</t>
  </si>
  <si>
    <t>24221205X</t>
  </si>
  <si>
    <t>24221220X</t>
  </si>
  <si>
    <t>24221320X</t>
  </si>
  <si>
    <t>24221330X</t>
  </si>
  <si>
    <t>24221356X</t>
  </si>
  <si>
    <t>24221420X</t>
  </si>
  <si>
    <t>24221519X</t>
  </si>
  <si>
    <t>24221539X</t>
  </si>
  <si>
    <t>24221550X</t>
  </si>
  <si>
    <t>24221560X</t>
  </si>
  <si>
    <t>24221590X</t>
  </si>
  <si>
    <t>24221620X</t>
  </si>
  <si>
    <t>24221647X</t>
  </si>
  <si>
    <t>24222030X</t>
  </si>
  <si>
    <t>Laptop Case 13</t>
  </si>
  <si>
    <t>24222560X</t>
  </si>
  <si>
    <t>24223030X</t>
  </si>
  <si>
    <t>Laptop Case 15</t>
  </si>
  <si>
    <t>24223560X</t>
  </si>
  <si>
    <t>24224030X</t>
  </si>
  <si>
    <t>Tablet Case</t>
  </si>
  <si>
    <t>24224560X</t>
  </si>
  <si>
    <t>Foldsack No.3</t>
  </si>
  <si>
    <t>24225320X</t>
  </si>
  <si>
    <t>24225356X</t>
  </si>
  <si>
    <t>24225539X</t>
  </si>
  <si>
    <t>24225555-520X</t>
  </si>
  <si>
    <t>24225560X</t>
  </si>
  <si>
    <t>24225647X</t>
  </si>
  <si>
    <t>24229220X</t>
  </si>
  <si>
    <t>Totepack No.2</t>
  </si>
  <si>
    <t>24229293X</t>
  </si>
  <si>
    <t>24229356X</t>
  </si>
  <si>
    <t>24229420X</t>
  </si>
  <si>
    <t>24229519X</t>
  </si>
  <si>
    <t>24229550X</t>
  </si>
  <si>
    <t>24229560X</t>
  </si>
  <si>
    <t>24229580X</t>
  </si>
  <si>
    <t>24229620X</t>
  </si>
  <si>
    <t>24244330X</t>
  </si>
  <si>
    <t>Splitpack</t>
  </si>
  <si>
    <t>24244560X</t>
  </si>
  <si>
    <t>24244620X</t>
  </si>
  <si>
    <t>Splitpack Large</t>
  </si>
  <si>
    <t>24245550X</t>
  </si>
  <si>
    <t>24245560X</t>
  </si>
  <si>
    <t>24245620X</t>
  </si>
  <si>
    <t>24246560X</t>
  </si>
  <si>
    <t>Duffel No.6 Small</t>
  </si>
  <si>
    <t>24246620X</t>
  </si>
  <si>
    <t>24247560X</t>
  </si>
  <si>
    <t>Duffel No.6 Medium</t>
  </si>
  <si>
    <t>24247620X</t>
  </si>
  <si>
    <t>24248560X</t>
  </si>
  <si>
    <t>Duffel No.6 Large</t>
  </si>
  <si>
    <t>24248620X</t>
  </si>
  <si>
    <t>24250330X</t>
  </si>
  <si>
    <t>Kiruna Backpack Small</t>
  </si>
  <si>
    <t>24250590X</t>
  </si>
  <si>
    <t>24250620X</t>
  </si>
  <si>
    <t>24250633X</t>
  </si>
  <si>
    <t>24251330X</t>
  </si>
  <si>
    <t>Kiruna Backpack</t>
  </si>
  <si>
    <t>24251550X</t>
  </si>
  <si>
    <t>24251560X</t>
  </si>
  <si>
    <t>24251590X</t>
  </si>
  <si>
    <t>24251620X</t>
  </si>
  <si>
    <t>24251633X</t>
  </si>
  <si>
    <t>24260205X</t>
  </si>
  <si>
    <t>Kanken No.2 Mini</t>
  </si>
  <si>
    <t>24260312X</t>
  </si>
  <si>
    <t>24260325X</t>
  </si>
  <si>
    <t>24260420X</t>
  </si>
  <si>
    <t>24260519X</t>
  </si>
  <si>
    <t>24260560X</t>
  </si>
  <si>
    <t>24260590X</t>
  </si>
  <si>
    <t>24260620X</t>
  </si>
  <si>
    <t>24261550X</t>
  </si>
  <si>
    <t>Kanken No.2 Black Mini</t>
  </si>
  <si>
    <t>25513030X</t>
  </si>
  <si>
    <t>Travel Toiletry Bag</t>
  </si>
  <si>
    <t>25513330X</t>
  </si>
  <si>
    <t>25513560X</t>
  </si>
  <si>
    <t>25513620X</t>
  </si>
  <si>
    <t>25514330X</t>
  </si>
  <si>
    <t>Travel Pack</t>
  </si>
  <si>
    <t>25514550X</t>
  </si>
  <si>
    <t>25514560X</t>
  </si>
  <si>
    <t>25514620X</t>
  </si>
  <si>
    <t>26008525X</t>
  </si>
  <si>
    <t>Langfard 40</t>
  </si>
  <si>
    <t>26008550X</t>
  </si>
  <si>
    <t>26050160X</t>
  </si>
  <si>
    <t>Raven Mini</t>
  </si>
  <si>
    <t>26050312X</t>
  </si>
  <si>
    <t>26050314X</t>
  </si>
  <si>
    <t>26050320X</t>
  </si>
  <si>
    <t>26050525X</t>
  </si>
  <si>
    <t>26050580X</t>
  </si>
  <si>
    <t>26050602X</t>
  </si>
  <si>
    <t>26051160X</t>
  </si>
  <si>
    <t>Raven 20L</t>
  </si>
  <si>
    <t>26051330X</t>
  </si>
  <si>
    <t>26051420X</t>
  </si>
  <si>
    <t>26051519X</t>
  </si>
  <si>
    <t>26051539X</t>
  </si>
  <si>
    <t>26051550X</t>
  </si>
  <si>
    <t>26051560X</t>
  </si>
  <si>
    <t>26051580X</t>
  </si>
  <si>
    <t>26051602X</t>
  </si>
  <si>
    <t>26051633X</t>
  </si>
  <si>
    <t>26051638X</t>
  </si>
  <si>
    <t>26051647X</t>
  </si>
  <si>
    <t>26052160X</t>
  </si>
  <si>
    <t>Raven 28L</t>
  </si>
  <si>
    <t>26052220X</t>
  </si>
  <si>
    <t>26052330X</t>
  </si>
  <si>
    <t>26052519X</t>
  </si>
  <si>
    <t>26052539X</t>
  </si>
  <si>
    <t>26052550X</t>
  </si>
  <si>
    <t>26052560X</t>
  </si>
  <si>
    <t>26052580X</t>
  </si>
  <si>
    <t>26052602X</t>
  </si>
  <si>
    <t>26052633X</t>
  </si>
  <si>
    <t>26052638X</t>
  </si>
  <si>
    <t>27084018X</t>
  </si>
  <si>
    <t>Kaipak 28</t>
  </si>
  <si>
    <t>27084330X</t>
  </si>
  <si>
    <t>27084560X</t>
  </si>
  <si>
    <t>27084616X</t>
  </si>
  <si>
    <t>27085018X</t>
  </si>
  <si>
    <t>Kaipak 38</t>
  </si>
  <si>
    <t>27085616X</t>
  </si>
  <si>
    <t>27086018X</t>
  </si>
  <si>
    <t>Kaipak 58</t>
  </si>
  <si>
    <t>27086616X</t>
  </si>
  <si>
    <t>27087018X</t>
  </si>
  <si>
    <t>Kaipak 38 W</t>
  </si>
  <si>
    <t>27087330X</t>
  </si>
  <si>
    <t>27088018X</t>
  </si>
  <si>
    <t>Kaipak 58 W</t>
  </si>
  <si>
    <t>27095525X</t>
  </si>
  <si>
    <t>Kajka 75</t>
  </si>
  <si>
    <t>27095550X</t>
  </si>
  <si>
    <t>27120030X</t>
  </si>
  <si>
    <t>High Coast 18</t>
  </si>
  <si>
    <t>27120205X</t>
  </si>
  <si>
    <t>27120214X</t>
  </si>
  <si>
    <t>27120560X</t>
  </si>
  <si>
    <t>27121030X</t>
  </si>
  <si>
    <t>High Coast 24</t>
  </si>
  <si>
    <t>27121205X</t>
  </si>
  <si>
    <t>27121214X</t>
  </si>
  <si>
    <t>27121560X</t>
  </si>
  <si>
    <t>27122214X</t>
  </si>
  <si>
    <t>High Coast Trail 20</t>
  </si>
  <si>
    <t>27122550X</t>
  </si>
  <si>
    <t>27122560X</t>
  </si>
  <si>
    <t>27122580X</t>
  </si>
  <si>
    <t>27122620X</t>
  </si>
  <si>
    <t>27123214X</t>
  </si>
  <si>
    <t>High Coast Trail 26</t>
  </si>
  <si>
    <t>27123550X</t>
  </si>
  <si>
    <t>27123560X</t>
  </si>
  <si>
    <t>27123580X</t>
  </si>
  <si>
    <t>27123620X</t>
  </si>
  <si>
    <t>27124018X</t>
  </si>
  <si>
    <t>Abisko Hike 35</t>
  </si>
  <si>
    <t>27124214X</t>
  </si>
  <si>
    <t>27124525X</t>
  </si>
  <si>
    <t>27124620X</t>
  </si>
  <si>
    <t>27171031X</t>
  </si>
  <si>
    <t>27171220X</t>
  </si>
  <si>
    <t>27171312X</t>
  </si>
  <si>
    <t>27171326-540X</t>
  </si>
  <si>
    <t>27171326X</t>
  </si>
  <si>
    <t>27171420X</t>
  </si>
  <si>
    <t>27171519X</t>
  </si>
  <si>
    <t>27171539X</t>
  </si>
  <si>
    <t>27171540X</t>
  </si>
  <si>
    <t>27171550-326X</t>
  </si>
  <si>
    <t>27171550X</t>
  </si>
  <si>
    <t>27171580X</t>
  </si>
  <si>
    <t>27171615-212X</t>
  </si>
  <si>
    <t>27171615X</t>
  </si>
  <si>
    <t>27171620X</t>
  </si>
  <si>
    <t>27171660X</t>
  </si>
  <si>
    <t>27172312X</t>
  </si>
  <si>
    <t>27172326-540X</t>
  </si>
  <si>
    <t>27172326X</t>
  </si>
  <si>
    <t>27172420X</t>
  </si>
  <si>
    <t>27172519X</t>
  </si>
  <si>
    <t>27172539X</t>
  </si>
  <si>
    <t>27172540X</t>
  </si>
  <si>
    <t>27172550X</t>
  </si>
  <si>
    <t>27172580X</t>
  </si>
  <si>
    <t>27172615-212X</t>
  </si>
  <si>
    <t>27172615X</t>
  </si>
  <si>
    <t>27172620X</t>
  </si>
  <si>
    <t>27172660X</t>
  </si>
  <si>
    <t>27173031X</t>
  </si>
  <si>
    <t>27173312X</t>
  </si>
  <si>
    <t>27173326-540X</t>
  </si>
  <si>
    <t>27173326X</t>
  </si>
  <si>
    <t>27173420X</t>
  </si>
  <si>
    <t>27173519X</t>
  </si>
  <si>
    <t>27173539X</t>
  </si>
  <si>
    <t>27173540X</t>
  </si>
  <si>
    <t>27173550X</t>
  </si>
  <si>
    <t>27173580X</t>
  </si>
  <si>
    <t>27173615-212X</t>
  </si>
  <si>
    <t>27173615X</t>
  </si>
  <si>
    <t>27173620X</t>
  </si>
  <si>
    <t>27173660X</t>
  </si>
  <si>
    <t>27193018X</t>
  </si>
  <si>
    <t>Abisko 65</t>
  </si>
  <si>
    <t>27210018X</t>
  </si>
  <si>
    <t>Abisko Friluft 35</t>
  </si>
  <si>
    <t>27210214X</t>
  </si>
  <si>
    <t>27210525X</t>
  </si>
  <si>
    <t>27211018X</t>
  </si>
  <si>
    <t>Abisko Friluft 45</t>
  </si>
  <si>
    <t>27211214X</t>
  </si>
  <si>
    <t>27211525X</t>
  </si>
  <si>
    <t>27212018X</t>
  </si>
  <si>
    <t>Abisko Friluft 35 W</t>
  </si>
  <si>
    <t>27212525X</t>
  </si>
  <si>
    <t>27220633X</t>
  </si>
  <si>
    <t>Lappland Friluft 45</t>
  </si>
  <si>
    <t>53103525X</t>
  </si>
  <si>
    <t>Abisko Endurance 3</t>
  </si>
  <si>
    <t>53104220X</t>
  </si>
  <si>
    <t>Abisco Endurance 4</t>
  </si>
  <si>
    <t>53301525X</t>
  </si>
  <si>
    <t>Abisko Lite 1</t>
  </si>
  <si>
    <t>Abisko View 2</t>
  </si>
  <si>
    <t>53502525X</t>
  </si>
  <si>
    <t>Abisko Dome 2</t>
  </si>
  <si>
    <t>53503525X</t>
  </si>
  <si>
    <t>Abisko Dome 3</t>
  </si>
  <si>
    <t>53603525X</t>
  </si>
  <si>
    <t>Keb Endurance 3</t>
  </si>
  <si>
    <t>53604525X</t>
  </si>
  <si>
    <t>Keb Endurance 4</t>
  </si>
  <si>
    <t>53605212X</t>
  </si>
  <si>
    <t>Polar Endurance 3</t>
  </si>
  <si>
    <t>53702525X</t>
  </si>
  <si>
    <t>Keb Dome 2</t>
  </si>
  <si>
    <t>53703525X</t>
  </si>
  <si>
    <t>Keb Dome 3</t>
  </si>
  <si>
    <t>62722554X</t>
  </si>
  <si>
    <t>Singi - Two Seasons Regular</t>
  </si>
  <si>
    <t>62724554X</t>
  </si>
  <si>
    <t>Singi - Three Seasons Regular</t>
  </si>
  <si>
    <t>Merano Canvasbelt</t>
  </si>
  <si>
    <t>Canvas Belt</t>
  </si>
  <si>
    <t>77029220X</t>
  </si>
  <si>
    <t>77029550X</t>
  </si>
  <si>
    <t>77029620X</t>
  </si>
  <si>
    <t>77029633X</t>
  </si>
  <si>
    <t>77029647X</t>
  </si>
  <si>
    <t>Ovik Melange Beanie</t>
  </si>
  <si>
    <t>Abisko Pack Cap</t>
  </si>
  <si>
    <t>Ovik Flat Cap</t>
  </si>
  <si>
    <t>77274021XL</t>
  </si>
  <si>
    <t>77274220XL</t>
  </si>
  <si>
    <t>77276633X</t>
  </si>
  <si>
    <t>Ovik Blanket</t>
  </si>
  <si>
    <t>Singi Trekking Cap</t>
  </si>
  <si>
    <t>Singi Belt 2.5cm</t>
  </si>
  <si>
    <t>Singi Balaclava Cap</t>
  </si>
  <si>
    <t>77291555X</t>
  </si>
  <si>
    <t>77294030L</t>
  </si>
  <si>
    <t>Singi Winter Cap</t>
  </si>
  <si>
    <t>77294030M</t>
  </si>
  <si>
    <t>77294555L</t>
  </si>
  <si>
    <t>77294555M</t>
  </si>
  <si>
    <t>77295550L</t>
  </si>
  <si>
    <t>Singi Field Cap</t>
  </si>
  <si>
    <t>77295550M</t>
  </si>
  <si>
    <t>77295633M</t>
  </si>
  <si>
    <t>77297032X</t>
  </si>
  <si>
    <t>Canvas Brass Belt 4 cm</t>
  </si>
  <si>
    <t>77297284X</t>
  </si>
  <si>
    <t>77297550X</t>
  </si>
  <si>
    <t>77297555X</t>
  </si>
  <si>
    <t>77297633X</t>
  </si>
  <si>
    <t>Canvas Brass Belt 3 cm</t>
  </si>
  <si>
    <t>77298550X</t>
  </si>
  <si>
    <t>Woodsman Cap</t>
  </si>
  <si>
    <t>77301550M</t>
  </si>
  <si>
    <t>77301633M</t>
  </si>
  <si>
    <t>Singi Heater</t>
  </si>
  <si>
    <t>77302030M</t>
  </si>
  <si>
    <t>77302633L</t>
  </si>
  <si>
    <t>77307249X</t>
  </si>
  <si>
    <t>Ovik Wallet</t>
  </si>
  <si>
    <t>77316550X</t>
  </si>
  <si>
    <t>Keb Trekking Belt</t>
  </si>
  <si>
    <t>77316633X</t>
  </si>
  <si>
    <t>77352030X</t>
  </si>
  <si>
    <t>G1000 Seat Pad</t>
  </si>
  <si>
    <t>77352620X</t>
  </si>
  <si>
    <t>Helags Cap</t>
  </si>
  <si>
    <t>Helags cap</t>
  </si>
  <si>
    <t>77357519L/XL</t>
  </si>
  <si>
    <t>77357647L/XL</t>
  </si>
  <si>
    <t>77357647S/M</t>
  </si>
  <si>
    <t>77358030L/XL</t>
  </si>
  <si>
    <t>Ovik Wool Cap</t>
  </si>
  <si>
    <t>77358555L/XL</t>
  </si>
  <si>
    <t>77359356X</t>
  </si>
  <si>
    <t>Logo Head Band</t>
  </si>
  <si>
    <t>77359550X</t>
  </si>
  <si>
    <t>77362249X</t>
  </si>
  <si>
    <t>Leather Luggage Tag</t>
  </si>
  <si>
    <t>77363249X</t>
  </si>
  <si>
    <t>Leather Passport Cover</t>
  </si>
  <si>
    <t>High Coast Vent Cap</t>
  </si>
  <si>
    <t>77367214L/XL</t>
  </si>
  <si>
    <t>77367214S/M</t>
  </si>
  <si>
    <t>77367555L/XL</t>
  </si>
  <si>
    <t>77367555S/M</t>
  </si>
  <si>
    <t>77368230X</t>
  </si>
  <si>
    <t>Classic Knit Hat</t>
  </si>
  <si>
    <t>77368633X</t>
  </si>
  <si>
    <t>77372550X</t>
  </si>
  <si>
    <t>Keb Stormblocker Beanie</t>
  </si>
  <si>
    <t>77376356X</t>
  </si>
  <si>
    <t>Re Wool Hat</t>
  </si>
  <si>
    <t>77376555X</t>
  </si>
  <si>
    <t>77376633X</t>
  </si>
  <si>
    <t>77376664X</t>
  </si>
  <si>
    <t>77377030X</t>
  </si>
  <si>
    <t>Braided Knit Hat</t>
  </si>
  <si>
    <t>77377113X</t>
  </si>
  <si>
    <t>77377356X</t>
  </si>
  <si>
    <t>77378021X</t>
  </si>
  <si>
    <t>Snow Ball Hat</t>
  </si>
  <si>
    <t>77378638X</t>
  </si>
  <si>
    <t>77379030X</t>
  </si>
  <si>
    <t>Ovik Folk Knit Beanie</t>
  </si>
  <si>
    <t>77379555X</t>
  </si>
  <si>
    <t>77380020X</t>
  </si>
  <si>
    <t>Rib Beanie</t>
  </si>
  <si>
    <t>77380246X</t>
  </si>
  <si>
    <t>77380646X</t>
  </si>
  <si>
    <t>77381030X</t>
  </si>
  <si>
    <t>Two-Tone Rib Hat</t>
  </si>
  <si>
    <t>77381356X</t>
  </si>
  <si>
    <t>77381633X</t>
  </si>
  <si>
    <t>Byron Hat Thin</t>
  </si>
  <si>
    <t>77387107X</t>
  </si>
  <si>
    <t>77387230X</t>
  </si>
  <si>
    <t>Byron Hat</t>
  </si>
  <si>
    <t>77388215X</t>
  </si>
  <si>
    <t>77388230X</t>
  </si>
  <si>
    <t>77388320X</t>
  </si>
  <si>
    <t>77388550X</t>
  </si>
  <si>
    <t>77388555X</t>
  </si>
  <si>
    <t>77388633X</t>
  </si>
  <si>
    <t>78210356L</t>
  </si>
  <si>
    <t>Nordic heater</t>
  </si>
  <si>
    <t>78210550L</t>
  </si>
  <si>
    <t>78210555L</t>
  </si>
  <si>
    <t>78210555XL</t>
  </si>
  <si>
    <t>78210633L</t>
  </si>
  <si>
    <t>78210633XL</t>
  </si>
  <si>
    <t>79030X</t>
  </si>
  <si>
    <t>Greenland Wax travel pack</t>
  </si>
  <si>
    <t>79060X</t>
  </si>
  <si>
    <t>Greenland Wax</t>
  </si>
  <si>
    <t>79061X</t>
  </si>
  <si>
    <t>Greenland Wax Bag</t>
  </si>
  <si>
    <t>Hatfield Hat</t>
  </si>
  <si>
    <t>80522646-555134</t>
  </si>
  <si>
    <t>Kids Singi Fleece Jacket</t>
  </si>
  <si>
    <t>80522646-555146</t>
  </si>
  <si>
    <t>Kids Keb Jacket</t>
  </si>
  <si>
    <t>80524646-555134</t>
  </si>
  <si>
    <t>80524646-555146</t>
  </si>
  <si>
    <t>Kids Trail T-Shirt</t>
  </si>
  <si>
    <t>Kids Trek Logo T-Shirt</t>
  </si>
  <si>
    <t>Luhkka</t>
  </si>
  <si>
    <t>80637633S</t>
  </si>
  <si>
    <t>80766550S</t>
  </si>
  <si>
    <t>Snow Flake Parka</t>
  </si>
  <si>
    <t>80766550XS</t>
  </si>
  <si>
    <t>80766555S</t>
  </si>
  <si>
    <t>80766555XS</t>
  </si>
  <si>
    <t>81328555M</t>
  </si>
  <si>
    <t>81328555S</t>
  </si>
  <si>
    <t>81328633S</t>
  </si>
  <si>
    <t>81353560AL</t>
  </si>
  <si>
    <t>Skog Shirt</t>
  </si>
  <si>
    <t>81353560AM</t>
  </si>
  <si>
    <t>81353560AS</t>
  </si>
  <si>
    <t>81353560AXL</t>
  </si>
  <si>
    <t>81353646AL</t>
  </si>
  <si>
    <t>81353646AM</t>
  </si>
  <si>
    <t>81353646AS</t>
  </si>
  <si>
    <t>81353646AXL</t>
  </si>
  <si>
    <t>81373325AL</t>
  </si>
  <si>
    <t>Singi Heavy Flannel Shirt</t>
  </si>
  <si>
    <t>81373325AM</t>
  </si>
  <si>
    <t>81373560AM</t>
  </si>
  <si>
    <t>81373560AS</t>
  </si>
  <si>
    <t>81391030AL</t>
  </si>
  <si>
    <t>Singi Winter Jacket</t>
  </si>
  <si>
    <t>81391555AL</t>
  </si>
  <si>
    <t>81394328AL</t>
  </si>
  <si>
    <t>Greenland No.1 Down Jacket</t>
  </si>
  <si>
    <t>81394328AM</t>
  </si>
  <si>
    <t>Greenland Jacket</t>
  </si>
  <si>
    <t>Greenland Winter Jacket</t>
  </si>
  <si>
    <t>Barents Pro Jeans</t>
  </si>
  <si>
    <t>81461R030-03048</t>
  </si>
  <si>
    <t>81461R030-03050</t>
  </si>
  <si>
    <t>81461R03048</t>
  </si>
  <si>
    <t>81461R03050</t>
  </si>
  <si>
    <t>81461R55548</t>
  </si>
  <si>
    <t>81461R55550</t>
  </si>
  <si>
    <t>Barents Pro Winter Jeans</t>
  </si>
  <si>
    <t>81506550L</t>
  </si>
  <si>
    <t>Abisko Trekking Tights</t>
  </si>
  <si>
    <t>81506550M</t>
  </si>
  <si>
    <t>Abisko Trail T-Shirt Print</t>
  </si>
  <si>
    <t>81512030L</t>
  </si>
  <si>
    <t>81512030M</t>
  </si>
  <si>
    <t>81512030S</t>
  </si>
  <si>
    <t>81512520M</t>
  </si>
  <si>
    <t>81512520S</t>
  </si>
  <si>
    <t>High Coast Hike Trousers</t>
  </si>
  <si>
    <t>81527113L</t>
  </si>
  <si>
    <t>High Coast Big Check Shirt SS</t>
  </si>
  <si>
    <t>81527113M</t>
  </si>
  <si>
    <t>81527113S</t>
  </si>
  <si>
    <t>81527525L</t>
  </si>
  <si>
    <t>81527525M</t>
  </si>
  <si>
    <t>81527525S</t>
  </si>
  <si>
    <t>81531030AL</t>
  </si>
  <si>
    <t>Abisko Shade Jacket</t>
  </si>
  <si>
    <t>81531030AXL</t>
  </si>
  <si>
    <t>81531620AXL</t>
  </si>
  <si>
    <t>81534R21746</t>
  </si>
  <si>
    <t>Abisko Shade Trousers</t>
  </si>
  <si>
    <t>81534R21748</t>
  </si>
  <si>
    <t>81534R21750</t>
  </si>
  <si>
    <t>Abisko Lite Trekking Zip Off Trousers</t>
  </si>
  <si>
    <t>81535R555-52046</t>
  </si>
  <si>
    <t>81535R555-52048</t>
  </si>
  <si>
    <t>81535R555-52050</t>
  </si>
  <si>
    <t>Ovik Chambray Shirt</t>
  </si>
  <si>
    <t>81545560M</t>
  </si>
  <si>
    <t>81545560S</t>
  </si>
  <si>
    <t>81545560XS</t>
  </si>
  <si>
    <t>Vidda Pro Trousers</t>
  </si>
  <si>
    <t>81760R638-57548</t>
  </si>
  <si>
    <t>81760R638-57550</t>
  </si>
  <si>
    <t>Barents Pro Trousers</t>
  </si>
  <si>
    <t>81761638-57548</t>
  </si>
  <si>
    <t>81761638-57550</t>
  </si>
  <si>
    <t>81761R620-62048</t>
  </si>
  <si>
    <t>Keb Jacket</t>
  </si>
  <si>
    <t>81762335AM</t>
  </si>
  <si>
    <t>81762550-550AL</t>
  </si>
  <si>
    <t>81762646-555AS</t>
  </si>
  <si>
    <t>81765030L</t>
  </si>
  <si>
    <t>Sten Fleece</t>
  </si>
  <si>
    <t>81765030M</t>
  </si>
  <si>
    <t>81765030S</t>
  </si>
  <si>
    <t>81765555L</t>
  </si>
  <si>
    <t>81765555M</t>
  </si>
  <si>
    <t>81765555S</t>
  </si>
  <si>
    <t>Ovik Pocket T-shirt</t>
  </si>
  <si>
    <t>81809020M</t>
  </si>
  <si>
    <t>81818030AL</t>
  </si>
  <si>
    <t>Keb Fleece Jacket</t>
  </si>
  <si>
    <t>81818030AM</t>
  </si>
  <si>
    <t>81818030AS</t>
  </si>
  <si>
    <t>Logo T-Shirt</t>
  </si>
  <si>
    <t>81822030AM</t>
  </si>
  <si>
    <t>81822520AM</t>
  </si>
  <si>
    <t>81830030M</t>
  </si>
  <si>
    <t>Singi Knit Sweater</t>
  </si>
  <si>
    <t>81830030S</t>
  </si>
  <si>
    <t>81830030XS</t>
  </si>
  <si>
    <t>81830555M</t>
  </si>
  <si>
    <t>81830555S</t>
  </si>
  <si>
    <t>Singi Trekking Shirt</t>
  </si>
  <si>
    <t>81838030S</t>
  </si>
  <si>
    <t>81838220M</t>
  </si>
  <si>
    <t>81838246M</t>
  </si>
  <si>
    <t>81838246S</t>
  </si>
  <si>
    <t>81881555M</t>
  </si>
  <si>
    <t>Singi Pro Shirt LS</t>
  </si>
  <si>
    <t>81881555S</t>
  </si>
  <si>
    <t>81881555XS</t>
  </si>
  <si>
    <t>Ovik Foxford Shirt LS</t>
  </si>
  <si>
    <t>81882555S</t>
  </si>
  <si>
    <t>81882555XS</t>
  </si>
  <si>
    <t>Ovik Check Shirt LS</t>
  </si>
  <si>
    <t>81883345XS</t>
  </si>
  <si>
    <t>81883575S</t>
  </si>
  <si>
    <t>Ovik Flannel Shirt LS</t>
  </si>
  <si>
    <t>81884018S</t>
  </si>
  <si>
    <t>81885030M</t>
  </si>
  <si>
    <t>Ovik Re-Wool Shirt LS</t>
  </si>
  <si>
    <t>81885030S</t>
  </si>
  <si>
    <t>High Coast Fall Trousers</t>
  </si>
  <si>
    <t>81890020L</t>
  </si>
  <si>
    <t>Polar Fleece Jacket</t>
  </si>
  <si>
    <t>81890020M</t>
  </si>
  <si>
    <t>81890020S</t>
  </si>
  <si>
    <t>81890560L</t>
  </si>
  <si>
    <t>81890560M</t>
  </si>
  <si>
    <t>81890560S</t>
  </si>
  <si>
    <t>81891555M</t>
  </si>
  <si>
    <t>Ovik Re Wool Sweater</t>
  </si>
  <si>
    <t>81891555S</t>
  </si>
  <si>
    <t>81891633M</t>
  </si>
  <si>
    <t>81891633S</t>
  </si>
  <si>
    <t>82219255AL</t>
  </si>
  <si>
    <t>Ovik 3 in 1 Jacket</t>
  </si>
  <si>
    <t>82219255AM</t>
  </si>
  <si>
    <t>82219255AS</t>
  </si>
  <si>
    <t>82219550AL</t>
  </si>
  <si>
    <t>82219550AM</t>
  </si>
  <si>
    <t>82219550AS</t>
  </si>
  <si>
    <t>82219550AXL</t>
  </si>
  <si>
    <t>82219555AL</t>
  </si>
  <si>
    <t>82219555AM</t>
  </si>
  <si>
    <t>82219555AS</t>
  </si>
  <si>
    <t>82219633AL</t>
  </si>
  <si>
    <t>82219633AM</t>
  </si>
  <si>
    <t>82219633AS</t>
  </si>
  <si>
    <t>82227025AL</t>
  </si>
  <si>
    <t>High Coast Padded Jacket</t>
  </si>
  <si>
    <t>82227025AM</t>
  </si>
  <si>
    <t>82227025AS</t>
  </si>
  <si>
    <t>82227025AXL</t>
  </si>
  <si>
    <t>82227230AL</t>
  </si>
  <si>
    <t>82227230AM</t>
  </si>
  <si>
    <t>82227230AS</t>
  </si>
  <si>
    <t>82227230AXL</t>
  </si>
  <si>
    <t>82227255AL</t>
  </si>
  <si>
    <t>82227255AM</t>
  </si>
  <si>
    <t>82227255AS</t>
  </si>
  <si>
    <t>82227255AXL</t>
  </si>
  <si>
    <t>82227560AL</t>
  </si>
  <si>
    <t>82227560AM</t>
  </si>
  <si>
    <t>82227560AS</t>
  </si>
  <si>
    <t>82227560AXL</t>
  </si>
  <si>
    <t>Kiruna Padded Jacket</t>
  </si>
  <si>
    <t>82247555S</t>
  </si>
  <si>
    <t>82248325S</t>
  </si>
  <si>
    <t>Singi Anorak</t>
  </si>
  <si>
    <t>82248345-030S</t>
  </si>
  <si>
    <t>82248345-030XS</t>
  </si>
  <si>
    <t>82248555S</t>
  </si>
  <si>
    <t>82248555XS</t>
  </si>
  <si>
    <t>82248638-555S</t>
  </si>
  <si>
    <t>82248638-555XS</t>
  </si>
  <si>
    <t>82251325AL</t>
  </si>
  <si>
    <t>Polar Guide Parka</t>
  </si>
  <si>
    <t>82251325AM</t>
  </si>
  <si>
    <t>82251555AL</t>
  </si>
  <si>
    <t>82251555S</t>
  </si>
  <si>
    <t>82251633M</t>
  </si>
  <si>
    <t>82252021AL</t>
  </si>
  <si>
    <t>Ovik Fleece Hoodie</t>
  </si>
  <si>
    <t>82252021AM</t>
  </si>
  <si>
    <t>82252021AS</t>
  </si>
  <si>
    <t>82252021AXL</t>
  </si>
  <si>
    <t>82252560AL</t>
  </si>
  <si>
    <t>82252560AM</t>
  </si>
  <si>
    <t>82252560AXL</t>
  </si>
  <si>
    <t>82256020M</t>
  </si>
  <si>
    <t>Singi Fleece Hoodie</t>
  </si>
  <si>
    <t>82256020S</t>
  </si>
  <si>
    <t>82256020XS</t>
  </si>
  <si>
    <t>82256345-031M</t>
  </si>
  <si>
    <t>82256345-031S</t>
  </si>
  <si>
    <t>82256345-031XS</t>
  </si>
  <si>
    <t>82256646-555M</t>
  </si>
  <si>
    <t>82256646-555S</t>
  </si>
  <si>
    <t>82256646-555XS</t>
  </si>
  <si>
    <t>82257246L</t>
  </si>
  <si>
    <t>Abisko Trail Fleece</t>
  </si>
  <si>
    <t>82257246M</t>
  </si>
  <si>
    <t>82257246S</t>
  </si>
  <si>
    <t>82257550L</t>
  </si>
  <si>
    <t>82257550M</t>
  </si>
  <si>
    <t>82257550S</t>
  </si>
  <si>
    <t>Abisko Hike Shirts LS</t>
  </si>
  <si>
    <t>82263218AM</t>
  </si>
  <si>
    <t>82263520AL</t>
  </si>
  <si>
    <t>Keep Trekking T-Shirt</t>
  </si>
  <si>
    <t>82266020AM</t>
  </si>
  <si>
    <t>82266020AS</t>
  </si>
  <si>
    <t>82266020S</t>
  </si>
  <si>
    <t>82266020XS</t>
  </si>
  <si>
    <t>82266520S</t>
  </si>
  <si>
    <t>82266520XS</t>
  </si>
  <si>
    <t>82266560AS</t>
  </si>
  <si>
    <t>82266611S</t>
  </si>
  <si>
    <t>82266611XS</t>
  </si>
  <si>
    <t>82266620AM</t>
  </si>
  <si>
    <t>82266620AS</t>
  </si>
  <si>
    <t>82268030AL</t>
  </si>
  <si>
    <t>Abisko Hike Shirts SS</t>
  </si>
  <si>
    <t>82268030AM</t>
  </si>
  <si>
    <t>82268030AS</t>
  </si>
  <si>
    <t>82268218AL</t>
  </si>
  <si>
    <t>82268218AM</t>
  </si>
  <si>
    <t>82268218AS</t>
  </si>
  <si>
    <t>82268218AXL</t>
  </si>
  <si>
    <t>82268520AL</t>
  </si>
  <si>
    <t>82268520AM</t>
  </si>
  <si>
    <t>Singi Down Jacket</t>
  </si>
  <si>
    <t>Raven Jacket</t>
  </si>
  <si>
    <t>High Coast Shirt SS</t>
  </si>
  <si>
    <t>82429030L</t>
  </si>
  <si>
    <t>Abisko Trail T-Shirt</t>
  </si>
  <si>
    <t>82429030M</t>
  </si>
  <si>
    <t>82429030S</t>
  </si>
  <si>
    <t>82429520L</t>
  </si>
  <si>
    <t>82429520M</t>
  </si>
  <si>
    <t>82429520S</t>
  </si>
  <si>
    <t>82456032AL</t>
  </si>
  <si>
    <t>Trekking Equipment T-shirt</t>
  </si>
  <si>
    <t>82456032AXL</t>
  </si>
  <si>
    <t>82456141AL</t>
  </si>
  <si>
    <t>82456141AM</t>
  </si>
  <si>
    <t>82456141AXL</t>
  </si>
  <si>
    <t>82456246AL</t>
  </si>
  <si>
    <t>82456246AM</t>
  </si>
  <si>
    <t>82456246AXL</t>
  </si>
  <si>
    <t>Trekking Equipment T-Shirt</t>
  </si>
  <si>
    <t>82456246M</t>
  </si>
  <si>
    <t>82456246S</t>
  </si>
  <si>
    <t>82456246XS</t>
  </si>
  <si>
    <t>82456512AM</t>
  </si>
  <si>
    <t>82456512AXL</t>
  </si>
  <si>
    <t>82456555AL</t>
  </si>
  <si>
    <t>82456555AM</t>
  </si>
  <si>
    <t>82456555AXL</t>
  </si>
  <si>
    <t>82456620AL</t>
  </si>
  <si>
    <t>82456620AM</t>
  </si>
  <si>
    <t>82456620AXL</t>
  </si>
  <si>
    <t>High Coast Trousers</t>
  </si>
  <si>
    <t>82461032A46</t>
  </si>
  <si>
    <t>82461218A46</t>
  </si>
  <si>
    <t>82461560A46</t>
  </si>
  <si>
    <t>82461560A50</t>
  </si>
  <si>
    <t>82461630A46</t>
  </si>
  <si>
    <t>82461630A48</t>
  </si>
  <si>
    <t>High Coast Shorts</t>
  </si>
  <si>
    <t>82464205AL</t>
  </si>
  <si>
    <t>High Coast Wind Jacket</t>
  </si>
  <si>
    <t>82464205AM</t>
  </si>
  <si>
    <t>82464205AS</t>
  </si>
  <si>
    <t>82464205AXL</t>
  </si>
  <si>
    <t>82464525AL</t>
  </si>
  <si>
    <t>82464525AM</t>
  </si>
  <si>
    <t>82464525AXL</t>
  </si>
  <si>
    <t>82464630AL</t>
  </si>
  <si>
    <t>82464630AM</t>
  </si>
  <si>
    <t>Abisko Lite Shorts</t>
  </si>
  <si>
    <t>82465030A44</t>
  </si>
  <si>
    <t>82465030A46</t>
  </si>
  <si>
    <t>82465030A48</t>
  </si>
  <si>
    <t>82465218A44</t>
  </si>
  <si>
    <t>82465218A46</t>
  </si>
  <si>
    <t>82465218A48</t>
  </si>
  <si>
    <t>82465218A50</t>
  </si>
  <si>
    <t>82465633A44</t>
  </si>
  <si>
    <t>82465633A46</t>
  </si>
  <si>
    <t>Keb Shorts</t>
  </si>
  <si>
    <t>82466220A44</t>
  </si>
  <si>
    <t>82466220A46</t>
  </si>
  <si>
    <t>82466220A48</t>
  </si>
  <si>
    <t>82466610A44</t>
  </si>
  <si>
    <t>82466610A46</t>
  </si>
  <si>
    <t>82466610A48</t>
  </si>
  <si>
    <t>82467030A44</t>
  </si>
  <si>
    <t>Barents Pro Shorts</t>
  </si>
  <si>
    <t>82467030A46</t>
  </si>
  <si>
    <t>82467030A48</t>
  </si>
  <si>
    <t>82467220A44</t>
  </si>
  <si>
    <t>82467220A46</t>
  </si>
  <si>
    <t>82467220A48</t>
  </si>
  <si>
    <t>82467220A50</t>
  </si>
  <si>
    <t>82467372A44</t>
  </si>
  <si>
    <t>82467372A46</t>
  </si>
  <si>
    <t>82467372A48</t>
  </si>
  <si>
    <t>82467372A50</t>
  </si>
  <si>
    <t>82467520A44</t>
  </si>
  <si>
    <t>82467520A46</t>
  </si>
  <si>
    <t>82467520A48</t>
  </si>
  <si>
    <t>82484030AL</t>
  </si>
  <si>
    <t>Abisko Hybrid Windbreaker</t>
  </si>
  <si>
    <t>82484030AM</t>
  </si>
  <si>
    <t>82484030AXL</t>
  </si>
  <si>
    <t>82484217AL</t>
  </si>
  <si>
    <t>82484217AM</t>
  </si>
  <si>
    <t>82484217AXL</t>
  </si>
  <si>
    <t>82494560AL</t>
  </si>
  <si>
    <t>High Coast Wind Parka</t>
  </si>
  <si>
    <t>82494560AM</t>
  </si>
  <si>
    <t>82494560AXL</t>
  </si>
  <si>
    <t>Keb Trousers</t>
  </si>
  <si>
    <t>82830220A48</t>
  </si>
  <si>
    <t>82830550-550A48</t>
  </si>
  <si>
    <t>82830555A46</t>
  </si>
  <si>
    <t>82830555A48</t>
  </si>
  <si>
    <t>82830646A42</t>
  </si>
  <si>
    <t>82830646A44</t>
  </si>
  <si>
    <t>82830646A46</t>
  </si>
  <si>
    <t>82830646A48</t>
  </si>
  <si>
    <t>82830R25546</t>
  </si>
  <si>
    <t>82830R25548</t>
  </si>
  <si>
    <t>82830R550-55046</t>
  </si>
  <si>
    <t>82830R550-55048</t>
  </si>
  <si>
    <t>Abisko Shorts</t>
  </si>
  <si>
    <t>82833520A46</t>
  </si>
  <si>
    <t>Abisko Lite Trekking Trousers</t>
  </si>
  <si>
    <t>82890R63850</t>
  </si>
  <si>
    <t>High Coast Trousers Zip-off</t>
  </si>
  <si>
    <t>82891032A46</t>
  </si>
  <si>
    <t>82891032A48</t>
  </si>
  <si>
    <t>82891560A44</t>
  </si>
  <si>
    <t>82891560A46</t>
  </si>
  <si>
    <t>82891560A48</t>
  </si>
  <si>
    <t>82891560A50</t>
  </si>
  <si>
    <t>83315032AL</t>
  </si>
  <si>
    <t>High Coast Hybrid Jacket</t>
  </si>
  <si>
    <t>83315032AM</t>
  </si>
  <si>
    <t>83315032AXL</t>
  </si>
  <si>
    <t>83315032S</t>
  </si>
  <si>
    <t>83315032XS</t>
  </si>
  <si>
    <t>83315525L</t>
  </si>
  <si>
    <t>83315525M</t>
  </si>
  <si>
    <t>83315525S</t>
  </si>
  <si>
    <t>83315525XS</t>
  </si>
  <si>
    <t>83315560AL</t>
  </si>
  <si>
    <t>83315560AM</t>
  </si>
  <si>
    <t>83315560AXL</t>
  </si>
  <si>
    <t>83315560L</t>
  </si>
  <si>
    <t>83315560M</t>
  </si>
  <si>
    <t>83315560S</t>
  </si>
  <si>
    <t>83315560XS</t>
  </si>
  <si>
    <t>83775550L</t>
  </si>
  <si>
    <t>Abisko Padded Vest</t>
  </si>
  <si>
    <t>83775550M</t>
  </si>
  <si>
    <t>83981050M</t>
  </si>
  <si>
    <t>Bergtagen Jacket</t>
  </si>
  <si>
    <t>83981050S</t>
  </si>
  <si>
    <t>83981050XS</t>
  </si>
  <si>
    <t>83984570L</t>
  </si>
  <si>
    <t>Bergtagen lite Insulation Jacket</t>
  </si>
  <si>
    <t>83984570M</t>
  </si>
  <si>
    <t>83984570S</t>
  </si>
  <si>
    <t>Expedition Down Lite Jacket</t>
  </si>
  <si>
    <t>84605550L</t>
  </si>
  <si>
    <t>84605550M</t>
  </si>
  <si>
    <t>84605550S</t>
  </si>
  <si>
    <t>84605560L</t>
  </si>
  <si>
    <t>84605560M</t>
  </si>
  <si>
    <t>84605560S</t>
  </si>
  <si>
    <t>84751018-550AL</t>
  </si>
  <si>
    <t>Keb Touring Down Jacket</t>
  </si>
  <si>
    <t>84751018-550AM</t>
  </si>
  <si>
    <t>84751018-550AXL</t>
  </si>
  <si>
    <t>84751638-575AL</t>
  </si>
  <si>
    <t>84751638-575AM</t>
  </si>
  <si>
    <t>84751638-575AXL</t>
  </si>
  <si>
    <t>Keb Expedition Down Jacket</t>
  </si>
  <si>
    <t>84752018-550M</t>
  </si>
  <si>
    <t>84752018-550S</t>
  </si>
  <si>
    <t>84753550L</t>
  </si>
  <si>
    <t>Keb Lite Padded Jacket</t>
  </si>
  <si>
    <t>84753550M</t>
  </si>
  <si>
    <t>84753550XL</t>
  </si>
  <si>
    <t>84753638L</t>
  </si>
  <si>
    <t>84753638M</t>
  </si>
  <si>
    <t>84753638XL</t>
  </si>
  <si>
    <t>Barents Trousers</t>
  </si>
  <si>
    <t>85781638-57544</t>
  </si>
  <si>
    <t>85781638-57546</t>
  </si>
  <si>
    <t>85781638-57548</t>
  </si>
  <si>
    <t>karla Trousers</t>
  </si>
  <si>
    <t>85785R23546</t>
  </si>
  <si>
    <t>Karl Trousers</t>
  </si>
  <si>
    <t>85785R23548</t>
  </si>
  <si>
    <t>85785R23550</t>
  </si>
  <si>
    <t>85785R55546</t>
  </si>
  <si>
    <t>85785R55548</t>
  </si>
  <si>
    <t>85785R55550</t>
  </si>
  <si>
    <t>89067220A36</t>
  </si>
  <si>
    <t>89067220A38</t>
  </si>
  <si>
    <t>89067220A40</t>
  </si>
  <si>
    <t>89067236A36</t>
  </si>
  <si>
    <t>89067236A38</t>
  </si>
  <si>
    <t>89067236A40</t>
  </si>
  <si>
    <t>89126356AL</t>
  </si>
  <si>
    <t>Keb Jacket  W</t>
  </si>
  <si>
    <t>89126356AM</t>
  </si>
  <si>
    <t>89126550-550AXS</t>
  </si>
  <si>
    <t>89126646-555AM</t>
  </si>
  <si>
    <t>89126646-555AS</t>
  </si>
  <si>
    <t>89126646-555AXS</t>
  </si>
  <si>
    <t>89126646-555AXXS</t>
  </si>
  <si>
    <t>89138032AL</t>
  </si>
  <si>
    <t>Ovik 3 in 1 Parka W</t>
  </si>
  <si>
    <t>89138032AM</t>
  </si>
  <si>
    <t>89138032AS</t>
  </si>
  <si>
    <t>89138664AL</t>
  </si>
  <si>
    <t>89138664AM</t>
  </si>
  <si>
    <t>89235550A34</t>
  </si>
  <si>
    <t>Keb Trousers W</t>
  </si>
  <si>
    <t>89235550A36</t>
  </si>
  <si>
    <t>89235550A38</t>
  </si>
  <si>
    <t>89235646A34</t>
  </si>
  <si>
    <t>89235646A36</t>
  </si>
  <si>
    <t>89235646A38</t>
  </si>
  <si>
    <t>89235S35636</t>
  </si>
  <si>
    <t>89235S35638</t>
  </si>
  <si>
    <t>89235S64636</t>
  </si>
  <si>
    <t>89235S64638</t>
  </si>
  <si>
    <t>Nikka Trousers</t>
  </si>
  <si>
    <t>89236220A38</t>
  </si>
  <si>
    <t>89236320A36</t>
  </si>
  <si>
    <t>89236320A38</t>
  </si>
  <si>
    <t>89236320A40</t>
  </si>
  <si>
    <t>89236S55036</t>
  </si>
  <si>
    <t>89236S55038</t>
  </si>
  <si>
    <t>Nikka Shorts</t>
  </si>
  <si>
    <t>89238220A36</t>
  </si>
  <si>
    <t>89238220A38</t>
  </si>
  <si>
    <t>89238220A40</t>
  </si>
  <si>
    <t>89238320A36</t>
  </si>
  <si>
    <t>89238320A38</t>
  </si>
  <si>
    <t>89238320A40</t>
  </si>
  <si>
    <t>89238633A36</t>
  </si>
  <si>
    <t>89238633A38</t>
  </si>
  <si>
    <t>89238633A40</t>
  </si>
  <si>
    <t>89282018-550AM</t>
  </si>
  <si>
    <t>Keb Touring Down Jacket W</t>
  </si>
  <si>
    <t>89282018-550AS</t>
  </si>
  <si>
    <t>89332335M</t>
  </si>
  <si>
    <t>Keb Lite Padded Jacket W</t>
  </si>
  <si>
    <t>89332335S</t>
  </si>
  <si>
    <t>89332646M</t>
  </si>
  <si>
    <t>89332646S</t>
  </si>
  <si>
    <t>89335S03036</t>
  </si>
  <si>
    <t>Vidda Pro Trousers W</t>
  </si>
  <si>
    <t>89335S03038</t>
  </si>
  <si>
    <t>89335S638-57536</t>
  </si>
  <si>
    <t>89335S638-57538</t>
  </si>
  <si>
    <t>89336S03036</t>
  </si>
  <si>
    <t>Barents Pro Trousers W</t>
  </si>
  <si>
    <t>89336S03038</t>
  </si>
  <si>
    <t>89336S03040</t>
  </si>
  <si>
    <t>89336S638-57538</t>
  </si>
  <si>
    <t>89336S638-57540</t>
  </si>
  <si>
    <t>89475218AL</t>
  </si>
  <si>
    <t>Abisko Vent Shirt SS W</t>
  </si>
  <si>
    <t>89475218AM</t>
  </si>
  <si>
    <t>89475218AS</t>
  </si>
  <si>
    <t>89475218AXS</t>
  </si>
  <si>
    <t>89475320AL</t>
  </si>
  <si>
    <t>89475320AM</t>
  </si>
  <si>
    <t>89475320AS</t>
  </si>
  <si>
    <t>89475320AXS</t>
  </si>
  <si>
    <t>89475616AL</t>
  </si>
  <si>
    <t>89475616AM</t>
  </si>
  <si>
    <t>89475616AS</t>
  </si>
  <si>
    <t>89475616AXS</t>
  </si>
  <si>
    <t>89493218AL</t>
  </si>
  <si>
    <t>Ovik Shirt SS W</t>
  </si>
  <si>
    <t>89493218AM</t>
  </si>
  <si>
    <t>89493218AS</t>
  </si>
  <si>
    <t>89493314AL</t>
  </si>
  <si>
    <t>89493314AS</t>
  </si>
  <si>
    <t>89493318AM</t>
  </si>
  <si>
    <t>89493318AS</t>
  </si>
  <si>
    <t>Polar Guide Parka W</t>
  </si>
  <si>
    <t>89515246S</t>
  </si>
  <si>
    <t>89515325AL</t>
  </si>
  <si>
    <t>89515325AM</t>
  </si>
  <si>
    <t>89515325M</t>
  </si>
  <si>
    <t>89515325S</t>
  </si>
  <si>
    <t>89515555AL</t>
  </si>
  <si>
    <t>89515555AM</t>
  </si>
  <si>
    <t>89516356AL</t>
  </si>
  <si>
    <t>Ovik Fleece Hoodie W</t>
  </si>
  <si>
    <t>89516356AM</t>
  </si>
  <si>
    <t>89516560AM</t>
  </si>
  <si>
    <t>Logo T-Shirt W</t>
  </si>
  <si>
    <t>89572214AL</t>
  </si>
  <si>
    <t>89572214AM</t>
  </si>
  <si>
    <t>89572214AS</t>
  </si>
  <si>
    <t>89572214AXS</t>
  </si>
  <si>
    <t>89572323AS</t>
  </si>
  <si>
    <t>89572520AXS</t>
  </si>
  <si>
    <t>Ovik Flannel Shirt LS W</t>
  </si>
  <si>
    <t>89579S63336</t>
  </si>
  <si>
    <t>Barents Pro Jeans W</t>
  </si>
  <si>
    <t>89579S63338</t>
  </si>
  <si>
    <t>89579S63836</t>
  </si>
  <si>
    <t>89579S63838</t>
  </si>
  <si>
    <t>89581032A36</t>
  </si>
  <si>
    <t>High Coast Trousrs Zip-off W</t>
  </si>
  <si>
    <t>89581032A38</t>
  </si>
  <si>
    <t>89581032A40</t>
  </si>
  <si>
    <t>89581560A36</t>
  </si>
  <si>
    <t>89581560A38</t>
  </si>
  <si>
    <t>89581560A40</t>
  </si>
  <si>
    <t>89583S22034</t>
  </si>
  <si>
    <t>Abisko Lite Trekking Trousers W</t>
  </si>
  <si>
    <t>89583S22036</t>
  </si>
  <si>
    <t>89583S22038</t>
  </si>
  <si>
    <t>89583S633-63334</t>
  </si>
  <si>
    <t>89583S633-63336</t>
  </si>
  <si>
    <t>89583S633-63338</t>
  </si>
  <si>
    <t>89589335M</t>
  </si>
  <si>
    <t>Abisko Trail Fleece W</t>
  </si>
  <si>
    <t>89589335S</t>
  </si>
  <si>
    <t>89589519M</t>
  </si>
  <si>
    <t>89589519S</t>
  </si>
  <si>
    <t>89589519XS</t>
  </si>
  <si>
    <t>89589580M</t>
  </si>
  <si>
    <t>89589580S</t>
  </si>
  <si>
    <t>89589580XS</t>
  </si>
  <si>
    <t>89589646M</t>
  </si>
  <si>
    <t>89589646S</t>
  </si>
  <si>
    <t>89617124L</t>
  </si>
  <si>
    <t>Trekking Equipment T-shirt W</t>
  </si>
  <si>
    <t>89617124M</t>
  </si>
  <si>
    <t>89617124S</t>
  </si>
  <si>
    <t>89617314L</t>
  </si>
  <si>
    <t>89617314M</t>
  </si>
  <si>
    <t>89617314S</t>
  </si>
  <si>
    <t>89617513L</t>
  </si>
  <si>
    <t>89617513M</t>
  </si>
  <si>
    <t>89617513S</t>
  </si>
  <si>
    <t>89617580L</t>
  </si>
  <si>
    <t>89617580M</t>
  </si>
  <si>
    <t>89617580S</t>
  </si>
  <si>
    <t>89617647L</t>
  </si>
  <si>
    <t>89617647M</t>
  </si>
  <si>
    <t>89617647S</t>
  </si>
  <si>
    <t>High Coast Hybrid Jacket W</t>
  </si>
  <si>
    <t>89625214XS</t>
  </si>
  <si>
    <t>89625214XXS</t>
  </si>
  <si>
    <t>89625647XS</t>
  </si>
  <si>
    <t>89625647XXS</t>
  </si>
  <si>
    <t>89633214AL</t>
  </si>
  <si>
    <t>High Coast Wind Jacket W</t>
  </si>
  <si>
    <t>89633214AM</t>
  </si>
  <si>
    <t>89633214AS</t>
  </si>
  <si>
    <t>89633214XS</t>
  </si>
  <si>
    <t>Abisko Lite Jacket W</t>
  </si>
  <si>
    <t>89643320AS</t>
  </si>
  <si>
    <t>89646025AM</t>
  </si>
  <si>
    <t>High Coast Padded Jacket W</t>
  </si>
  <si>
    <t>89646025AS</t>
  </si>
  <si>
    <t>89646025AXS</t>
  </si>
  <si>
    <t>89646255AL</t>
  </si>
  <si>
    <t>89646255AM</t>
  </si>
  <si>
    <t>89646314AM</t>
  </si>
  <si>
    <t>89646314AS</t>
  </si>
  <si>
    <t>89646314AXS</t>
  </si>
  <si>
    <t>89646560AL</t>
  </si>
  <si>
    <t>89646560AM</t>
  </si>
  <si>
    <t>89646560AS</t>
  </si>
  <si>
    <t>89646560AXS</t>
  </si>
  <si>
    <t>89653218M</t>
  </si>
  <si>
    <t>Abisko Hike Shirts SS W</t>
  </si>
  <si>
    <t>89653218S</t>
  </si>
  <si>
    <t>89653218XS</t>
  </si>
  <si>
    <t>89653420M</t>
  </si>
  <si>
    <t>89653420S</t>
  </si>
  <si>
    <t>89653420XS</t>
  </si>
  <si>
    <t>89666633S</t>
  </si>
  <si>
    <t>Kaitum Fleece</t>
  </si>
  <si>
    <t>89666633XS</t>
  </si>
  <si>
    <t>89666633XXS</t>
  </si>
  <si>
    <t>89666646S</t>
  </si>
  <si>
    <t>89666646XS</t>
  </si>
  <si>
    <t>89666646XXS</t>
  </si>
  <si>
    <t>89706030A34</t>
  </si>
  <si>
    <t>Abisko Hybrid Trousers W</t>
  </si>
  <si>
    <t>89706030A36</t>
  </si>
  <si>
    <t>89706030A38</t>
  </si>
  <si>
    <t>89706218A34</t>
  </si>
  <si>
    <t>89706218A36</t>
  </si>
  <si>
    <t>89706218A38</t>
  </si>
  <si>
    <t>89706218A40</t>
  </si>
  <si>
    <t>89707218A38</t>
  </si>
  <si>
    <t>Abisko Hybrid Shorts W</t>
  </si>
  <si>
    <t>89723646M</t>
  </si>
  <si>
    <t>Abisko Padded Vest W</t>
  </si>
  <si>
    <t>89723646S</t>
  </si>
  <si>
    <t>89724246AL</t>
  </si>
  <si>
    <t>Abisko Windbreaker Jacket W</t>
  </si>
  <si>
    <t>89724580AL</t>
  </si>
  <si>
    <t>89724580AM</t>
  </si>
  <si>
    <t>89724580AS</t>
  </si>
  <si>
    <t>Karla Pro Trousers Curved</t>
  </si>
  <si>
    <t>89765335AL</t>
  </si>
  <si>
    <t>Keb Fleece Hoodie W</t>
  </si>
  <si>
    <t>89765335AM</t>
  </si>
  <si>
    <t>89765335AS</t>
  </si>
  <si>
    <t>89776356AL</t>
  </si>
  <si>
    <t>89776356AM</t>
  </si>
  <si>
    <t>89776356AS</t>
  </si>
  <si>
    <t>89776646AL</t>
  </si>
  <si>
    <t>89776646AM</t>
  </si>
  <si>
    <t>89776646AS</t>
  </si>
  <si>
    <t>Alphabotanical T-Shirt W</t>
  </si>
  <si>
    <t>89789021AM</t>
  </si>
  <si>
    <t>89789021AS</t>
  </si>
  <si>
    <t>89789021AXS</t>
  </si>
  <si>
    <t>89789124AS</t>
  </si>
  <si>
    <t>89789124AXS</t>
  </si>
  <si>
    <t>89789513AXS</t>
  </si>
  <si>
    <t>89790030L</t>
  </si>
  <si>
    <t>Abisko Trail T-Shirt Print W</t>
  </si>
  <si>
    <t>89790030M</t>
  </si>
  <si>
    <t>89790520L</t>
  </si>
  <si>
    <t>89790520M</t>
  </si>
  <si>
    <t>89790520S</t>
  </si>
  <si>
    <t>89810S03032</t>
  </si>
  <si>
    <t>Abisko Shade Trousers W</t>
  </si>
  <si>
    <t>89810S03034</t>
  </si>
  <si>
    <t>89810S03036</t>
  </si>
  <si>
    <t>89810S21732</t>
  </si>
  <si>
    <t>89810S21734</t>
  </si>
  <si>
    <t>89810S21736</t>
  </si>
  <si>
    <t>Abisko Shade Shorts W</t>
  </si>
  <si>
    <t>Greenland Shirt Jacket W</t>
  </si>
  <si>
    <t>89836555S</t>
  </si>
  <si>
    <t>89836664M</t>
  </si>
  <si>
    <t>89836664S</t>
  </si>
  <si>
    <t>89836664XS</t>
  </si>
  <si>
    <t>89839420L</t>
  </si>
  <si>
    <t>Ovik Seersucker Shirt W</t>
  </si>
  <si>
    <t>89839420M</t>
  </si>
  <si>
    <t>89839420S</t>
  </si>
  <si>
    <t>89839513L</t>
  </si>
  <si>
    <t>89839513M</t>
  </si>
  <si>
    <t>89839513S</t>
  </si>
  <si>
    <t>89840519M</t>
  </si>
  <si>
    <t>Kiruna Lite Shirt LS W</t>
  </si>
  <si>
    <t>89840519S</t>
  </si>
  <si>
    <t>89840519XS</t>
  </si>
  <si>
    <t>89861050M</t>
  </si>
  <si>
    <t>Bergtagen Jacket W</t>
  </si>
  <si>
    <t>89861050S</t>
  </si>
  <si>
    <t>89874020X</t>
  </si>
  <si>
    <t>Bergtagen Beanie</t>
  </si>
  <si>
    <t>89901356M</t>
  </si>
  <si>
    <t>Fjallglim Stretch Shirt LS W</t>
  </si>
  <si>
    <t>89901356S</t>
  </si>
  <si>
    <t>89901555M</t>
  </si>
  <si>
    <t>89901555S</t>
  </si>
  <si>
    <t>89904308-021M</t>
  </si>
  <si>
    <t>High Coast Flannel Shirt LS W</t>
  </si>
  <si>
    <t>89904308-021S</t>
  </si>
  <si>
    <t>89904575-021M</t>
  </si>
  <si>
    <t>89904575-021S</t>
  </si>
  <si>
    <t>High Coast Fall Trousers W</t>
  </si>
  <si>
    <t>Polar Fleece Jacket W</t>
  </si>
  <si>
    <t>89912664M</t>
  </si>
  <si>
    <t>Snow Cardigan W</t>
  </si>
  <si>
    <t>89912664S</t>
  </si>
  <si>
    <t>89913356M</t>
  </si>
  <si>
    <t>Ovik Re Wool Sweater W</t>
  </si>
  <si>
    <t>89913356S</t>
  </si>
  <si>
    <t>89913664M</t>
  </si>
  <si>
    <t>89913664S</t>
  </si>
  <si>
    <t>89915030AL</t>
  </si>
  <si>
    <t>89915030AM</t>
  </si>
  <si>
    <t>89915030AS</t>
  </si>
  <si>
    <t>89915646AL</t>
  </si>
  <si>
    <t>89915646AM</t>
  </si>
  <si>
    <t>89915646AS</t>
  </si>
  <si>
    <t>89915646M</t>
  </si>
  <si>
    <t>89995214M</t>
  </si>
  <si>
    <t>Expedition Down Lite Jacket W</t>
  </si>
  <si>
    <t>89995560M</t>
  </si>
  <si>
    <t>Lappland Hybrid Jacket Camo</t>
  </si>
  <si>
    <t>90172211M</t>
  </si>
  <si>
    <t>90172211S</t>
  </si>
  <si>
    <t>90560633X</t>
  </si>
  <si>
    <t>Stubben</t>
  </si>
  <si>
    <t>90631320L</t>
  </si>
  <si>
    <t>Canada Shirt</t>
  </si>
  <si>
    <t>90631320M</t>
  </si>
  <si>
    <t>90631320S</t>
  </si>
  <si>
    <t>90631320XL</t>
  </si>
  <si>
    <t>90631520M</t>
  </si>
  <si>
    <t>90631520S</t>
  </si>
  <si>
    <t>90830320M</t>
  </si>
  <si>
    <t>Lappland Flannel Shirt LS</t>
  </si>
  <si>
    <t>90830320S</t>
  </si>
  <si>
    <t>90830630M</t>
  </si>
  <si>
    <t>90830630S</t>
  </si>
  <si>
    <t>Safety Cap</t>
  </si>
  <si>
    <t>98444210M</t>
  </si>
  <si>
    <t>98444210S</t>
  </si>
  <si>
    <t>RETAIL確保</t>
    <rPh sb="6" eb="8">
      <t>カクホ</t>
    </rPh>
    <phoneticPr fontId="22"/>
  </si>
  <si>
    <t>24200255-220X</t>
  </si>
  <si>
    <t>24219633X</t>
  </si>
  <si>
    <t>24220633X</t>
  </si>
  <si>
    <t>27084525X</t>
  </si>
  <si>
    <t>81761R550-55046</t>
  </si>
  <si>
    <t>81761R550-55048</t>
  </si>
  <si>
    <t>81761R550-55050</t>
  </si>
  <si>
    <t>81762021-020AL</t>
  </si>
  <si>
    <t>83775550S</t>
  </si>
  <si>
    <t>89336S638-57536</t>
  </si>
  <si>
    <t>77297021X</t>
  </si>
  <si>
    <t>77392517X</t>
  </si>
  <si>
    <t>77392527X</t>
  </si>
  <si>
    <t>77392618X</t>
  </si>
  <si>
    <t>77394319-042X</t>
  </si>
  <si>
    <t>77394550-042X</t>
  </si>
  <si>
    <t>77394618-664X</t>
  </si>
  <si>
    <t>81531217AL</t>
  </si>
  <si>
    <t>81531217AM</t>
  </si>
  <si>
    <t>81531217AS</t>
  </si>
  <si>
    <t>81922325M</t>
  </si>
  <si>
    <t>81922325S</t>
  </si>
  <si>
    <t>81922618M</t>
  </si>
  <si>
    <t>81922618S</t>
  </si>
  <si>
    <t>81923217M</t>
  </si>
  <si>
    <t>81923217S</t>
  </si>
  <si>
    <t>81923325S</t>
  </si>
  <si>
    <t>81923517M</t>
  </si>
  <si>
    <t>81923517S</t>
  </si>
  <si>
    <t>89969111M</t>
  </si>
  <si>
    <t>89969111S</t>
  </si>
  <si>
    <t>89969111XS</t>
  </si>
  <si>
    <t>89969319M</t>
  </si>
  <si>
    <t>89969319S</t>
  </si>
  <si>
    <t>89969319XS</t>
  </si>
  <si>
    <t>81873042AL</t>
  </si>
  <si>
    <t>81873042AM</t>
  </si>
  <si>
    <t>81873517AM</t>
  </si>
  <si>
    <t>81873618AL</t>
  </si>
  <si>
    <t>81873618AM</t>
  </si>
  <si>
    <t>82461R03244</t>
  </si>
  <si>
    <t>82461R03246</t>
  </si>
  <si>
    <t>82461R03248</t>
  </si>
  <si>
    <t>82461R21744</t>
  </si>
  <si>
    <t>82461R21746</t>
  </si>
  <si>
    <t>82461R21748</t>
  </si>
  <si>
    <t>82461R21750</t>
  </si>
  <si>
    <t>82461R56046</t>
  </si>
  <si>
    <t>82461R56048</t>
  </si>
  <si>
    <t>82461R56050</t>
  </si>
  <si>
    <t>82463560M</t>
  </si>
  <si>
    <t>82463606M</t>
  </si>
  <si>
    <t>82463606S</t>
  </si>
  <si>
    <t>89988042AL</t>
  </si>
  <si>
    <t>89988042AM</t>
  </si>
  <si>
    <t>89988042AS</t>
  </si>
  <si>
    <t>89988664AL</t>
  </si>
  <si>
    <t>89988664AM</t>
  </si>
  <si>
    <t>89988664AS</t>
  </si>
  <si>
    <t>23150042X</t>
  </si>
  <si>
    <t>23150154X</t>
  </si>
  <si>
    <t>23150550X</t>
  </si>
  <si>
    <t>23150618X</t>
  </si>
  <si>
    <t>23150664X</t>
  </si>
  <si>
    <t>23151042X</t>
  </si>
  <si>
    <t>23151154X</t>
  </si>
  <si>
    <t>23151550X</t>
  </si>
  <si>
    <t>23151618X</t>
  </si>
  <si>
    <t>23151664X</t>
  </si>
  <si>
    <t>23152154X</t>
  </si>
  <si>
    <t>23152527X</t>
  </si>
  <si>
    <t>23152618X</t>
  </si>
  <si>
    <t>23152664X</t>
  </si>
  <si>
    <t>23153154X</t>
  </si>
  <si>
    <t>23153527X</t>
  </si>
  <si>
    <t>23153618X</t>
  </si>
  <si>
    <t>23496540-319X</t>
  </si>
  <si>
    <t>23510021-921X</t>
  </si>
  <si>
    <t>23510046X</t>
  </si>
  <si>
    <t>23510325-915X</t>
  </si>
  <si>
    <t>23510519-925X</t>
  </si>
  <si>
    <t>23510527X</t>
  </si>
  <si>
    <t>23510620-913X</t>
  </si>
  <si>
    <t>23561021-921X</t>
  </si>
  <si>
    <t>23561046X</t>
  </si>
  <si>
    <t>23561325-915X</t>
  </si>
  <si>
    <t>23561519-925X</t>
  </si>
  <si>
    <t>23561620-913X</t>
  </si>
  <si>
    <t>23565527X</t>
  </si>
  <si>
    <t>23569527X</t>
  </si>
  <si>
    <t>23700042-906X</t>
  </si>
  <si>
    <t>23700154-906X</t>
  </si>
  <si>
    <t>23700527-906X</t>
  </si>
  <si>
    <t>24200293X</t>
  </si>
  <si>
    <t>24200527X</t>
  </si>
  <si>
    <t>24201293X</t>
  </si>
  <si>
    <t>24201527X</t>
  </si>
  <si>
    <t>24201560X</t>
  </si>
  <si>
    <t>24201633X</t>
  </si>
  <si>
    <t>24202154X</t>
  </si>
  <si>
    <t>24202590-588X</t>
  </si>
  <si>
    <t>24216527X</t>
  </si>
  <si>
    <t>24216590X</t>
  </si>
  <si>
    <t>24218527X</t>
  </si>
  <si>
    <t>24231330X</t>
  </si>
  <si>
    <t>24231506X</t>
  </si>
  <si>
    <t>24231550X</t>
  </si>
  <si>
    <t>24231560X</t>
  </si>
  <si>
    <t>24232154X</t>
  </si>
  <si>
    <t>24232330X</t>
  </si>
  <si>
    <t>24232506X</t>
  </si>
  <si>
    <t>24232550X</t>
  </si>
  <si>
    <t>24232560X</t>
  </si>
  <si>
    <t>24244633X</t>
  </si>
  <si>
    <t>24245633X</t>
  </si>
  <si>
    <t>24246633X</t>
  </si>
  <si>
    <t>24247633X</t>
  </si>
  <si>
    <t>24249560X</t>
  </si>
  <si>
    <t>25515550X</t>
  </si>
  <si>
    <t>25515560X</t>
  </si>
  <si>
    <t>25515620X</t>
  </si>
  <si>
    <t>27171046X</t>
  </si>
  <si>
    <t>27171325-915X</t>
  </si>
  <si>
    <t>27171664-904X</t>
  </si>
  <si>
    <t>27172046X</t>
  </si>
  <si>
    <t>27172325-915X</t>
  </si>
  <si>
    <t>27172664-904X</t>
  </si>
  <si>
    <t>27173046X</t>
  </si>
  <si>
    <t>27173325-915X</t>
  </si>
  <si>
    <t>27173664-904X</t>
  </si>
  <si>
    <t>77352325X</t>
  </si>
  <si>
    <t>77397217L</t>
  </si>
  <si>
    <t>77397217M</t>
  </si>
  <si>
    <t>77397235L</t>
  </si>
  <si>
    <t>77397235M</t>
  </si>
  <si>
    <t>79258042M</t>
  </si>
  <si>
    <t>79258042S</t>
  </si>
  <si>
    <t>79258236M</t>
  </si>
  <si>
    <t>79258236S</t>
  </si>
  <si>
    <t>79258633S</t>
  </si>
  <si>
    <t>81761R220-22046</t>
  </si>
  <si>
    <t>81761R220-22048</t>
  </si>
  <si>
    <t>81761R550-55052</t>
  </si>
  <si>
    <t>81871R21746</t>
  </si>
  <si>
    <t>81871R21748</t>
  </si>
  <si>
    <t>81871R21750</t>
  </si>
  <si>
    <t>81871R21752</t>
  </si>
  <si>
    <t>81871R52744</t>
  </si>
  <si>
    <t>81871R52746</t>
  </si>
  <si>
    <t>81871R52748</t>
  </si>
  <si>
    <t>81871R52750</t>
  </si>
  <si>
    <t>81871R52752</t>
  </si>
  <si>
    <t>81871R55046</t>
  </si>
  <si>
    <t>81871R55048</t>
  </si>
  <si>
    <t>81871R55050</t>
  </si>
  <si>
    <t>81871R55052</t>
  </si>
  <si>
    <t>87202154AL</t>
  </si>
  <si>
    <t>87202154AM</t>
  </si>
  <si>
    <t>87202154AS</t>
  </si>
  <si>
    <t>87202527AL</t>
  </si>
  <si>
    <t>87202527AM</t>
  </si>
  <si>
    <t>87202527AS</t>
  </si>
  <si>
    <t>87202550AM</t>
  </si>
  <si>
    <t>89961S04236</t>
  </si>
  <si>
    <t>89961S04238</t>
  </si>
  <si>
    <t>89961S55036</t>
  </si>
  <si>
    <t>89961S55038</t>
  </si>
  <si>
    <t>89997042AL</t>
  </si>
  <si>
    <t>89997042AM</t>
  </si>
  <si>
    <t>89997042AS</t>
  </si>
  <si>
    <t>89997319AL</t>
  </si>
  <si>
    <t>89997319AM</t>
  </si>
  <si>
    <t>89997319AS</t>
  </si>
  <si>
    <t>89997527AM</t>
  </si>
  <si>
    <t>23501560X</t>
  </si>
  <si>
    <t>23504021X</t>
  </si>
  <si>
    <t>23510508-911X</t>
  </si>
  <si>
    <t>23561508-911X</t>
  </si>
  <si>
    <t>23561527X</t>
  </si>
  <si>
    <t>24221154X</t>
  </si>
  <si>
    <t>24221527X</t>
  </si>
  <si>
    <t>27085560X</t>
  </si>
  <si>
    <t>27086560X</t>
  </si>
  <si>
    <t>27087560X</t>
  </si>
  <si>
    <t>27092525X</t>
  </si>
  <si>
    <t>27120506X</t>
  </si>
  <si>
    <t>27121506X</t>
  </si>
  <si>
    <t>27124560X</t>
  </si>
  <si>
    <t>27171527X</t>
  </si>
  <si>
    <t>27172527X</t>
  </si>
  <si>
    <t>27173527X</t>
  </si>
  <si>
    <t>27213018X</t>
  </si>
  <si>
    <t>27213525X</t>
  </si>
  <si>
    <t>53402525X</t>
  </si>
  <si>
    <t>23548041X</t>
  </si>
  <si>
    <t>23549506X</t>
  </si>
  <si>
    <t>77273218L</t>
  </si>
  <si>
    <t>77273218M</t>
  </si>
  <si>
    <t>77273218S</t>
  </si>
  <si>
    <t>77273633S</t>
  </si>
  <si>
    <t>81762205-020M</t>
  </si>
  <si>
    <t>81762205-020S</t>
  </si>
  <si>
    <t>81762205-020XS</t>
  </si>
  <si>
    <t>81762525S</t>
  </si>
  <si>
    <t>81762525XS</t>
  </si>
  <si>
    <t>81762550-550M</t>
  </si>
  <si>
    <t>81762550-550S</t>
  </si>
  <si>
    <t>81762550-550XS</t>
  </si>
  <si>
    <t>81942030M</t>
  </si>
  <si>
    <t>81942030S</t>
  </si>
  <si>
    <t>81942560M</t>
  </si>
  <si>
    <t>81942560S</t>
  </si>
  <si>
    <t>81943020M</t>
  </si>
  <si>
    <t>81943020S</t>
  </si>
  <si>
    <t>81943111M</t>
  </si>
  <si>
    <t>81943111S</t>
  </si>
  <si>
    <t>81944154M</t>
  </si>
  <si>
    <t>81944154S</t>
  </si>
  <si>
    <t>81945111M</t>
  </si>
  <si>
    <t>81945618M</t>
  </si>
  <si>
    <t>81946021M</t>
  </si>
  <si>
    <t>81946021S</t>
  </si>
  <si>
    <t>81946506M</t>
  </si>
  <si>
    <t>81946506S</t>
  </si>
  <si>
    <t>81948527M</t>
  </si>
  <si>
    <t>81948527S</t>
  </si>
  <si>
    <t>81950020M</t>
  </si>
  <si>
    <t>81950020S</t>
  </si>
  <si>
    <t>81950560M</t>
  </si>
  <si>
    <t>81950560S</t>
  </si>
  <si>
    <t>81951020M</t>
  </si>
  <si>
    <t>81951020S</t>
  </si>
  <si>
    <t>81951560M</t>
  </si>
  <si>
    <t>81951560S</t>
  </si>
  <si>
    <t>82466550-55044</t>
  </si>
  <si>
    <t>82466550-55046</t>
  </si>
  <si>
    <t>82466550-55048</t>
  </si>
  <si>
    <t>82830R04248</t>
  </si>
  <si>
    <t>82830R205-02046</t>
  </si>
  <si>
    <t>82830R205-02048</t>
  </si>
  <si>
    <t>83776550AL</t>
  </si>
  <si>
    <t>83776550AM</t>
  </si>
  <si>
    <t>87203527AL</t>
  </si>
  <si>
    <t>87203527AM</t>
  </si>
  <si>
    <t>87203618AL</t>
  </si>
  <si>
    <t>87203618AM</t>
  </si>
  <si>
    <t>89235S550-55034</t>
  </si>
  <si>
    <t>89235S550-55036</t>
  </si>
  <si>
    <t>89235S550-55038</t>
  </si>
  <si>
    <t>89723506S</t>
  </si>
  <si>
    <t>89723506XS</t>
  </si>
  <si>
    <t>89723550XS</t>
  </si>
  <si>
    <t>89958519S</t>
  </si>
  <si>
    <t>89958519XS</t>
  </si>
  <si>
    <t>89975111S</t>
  </si>
  <si>
    <t>89975111XS</t>
  </si>
  <si>
    <t>89975513S</t>
  </si>
  <si>
    <t>89975513XS</t>
  </si>
  <si>
    <t>89976020S</t>
  </si>
  <si>
    <t>89976020XS</t>
  </si>
  <si>
    <t>89977420S</t>
  </si>
  <si>
    <t>89977420XS</t>
  </si>
  <si>
    <t>89977527S</t>
  </si>
  <si>
    <t>89977527XS</t>
  </si>
  <si>
    <t>89979308S</t>
  </si>
  <si>
    <t>89979308XS</t>
  </si>
  <si>
    <t>89979560XS</t>
  </si>
  <si>
    <t>89985042AL</t>
  </si>
  <si>
    <t>89985042AM</t>
  </si>
  <si>
    <t>89985042AS</t>
  </si>
  <si>
    <t>89985664AL</t>
  </si>
  <si>
    <t>89985664AM</t>
  </si>
  <si>
    <t>89985664AS</t>
  </si>
  <si>
    <t>81948042M</t>
  </si>
  <si>
    <t>81948042S</t>
  </si>
  <si>
    <t>77301032S</t>
  </si>
  <si>
    <t>77301633S</t>
  </si>
  <si>
    <t>77344249X</t>
  </si>
  <si>
    <t>81434620XS</t>
  </si>
  <si>
    <t>81944020M</t>
  </si>
  <si>
    <t>81944020S</t>
  </si>
  <si>
    <t>81945111S</t>
  </si>
  <si>
    <t>81945618S</t>
  </si>
  <si>
    <t>81952020S</t>
  </si>
  <si>
    <t>81952560M</t>
  </si>
  <si>
    <t>81952560S</t>
  </si>
  <si>
    <t>81953335M</t>
  </si>
  <si>
    <t>81953335S</t>
  </si>
  <si>
    <t>81953517M</t>
  </si>
  <si>
    <t>81953517S</t>
  </si>
  <si>
    <t>81953620M</t>
  </si>
  <si>
    <t>81953620S</t>
  </si>
  <si>
    <t>82278220AS</t>
  </si>
  <si>
    <t>82830R55546</t>
  </si>
  <si>
    <t>82830R55548</t>
  </si>
  <si>
    <t>84605214M</t>
  </si>
  <si>
    <t>84605214S</t>
  </si>
  <si>
    <t>84605525M</t>
  </si>
  <si>
    <t>84605525S</t>
  </si>
  <si>
    <t>89515246M</t>
  </si>
  <si>
    <t>89910356M</t>
  </si>
  <si>
    <t>89910356S</t>
  </si>
  <si>
    <t>89958420M</t>
  </si>
  <si>
    <t>89958420S</t>
  </si>
  <si>
    <t>89958420XS</t>
  </si>
  <si>
    <t>89958519M</t>
  </si>
  <si>
    <t>89974335M</t>
  </si>
  <si>
    <t>89974335S</t>
  </si>
  <si>
    <t>89974335XS</t>
  </si>
  <si>
    <t>89974560S</t>
  </si>
  <si>
    <t>89974560XS</t>
  </si>
  <si>
    <t>89975111M</t>
  </si>
  <si>
    <t>89975513M</t>
  </si>
  <si>
    <t>89976154M</t>
  </si>
  <si>
    <t>89976154S</t>
  </si>
  <si>
    <t>89976154XS</t>
  </si>
  <si>
    <t>89977420M</t>
  </si>
  <si>
    <t>89977527M</t>
  </si>
  <si>
    <t>89977664XS</t>
  </si>
  <si>
    <t>89978319M</t>
  </si>
  <si>
    <t>89978319S</t>
  </si>
  <si>
    <t>89978319XS</t>
  </si>
  <si>
    <t>89978664XS</t>
  </si>
  <si>
    <t>89979308M</t>
  </si>
  <si>
    <t>89979560M</t>
  </si>
  <si>
    <t>89979560S</t>
  </si>
  <si>
    <t>89995214S</t>
  </si>
  <si>
    <t>89995560S</t>
  </si>
  <si>
    <t>81545113M</t>
  </si>
  <si>
    <t>81545113S</t>
  </si>
  <si>
    <t>81545519M</t>
  </si>
  <si>
    <t>81545519S</t>
  </si>
  <si>
    <t>82423030M</t>
  </si>
  <si>
    <t>82423030S</t>
  </si>
  <si>
    <t>82423214M</t>
  </si>
  <si>
    <t>82423214S</t>
  </si>
  <si>
    <t>82423525M</t>
  </si>
  <si>
    <t>82423525S</t>
  </si>
  <si>
    <t>82423525XS</t>
  </si>
  <si>
    <t>89973021AM</t>
  </si>
  <si>
    <t>89973021AS</t>
  </si>
  <si>
    <t>89973518AM</t>
  </si>
  <si>
    <t>89973518AS</t>
  </si>
  <si>
    <t>81762205-020L</t>
  </si>
  <si>
    <t>87202042L</t>
  </si>
  <si>
    <t>87202042XS</t>
  </si>
  <si>
    <t>87202154M</t>
  </si>
  <si>
    <t>87202154S</t>
  </si>
  <si>
    <t>87202527L</t>
  </si>
  <si>
    <t>87202527M</t>
  </si>
  <si>
    <t>87202527S</t>
  </si>
  <si>
    <t>87202527XS</t>
  </si>
  <si>
    <t>87202550M</t>
  </si>
  <si>
    <t>87202550S</t>
  </si>
  <si>
    <t>89997042S</t>
  </si>
  <si>
    <t>89997042XS</t>
  </si>
  <si>
    <t>89997319M</t>
  </si>
  <si>
    <t>89997319S</t>
  </si>
  <si>
    <t>89997319XS</t>
  </si>
  <si>
    <t>89997664M</t>
  </si>
  <si>
    <t>89997664S</t>
  </si>
  <si>
    <t>81517020M</t>
  </si>
  <si>
    <t>81517020S</t>
  </si>
  <si>
    <t>89967021S</t>
  </si>
  <si>
    <t>89967021XS</t>
  </si>
  <si>
    <t>89967319M</t>
  </si>
  <si>
    <t>89967319S</t>
  </si>
  <si>
    <t>FJALLRAVEN STORE 新宿小田急ハルク</t>
  </si>
  <si>
    <t>FJALLRAVEN STORE 石井山専新宿東口ビックロ</t>
  </si>
  <si>
    <t>FJALLRAVEN by 3NITY TOKYO</t>
  </si>
  <si>
    <t>フェールラーベンストア名古屋ファッションワン</t>
  </si>
  <si>
    <t>数量</t>
  </si>
  <si>
    <t>店舗</t>
    <rPh sb="0" eb="2">
      <t>テンポ</t>
    </rPh>
    <phoneticPr fontId="22"/>
  </si>
  <si>
    <t>総計</t>
  </si>
  <si>
    <t>行ラベル</t>
  </si>
  <si>
    <t>列ラベル</t>
  </si>
  <si>
    <t>合計 / 数量</t>
  </si>
  <si>
    <t>FJALLRAVEN STORE OSAKA ALBi</t>
  </si>
  <si>
    <t>FJALLRAVEN by 3NITY ｱﾐｭﾌﾟﾗｻﾞ博多</t>
  </si>
  <si>
    <t>FJALLRAVEN by 3NITY 札幌ステラプレイス</t>
  </si>
  <si>
    <t>Kanken Rainbow</t>
  </si>
  <si>
    <t>TOKYO</t>
  </si>
  <si>
    <t>02357645X</t>
  </si>
  <si>
    <t>Kanken Rainbow Mini</t>
  </si>
  <si>
    <t>Greenland Top</t>
  </si>
  <si>
    <t>23150230X</t>
  </si>
  <si>
    <t>23150662X</t>
  </si>
  <si>
    <t>Greenland Top Large</t>
  </si>
  <si>
    <t>23151230X</t>
  </si>
  <si>
    <t>23151662X</t>
  </si>
  <si>
    <t>23152046X</t>
  </si>
  <si>
    <t>Greenland Zip</t>
  </si>
  <si>
    <t>23152662X</t>
  </si>
  <si>
    <t>23153046X</t>
  </si>
  <si>
    <t>Greenland Zip Large</t>
  </si>
  <si>
    <t>23153662X</t>
  </si>
  <si>
    <t>Greenland Shoulder Bag</t>
  </si>
  <si>
    <t>23154550X</t>
  </si>
  <si>
    <t>23155550X</t>
  </si>
  <si>
    <t>Greenland Shoulder Bag Small</t>
  </si>
  <si>
    <t>23156042X</t>
  </si>
  <si>
    <t>Greenland Pocket</t>
  </si>
  <si>
    <t>23156046X</t>
  </si>
  <si>
    <t>23156307X</t>
  </si>
  <si>
    <t>23156550X</t>
  </si>
  <si>
    <t>23156662X</t>
  </si>
  <si>
    <t>23160620X</t>
  </si>
  <si>
    <t>Greenland Duffel 20</t>
  </si>
  <si>
    <t>23160638X</t>
  </si>
  <si>
    <t>23161620X</t>
  </si>
  <si>
    <t>Greenland Duffel 30</t>
  </si>
  <si>
    <t>23161638X</t>
  </si>
  <si>
    <t>23165171X</t>
  </si>
  <si>
    <t>Ulvo Hip Pack Medium</t>
  </si>
  <si>
    <t>23165550X</t>
  </si>
  <si>
    <t>23165625X</t>
  </si>
  <si>
    <t>23166550X</t>
  </si>
  <si>
    <t>Ulvo Hip Pack Large</t>
  </si>
  <si>
    <t>23166625X</t>
  </si>
  <si>
    <t>23200208X</t>
  </si>
  <si>
    <t>Bergtagen 38 S/M</t>
  </si>
  <si>
    <t>23200570X</t>
  </si>
  <si>
    <t>23201208X</t>
  </si>
  <si>
    <t>Bergtagen 38 M/L</t>
  </si>
  <si>
    <t>23201570X</t>
  </si>
  <si>
    <t>23220214-560X</t>
  </si>
  <si>
    <t>High Coast Kids</t>
  </si>
  <si>
    <t>23220319-506X</t>
  </si>
  <si>
    <t>23220506-560X</t>
  </si>
  <si>
    <t>23220550X</t>
  </si>
  <si>
    <t>23220560X</t>
  </si>
  <si>
    <t>23301171X</t>
  </si>
  <si>
    <t>Ulvo 23</t>
  </si>
  <si>
    <t>23301550X</t>
  </si>
  <si>
    <t>23301570X</t>
  </si>
  <si>
    <t>23311171X</t>
  </si>
  <si>
    <t>Ulvo Rolltop 23</t>
  </si>
  <si>
    <t>23311550X</t>
  </si>
  <si>
    <t>23311570X</t>
  </si>
  <si>
    <t>23504031X</t>
  </si>
  <si>
    <t>23504307X</t>
  </si>
  <si>
    <t>23504664X</t>
  </si>
  <si>
    <t>23510166X</t>
  </si>
  <si>
    <t>23510307X</t>
  </si>
  <si>
    <t>23510646X</t>
  </si>
  <si>
    <t>23510662X</t>
  </si>
  <si>
    <t>23561166X</t>
  </si>
  <si>
    <t>23561307X</t>
  </si>
  <si>
    <t>23561646X</t>
  </si>
  <si>
    <t>23561662X</t>
  </si>
  <si>
    <t>23565166X</t>
  </si>
  <si>
    <t>23565662X</t>
  </si>
  <si>
    <t>23569166X</t>
  </si>
  <si>
    <t>23569662X</t>
  </si>
  <si>
    <t>23610970X</t>
  </si>
  <si>
    <t>Kanken Art</t>
  </si>
  <si>
    <t>23610971X</t>
  </si>
  <si>
    <t>23610975X</t>
  </si>
  <si>
    <t>23610976X</t>
  </si>
  <si>
    <t>23611970X</t>
  </si>
  <si>
    <t>Kanken Art Mini</t>
  </si>
  <si>
    <t>23611971X</t>
  </si>
  <si>
    <t>23611975X</t>
  </si>
  <si>
    <t>23611976X</t>
  </si>
  <si>
    <t>23612970X</t>
  </si>
  <si>
    <t>Kanken Art Laptop 13</t>
  </si>
  <si>
    <t>23612971X</t>
  </si>
  <si>
    <t>23612975X</t>
  </si>
  <si>
    <t>23612976X</t>
  </si>
  <si>
    <t>23613970X</t>
  </si>
  <si>
    <t>Kanken Art Laptop 15</t>
  </si>
  <si>
    <t>23613971X</t>
  </si>
  <si>
    <t>23613975X</t>
  </si>
  <si>
    <t>23613976X</t>
  </si>
  <si>
    <t>23614970X</t>
  </si>
  <si>
    <t>Kanken Art Laptop 17</t>
  </si>
  <si>
    <t>23614971X</t>
  </si>
  <si>
    <t>23614975X</t>
  </si>
  <si>
    <t>23614976X</t>
  </si>
  <si>
    <t>23620527-907X</t>
  </si>
  <si>
    <t>23620580-907X</t>
  </si>
  <si>
    <t>23621527-907X</t>
  </si>
  <si>
    <t>23621580-907X</t>
  </si>
  <si>
    <t>Kanken Greenland</t>
  </si>
  <si>
    <t>23700550-906X</t>
  </si>
  <si>
    <t>23700662-906X</t>
  </si>
  <si>
    <t>23780046X</t>
  </si>
  <si>
    <t>Kanken Card Wallet</t>
  </si>
  <si>
    <t>23780141X</t>
  </si>
  <si>
    <t>23780319X</t>
  </si>
  <si>
    <t>23780326X</t>
  </si>
  <si>
    <t>23780550X</t>
  </si>
  <si>
    <t>23780560X</t>
  </si>
  <si>
    <t>23780620X</t>
  </si>
  <si>
    <t>23780662X</t>
  </si>
  <si>
    <t>23780664X</t>
  </si>
  <si>
    <t>23781046X</t>
  </si>
  <si>
    <t>Kanken Travel  Wallet</t>
  </si>
  <si>
    <t>23781141X</t>
  </si>
  <si>
    <t>23781319X</t>
  </si>
  <si>
    <t>23781326X</t>
  </si>
  <si>
    <t>23781550X</t>
  </si>
  <si>
    <t>23781560X</t>
  </si>
  <si>
    <t>23781620X</t>
  </si>
  <si>
    <t>23781662X</t>
  </si>
  <si>
    <t>23781664X</t>
  </si>
  <si>
    <t>23782046X</t>
  </si>
  <si>
    <t>Kanken Mini Cooler</t>
  </si>
  <si>
    <t>23782319X</t>
  </si>
  <si>
    <t>23782326X</t>
  </si>
  <si>
    <t>23782550X</t>
  </si>
  <si>
    <t>23782560X</t>
  </si>
  <si>
    <t>23782664X</t>
  </si>
  <si>
    <t>23783046X</t>
  </si>
  <si>
    <t>Kanken Pen Case</t>
  </si>
  <si>
    <t>23783141X</t>
  </si>
  <si>
    <t>23783319X</t>
  </si>
  <si>
    <t>23783326X</t>
  </si>
  <si>
    <t>23783550X</t>
  </si>
  <si>
    <t>23783560X</t>
  </si>
  <si>
    <t>23783620X</t>
  </si>
  <si>
    <t>23783662X</t>
  </si>
  <si>
    <t>23783664X</t>
  </si>
  <si>
    <t>23784046X</t>
  </si>
  <si>
    <t>Kanken Toiletry Bag</t>
  </si>
  <si>
    <t>23784319X</t>
  </si>
  <si>
    <t>23784550X</t>
  </si>
  <si>
    <t>23784560X</t>
  </si>
  <si>
    <t>23784664X</t>
  </si>
  <si>
    <t>23785046X</t>
  </si>
  <si>
    <t>Kanken Keyring</t>
  </si>
  <si>
    <t>23785141X</t>
  </si>
  <si>
    <t>23785166X</t>
  </si>
  <si>
    <t>23785319X</t>
  </si>
  <si>
    <t>23785326X</t>
  </si>
  <si>
    <t>23785508X</t>
  </si>
  <si>
    <t>23785550X</t>
  </si>
  <si>
    <t>23785560X</t>
  </si>
  <si>
    <t>23785580X</t>
  </si>
  <si>
    <t>23785620X</t>
  </si>
  <si>
    <t>23785664X</t>
  </si>
  <si>
    <t>23786319X</t>
  </si>
  <si>
    <t>Kanken laptop Case 15</t>
  </si>
  <si>
    <t>23786550X</t>
  </si>
  <si>
    <t>23786560X</t>
  </si>
  <si>
    <t>23788319X</t>
  </si>
  <si>
    <t>Kanken Tablet Case</t>
  </si>
  <si>
    <t>23788550X</t>
  </si>
  <si>
    <t>23788560X</t>
  </si>
  <si>
    <t>23789550X</t>
  </si>
  <si>
    <t>23789664X</t>
  </si>
  <si>
    <t>23790550X</t>
  </si>
  <si>
    <t>Kanken Photo Insert Small</t>
  </si>
  <si>
    <t>23790664X</t>
  </si>
  <si>
    <t>23791319X</t>
  </si>
  <si>
    <t>Kanken Rain Cover</t>
  </si>
  <si>
    <t>23791525X</t>
  </si>
  <si>
    <t>23795319X</t>
  </si>
  <si>
    <t>Kanken Rain Cover Mini</t>
  </si>
  <si>
    <t>23795525X</t>
  </si>
  <si>
    <t>23795550X</t>
  </si>
  <si>
    <t>Totepack No.1 Small</t>
  </si>
  <si>
    <t>24203166X</t>
  </si>
  <si>
    <t>24210154X</t>
  </si>
  <si>
    <t>24210307X</t>
  </si>
  <si>
    <t>24210356X</t>
  </si>
  <si>
    <t>24210527X</t>
  </si>
  <si>
    <t>24215230X</t>
  </si>
  <si>
    <t>24216042X</t>
  </si>
  <si>
    <t>24218042X</t>
  </si>
  <si>
    <t>24218230X</t>
  </si>
  <si>
    <t>24220042X</t>
  </si>
  <si>
    <t>24221042X</t>
  </si>
  <si>
    <t>24221166X</t>
  </si>
  <si>
    <t>24221312X</t>
  </si>
  <si>
    <t>24221662X</t>
  </si>
  <si>
    <t>24225326-560X</t>
  </si>
  <si>
    <t>Totepack No.4 Wide</t>
  </si>
  <si>
    <t>24231166X</t>
  </si>
  <si>
    <t>24231662X</t>
  </si>
  <si>
    <t>24232042X</t>
  </si>
  <si>
    <t>Totepack No.4 Tall</t>
  </si>
  <si>
    <t>24232166X</t>
  </si>
  <si>
    <t>24232662X</t>
  </si>
  <si>
    <t>24244046X</t>
  </si>
  <si>
    <t>24244550X</t>
  </si>
  <si>
    <t>24245046X</t>
  </si>
  <si>
    <t>Splitpack Extra Large</t>
  </si>
  <si>
    <t>24260166X</t>
  </si>
  <si>
    <t>24260527X</t>
  </si>
  <si>
    <t>25515330X</t>
  </si>
  <si>
    <t>Travel Pack Small</t>
  </si>
  <si>
    <t>25857525X</t>
  </si>
  <si>
    <t>Rain Cover 20-35 L</t>
  </si>
  <si>
    <t>25858525X</t>
  </si>
  <si>
    <t>Rain Cover 40-55 L</t>
  </si>
  <si>
    <t>25861525X</t>
  </si>
  <si>
    <t>Rain Cover 16-28 L</t>
  </si>
  <si>
    <t>26050330X</t>
  </si>
  <si>
    <t>26050550X</t>
  </si>
  <si>
    <t>26051042X</t>
  </si>
  <si>
    <t>26051046X</t>
  </si>
  <si>
    <t>26051230X</t>
  </si>
  <si>
    <t>26051307X</t>
  </si>
  <si>
    <t>26052042X</t>
  </si>
  <si>
    <t>26052046X</t>
  </si>
  <si>
    <t>26052230X</t>
  </si>
  <si>
    <t>27084550X</t>
  </si>
  <si>
    <t>Kajka 65 W</t>
  </si>
  <si>
    <t>27120550X</t>
  </si>
  <si>
    <t>27121550X</t>
  </si>
  <si>
    <t>27124633X</t>
  </si>
  <si>
    <t>27125227X</t>
  </si>
  <si>
    <t>Abisko Hike 15</t>
  </si>
  <si>
    <t>27125550X</t>
  </si>
  <si>
    <t>27125560X</t>
  </si>
  <si>
    <t>27171166X</t>
  </si>
  <si>
    <t>27171307X</t>
  </si>
  <si>
    <t>27171662X</t>
  </si>
  <si>
    <t>27172031X</t>
  </si>
  <si>
    <t>27172166X</t>
  </si>
  <si>
    <t>27172307X</t>
  </si>
  <si>
    <t>27172662X</t>
  </si>
  <si>
    <t>27173166X</t>
  </si>
  <si>
    <t>27173307X</t>
  </si>
  <si>
    <t>27173662X</t>
  </si>
  <si>
    <t>27210662X</t>
  </si>
  <si>
    <t>27211662X</t>
  </si>
  <si>
    <t>27212662X</t>
  </si>
  <si>
    <t>Abisko Friluft 45 W</t>
  </si>
  <si>
    <t>27213214X</t>
  </si>
  <si>
    <t>27213662X</t>
  </si>
  <si>
    <t>27230550X</t>
  </si>
  <si>
    <t>Lappland Hike 15</t>
  </si>
  <si>
    <t>27230633X</t>
  </si>
  <si>
    <t>27340166-230X</t>
  </si>
  <si>
    <t>Keb Hike 20</t>
  </si>
  <si>
    <t>27340550-550X</t>
  </si>
  <si>
    <t>27340638-555X</t>
  </si>
  <si>
    <t>27341166-230X</t>
  </si>
  <si>
    <t>Keb Hike 30</t>
  </si>
  <si>
    <t>27341550-550X</t>
  </si>
  <si>
    <t>27341638-555X</t>
  </si>
  <si>
    <t>77028527X</t>
  </si>
  <si>
    <t>77029527X</t>
  </si>
  <si>
    <t>77029555X</t>
  </si>
  <si>
    <t>77261307X</t>
  </si>
  <si>
    <t>77261625X</t>
  </si>
  <si>
    <t>77266030L/XL</t>
  </si>
  <si>
    <t>Keb Trekking Cap</t>
  </si>
  <si>
    <t>77266030S/M</t>
  </si>
  <si>
    <t>77266625L/XL</t>
  </si>
  <si>
    <t>77266625S/M</t>
  </si>
  <si>
    <t>77271217X</t>
  </si>
  <si>
    <t>77271227X</t>
  </si>
  <si>
    <t>Abisko Summer Hat</t>
  </si>
  <si>
    <t>77274021S</t>
  </si>
  <si>
    <t>77291633X</t>
  </si>
  <si>
    <t>77295633L</t>
  </si>
  <si>
    <t>77297356X</t>
  </si>
  <si>
    <t>77297620X</t>
  </si>
  <si>
    <t>77302633S</t>
  </si>
  <si>
    <t>77357246-220L/XL</t>
  </si>
  <si>
    <t>77357335L/XL</t>
  </si>
  <si>
    <t>77357335S/M</t>
  </si>
  <si>
    <t>77357520S/M</t>
  </si>
  <si>
    <t>77367217L/XL</t>
  </si>
  <si>
    <t>77367217S/M</t>
  </si>
  <si>
    <t>77376020X</t>
  </si>
  <si>
    <t>77376166X</t>
  </si>
  <si>
    <t>77387215X</t>
  </si>
  <si>
    <t>77387320X</t>
  </si>
  <si>
    <t>77387520X</t>
  </si>
  <si>
    <t>77388030-020X</t>
  </si>
  <si>
    <t>Greenland Cotton Beanie</t>
  </si>
  <si>
    <t>Striped Webbing Belt W</t>
  </si>
  <si>
    <t>Marlin Shade Hat</t>
  </si>
  <si>
    <t>77397042L</t>
  </si>
  <si>
    <t>77397042M</t>
  </si>
  <si>
    <t>77398249X</t>
  </si>
  <si>
    <t>Ovik Card Holder Large</t>
  </si>
  <si>
    <t>78002021X</t>
  </si>
  <si>
    <t>Byron Pom Hat</t>
  </si>
  <si>
    <t>78002030X</t>
  </si>
  <si>
    <t>78002555X</t>
  </si>
  <si>
    <t>78004555L/XL</t>
  </si>
  <si>
    <t>Greenland Wool Cap</t>
  </si>
  <si>
    <t>78004555S/M</t>
  </si>
  <si>
    <t>78005214L/XL</t>
  </si>
  <si>
    <t>Polar Padded Cap</t>
  </si>
  <si>
    <t>78005214S/M</t>
  </si>
  <si>
    <t>78005555L/XL</t>
  </si>
  <si>
    <t>78005555S/M</t>
  </si>
  <si>
    <t>Forever Nature Cap</t>
  </si>
  <si>
    <t>78008227S/M</t>
  </si>
  <si>
    <t>78008307L/XL</t>
  </si>
  <si>
    <t>78008307S/M</t>
  </si>
  <si>
    <t>78009335L/XL</t>
  </si>
  <si>
    <t>Greenland Original Cap</t>
  </si>
  <si>
    <t>78009335S/M</t>
  </si>
  <si>
    <t>78009638L/XL</t>
  </si>
  <si>
    <t>78009638S/M</t>
  </si>
  <si>
    <t>78210230L</t>
  </si>
  <si>
    <t>78210230M</t>
  </si>
  <si>
    <t>78210550M</t>
  </si>
  <si>
    <t>78210550S</t>
  </si>
  <si>
    <t>79104X</t>
  </si>
  <si>
    <t>Kneepads</t>
  </si>
  <si>
    <t>81353042S</t>
  </si>
  <si>
    <t>81353560M</t>
  </si>
  <si>
    <t>81353560S</t>
  </si>
  <si>
    <t>81461633-63346</t>
  </si>
  <si>
    <t>81461633-63348</t>
  </si>
  <si>
    <t>81461633-63350</t>
  </si>
  <si>
    <t>81511020M</t>
  </si>
  <si>
    <t>Ovik Polo Shirt M</t>
  </si>
  <si>
    <t>81511020S</t>
  </si>
  <si>
    <t>81511560M</t>
  </si>
  <si>
    <t>81511560S</t>
  </si>
  <si>
    <t>Greenland Zip Hoodie</t>
  </si>
  <si>
    <t>81523R03246</t>
  </si>
  <si>
    <t>81523R03248</t>
  </si>
  <si>
    <t>81523R03250</t>
  </si>
  <si>
    <t>81523R56046</t>
  </si>
  <si>
    <t>81523R56048</t>
  </si>
  <si>
    <t>81523R56050</t>
  </si>
  <si>
    <t>81531030L</t>
  </si>
  <si>
    <t>81531030M</t>
  </si>
  <si>
    <t>81531030S</t>
  </si>
  <si>
    <t>81531030XS</t>
  </si>
  <si>
    <t>81531235L</t>
  </si>
  <si>
    <t>81531235M</t>
  </si>
  <si>
    <t>81531235S</t>
  </si>
  <si>
    <t>81531235XS</t>
  </si>
  <si>
    <t>81533220M</t>
  </si>
  <si>
    <t>Abisko Hike Shirt SS M</t>
  </si>
  <si>
    <t>81533220S</t>
  </si>
  <si>
    <t>81533519M</t>
  </si>
  <si>
    <t>81533519S</t>
  </si>
  <si>
    <t>81761030-03046</t>
  </si>
  <si>
    <t>81761030-03048</t>
  </si>
  <si>
    <t>81761030-03050</t>
  </si>
  <si>
    <t>81761030-03052</t>
  </si>
  <si>
    <t>81761227-63346</t>
  </si>
  <si>
    <t>81761227-63348</t>
  </si>
  <si>
    <t>81761227-63350</t>
  </si>
  <si>
    <t>81761227-63352</t>
  </si>
  <si>
    <t>81761550-55046</t>
  </si>
  <si>
    <t>81761550-55048</t>
  </si>
  <si>
    <t>81762230-166M</t>
  </si>
  <si>
    <t>81762255M</t>
  </si>
  <si>
    <t>81762255XS</t>
  </si>
  <si>
    <t>81762555M</t>
  </si>
  <si>
    <t>81762555S</t>
  </si>
  <si>
    <t>81762662-625L</t>
  </si>
  <si>
    <t>81762662-625S</t>
  </si>
  <si>
    <t>81762662-625XS</t>
  </si>
  <si>
    <t>81795320M</t>
  </si>
  <si>
    <t>Abisko Cool Shirt SS M</t>
  </si>
  <si>
    <t>81795320S</t>
  </si>
  <si>
    <t>81795509M</t>
  </si>
  <si>
    <t>81795509S</t>
  </si>
  <si>
    <t>81829166L</t>
  </si>
  <si>
    <t>Ovik Knit Sweater</t>
  </si>
  <si>
    <t>81829166XL</t>
  </si>
  <si>
    <t>81829560L</t>
  </si>
  <si>
    <t>81829560XL</t>
  </si>
  <si>
    <t>Greenland Jeans</t>
  </si>
  <si>
    <t>Greenland Zip Shirt Jacket</t>
  </si>
  <si>
    <t>81874550M</t>
  </si>
  <si>
    <t>Keb Wool T-shirt Print M</t>
  </si>
  <si>
    <t>81874550S</t>
  </si>
  <si>
    <t>81875550M</t>
  </si>
  <si>
    <t>Keb Wool T-shirt LS M</t>
  </si>
  <si>
    <t>81875550S</t>
  </si>
  <si>
    <t>Svante Shirt SS</t>
  </si>
  <si>
    <t>Ovik Shirt SS</t>
  </si>
  <si>
    <t>81941111M</t>
  </si>
  <si>
    <t>Kanken T-Shirt</t>
  </si>
  <si>
    <t>Fjallraven Classic DK T-Shirt</t>
  </si>
  <si>
    <t>Fjallraven Classic HK T-Shirt</t>
  </si>
  <si>
    <t>Fjallraven Classic SWE T-Shirt</t>
  </si>
  <si>
    <t>81944527M</t>
  </si>
  <si>
    <t>81944527S</t>
  </si>
  <si>
    <t>Fjallraven Classic US T-Shirt</t>
  </si>
  <si>
    <t>Fjallraven Est. 1960 T-Shirt</t>
  </si>
  <si>
    <t>81946166M</t>
  </si>
  <si>
    <t>81946166S</t>
  </si>
  <si>
    <t>81946516M</t>
  </si>
  <si>
    <t>81946516S</t>
  </si>
  <si>
    <t>Greenland Forever T-Shirt</t>
  </si>
  <si>
    <t>Lagerplats T-Shirt</t>
  </si>
  <si>
    <t>81950227M</t>
  </si>
  <si>
    <t>81950227S</t>
  </si>
  <si>
    <t>Forever Nature T-Shirt</t>
  </si>
  <si>
    <t>Greenland Printed T-Shirt</t>
  </si>
  <si>
    <t>Fjallraven Classic T-Shirt</t>
  </si>
  <si>
    <t>81956113L</t>
  </si>
  <si>
    <t>81956113M</t>
  </si>
  <si>
    <t>81956113S</t>
  </si>
  <si>
    <t>81956113XL</t>
  </si>
  <si>
    <t>81956113XS</t>
  </si>
  <si>
    <t>81956618L</t>
  </si>
  <si>
    <t>81956618M</t>
  </si>
  <si>
    <t>81956618S</t>
  </si>
  <si>
    <t>81956618XL</t>
  </si>
  <si>
    <t>81956618XS</t>
  </si>
  <si>
    <t>82219255M</t>
  </si>
  <si>
    <t>82219255S</t>
  </si>
  <si>
    <t>82219255XS</t>
  </si>
  <si>
    <t>82219555M</t>
  </si>
  <si>
    <t>82219555S</t>
  </si>
  <si>
    <t>82219555XS</t>
  </si>
  <si>
    <t>82219633M</t>
  </si>
  <si>
    <t>82248345-030L</t>
  </si>
  <si>
    <t>82248345-030M</t>
  </si>
  <si>
    <t>82248555M</t>
  </si>
  <si>
    <t>82248638-555M</t>
  </si>
  <si>
    <t>82284R55044</t>
  </si>
  <si>
    <t>Greenland Stretch Trousers M</t>
  </si>
  <si>
    <t>82284R55046</t>
  </si>
  <si>
    <t>82284R55048</t>
  </si>
  <si>
    <t>82285R55044</t>
  </si>
  <si>
    <t>Karl Pro Winter Trousers M</t>
  </si>
  <si>
    <t>82285R55046</t>
  </si>
  <si>
    <t>82285R55048</t>
  </si>
  <si>
    <t>82411550M</t>
  </si>
  <si>
    <t>Keb Eco-Shell Jacket</t>
  </si>
  <si>
    <t>82411550S</t>
  </si>
  <si>
    <t>82411550XS</t>
  </si>
  <si>
    <t>82415550L</t>
  </si>
  <si>
    <t>Keb Eco-Shell Trousers</t>
  </si>
  <si>
    <t>82415550M</t>
  </si>
  <si>
    <t>82415550S</t>
  </si>
  <si>
    <t>High Coast Wind Anorak</t>
  </si>
  <si>
    <t>82464032M</t>
  </si>
  <si>
    <t>82464032S</t>
  </si>
  <si>
    <t>82464032XS</t>
  </si>
  <si>
    <t>82464560M</t>
  </si>
  <si>
    <t>82464560S</t>
  </si>
  <si>
    <t>82464560XS</t>
  </si>
  <si>
    <t>82890R03046</t>
  </si>
  <si>
    <t>82890R03048</t>
  </si>
  <si>
    <t>82890R03050</t>
  </si>
  <si>
    <t>82890R22046</t>
  </si>
  <si>
    <t>82890R22048</t>
  </si>
  <si>
    <t>82890R22050</t>
  </si>
  <si>
    <t>High Coast Hike Shorts M</t>
  </si>
  <si>
    <t>82993020M</t>
  </si>
  <si>
    <t>Greenland Pile Fleece M</t>
  </si>
  <si>
    <t>82993020S</t>
  </si>
  <si>
    <t>82993575M</t>
  </si>
  <si>
    <t>82993575S</t>
  </si>
  <si>
    <t>82997217L</t>
  </si>
  <si>
    <t>High Coast Shade Jacket M</t>
  </si>
  <si>
    <t>82997217M</t>
  </si>
  <si>
    <t>82997217S</t>
  </si>
  <si>
    <t>82997217XS</t>
  </si>
  <si>
    <t>82997560L</t>
  </si>
  <si>
    <t>82997560M</t>
  </si>
  <si>
    <t>82997560S</t>
  </si>
  <si>
    <t>82997560XS</t>
  </si>
  <si>
    <t>82998021L</t>
  </si>
  <si>
    <t>Ovik Shade Pocket Shirt M</t>
  </si>
  <si>
    <t>82998021M</t>
  </si>
  <si>
    <t>82998021S</t>
  </si>
  <si>
    <t>82998620L</t>
  </si>
  <si>
    <t>82998620M</t>
  </si>
  <si>
    <t>82998620S</t>
  </si>
  <si>
    <t>82999021L</t>
  </si>
  <si>
    <t>Ovik Travel Shirt LS M</t>
  </si>
  <si>
    <t>82999021M</t>
  </si>
  <si>
    <t>82999021S</t>
  </si>
  <si>
    <t>82999620L</t>
  </si>
  <si>
    <t>82999620M</t>
  </si>
  <si>
    <t>82999620S</t>
  </si>
  <si>
    <t>83775550XS</t>
  </si>
  <si>
    <t>Abisko Windbreaker Jacket</t>
  </si>
  <si>
    <t>83981570L</t>
  </si>
  <si>
    <t>83981570M</t>
  </si>
  <si>
    <t>83981570S</t>
  </si>
  <si>
    <t>83981570XS</t>
  </si>
  <si>
    <t>Bergtagen Trousers M</t>
  </si>
  <si>
    <t>83989020M</t>
  </si>
  <si>
    <t>Bergtagen Woolmesh Sweater M</t>
  </si>
  <si>
    <t>83989020S</t>
  </si>
  <si>
    <t>83991020M</t>
  </si>
  <si>
    <t>Bergtagen Longjohns M</t>
  </si>
  <si>
    <t>83991020S</t>
  </si>
  <si>
    <t>84605620M</t>
  </si>
  <si>
    <t>84605620S</t>
  </si>
  <si>
    <t>84606214M</t>
  </si>
  <si>
    <t>Expedition Down Lite Vest M</t>
  </si>
  <si>
    <t>84606214S</t>
  </si>
  <si>
    <t>84606560M</t>
  </si>
  <si>
    <t>84606560S</t>
  </si>
  <si>
    <t>87122550M</t>
  </si>
  <si>
    <t>Greenland Winter Jacket M</t>
  </si>
  <si>
    <t>87122550S</t>
  </si>
  <si>
    <t>87122550XS</t>
  </si>
  <si>
    <t>87122662S</t>
  </si>
  <si>
    <t>87126166M</t>
  </si>
  <si>
    <t>Greenland Down Liner Jacket M</t>
  </si>
  <si>
    <t>87126166S</t>
  </si>
  <si>
    <t>87126166XS</t>
  </si>
  <si>
    <t>87126550M</t>
  </si>
  <si>
    <t>87126550S</t>
  </si>
  <si>
    <t>87126550XS</t>
  </si>
  <si>
    <t>87202154XS</t>
  </si>
  <si>
    <t>87202620L</t>
  </si>
  <si>
    <t>Keb Jacket M</t>
  </si>
  <si>
    <t>87211018-335M</t>
  </si>
  <si>
    <t>87211018-335S</t>
  </si>
  <si>
    <t>87211018-335XS</t>
  </si>
  <si>
    <t>87211042L</t>
  </si>
  <si>
    <t>87211042M</t>
  </si>
  <si>
    <t>87211042S</t>
  </si>
  <si>
    <t>87211042XS</t>
  </si>
  <si>
    <t>87220021M</t>
  </si>
  <si>
    <t>Arctic Fox T-Shirt M</t>
  </si>
  <si>
    <t>87220021S</t>
  </si>
  <si>
    <t>87220113M</t>
  </si>
  <si>
    <t>87220113S</t>
  </si>
  <si>
    <t>87221166M</t>
  </si>
  <si>
    <t>Forever Nature Badge T-Shirt M</t>
  </si>
  <si>
    <t>87221166S</t>
  </si>
  <si>
    <t>87221560M</t>
  </si>
  <si>
    <t>87221560S</t>
  </si>
  <si>
    <t>Karl Pro Shorts M</t>
  </si>
  <si>
    <t>87500550M</t>
  </si>
  <si>
    <t>Ovik Stretch Padded Jacket</t>
  </si>
  <si>
    <t>87500550S</t>
  </si>
  <si>
    <t>87500550XS</t>
  </si>
  <si>
    <t>87500555M</t>
  </si>
  <si>
    <t>87500555S</t>
  </si>
  <si>
    <t>87500555XS</t>
  </si>
  <si>
    <t>89126335L</t>
  </si>
  <si>
    <t>89126335S</t>
  </si>
  <si>
    <t>89126356M</t>
  </si>
  <si>
    <t>89126356S</t>
  </si>
  <si>
    <t>89126356XS</t>
  </si>
  <si>
    <t>89126550-550L</t>
  </si>
  <si>
    <t>89126550-550M</t>
  </si>
  <si>
    <t>89126550-550S</t>
  </si>
  <si>
    <t>89138032M</t>
  </si>
  <si>
    <t>89138032S</t>
  </si>
  <si>
    <t>89138032XS</t>
  </si>
  <si>
    <t>89138550M</t>
  </si>
  <si>
    <t>89138550S</t>
  </si>
  <si>
    <t>89138550XS</t>
  </si>
  <si>
    <t>89235S33534</t>
  </si>
  <si>
    <t>89235S33536</t>
  </si>
  <si>
    <t>89235S35632</t>
  </si>
  <si>
    <t>89235S35634</t>
  </si>
  <si>
    <t>89235S550-55032</t>
  </si>
  <si>
    <t>89336550-55036</t>
  </si>
  <si>
    <t>89336550-55038</t>
  </si>
  <si>
    <t>89336633-63336</t>
  </si>
  <si>
    <t>89336633-63338</t>
  </si>
  <si>
    <t>89336S638-57534</t>
  </si>
  <si>
    <t>89583S03034</t>
  </si>
  <si>
    <t>89583S03036</t>
  </si>
  <si>
    <t>89583S03038</t>
  </si>
  <si>
    <t>89600550M</t>
  </si>
  <si>
    <t>Keb Eco-Shell Jacket W</t>
  </si>
  <si>
    <t>89600550S</t>
  </si>
  <si>
    <t>89600550XS</t>
  </si>
  <si>
    <t>89600550XXS</t>
  </si>
  <si>
    <t>89602550M</t>
  </si>
  <si>
    <t>Keb Eco-Shell Trousers W</t>
  </si>
  <si>
    <t>89602550S</t>
  </si>
  <si>
    <t>89602550XS</t>
  </si>
  <si>
    <t>89633506M</t>
  </si>
  <si>
    <t>89633506S</t>
  </si>
  <si>
    <t>89633506XS</t>
  </si>
  <si>
    <t>89633560M</t>
  </si>
  <si>
    <t>89633560S</t>
  </si>
  <si>
    <t>89633560XS</t>
  </si>
  <si>
    <t>High Coast Trousers W</t>
  </si>
  <si>
    <t>Ovik Skirt</t>
  </si>
  <si>
    <t>89737042M</t>
  </si>
  <si>
    <t>Greenland Winter Jacket W</t>
  </si>
  <si>
    <t>89737042S</t>
  </si>
  <si>
    <t>89737042XS</t>
  </si>
  <si>
    <t>89737166M</t>
  </si>
  <si>
    <t>89737166S</t>
  </si>
  <si>
    <t>89737166XS</t>
  </si>
  <si>
    <t>Greenland Winter Parka W</t>
  </si>
  <si>
    <t>89738575S</t>
  </si>
  <si>
    <t>89738575XS</t>
  </si>
  <si>
    <t>89738625S</t>
  </si>
  <si>
    <t>89738625XS</t>
  </si>
  <si>
    <t>89739307M</t>
  </si>
  <si>
    <t>Greenland Down Liner Jacket W</t>
  </si>
  <si>
    <t>89739307S</t>
  </si>
  <si>
    <t>89739307XS</t>
  </si>
  <si>
    <t>89739575M</t>
  </si>
  <si>
    <t>89739575S</t>
  </si>
  <si>
    <t>89739575XS</t>
  </si>
  <si>
    <t>89751550M</t>
  </si>
  <si>
    <t>Keb Wool T-Shirt Print W</t>
  </si>
  <si>
    <t>89751550S</t>
  </si>
  <si>
    <t>89751550XS</t>
  </si>
  <si>
    <t>89753550M</t>
  </si>
  <si>
    <t>Keb Wool T-Shirt LS W</t>
  </si>
  <si>
    <t>89753550S</t>
  </si>
  <si>
    <t>89753550XS</t>
  </si>
  <si>
    <t>89776042M</t>
  </si>
  <si>
    <t>89776042S</t>
  </si>
  <si>
    <t>89797S62532</t>
  </si>
  <si>
    <t>Greenland Stretch Trousers W</t>
  </si>
  <si>
    <t>89797S62534</t>
  </si>
  <si>
    <t>89797S62536</t>
  </si>
  <si>
    <t>89815307M</t>
  </si>
  <si>
    <t>High Coast Hooded Shirt SS W</t>
  </si>
  <si>
    <t>89815307S</t>
  </si>
  <si>
    <t>89815307XS</t>
  </si>
  <si>
    <t>89815506M</t>
  </si>
  <si>
    <t>89815506S</t>
  </si>
  <si>
    <t>89815506XS</t>
  </si>
  <si>
    <t>89843021M</t>
  </si>
  <si>
    <t>Ovik Travel Shirt LS W</t>
  </si>
  <si>
    <t>89843021S</t>
  </si>
  <si>
    <t>89843021XS</t>
  </si>
  <si>
    <t>89843516M</t>
  </si>
  <si>
    <t>89843516S</t>
  </si>
  <si>
    <t>89843516XS</t>
  </si>
  <si>
    <t>Ovik Travel Skirt W</t>
  </si>
  <si>
    <t>89846307M</t>
  </si>
  <si>
    <t>High Coast Stretch Shirt SS W</t>
  </si>
  <si>
    <t>89846307S</t>
  </si>
  <si>
    <t>89846307XS</t>
  </si>
  <si>
    <t>89846560M</t>
  </si>
  <si>
    <t>89846560S</t>
  </si>
  <si>
    <t>89846560XS</t>
  </si>
  <si>
    <t>89847516M</t>
  </si>
  <si>
    <t>High Coast Shade Jacket W</t>
  </si>
  <si>
    <t>89847516S</t>
  </si>
  <si>
    <t>89847516XS</t>
  </si>
  <si>
    <t>89847516XXS</t>
  </si>
  <si>
    <t>89847560M</t>
  </si>
  <si>
    <t>89847560S</t>
  </si>
  <si>
    <t>89847560XS</t>
  </si>
  <si>
    <t>89847560XXS</t>
  </si>
  <si>
    <t>89849113M</t>
  </si>
  <si>
    <t>Arctic Fox Print T-Shirt W</t>
  </si>
  <si>
    <t>89849113S</t>
  </si>
  <si>
    <t>89849113XS</t>
  </si>
  <si>
    <t>89849516M</t>
  </si>
  <si>
    <t>89849516S</t>
  </si>
  <si>
    <t>89849516XS</t>
  </si>
  <si>
    <t>89861050XS</t>
  </si>
  <si>
    <t>89861570M</t>
  </si>
  <si>
    <t>89861570S</t>
  </si>
  <si>
    <t>89861570XS</t>
  </si>
  <si>
    <t>Bergtagen Trousers W</t>
  </si>
  <si>
    <t>89870020M</t>
  </si>
  <si>
    <t>Bergtagen Woolmesh Sweater W</t>
  </si>
  <si>
    <t>89870020S</t>
  </si>
  <si>
    <t>89872020M</t>
  </si>
  <si>
    <t>Bergtagen Longjohns W</t>
  </si>
  <si>
    <t>89872020S</t>
  </si>
  <si>
    <t>89877307M</t>
  </si>
  <si>
    <t>Forever Nature Badge T-Shirt W</t>
  </si>
  <si>
    <t>89877307S</t>
  </si>
  <si>
    <t>89877307XS</t>
  </si>
  <si>
    <t>89877560M</t>
  </si>
  <si>
    <t>89877560S</t>
  </si>
  <si>
    <t>89877560XS</t>
  </si>
  <si>
    <t>89892356-420M</t>
  </si>
  <si>
    <t>Keb Jacket W</t>
  </si>
  <si>
    <t>89892356-420S</t>
  </si>
  <si>
    <t>89892356-420XS</t>
  </si>
  <si>
    <t>89892356-420XXS</t>
  </si>
  <si>
    <t>89892555-520M</t>
  </si>
  <si>
    <t>89892555-520S</t>
  </si>
  <si>
    <t>89892555-520XXS</t>
  </si>
  <si>
    <t>89893555M</t>
  </si>
  <si>
    <t>Greenland Re-Cotton T-shirt SS W</t>
  </si>
  <si>
    <t>89893555S</t>
  </si>
  <si>
    <t>89910020M</t>
  </si>
  <si>
    <t>89910020S</t>
  </si>
  <si>
    <t>89941020M</t>
  </si>
  <si>
    <t>Ovik Knit Sweater W</t>
  </si>
  <si>
    <t>89941020S</t>
  </si>
  <si>
    <t>89941555M</t>
  </si>
  <si>
    <t>89941555S</t>
  </si>
  <si>
    <t>Forever Nature T-Shirt W</t>
  </si>
  <si>
    <t>89958664M</t>
  </si>
  <si>
    <t>89958664S</t>
  </si>
  <si>
    <t>89958664XS</t>
  </si>
  <si>
    <t>Greenland Lite Jeans W</t>
  </si>
  <si>
    <t>Greenland Zip Hoodie W</t>
  </si>
  <si>
    <t>Greenland T-Shirt W</t>
  </si>
  <si>
    <t>Ovik Chambray Shirt LS W</t>
  </si>
  <si>
    <t>Fjallraven Classic DK T-Shirt W</t>
  </si>
  <si>
    <t>Fjallraven Classic HK T-Shirt W</t>
  </si>
  <si>
    <t>Fjallraven Classic SWE T-Shirt W</t>
  </si>
  <si>
    <t>89977111M</t>
  </si>
  <si>
    <t>Fjallraven Classic US T-Shirt W</t>
  </si>
  <si>
    <t>89977111S</t>
  </si>
  <si>
    <t>Kanken T-Shirt W</t>
  </si>
  <si>
    <t>89979113M</t>
  </si>
  <si>
    <t>Fjallraven Est. 1960 T-Shirt W</t>
  </si>
  <si>
    <t>89979113S</t>
  </si>
  <si>
    <t>89979113XS</t>
  </si>
  <si>
    <t>89979516M</t>
  </si>
  <si>
    <t>89979516S</t>
  </si>
  <si>
    <t>89979516XS</t>
  </si>
  <si>
    <t>Raven Jacket W</t>
  </si>
  <si>
    <t>89993575M</t>
  </si>
  <si>
    <t>Greenland Pile Fleece W</t>
  </si>
  <si>
    <t>89993575S</t>
  </si>
  <si>
    <t>89995620M</t>
  </si>
  <si>
    <t>89995620S</t>
  </si>
  <si>
    <t>89995620XS</t>
  </si>
  <si>
    <t>Greenland Jacket W</t>
  </si>
  <si>
    <t>89997550M</t>
  </si>
  <si>
    <t>89997550S</t>
  </si>
  <si>
    <t>Kanken Laptop15</t>
  </si>
  <si>
    <t>Vardag 16</t>
  </si>
  <si>
    <t>23561612X</t>
  </si>
  <si>
    <t>24221215X</t>
  </si>
  <si>
    <t>Kanken Laptop17</t>
  </si>
  <si>
    <t>24221633X</t>
  </si>
  <si>
    <t>26052227X</t>
  </si>
  <si>
    <t>Vardag 25</t>
  </si>
  <si>
    <t>Kanken Laptop13</t>
  </si>
  <si>
    <t>23561042X</t>
  </si>
  <si>
    <t>23510540-908X</t>
  </si>
  <si>
    <t>23505664X</t>
  </si>
  <si>
    <t>Singi 28</t>
  </si>
  <si>
    <t>23507326X</t>
  </si>
  <si>
    <t>Kanken Chest Strap</t>
  </si>
  <si>
    <t>23505326X</t>
  </si>
  <si>
    <t>Kanken Art Travel Wallet</t>
  </si>
  <si>
    <t>Kanken Art Card Wallet</t>
  </si>
  <si>
    <t>23622907X</t>
  </si>
  <si>
    <t>Kanken Rainbow Keyring</t>
  </si>
  <si>
    <t>Vardag Totepack</t>
  </si>
  <si>
    <t>Singi Gear Holder</t>
  </si>
  <si>
    <t>27240321X</t>
  </si>
  <si>
    <t>23507319X</t>
  </si>
  <si>
    <t>Vidda Pro Ventilated Trs M Reg</t>
  </si>
  <si>
    <t>23505560X</t>
  </si>
  <si>
    <t>ovik Flannel Shirt M</t>
  </si>
  <si>
    <t>23505550X</t>
  </si>
  <si>
    <t>23166555X</t>
  </si>
  <si>
    <t>Singi 20</t>
  </si>
  <si>
    <t>23323633X</t>
  </si>
  <si>
    <t>Singi Side Pocket</t>
  </si>
  <si>
    <t>23165555X</t>
  </si>
  <si>
    <t>Greenland Re-Wool Jacket W</t>
  </si>
  <si>
    <t>27240638X</t>
  </si>
  <si>
    <t>23506319X</t>
  </si>
  <si>
    <t>23506326X</t>
  </si>
  <si>
    <t>ovik Cord Shirt W</t>
  </si>
  <si>
    <t>26051227X</t>
  </si>
  <si>
    <t>23561166-326X</t>
  </si>
  <si>
    <t>Canada Wool Padded Jacket M</t>
  </si>
  <si>
    <t>23505046X</t>
  </si>
  <si>
    <t>24260046X</t>
  </si>
  <si>
    <t>Vidda Pro Jacket M</t>
  </si>
  <si>
    <t>Kanken Art Toiletry Bag</t>
  </si>
  <si>
    <t>Kanken Art Pen Case</t>
  </si>
  <si>
    <t>23507046X</t>
  </si>
  <si>
    <t>店舗名称</t>
  </si>
  <si>
    <t>3rd Item No.</t>
  </si>
  <si>
    <t>23510166-326X</t>
  </si>
  <si>
    <t>23797160X</t>
  </si>
  <si>
    <t>23507550X</t>
  </si>
  <si>
    <t>23797021X</t>
  </si>
  <si>
    <t>23797620X</t>
  </si>
  <si>
    <t>77388633-284X</t>
  </si>
  <si>
    <t>23797326X</t>
  </si>
  <si>
    <t>23797664X</t>
  </si>
  <si>
    <t>23166662X</t>
  </si>
  <si>
    <t>23507560X</t>
  </si>
  <si>
    <t>23506664X</t>
  </si>
  <si>
    <t>27350550-550X</t>
  </si>
  <si>
    <t>23797560X</t>
  </si>
  <si>
    <t>27351550-550X</t>
  </si>
  <si>
    <t>23166344X</t>
  </si>
  <si>
    <t>27241638X</t>
  </si>
  <si>
    <t>78128555X</t>
  </si>
  <si>
    <t>23510612X</t>
  </si>
  <si>
    <t>27242550X</t>
  </si>
  <si>
    <t>89330S63338</t>
  </si>
  <si>
    <t>78011030X</t>
  </si>
  <si>
    <t>23797031X</t>
  </si>
  <si>
    <t>27172215X</t>
  </si>
  <si>
    <t>81160R55050</t>
  </si>
  <si>
    <t>82975229S</t>
  </si>
  <si>
    <t>81761633-63346</t>
  </si>
  <si>
    <t>23332290X</t>
  </si>
  <si>
    <t>81155320M</t>
  </si>
  <si>
    <t>82975550S</t>
  </si>
  <si>
    <t>77376113X</t>
  </si>
  <si>
    <t>90170626-625M</t>
  </si>
  <si>
    <t>85656R04246</t>
  </si>
  <si>
    <t>23165662X</t>
  </si>
  <si>
    <t>87211662-625XS</t>
  </si>
  <si>
    <t>23506560X</t>
  </si>
  <si>
    <t>82979555S</t>
  </si>
  <si>
    <t>81761633-63348</t>
  </si>
  <si>
    <t>24221307X</t>
  </si>
  <si>
    <t>27242321X</t>
  </si>
  <si>
    <t>90222626-66246</t>
  </si>
  <si>
    <t>80724633X</t>
  </si>
  <si>
    <t>23510215X</t>
  </si>
  <si>
    <t>78004030L/XL</t>
  </si>
  <si>
    <t>23165344X</t>
  </si>
  <si>
    <t>87211550M</t>
  </si>
  <si>
    <t>27242166X</t>
  </si>
  <si>
    <t>23322633X</t>
  </si>
  <si>
    <t>81160R63350</t>
  </si>
  <si>
    <t>77302555S</t>
  </si>
  <si>
    <t>23319018X</t>
  </si>
  <si>
    <t>23629971X</t>
  </si>
  <si>
    <t>89796320-550S</t>
  </si>
  <si>
    <t>23319638X</t>
  </si>
  <si>
    <t>23510326-908X</t>
  </si>
  <si>
    <t>81160R55046</t>
  </si>
  <si>
    <t>確保</t>
    <rPh sb="0" eb="2">
      <t>カクホ</t>
    </rPh>
    <phoneticPr fontId="23"/>
  </si>
  <si>
    <t>在庫</t>
    <rPh sb="0" eb="2">
      <t>ザイコ</t>
    </rPh>
    <phoneticPr fontId="23"/>
  </si>
  <si>
    <t>RETAIL</t>
    <phoneticPr fontId="23"/>
  </si>
  <si>
    <t>マイナス</t>
    <phoneticPr fontId="23"/>
  </si>
  <si>
    <t>R</t>
    <phoneticPr fontId="23"/>
  </si>
  <si>
    <t>F</t>
    <phoneticPr fontId="23"/>
  </si>
  <si>
    <t>23160550X</t>
  </si>
  <si>
    <t>23166171X</t>
  </si>
  <si>
    <t>23301625X</t>
  </si>
  <si>
    <t>23319321X</t>
  </si>
  <si>
    <t>23319633X</t>
  </si>
  <si>
    <t>23320633X</t>
  </si>
  <si>
    <t>23321633X</t>
  </si>
  <si>
    <t>Singi 48</t>
  </si>
  <si>
    <t>Singi Stubben</t>
  </si>
  <si>
    <t>23324633X</t>
  </si>
  <si>
    <t>Norrvage Briefpack</t>
  </si>
  <si>
    <t>23505319X</t>
  </si>
  <si>
    <t>23506046X</t>
  </si>
  <si>
    <t>23506550X</t>
  </si>
  <si>
    <t>23507664X</t>
  </si>
  <si>
    <t>23510662-166X</t>
  </si>
  <si>
    <t>23561215X</t>
  </si>
  <si>
    <t>23561326-908X</t>
  </si>
  <si>
    <t>23561540-908X</t>
  </si>
  <si>
    <t>23561662-166X</t>
  </si>
  <si>
    <t>23565046X</t>
  </si>
  <si>
    <t>23569046X</t>
  </si>
  <si>
    <t>23625971X</t>
  </si>
  <si>
    <t>23625975X</t>
  </si>
  <si>
    <t>23628971X</t>
  </si>
  <si>
    <t>23628975X</t>
  </si>
  <si>
    <t>23629975X</t>
  </si>
  <si>
    <t>23630971X</t>
  </si>
  <si>
    <t>23630975X</t>
  </si>
  <si>
    <t>Kanken Sling</t>
  </si>
  <si>
    <t>23797312X</t>
  </si>
  <si>
    <t>24203307X</t>
  </si>
  <si>
    <t>24215042X</t>
  </si>
  <si>
    <t>25865210X</t>
  </si>
  <si>
    <t>Hunting Rain Cover 16-28</t>
  </si>
  <si>
    <t>26050519X</t>
  </si>
  <si>
    <t>27088330X</t>
  </si>
  <si>
    <t>27171215X</t>
  </si>
  <si>
    <t>27173215X</t>
  </si>
  <si>
    <t>27240662X</t>
  </si>
  <si>
    <t>27241018X</t>
  </si>
  <si>
    <t>27241166X</t>
  </si>
  <si>
    <t>27241321X</t>
  </si>
  <si>
    <t>27241550X</t>
  </si>
  <si>
    <t>27241662X</t>
  </si>
  <si>
    <t>27242018X</t>
  </si>
  <si>
    <t>27242638X</t>
  </si>
  <si>
    <t>27242662X</t>
  </si>
  <si>
    <t>27342638-555X</t>
  </si>
  <si>
    <t>Keb 52</t>
  </si>
  <si>
    <t>27344335-344X</t>
  </si>
  <si>
    <t>Keb 52 W</t>
  </si>
  <si>
    <t>53301220X</t>
  </si>
  <si>
    <t>53302525X</t>
  </si>
  <si>
    <t>Abisko Lite 2</t>
  </si>
  <si>
    <t>53402220X</t>
  </si>
  <si>
    <t>53503220X</t>
  </si>
  <si>
    <t>77029042X</t>
  </si>
  <si>
    <t>77266356S/M</t>
  </si>
  <si>
    <t>77279335M</t>
  </si>
  <si>
    <t>77302555L</t>
  </si>
  <si>
    <t>77302555M</t>
  </si>
  <si>
    <t>77340633L</t>
  </si>
  <si>
    <t>Varmland Heater</t>
  </si>
  <si>
    <t>77340633M</t>
  </si>
  <si>
    <t>77340633S</t>
  </si>
  <si>
    <t>77343249X</t>
  </si>
  <si>
    <t>Equipment Bag</t>
  </si>
  <si>
    <t>Singi Bino Bag</t>
  </si>
  <si>
    <t>78011020X</t>
  </si>
  <si>
    <t>Solid Re-Wool Scarf</t>
  </si>
  <si>
    <t>78011215X</t>
  </si>
  <si>
    <t>78011555X</t>
  </si>
  <si>
    <t>78011662X</t>
  </si>
  <si>
    <t>78013166X</t>
  </si>
  <si>
    <t>Merino Lite Hat</t>
  </si>
  <si>
    <t>78013215X</t>
  </si>
  <si>
    <t>78013550X</t>
  </si>
  <si>
    <t>78013662X</t>
  </si>
  <si>
    <t>78121555L/XL</t>
  </si>
  <si>
    <t>Cord Cap</t>
  </si>
  <si>
    <t>78121555S/M</t>
  </si>
  <si>
    <t>78121662L/XL</t>
  </si>
  <si>
    <t>78121662S/M</t>
  </si>
  <si>
    <t>78124215-020X</t>
  </si>
  <si>
    <t>Byron Striped Pom Hat</t>
  </si>
  <si>
    <t>78124555-520X</t>
  </si>
  <si>
    <t>78128306X</t>
  </si>
  <si>
    <t>ovik Knit Hat</t>
  </si>
  <si>
    <t>80634510L</t>
  </si>
  <si>
    <t>Fjallraven Polar Parka M</t>
  </si>
  <si>
    <t>80634510M</t>
  </si>
  <si>
    <t>80634510S</t>
  </si>
  <si>
    <t>80634510XS</t>
  </si>
  <si>
    <t>80724031X</t>
  </si>
  <si>
    <t>Poncho</t>
  </si>
  <si>
    <t>80724210X</t>
  </si>
  <si>
    <t>80724525X</t>
  </si>
  <si>
    <t>81155320L</t>
  </si>
  <si>
    <t>81155320S</t>
  </si>
  <si>
    <t>81155320XS</t>
  </si>
  <si>
    <t>81160R55044</t>
  </si>
  <si>
    <t>81160R55048</t>
  </si>
  <si>
    <t>81160R55052</t>
  </si>
  <si>
    <t>81160R63346</t>
  </si>
  <si>
    <t>81160R63348</t>
  </si>
  <si>
    <t>81160R63352</t>
  </si>
  <si>
    <t>Buck Fleece M</t>
  </si>
  <si>
    <t>81328625-662M</t>
  </si>
  <si>
    <t>81328625-662S</t>
  </si>
  <si>
    <t>81761227-63344</t>
  </si>
  <si>
    <t>81761633-63350</t>
  </si>
  <si>
    <t>81761633-63352</t>
  </si>
  <si>
    <t>81869525L</t>
  </si>
  <si>
    <t>Fjallraven Polar T-Shirt M</t>
  </si>
  <si>
    <t>81869525M</t>
  </si>
  <si>
    <t>81869525S</t>
  </si>
  <si>
    <t>81874166-230M</t>
  </si>
  <si>
    <t>81875625-662S</t>
  </si>
  <si>
    <t>81916550L</t>
  </si>
  <si>
    <t>81916550M</t>
  </si>
  <si>
    <t>81916550S</t>
  </si>
  <si>
    <t>81916662-625L</t>
  </si>
  <si>
    <t>81941154S</t>
  </si>
  <si>
    <t>82248625-662M</t>
  </si>
  <si>
    <t>82248625-662S</t>
  </si>
  <si>
    <t>82248625-662XS</t>
  </si>
  <si>
    <t>82248638-555L</t>
  </si>
  <si>
    <t>82972550M</t>
  </si>
  <si>
    <t>Kiruna Liner Jacket M</t>
  </si>
  <si>
    <t>82972550S</t>
  </si>
  <si>
    <t>82972550XS</t>
  </si>
  <si>
    <t>82972575M</t>
  </si>
  <si>
    <t>82972575S</t>
  </si>
  <si>
    <t>82972575XS</t>
  </si>
  <si>
    <t>82975229L</t>
  </si>
  <si>
    <t>Kiruna Lite Parka M</t>
  </si>
  <si>
    <t>82975229M</t>
  </si>
  <si>
    <t>82975229XS</t>
  </si>
  <si>
    <t>82975550L</t>
  </si>
  <si>
    <t>82975550M</t>
  </si>
  <si>
    <t>82975550XS</t>
  </si>
  <si>
    <t>82977229M</t>
  </si>
  <si>
    <t>ovik Cord Shirt M</t>
  </si>
  <si>
    <t>82977229S</t>
  </si>
  <si>
    <t>82977555M</t>
  </si>
  <si>
    <t>82977555S</t>
  </si>
  <si>
    <t>82978042M</t>
  </si>
  <si>
    <t>ovik Heavy Flannel Shirt M</t>
  </si>
  <si>
    <t>82978042S</t>
  </si>
  <si>
    <t>82979555M</t>
  </si>
  <si>
    <t>85656R04244</t>
  </si>
  <si>
    <t>Keb Trousers M</t>
  </si>
  <si>
    <t>85656R04248</t>
  </si>
  <si>
    <t>85656R04250</t>
  </si>
  <si>
    <t>85656R04252</t>
  </si>
  <si>
    <t>85656R55044</t>
  </si>
  <si>
    <t>85656R55046</t>
  </si>
  <si>
    <t>85656R55048</t>
  </si>
  <si>
    <t>85656R55050</t>
  </si>
  <si>
    <t>85656R55052</t>
  </si>
  <si>
    <t>87211550L</t>
  </si>
  <si>
    <t>87211550S</t>
  </si>
  <si>
    <t>87211550XS</t>
  </si>
  <si>
    <t>87211662-625L</t>
  </si>
  <si>
    <t>87211662-625M</t>
  </si>
  <si>
    <t>87211662-625S</t>
  </si>
  <si>
    <t>87222620M</t>
  </si>
  <si>
    <t>Owl Print T-Shirt M</t>
  </si>
  <si>
    <t>87222620S</t>
  </si>
  <si>
    <t>89330S55034</t>
  </si>
  <si>
    <t>Vidda Pro Ventilated Trs W Short</t>
  </si>
  <si>
    <t>89330S55036</t>
  </si>
  <si>
    <t>89330S55038</t>
  </si>
  <si>
    <t>89330S55040</t>
  </si>
  <si>
    <t>89330S63334</t>
  </si>
  <si>
    <t>89330S63336</t>
  </si>
  <si>
    <t>89330S63340</t>
  </si>
  <si>
    <t>89336550-55040</t>
  </si>
  <si>
    <t>89737550XS</t>
  </si>
  <si>
    <t>89753010-020XS</t>
  </si>
  <si>
    <t>89795352M</t>
  </si>
  <si>
    <t>Kiruna Lite Parka W</t>
  </si>
  <si>
    <t>89795352S</t>
  </si>
  <si>
    <t>89795352XS</t>
  </si>
  <si>
    <t>89795625M</t>
  </si>
  <si>
    <t>89795625S</t>
  </si>
  <si>
    <t>89796320-550M</t>
  </si>
  <si>
    <t>89796320-550XS</t>
  </si>
  <si>
    <t>Karla Pro Winter Trousers W</t>
  </si>
  <si>
    <t>89830306M</t>
  </si>
  <si>
    <t>89830306S</t>
  </si>
  <si>
    <t>89830306XS</t>
  </si>
  <si>
    <t>89832042M</t>
  </si>
  <si>
    <t>ovik Heavy Flannel Shirt W</t>
  </si>
  <si>
    <t>89832042S</t>
  </si>
  <si>
    <t>89832306M</t>
  </si>
  <si>
    <t>89832306S</t>
  </si>
  <si>
    <t>89856633XS</t>
  </si>
  <si>
    <t>Vidda Pro Jacket W</t>
  </si>
  <si>
    <t>89892550M</t>
  </si>
  <si>
    <t>89892550S</t>
  </si>
  <si>
    <t>89892550XS</t>
  </si>
  <si>
    <t>89898S356-42034</t>
  </si>
  <si>
    <t>89898S356-42036</t>
  </si>
  <si>
    <t>89898S356-42038</t>
  </si>
  <si>
    <t>89898S55034</t>
  </si>
  <si>
    <t>89898S55036</t>
  </si>
  <si>
    <t>89898S55038</t>
  </si>
  <si>
    <t>89898S555-52034</t>
  </si>
  <si>
    <t>89898S555-52036</t>
  </si>
  <si>
    <t>89898S555-52038</t>
  </si>
  <si>
    <t>89941306M</t>
  </si>
  <si>
    <t>ovik Knit Sweater W</t>
  </si>
  <si>
    <t>89941306S</t>
  </si>
  <si>
    <t>89978560M</t>
  </si>
  <si>
    <t>90170626-625L</t>
  </si>
  <si>
    <t>Lappland Hybrid Jacket M</t>
  </si>
  <si>
    <t>90170626-625S</t>
  </si>
  <si>
    <t>90170633M</t>
  </si>
  <si>
    <t>90172211XL</t>
  </si>
  <si>
    <t>90174211M</t>
  </si>
  <si>
    <t>Lappland Hybrid Vest Camo M</t>
  </si>
  <si>
    <t>90174211S</t>
  </si>
  <si>
    <t>90222626-66244</t>
  </si>
  <si>
    <t>Barents Pro Hunting Trousers M</t>
  </si>
  <si>
    <t>90222626-66248</t>
  </si>
  <si>
    <t>90222626-66250</t>
  </si>
  <si>
    <t>90222626-66252</t>
  </si>
  <si>
    <t>Drev Trousers M</t>
  </si>
  <si>
    <t>FJALLRAVEN by 3NITY 新宿小田急ハルク</t>
  </si>
  <si>
    <t>FJALLERAVEN by 3NITYルクア大阪</t>
  </si>
  <si>
    <t>ルクア大阪</t>
  </si>
  <si>
    <t>FJALLRAVEN by 3NITY 博多阪急イングス</t>
  </si>
  <si>
    <t>04 名古屋</t>
    <rPh sb="3" eb="6">
      <t>ナゴヤ</t>
    </rPh>
    <phoneticPr fontId="22"/>
  </si>
  <si>
    <t>ハルク売上</t>
  </si>
  <si>
    <t>FJALLRAVEN by 3NITY ルクア大阪</t>
  </si>
  <si>
    <t>FJALLRAVEN by 3NITY 博多阪急</t>
  </si>
  <si>
    <t>FJALLRAVEN by 3NITY SAPPORO HUTTE</t>
  </si>
  <si>
    <t>ヒュッテ</t>
  </si>
  <si>
    <t>07 TOKYO</t>
  </si>
  <si>
    <t>07 TOKYO</t>
    <phoneticPr fontId="22"/>
  </si>
  <si>
    <t>08 ルクア大阪</t>
    <rPh sb="6" eb="8">
      <t>オオサカ</t>
    </rPh>
    <phoneticPr fontId="22"/>
  </si>
  <si>
    <t>10 ヒュッテ</t>
  </si>
  <si>
    <t>10 ヒュッテ</t>
    <phoneticPr fontId="22"/>
  </si>
  <si>
    <t>99 XXX</t>
    <phoneticPr fontId="22"/>
  </si>
  <si>
    <t>*</t>
    <phoneticPr fontId="22"/>
  </si>
  <si>
    <t>FJALLRAVEN STORE 名古屋ファッションワン</t>
  </si>
  <si>
    <t>FJALLRAVEN by 3NITY 小田急町田</t>
  </si>
  <si>
    <t>FJALLRAVEN by 3NITY POP-UP</t>
  </si>
  <si>
    <t>12 POPUP</t>
    <phoneticPr fontId="22"/>
  </si>
  <si>
    <t>RETAIL POPUP2</t>
  </si>
  <si>
    <t>FJALLRAVEN by 3NITY POPUP</t>
  </si>
  <si>
    <t>13 京王新宿</t>
    <rPh sb="3" eb="5">
      <t>ケイオウ</t>
    </rPh>
    <rPh sb="5" eb="7">
      <t>シンジュク</t>
    </rPh>
    <phoneticPr fontId="22"/>
  </si>
  <si>
    <t>FJALLRAVEN by 3NITY 京王新宿</t>
  </si>
  <si>
    <t>FJALLRAVEN by 3NITY 心斎橋パルコ</t>
    <phoneticPr fontId="22"/>
  </si>
  <si>
    <t>23345050X</t>
  </si>
  <si>
    <t>23510457X</t>
  </si>
  <si>
    <t>23344050X</t>
  </si>
  <si>
    <t>23510424X</t>
  </si>
  <si>
    <t>京王新宿</t>
  </si>
  <si>
    <t>16 6142</t>
    <phoneticPr fontId="22"/>
  </si>
  <si>
    <t>a</t>
    <phoneticPr fontId="22"/>
  </si>
  <si>
    <t>23510126X</t>
  </si>
  <si>
    <t>23620550-907X</t>
  </si>
  <si>
    <t>23524501X</t>
  </si>
  <si>
    <t>23524046X</t>
  </si>
  <si>
    <t>23525160X</t>
  </si>
  <si>
    <t>23346662X</t>
  </si>
  <si>
    <t>23346550X</t>
  </si>
  <si>
    <t>23510501-115X</t>
  </si>
  <si>
    <t>23524424X</t>
  </si>
  <si>
    <t>23525424X</t>
  </si>
  <si>
    <t>23797118X</t>
  </si>
  <si>
    <t>FJALLRAVEN by 3NITY玉川高島屋S・C</t>
  </si>
  <si>
    <t>17 玉川高島屋</t>
    <rPh sb="3" eb="5">
      <t>タマガワ</t>
    </rPh>
    <rPh sb="5" eb="8">
      <t>タカシマヤ</t>
    </rPh>
    <phoneticPr fontId="22"/>
  </si>
  <si>
    <t>FJALLRAVEN POP-UP</t>
  </si>
  <si>
    <t>23510228X</t>
  </si>
  <si>
    <t>23505160X</t>
  </si>
  <si>
    <t>23510600X</t>
  </si>
  <si>
    <t>23796424X</t>
  </si>
  <si>
    <t>表記部門名1</t>
  </si>
  <si>
    <t>StyleNo</t>
  </si>
  <si>
    <t>ColorNo</t>
  </si>
  <si>
    <t>ColorName</t>
  </si>
  <si>
    <t>Size</t>
  </si>
  <si>
    <t>Sky Blue</t>
  </si>
  <si>
    <t>FJALLRAVEN by 3NITY 大丸心斎橋</t>
  </si>
  <si>
    <t>15 大丸心斎橋</t>
    <rPh sb="3" eb="5">
      <t>ダイマル</t>
    </rPh>
    <rPh sb="5" eb="8">
      <t>シンサイバシ</t>
    </rPh>
    <phoneticPr fontId="22"/>
  </si>
  <si>
    <t>玉川高島屋</t>
  </si>
  <si>
    <t>越一</t>
  </si>
  <si>
    <t>大丸心斎橋</t>
  </si>
  <si>
    <t>Black</t>
  </si>
  <si>
    <t>S</t>
  </si>
  <si>
    <t>08 ルクア大阪</t>
  </si>
  <si>
    <t>FJALLRAVEN</t>
  </si>
  <si>
    <t>X</t>
  </si>
  <si>
    <t>Pink</t>
  </si>
  <si>
    <t>23510021-312X</t>
  </si>
  <si>
    <t>021-312</t>
  </si>
  <si>
    <t>Fog-Pink</t>
  </si>
  <si>
    <t>Skule 24</t>
  </si>
  <si>
    <t>Shark Grey</t>
  </si>
  <si>
    <t>Kanken Laptop 15</t>
  </si>
  <si>
    <t>Ochre</t>
  </si>
  <si>
    <t>23510302X</t>
  </si>
  <si>
    <t>Kanken Laptop 17</t>
  </si>
  <si>
    <t>Ox Red</t>
  </si>
  <si>
    <t>High Coast Crossbody</t>
  </si>
  <si>
    <t>Frost Green</t>
  </si>
  <si>
    <t>High Coast Hip Pack</t>
  </si>
  <si>
    <t>Blackberry</t>
  </si>
  <si>
    <t>Raven 20</t>
  </si>
  <si>
    <t>Pastel Lavender</t>
  </si>
  <si>
    <t>High Coast Pocket</t>
  </si>
  <si>
    <t>501-115</t>
  </si>
  <si>
    <t>Sky Blue-Light Oak</t>
  </si>
  <si>
    <t>Sky blue</t>
  </si>
  <si>
    <t>Royal Blue</t>
  </si>
  <si>
    <t>Navy</t>
  </si>
  <si>
    <t>Green</t>
  </si>
  <si>
    <t>Multicolor Logo T-shirt M</t>
  </si>
  <si>
    <t>Kanken Laptop 13</t>
  </si>
  <si>
    <t>L</t>
  </si>
  <si>
    <t>M</t>
  </si>
  <si>
    <t>Raven 28</t>
  </si>
  <si>
    <t>23510576X</t>
  </si>
  <si>
    <t>Patina Green</t>
  </si>
  <si>
    <t>Kanken Hip Pack</t>
  </si>
  <si>
    <t>Fossil</t>
  </si>
  <si>
    <t>Vidda Cap</t>
  </si>
  <si>
    <t>Basalt</t>
  </si>
  <si>
    <t>550-550</t>
  </si>
  <si>
    <t>Black-Black</t>
  </si>
  <si>
    <t>XL</t>
  </si>
  <si>
    <t>Skule 28</t>
  </si>
  <si>
    <t>Skule Sling 6</t>
  </si>
  <si>
    <t>Corn</t>
  </si>
  <si>
    <t>Mountain Green</t>
  </si>
  <si>
    <t>Super grey</t>
  </si>
  <si>
    <t>15 大丸心斎橋</t>
  </si>
  <si>
    <t>20 NARITA</t>
    <phoneticPr fontId="22"/>
  </si>
  <si>
    <t>23200408570-260X</t>
  </si>
  <si>
    <t>23344550-550X</t>
  </si>
  <si>
    <t>(空白)</t>
  </si>
  <si>
    <t>NARITA</t>
  </si>
  <si>
    <t>Kanken Graphics</t>
  </si>
  <si>
    <t>ブランド名</t>
  </si>
  <si>
    <t>標準単価</t>
  </si>
  <si>
    <t>販売数量</t>
  </si>
  <si>
    <t>ZOZO</t>
    <phoneticPr fontId="22"/>
  </si>
  <si>
    <t>合計 / 販売数量</t>
  </si>
  <si>
    <t>OIOI</t>
    <phoneticPr fontId="22"/>
  </si>
  <si>
    <t>日付</t>
  </si>
  <si>
    <t>注文時間</t>
  </si>
  <si>
    <t>注文番号</t>
  </si>
  <si>
    <t>決済方法(ステータス)</t>
  </si>
  <si>
    <t>注文者</t>
  </si>
  <si>
    <t>注文者電話番号</t>
  </si>
  <si>
    <t>注文者電話番号 緊急時連絡先</t>
  </si>
  <si>
    <t>緊急時連絡先2</t>
  </si>
  <si>
    <t>注文者の住所</t>
  </si>
  <si>
    <t>受取人</t>
  </si>
  <si>
    <t>受取人の電話番号</t>
  </si>
  <si>
    <t>住所</t>
  </si>
  <si>
    <t>郵便番号</t>
  </si>
  <si>
    <t>個数</t>
  </si>
  <si>
    <t>商品価格</t>
  </si>
  <si>
    <t>ポイント</t>
  </si>
  <si>
    <t>独自商品コード</t>
  </si>
  <si>
    <t>オプション独自コード</t>
  </si>
  <si>
    <t>JANコード</t>
  </si>
  <si>
    <t>決済方法</t>
  </si>
  <si>
    <t>支払金額</t>
  </si>
  <si>
    <t>送料</t>
  </si>
  <si>
    <t>代金引換決済方法</t>
  </si>
  <si>
    <t>代金引換手数料</t>
  </si>
  <si>
    <t>利用ポイント</t>
  </si>
  <si>
    <t>消費税</t>
  </si>
  <si>
    <t>消費税率</t>
  </si>
  <si>
    <t>利用GMOポイント</t>
  </si>
  <si>
    <t>優待会員特典</t>
  </si>
  <si>
    <t>配送先ごとの金額</t>
  </si>
  <si>
    <t>配送方法</t>
  </si>
  <si>
    <t>配送希望日</t>
  </si>
  <si>
    <t>出荷予定日</t>
  </si>
  <si>
    <t>配送希望時間帯</t>
  </si>
  <si>
    <t>配送日</t>
  </si>
  <si>
    <t>伝票番号</t>
  </si>
  <si>
    <t>注文メッセージ</t>
  </si>
  <si>
    <t>配送メッセージ</t>
  </si>
  <si>
    <t>メッセージ</t>
  </si>
  <si>
    <t>メモ</t>
  </si>
  <si>
    <t>代金引換 [未入金]</t>
  </si>
  <si>
    <t>代金引換</t>
  </si>
  <si>
    <t>佐川急便</t>
  </si>
  <si>
    <t>伝達メッセージ :</t>
  </si>
  <si>
    <t>Amazon Pay [決済完了]</t>
  </si>
  <si>
    <t>Amazon Pay</t>
  </si>
  <si>
    <t>PGクレジットカード [決済完了]</t>
  </si>
  <si>
    <t>PGクレジットカード</t>
  </si>
  <si>
    <t>Kanken 16L (Ochre 160)</t>
  </si>
  <si>
    <t>PayPay [決済完了]</t>
  </si>
  <si>
    <t>Kanken 16L (Sky Blue/Light Oak 501-115)</t>
  </si>
  <si>
    <t>PayPay</t>
  </si>
  <si>
    <t>Kanken 16L (Pink 312)</t>
  </si>
  <si>
    <t>Kanken 16L (Royal Blue 540)</t>
  </si>
  <si>
    <t>Kanken 16L (Khaki Dust 228)</t>
  </si>
  <si>
    <t>Kanken 16L (Pastel Lavender 457)</t>
  </si>
  <si>
    <t>Kanken 16L (Black 550)</t>
  </si>
  <si>
    <t>Kanken 16L (Sky Blue 501)</t>
  </si>
  <si>
    <t>Kanken 16L (Blackberry 424)</t>
  </si>
  <si>
    <t>Kanken 16L (Super grey 046)</t>
  </si>
  <si>
    <t>Yahoo!ショッピングPayPay残高払い</t>
  </si>
  <si>
    <t>当店規定の配送方法（Yahoo!ショッピングの注文）</t>
  </si>
  <si>
    <t>Kanken 16L (Graphite 031)</t>
  </si>
  <si>
    <t>Kanken 16L (Navy 560)</t>
  </si>
  <si>
    <t>TTL:</t>
    <phoneticPr fontId="27"/>
  </si>
  <si>
    <t>合計 / 個数</t>
  </si>
  <si>
    <t>～手順～</t>
    <rPh sb="1" eb="3">
      <t>テジュン</t>
    </rPh>
    <phoneticPr fontId="22"/>
  </si>
  <si>
    <t>営業日付別売上分析（旧） 前週月曜以降を日付指定してＣＳＶ</t>
    <rPh sb="0" eb="2">
      <t>エイギョウ</t>
    </rPh>
    <rPh sb="2" eb="5">
      <t>ヒヅケベツ</t>
    </rPh>
    <rPh sb="5" eb="7">
      <t>ウリアゲ</t>
    </rPh>
    <rPh sb="7" eb="9">
      <t>ブンセキ</t>
    </rPh>
    <rPh sb="10" eb="11">
      <t>キュウ</t>
    </rPh>
    <rPh sb="13" eb="15">
      <t>ゼンシュウ</t>
    </rPh>
    <rPh sb="15" eb="17">
      <t>ゲツヨウ</t>
    </rPh>
    <rPh sb="17" eb="19">
      <t>イコウ</t>
    </rPh>
    <rPh sb="20" eb="22">
      <t>ヒヅケ</t>
    </rPh>
    <rPh sb="22" eb="24">
      <t>シテイ</t>
    </rPh>
    <phoneticPr fontId="22"/>
  </si>
  <si>
    <t>「営業日付別売上分析 貼り付け」シートにＣ～Ｋ列を列ごと貼り付け</t>
    <rPh sb="23" eb="24">
      <t>レツ</t>
    </rPh>
    <rPh sb="25" eb="26">
      <t>レツ</t>
    </rPh>
    <rPh sb="28" eb="29">
      <t>ハ</t>
    </rPh>
    <rPh sb="30" eb="31">
      <t>ツ</t>
    </rPh>
    <phoneticPr fontId="22"/>
  </si>
  <si>
    <t>「pivot」シート更新</t>
    <rPh sb="10" eb="12">
      <t>コウシン</t>
    </rPh>
    <phoneticPr fontId="22"/>
  </si>
  <si>
    <t>　店舗実績</t>
    <rPh sb="1" eb="3">
      <t>テンポ</t>
    </rPh>
    <rPh sb="3" eb="5">
      <t>ジッセキ</t>
    </rPh>
    <phoneticPr fontId="22"/>
  </si>
  <si>
    <t>　ZOZO&amp;OIOI実績</t>
    <rPh sb="10" eb="12">
      <t>ジッセキ</t>
    </rPh>
    <phoneticPr fontId="22"/>
  </si>
  <si>
    <t>売上明細でZOZO拠点220で日付を指定してＣＳＶ</t>
    <rPh sb="0" eb="2">
      <t>ウリアゲ</t>
    </rPh>
    <rPh sb="2" eb="4">
      <t>メイサイ</t>
    </rPh>
    <rPh sb="9" eb="11">
      <t>キョテン</t>
    </rPh>
    <rPh sb="15" eb="17">
      <t>ヒヅケ</t>
    </rPh>
    <rPh sb="18" eb="20">
      <t>シテイ</t>
    </rPh>
    <phoneticPr fontId="22"/>
  </si>
  <si>
    <t>Ｃ～Ｋ列をZOZO,OIOIそれぞれの列に貼り付け、ピボットを更新</t>
    <rPh sb="3" eb="4">
      <t>レツ</t>
    </rPh>
    <rPh sb="19" eb="20">
      <t>レツ</t>
    </rPh>
    <rPh sb="21" eb="22">
      <t>ハ</t>
    </rPh>
    <rPh sb="23" eb="24">
      <t>ツ</t>
    </rPh>
    <rPh sb="31" eb="33">
      <t>コウシン</t>
    </rPh>
    <phoneticPr fontId="22"/>
  </si>
  <si>
    <t>　EC実績</t>
    <rPh sb="3" eb="5">
      <t>ジッセキ</t>
    </rPh>
    <phoneticPr fontId="22"/>
  </si>
  <si>
    <t>MAKE SHOPの注文一覧よりＣＳＶをＤＬ</t>
    <rPh sb="10" eb="12">
      <t>チュウモン</t>
    </rPh>
    <rPh sb="12" eb="14">
      <t>イチラン</t>
    </rPh>
    <phoneticPr fontId="22"/>
  </si>
  <si>
    <t>Ｄ列：「キャンセル」行を削除　E列：【店舗客注】も行で削除</t>
    <phoneticPr fontId="22"/>
  </si>
  <si>
    <t>「EC_ORDER」シートに貼り付け</t>
    <rPh sb="14" eb="15">
      <t>ハ</t>
    </rPh>
    <rPh sb="16" eb="17">
      <t>ツ</t>
    </rPh>
    <phoneticPr fontId="22"/>
  </si>
  <si>
    <t>「EC_PIVOT」のピボットを更新</t>
    <rPh sb="16" eb="18">
      <t>コウシン</t>
    </rPh>
    <phoneticPr fontId="22"/>
  </si>
  <si>
    <t>「計算式2026」シートを選択</t>
    <rPh sb="1" eb="4">
      <t>ケイサンシキ</t>
    </rPh>
    <rPh sb="13" eb="15">
      <t>センタク</t>
    </rPh>
    <phoneticPr fontId="22"/>
  </si>
  <si>
    <t>→　RETAILマクロがこの状態で組まれているので必ずこのシートに！</t>
    <rPh sb="14" eb="16">
      <t>ジョウタイ</t>
    </rPh>
    <rPh sb="17" eb="18">
      <t>ク</t>
    </rPh>
    <rPh sb="25" eb="26">
      <t>カナラ</t>
    </rPh>
    <phoneticPr fontId="22"/>
  </si>
  <si>
    <t>FJALLRAVEN POPUP NARITA</t>
  </si>
  <si>
    <t>23797576X</t>
  </si>
  <si>
    <t>20 NARITA</t>
  </si>
  <si>
    <t>Kanken 16L (Corn 126)</t>
  </si>
  <si>
    <t>Kanken 16L (Chalk Rose 302)</t>
  </si>
  <si>
    <t>Yahoo!ショッピングPayPay残高払い [支払完了]</t>
  </si>
  <si>
    <t xml:space="preserve">【直営店舗 限定商品】Samlaren Tote Pack 2A </t>
  </si>
  <si>
    <t>23200356577-986X</t>
  </si>
  <si>
    <t/>
  </si>
  <si>
    <t>000000000880</t>
  </si>
  <si>
    <t>23510</t>
  </si>
  <si>
    <t>000000001678</t>
  </si>
  <si>
    <t>000000000854</t>
  </si>
  <si>
    <t>000000000881</t>
  </si>
  <si>
    <t>000000000870</t>
  </si>
  <si>
    <t>000000001723</t>
  </si>
  <si>
    <t>000000000491</t>
  </si>
  <si>
    <t>23507</t>
  </si>
  <si>
    <t>23561</t>
  </si>
  <si>
    <t>000000001481</t>
  </si>
  <si>
    <t>000000000596</t>
  </si>
  <si>
    <t>23796</t>
  </si>
  <si>
    <t>000000000872</t>
  </si>
  <si>
    <t>000000000882</t>
  </si>
  <si>
    <t>000000001137</t>
  </si>
  <si>
    <t>23346</t>
  </si>
  <si>
    <t>000000001069</t>
  </si>
  <si>
    <t>000000001143</t>
  </si>
  <si>
    <t>23524</t>
  </si>
  <si>
    <t>000000001365</t>
  </si>
  <si>
    <t>000000000852</t>
  </si>
  <si>
    <t>000000001745</t>
  </si>
  <si>
    <t>23200337</t>
  </si>
  <si>
    <t>000000000466</t>
  </si>
  <si>
    <t>23797</t>
  </si>
  <si>
    <t>000000000489</t>
  </si>
  <si>
    <t>23505</t>
  </si>
  <si>
    <t>000000000803</t>
  </si>
  <si>
    <t>23226</t>
  </si>
  <si>
    <t>000000001383</t>
  </si>
  <si>
    <t>23227</t>
  </si>
  <si>
    <t>000000000895</t>
  </si>
  <si>
    <t>000000001754</t>
  </si>
  <si>
    <t>23200408</t>
  </si>
  <si>
    <t>000000000851</t>
  </si>
  <si>
    <t>Rainbow Pattern</t>
  </si>
  <si>
    <t>23510118X</t>
  </si>
  <si>
    <t>23227543X</t>
  </si>
  <si>
    <t>Dawn Blue</t>
  </si>
  <si>
    <t>23524560X</t>
  </si>
  <si>
    <t>S/M</t>
  </si>
  <si>
    <t>XS</t>
  </si>
  <si>
    <t>23226221X</t>
  </si>
  <si>
    <t>High Coast Foldsack 24</t>
  </si>
  <si>
    <t>23505228X</t>
  </si>
  <si>
    <t>Super Grey</t>
  </si>
  <si>
    <t>24216633X</t>
  </si>
  <si>
    <t>23561302X</t>
  </si>
  <si>
    <t>23223207X</t>
  </si>
  <si>
    <t>Nimbus Blue</t>
  </si>
  <si>
    <t>Dark Navy</t>
  </si>
  <si>
    <t>Fjallraven Logo T-shirt M</t>
  </si>
  <si>
    <t>23223424X</t>
  </si>
  <si>
    <t>23222543X</t>
  </si>
  <si>
    <t>23200337662X</t>
  </si>
  <si>
    <t>23513907X</t>
  </si>
  <si>
    <t>Kanken Rainbow Chest Strap</t>
  </si>
  <si>
    <t>Abisko Softpack 16</t>
  </si>
  <si>
    <t>Varmland Cap</t>
  </si>
  <si>
    <t>23524326X</t>
  </si>
  <si>
    <t>23200337171X</t>
  </si>
  <si>
    <t>23561501-115X</t>
  </si>
  <si>
    <t>23345357X</t>
  </si>
  <si>
    <t>Port</t>
  </si>
  <si>
    <t>23227614X</t>
  </si>
  <si>
    <t>23200306550X</t>
  </si>
  <si>
    <t>Abisko Hip Pack 6</t>
  </si>
  <si>
    <t>16 6142</t>
  </si>
  <si>
    <t>17 玉川高島屋</t>
  </si>
  <si>
    <t>23510221X</t>
  </si>
  <si>
    <t>23346577X</t>
  </si>
  <si>
    <t>High Coast Duffel 36</t>
  </si>
  <si>
    <t>Kanken 16L (Mint Green 600)</t>
  </si>
  <si>
    <t>000000001020</t>
  </si>
  <si>
    <t>000000000527</t>
  </si>
  <si>
    <t>23323</t>
  </si>
  <si>
    <t>000000000528</t>
  </si>
  <si>
    <t>23324</t>
  </si>
  <si>
    <t>225-0002</t>
  </si>
  <si>
    <t>000000000599</t>
  </si>
  <si>
    <t>23223</t>
  </si>
  <si>
    <t>23561457-916X</t>
  </si>
  <si>
    <t>【ミニ】Kanken Mini  (Sky Blue/Light Oak 501-115)</t>
  </si>
  <si>
    <t>000000001071</t>
  </si>
  <si>
    <t>000000001144</t>
  </si>
  <si>
    <t>23525</t>
  </si>
  <si>
    <t>000000001005</t>
  </si>
  <si>
    <t>23513</t>
  </si>
  <si>
    <t>000000001489</t>
  </si>
  <si>
    <t>23200247</t>
  </si>
  <si>
    <t>CruzMaryKylaDizon</t>
  </si>
  <si>
    <t>080-5418-4222</t>
  </si>
  <si>
    <t>(230-0023) 神奈川県横浜市鶴見区市場西中町９－１３ミューズ白ゆり  3A号室</t>
  </si>
  <si>
    <t>神奈川県横浜市鶴見区市場西中町９－１３ミューズ白ゆり  3A号室</t>
  </si>
  <si>
    <t>230-0023</t>
  </si>
  <si>
    <t>23200307550X</t>
  </si>
  <si>
    <t>【ミニ】Kanken Mini  (Chalk Rose 302)</t>
  </si>
  <si>
    <t>000000001724</t>
  </si>
  <si>
    <t>川岸洋一</t>
  </si>
  <si>
    <t>090-3648-0515</t>
  </si>
  <si>
    <t>(039-1525) 青森県三戸郡五戸町地蔵岱15-232</t>
  </si>
  <si>
    <t>青森県三戸郡五戸町地蔵岱15-232</t>
  </si>
  <si>
    <t>039-1525</t>
  </si>
  <si>
    <t>000000000637</t>
  </si>
  <si>
    <t>87310</t>
  </si>
  <si>
    <t>13100182118S/M</t>
  </si>
  <si>
    <t>Abisko Hike Lite 20 M/L</t>
  </si>
  <si>
    <t>23200353221X</t>
  </si>
  <si>
    <t>Kanken 16L (Fossil 118)</t>
  </si>
  <si>
    <t>000000001619</t>
  </si>
  <si>
    <t>000000000610</t>
  </si>
  <si>
    <t>77279</t>
  </si>
  <si>
    <t>【直営店舗 限定商品】Rainbow T-shirt</t>
  </si>
  <si>
    <t>000000001755</t>
  </si>
  <si>
    <t>13600016</t>
  </si>
  <si>
    <t>Abisko Lite SS M</t>
  </si>
  <si>
    <t>000000001486</t>
  </si>
  <si>
    <t>12100003</t>
  </si>
  <si>
    <t>23796560X</t>
  </si>
  <si>
    <t>Kanken Organizer</t>
  </si>
  <si>
    <t>L/XL</t>
  </si>
  <si>
    <t>23524031X</t>
  </si>
  <si>
    <t>Graphite</t>
  </si>
  <si>
    <t>Chalk Rose</t>
  </si>
  <si>
    <t>Sand Stone</t>
  </si>
  <si>
    <t>550-907</t>
  </si>
  <si>
    <t>Black-Rainbow Pattern</t>
  </si>
  <si>
    <t>23804550X</t>
  </si>
  <si>
    <t>Kanken no. 2 Black Laptop 15</t>
  </si>
  <si>
    <t>23345560X</t>
  </si>
  <si>
    <t>High Coast Tote 30</t>
  </si>
  <si>
    <t>23223550X</t>
  </si>
  <si>
    <t>Mint Green</t>
  </si>
  <si>
    <t>23803560X</t>
  </si>
  <si>
    <t>Kanken no. 2 Laptop 15</t>
  </si>
  <si>
    <t>23561021-312X</t>
  </si>
  <si>
    <t>23797302X</t>
  </si>
  <si>
    <t>KankenSling</t>
  </si>
  <si>
    <t>Hazel Brown</t>
  </si>
  <si>
    <t>23227221X</t>
  </si>
  <si>
    <t>Clay</t>
  </si>
  <si>
    <t>23349550X</t>
  </si>
  <si>
    <t>Skule 20</t>
  </si>
  <si>
    <t>Kanken Outlong</t>
  </si>
  <si>
    <t>ovik Hemp Camp Shirt SS W</t>
  </si>
  <si>
    <t>Suede Brown</t>
  </si>
  <si>
    <t>23623550-907X</t>
  </si>
  <si>
    <t>Kanken Rainbow Sling</t>
  </si>
  <si>
    <t>Kanken Gear Pocket</t>
  </si>
  <si>
    <t>23561457X</t>
  </si>
  <si>
    <t>23200339037X</t>
  </si>
  <si>
    <t>Vardag Pocket Large</t>
  </si>
  <si>
    <t>Coal Black</t>
  </si>
  <si>
    <t>23200395550X</t>
  </si>
  <si>
    <t>Kanken Crossbody</t>
  </si>
  <si>
    <t>23523424X</t>
  </si>
  <si>
    <t>Ovik Travel Shirt SS M</t>
  </si>
  <si>
    <t>23345550X</t>
  </si>
  <si>
    <t>23523501X</t>
  </si>
  <si>
    <t>77357030S/M</t>
  </si>
  <si>
    <t>Dark Grey</t>
  </si>
  <si>
    <t>SkogsoJacketM</t>
  </si>
  <si>
    <t>87153300XS</t>
  </si>
  <si>
    <t>Fox Boxy Logo Tee W</t>
  </si>
  <si>
    <t>Dusty Rose</t>
  </si>
  <si>
    <t>23561126X</t>
  </si>
  <si>
    <t>23223452X</t>
  </si>
  <si>
    <t>Lavender Mist</t>
  </si>
  <si>
    <t>Abisko Midsummer Belt</t>
  </si>
  <si>
    <t>Light Olive</t>
  </si>
  <si>
    <t>Deep Forest</t>
  </si>
  <si>
    <t>23797457X</t>
  </si>
  <si>
    <t>77357570-050L/XL</t>
  </si>
  <si>
    <t>570-050</t>
  </si>
  <si>
    <t>Mountain Blue-Basalt</t>
  </si>
  <si>
    <t>23344560X</t>
  </si>
  <si>
    <t>23227452X</t>
  </si>
  <si>
    <t>HighCoastCrossbody</t>
  </si>
  <si>
    <t>23561228X</t>
  </si>
  <si>
    <t>Khaki Dust</t>
  </si>
  <si>
    <t>High Coast Totepack</t>
  </si>
  <si>
    <t>High Coast Backpack 24</t>
  </si>
  <si>
    <t>Vardag Totepack 22</t>
  </si>
  <si>
    <t>354-228</t>
  </si>
  <si>
    <t>Poppy Pink-Khaki Dust</t>
  </si>
  <si>
    <t>AbiskoTrekkingCap</t>
  </si>
  <si>
    <t>23222560X</t>
  </si>
  <si>
    <t>Fjallraven Wool Sock</t>
  </si>
  <si>
    <t>Eggshell</t>
  </si>
  <si>
    <t>23226550X</t>
  </si>
  <si>
    <t>23223560X</t>
  </si>
  <si>
    <t>23226560X</t>
  </si>
  <si>
    <t>23200334228-135X</t>
  </si>
  <si>
    <t>KankenKoncept</t>
  </si>
  <si>
    <t>228-135</t>
  </si>
  <si>
    <t>Khaki Dust-Kantarell</t>
  </si>
  <si>
    <t>23154662X</t>
  </si>
  <si>
    <t>Dark Olive</t>
  </si>
  <si>
    <t>87039113M</t>
  </si>
  <si>
    <t>Chalk White</t>
  </si>
  <si>
    <t>23227550X</t>
  </si>
  <si>
    <t>23797664-319X</t>
  </si>
  <si>
    <t>664-319</t>
  </si>
  <si>
    <t>Frost Green-Peach Pink</t>
  </si>
  <si>
    <t>23345633X</t>
  </si>
  <si>
    <t>23565238X</t>
  </si>
  <si>
    <t>23796118X</t>
  </si>
  <si>
    <t>23200334031-424X</t>
  </si>
  <si>
    <t>031-424</t>
  </si>
  <si>
    <t>Graphite-Blackberry</t>
  </si>
  <si>
    <t>23785299X</t>
  </si>
  <si>
    <t>Dark Oak</t>
  </si>
  <si>
    <t>77279633M</t>
  </si>
  <si>
    <t>77277118L</t>
  </si>
  <si>
    <t>KirunaHat</t>
  </si>
  <si>
    <t>1960 Logo Langtradarkeps</t>
  </si>
  <si>
    <t>Buckwheat Brown</t>
  </si>
  <si>
    <t>23200301037X</t>
  </si>
  <si>
    <t>Vardag Shoulder Bag 6</t>
  </si>
  <si>
    <t>23200338037X</t>
  </si>
  <si>
    <t>Vardag Pocket Small</t>
  </si>
  <si>
    <t>23227424X</t>
  </si>
  <si>
    <t>Farden Crossbody</t>
  </si>
  <si>
    <t>23200338662X</t>
  </si>
  <si>
    <t>23227623X</t>
  </si>
  <si>
    <t>Light Oak</t>
  </si>
  <si>
    <t>Sunset Orange</t>
  </si>
  <si>
    <t>Samlaren Tote Pack 2A</t>
  </si>
  <si>
    <t>570-260</t>
  </si>
  <si>
    <t>Mountain Blue-Field Orange</t>
  </si>
  <si>
    <t>Lappland Camo Cap</t>
  </si>
  <si>
    <t>Green Camo</t>
  </si>
  <si>
    <t>13100237550S/M</t>
  </si>
  <si>
    <t>Vardag Bucket Hat</t>
  </si>
  <si>
    <t>23226620X</t>
  </si>
  <si>
    <t>23200335577X</t>
  </si>
  <si>
    <t>23200303620X</t>
  </si>
  <si>
    <t>Farden Carry-On Pack</t>
  </si>
  <si>
    <t>Ruaha Shorts M</t>
  </si>
  <si>
    <t>Travellers MT Shorts M</t>
  </si>
  <si>
    <t>24213633X</t>
  </si>
  <si>
    <t>Travellers MT Hat</t>
  </si>
  <si>
    <t>Bergtagen Cap</t>
  </si>
  <si>
    <t>Mountain Blue</t>
  </si>
  <si>
    <t>87310550L</t>
  </si>
  <si>
    <t>27240550X</t>
  </si>
  <si>
    <t>23226424X</t>
  </si>
  <si>
    <t>23510457-916X</t>
  </si>
  <si>
    <t>457-916</t>
  </si>
  <si>
    <t>Pastel Lavender-Confetti Pattern</t>
  </si>
  <si>
    <t>23803118X</t>
  </si>
  <si>
    <t>23524664X</t>
  </si>
  <si>
    <t>84783195-622L/XL</t>
  </si>
  <si>
    <t>Reversible Bucket Hat</t>
  </si>
  <si>
    <t>195-622</t>
  </si>
  <si>
    <t>Sand Stone-Light Olive</t>
  </si>
  <si>
    <t>23524550X</t>
  </si>
  <si>
    <t>23344550X</t>
  </si>
  <si>
    <t>23200358302-986X</t>
  </si>
  <si>
    <t>Kanken Graphics Hip Pack</t>
  </si>
  <si>
    <t>302-986</t>
  </si>
  <si>
    <t>ChalkRose-Hidden Animals</t>
  </si>
  <si>
    <t>23200337550X</t>
  </si>
  <si>
    <t>23803633X</t>
  </si>
  <si>
    <t>Midnight Purple</t>
  </si>
  <si>
    <t>23525501X</t>
  </si>
  <si>
    <t>23524457X</t>
  </si>
  <si>
    <t>77357300L/XL</t>
  </si>
  <si>
    <t>23226452X</t>
  </si>
  <si>
    <t>HighCoastPocket</t>
  </si>
  <si>
    <t>23223620X</t>
  </si>
  <si>
    <t>NAVY</t>
  </si>
  <si>
    <t>23525550X</t>
  </si>
  <si>
    <t>87310633M</t>
  </si>
  <si>
    <t>Kanken Totepack</t>
  </si>
  <si>
    <t>23200303037X</t>
  </si>
  <si>
    <t>302-907</t>
  </si>
  <si>
    <t>Chalk Rose-Rainbow</t>
  </si>
  <si>
    <t>FOG</t>
  </si>
  <si>
    <t>14600188113XS</t>
  </si>
  <si>
    <t>Fjallraven Heavy Classic T-shirt W</t>
  </si>
  <si>
    <t>Abisko Wool Fox SS W</t>
  </si>
  <si>
    <t>550-048</t>
  </si>
  <si>
    <t>Black-Iron Grey</t>
  </si>
  <si>
    <t>8641163348/R</t>
  </si>
  <si>
    <t>Keb Agile Trousers M</t>
  </si>
  <si>
    <t>48/R</t>
  </si>
  <si>
    <t>23200339662X</t>
  </si>
  <si>
    <t>23797115X</t>
  </si>
  <si>
    <t>Fog</t>
  </si>
  <si>
    <t>OCHRE</t>
  </si>
  <si>
    <t>13100181232L/XL</t>
  </si>
  <si>
    <t>Fjallraven Logo Cap</t>
  </si>
  <si>
    <t>23802424X</t>
  </si>
  <si>
    <t>Kanken Weekender</t>
  </si>
  <si>
    <t>77404550X</t>
  </si>
  <si>
    <t>77029030X</t>
  </si>
  <si>
    <t>77357232S/M</t>
  </si>
  <si>
    <t>23200341037X</t>
  </si>
  <si>
    <t>13100237625S/M</t>
  </si>
  <si>
    <t>Laurel Green</t>
  </si>
  <si>
    <t>23525664X</t>
  </si>
  <si>
    <t>23200395457X</t>
  </si>
  <si>
    <t>662-625</t>
  </si>
  <si>
    <t>Deep Forest-Laurel Green</t>
  </si>
  <si>
    <t>23200395118X</t>
  </si>
  <si>
    <t>77357622S/M</t>
  </si>
  <si>
    <t>23796457X</t>
  </si>
  <si>
    <t>23200307221X</t>
  </si>
  <si>
    <t>77277118M</t>
  </si>
  <si>
    <t>577-986</t>
  </si>
  <si>
    <t>Nimbus Blue-Hidden Animals</t>
  </si>
  <si>
    <t>23523550X</t>
  </si>
  <si>
    <t>Stina Jacket W</t>
  </si>
  <si>
    <t>Red Gold</t>
  </si>
  <si>
    <t>23200300037X</t>
  </si>
  <si>
    <t>Vardag Backpack 17</t>
  </si>
  <si>
    <t>Hemp Blend T-shirt M</t>
  </si>
  <si>
    <t>77406550L/XL</t>
  </si>
  <si>
    <t>AbiskoSunHat</t>
  </si>
  <si>
    <t>23200338620-221X</t>
  </si>
  <si>
    <t>620-221</t>
  </si>
  <si>
    <t>Green-Clay</t>
  </si>
  <si>
    <t>23200338354-228X</t>
  </si>
  <si>
    <t>23225424X</t>
  </si>
  <si>
    <t>23349662X</t>
  </si>
  <si>
    <t>23200251620X</t>
  </si>
  <si>
    <t>50/R</t>
  </si>
  <si>
    <t>36/S</t>
  </si>
  <si>
    <t>23200339620-221X</t>
  </si>
  <si>
    <t>Kiruna Hat</t>
  </si>
  <si>
    <t>Vidda Pro Ventilated Trs M</t>
  </si>
  <si>
    <t>Fjallraven Est. 1960 Cap</t>
  </si>
  <si>
    <t>KankenNo.2</t>
  </si>
  <si>
    <t>23623302-907X</t>
  </si>
  <si>
    <t>KankenRainbowSling</t>
  </si>
  <si>
    <t>23710312X</t>
  </si>
  <si>
    <t>12500171577S</t>
  </si>
  <si>
    <t>Bergtagen Windshell Jacket M</t>
  </si>
  <si>
    <t>24221046X</t>
  </si>
  <si>
    <t>23710031X</t>
  </si>
  <si>
    <t>23524160X</t>
  </si>
  <si>
    <t>23222016X</t>
  </si>
  <si>
    <t>23200331221X</t>
  </si>
  <si>
    <t>23525031X</t>
  </si>
  <si>
    <t>77391300S/M</t>
  </si>
  <si>
    <t>23225221X</t>
  </si>
  <si>
    <t>38/S</t>
  </si>
  <si>
    <t>23200359577-986X</t>
  </si>
  <si>
    <t>Kanken Graphics Laptop 15</t>
  </si>
  <si>
    <t>23796664X</t>
  </si>
  <si>
    <t>23200330560X</t>
  </si>
  <si>
    <t>23200335300X</t>
  </si>
  <si>
    <t>23222424X</t>
  </si>
  <si>
    <t>23621550-907X</t>
  </si>
  <si>
    <t>23344633X</t>
  </si>
  <si>
    <t>23800550X</t>
  </si>
  <si>
    <t>Kanken No. 2 Black Hip Pack</t>
  </si>
  <si>
    <t>12100003662L/XL</t>
  </si>
  <si>
    <t>46/R</t>
  </si>
  <si>
    <t>23796221X</t>
  </si>
  <si>
    <t>23796620X</t>
  </si>
  <si>
    <t>KankenHipPack</t>
  </si>
  <si>
    <t>79258030L</t>
  </si>
  <si>
    <t>77357520L/XL</t>
  </si>
  <si>
    <t>Uncle Blue</t>
  </si>
  <si>
    <t>77357232L/XL</t>
  </si>
  <si>
    <t>23803577X</t>
  </si>
  <si>
    <t>87310550M</t>
  </si>
  <si>
    <t>87310113M</t>
  </si>
  <si>
    <t>Warm Yellow</t>
  </si>
  <si>
    <t>23100160620X</t>
  </si>
  <si>
    <t>Farden Necessity Bag</t>
  </si>
  <si>
    <t>87310113L</t>
  </si>
  <si>
    <t>Vidda Pro Lite Shorts M</t>
  </si>
  <si>
    <t>23200247550X</t>
  </si>
  <si>
    <t>23525457X</t>
  </si>
  <si>
    <t>12600216113S</t>
  </si>
  <si>
    <t>Walk With Nature T-shirt M</t>
  </si>
  <si>
    <t>23225550X</t>
  </si>
  <si>
    <t>Samlaren Bucket Hat</t>
  </si>
  <si>
    <t>81511560L</t>
  </si>
  <si>
    <t>23200340037X</t>
  </si>
  <si>
    <t>23200395664X</t>
  </si>
  <si>
    <t>04 名古屋</t>
  </si>
  <si>
    <t>13 京王新宿</t>
  </si>
  <si>
    <t>23561600X</t>
  </si>
  <si>
    <t>23200284238X</t>
  </si>
  <si>
    <t>Kanken No. 2 Hip Pack</t>
  </si>
  <si>
    <t>23561221X</t>
  </si>
  <si>
    <t>23797424X</t>
  </si>
  <si>
    <t>090727</t>
  </si>
  <si>
    <t>P186874409470668591</t>
  </si>
  <si>
    <t>大川理恵</t>
  </si>
  <si>
    <t>080-5499-7928</t>
  </si>
  <si>
    <t>(253-0045) 神奈川県茅ヶ崎市十間坂2丁目10-6</t>
  </si>
  <si>
    <t>神奈川県茅ヶ崎市十間坂2丁目10-6</t>
  </si>
  <si>
    <t>253-0045</t>
  </si>
  <si>
    <t>075519</t>
  </si>
  <si>
    <t>P186873955702057050</t>
  </si>
  <si>
    <t>内山尊弘</t>
  </si>
  <si>
    <t>090-9318-1310</t>
  </si>
  <si>
    <t>(107-0052) 東京都港区赤坂7-5-16-207</t>
  </si>
  <si>
    <t>林田潤子</t>
  </si>
  <si>
    <t>090-6291-1568</t>
  </si>
  <si>
    <t>東京都港区赤坂7-5-16 オープンレジデンス赤坂テラス  207</t>
  </si>
  <si>
    <t>107-0052</t>
  </si>
  <si>
    <t>075408</t>
  </si>
  <si>
    <t>P186873948239907424</t>
  </si>
  <si>
    <t>武田悠子</t>
  </si>
  <si>
    <t>090-7304-2497</t>
  </si>
  <si>
    <t>(463-0021) 愛知県名古屋市守山区大森3-101-1ロイヤルクレスト1301</t>
  </si>
  <si>
    <t>愛知県名古屋市守山区大森3-101-1ロイヤルクレスト1301</t>
  </si>
  <si>
    <t>463-0021</t>
  </si>
  <si>
    <t>072936</t>
  </si>
  <si>
    <t>P186873793861456555</t>
  </si>
  <si>
    <t>071453</t>
  </si>
  <si>
    <t>P186873701290342083</t>
  </si>
  <si>
    <t>木田芳宏</t>
  </si>
  <si>
    <t>0495-73-1200</t>
  </si>
  <si>
    <t>(367-0217) 埼玉県本庄市児玉町八幡山185-1　</t>
  </si>
  <si>
    <t>埼玉県本庄市児玉町八幡山185-1　</t>
  </si>
  <si>
    <t>367-0217</t>
  </si>
  <si>
    <t>伝達メッセージ : なるべく早めの到着希望です。</t>
  </si>
  <si>
    <t>234301</t>
  </si>
  <si>
    <t>P186870858384568801</t>
  </si>
  <si>
    <t>松田波留子</t>
  </si>
  <si>
    <t>090-5456-3223</t>
  </si>
  <si>
    <t>(509-0201) 岐阜県可児市川合994-1</t>
  </si>
  <si>
    <t>岐阜県可児市川合994-1</t>
  </si>
  <si>
    <t>509-0201</t>
  </si>
  <si>
    <t>231317</t>
  </si>
  <si>
    <t>P186870671356744377</t>
  </si>
  <si>
    <t>加賀呼幸</t>
  </si>
  <si>
    <t>080-2660-3768</t>
  </si>
  <si>
    <t>(164-0011) 東京都中野区中央二丁目48-10ウエリスアーバン中野坂上416</t>
  </si>
  <si>
    <t>東京都中野区中央二丁目48-10ウエリスアーバン中野坂上416</t>
  </si>
  <si>
    <t>164-0011</t>
  </si>
  <si>
    <t>Kanken 16L (Pastel Lavender-Confetti Pattern)</t>
  </si>
  <si>
    <t>000000001550</t>
  </si>
  <si>
    <t>231202</t>
  </si>
  <si>
    <t>P186870663459386933</t>
  </si>
  <si>
    <t>鬼頭彩花</t>
  </si>
  <si>
    <t>080-3300-8801</t>
  </si>
  <si>
    <t>(170-0003) 東京都豊島区駒込1-9-1フォレストヒルズ駒込201号室</t>
  </si>
  <si>
    <t>東京都豊島区駒込1-9-1フォレストヒルズ駒込201号室</t>
  </si>
  <si>
    <t>170-0003</t>
  </si>
  <si>
    <t>Kanken No. 2 Black Laptop 15</t>
  </si>
  <si>
    <t>000000001373</t>
  </si>
  <si>
    <t>23804</t>
  </si>
  <si>
    <t>230202</t>
  </si>
  <si>
    <t>P186870600583407228</t>
  </si>
  <si>
    <t>松田悠</t>
  </si>
  <si>
    <t>090-3900-3328</t>
  </si>
  <si>
    <t>(247-0002) 神奈川県横浜市栄区小山台１－２０－２</t>
  </si>
  <si>
    <t>神奈川県横浜市栄区小山台１－２０－２</t>
  </si>
  <si>
    <t>247-0002</t>
  </si>
  <si>
    <t>220605</t>
  </si>
  <si>
    <t>P186870248550095680</t>
  </si>
  <si>
    <t>野島萩</t>
  </si>
  <si>
    <t>070-8937-7874</t>
  </si>
  <si>
    <t>(063-0062) 北海道札幌市西区西町南10-5-22blossom西町南103</t>
  </si>
  <si>
    <t>北海道札幌市西区西町南10-5-22blossom西町南103</t>
  </si>
  <si>
    <t>063-0062</t>
  </si>
  <si>
    <t>000000001627</t>
  </si>
  <si>
    <t>23200303</t>
  </si>
  <si>
    <t>215535</t>
  </si>
  <si>
    <t>P186870182458392066</t>
  </si>
  <si>
    <t>園部まゆ</t>
  </si>
  <si>
    <t>042-507-9900</t>
  </si>
  <si>
    <t>(190-0003) 東京都立川市栄町6-16-4</t>
  </si>
  <si>
    <t>090-7903-1214</t>
  </si>
  <si>
    <t>東京都立川市栄町6-16-4</t>
  </si>
  <si>
    <t>190-0003</t>
  </si>
  <si>
    <t>211329</t>
  </si>
  <si>
    <t>P186869917627918861</t>
  </si>
  <si>
    <t>中村宜裕</t>
  </si>
  <si>
    <t>0778-22-4301</t>
  </si>
  <si>
    <t>(915-0805) 福井県越前市芝原1丁目18-22　</t>
  </si>
  <si>
    <t>福井県越前市芝原1丁目18-22　</t>
  </si>
  <si>
    <t>915-0805</t>
  </si>
  <si>
    <t>205202</t>
  </si>
  <si>
    <t>P186869782663543188</t>
  </si>
  <si>
    <t>渡邊成実</t>
  </si>
  <si>
    <t>080-3097-2187</t>
  </si>
  <si>
    <t>(333-0811) 埼玉県川口市戸塚6-15-21-105</t>
  </si>
  <si>
    <t>埼玉県川口市戸塚6-15-21-105</t>
  </si>
  <si>
    <t>333-0811</t>
  </si>
  <si>
    <t>205115</t>
  </si>
  <si>
    <t>P186869777789018783</t>
  </si>
  <si>
    <t>伊藤有唯</t>
  </si>
  <si>
    <t>080-8625-5606</t>
  </si>
  <si>
    <t>(089-3311) 北海道中川郡本別町柏木町53ハイツクロダ2-a</t>
  </si>
  <si>
    <t>北海道中川郡本別町柏木町53ハイツクロダ2-a</t>
  </si>
  <si>
    <t>089-3311</t>
  </si>
  <si>
    <t>Farden Duffel 50</t>
  </si>
  <si>
    <t>000000001590</t>
  </si>
  <si>
    <t>23200282</t>
  </si>
  <si>
    <t>23200282620X</t>
  </si>
  <si>
    <t>193656</t>
  </si>
  <si>
    <t>P186869310163908521</t>
  </si>
  <si>
    <t>カバナ実那</t>
  </si>
  <si>
    <t>080-7193-8589</t>
  </si>
  <si>
    <t>(158-0095) 東京都世田谷区瀬田2-11-4 瀬田の杜 Garden &amp; Terrace  W8</t>
  </si>
  <si>
    <t>BradyCavanaugh</t>
  </si>
  <si>
    <t>東京都世田谷区瀬田2-11-4 瀬田の杜 Garden &amp; Terrace  W8</t>
  </si>
  <si>
    <t>158-0095</t>
  </si>
  <si>
    <t>192521</t>
  </si>
  <si>
    <t>P186869237340703186</t>
  </si>
  <si>
    <t>ヨシズミチカ</t>
  </si>
  <si>
    <t>090-5162-7560</t>
  </si>
  <si>
    <t>(191-0062) 東京都日野市多摩平1-13-4-1005　</t>
  </si>
  <si>
    <t>吉住智郁</t>
  </si>
  <si>
    <t>東京都日野市多摩平1-13-4-1005　</t>
  </si>
  <si>
    <t>191-0062</t>
  </si>
  <si>
    <t>【ミニ】Kanken Mini  (Clay 221)</t>
  </si>
  <si>
    <t>000000000929</t>
  </si>
  <si>
    <t>190642</t>
  </si>
  <si>
    <t>P186869120010984976</t>
  </si>
  <si>
    <t>西島葉子</t>
  </si>
  <si>
    <t>090-6903-0889</t>
  </si>
  <si>
    <t>(631-0076) 奈良県奈良市富雄北3-24-15-613</t>
  </si>
  <si>
    <t>奈良県奈良市富雄北3-24-15-613</t>
  </si>
  <si>
    <t>631-0076</t>
  </si>
  <si>
    <t>Kanken 16L (Frost Green 664)</t>
  </si>
  <si>
    <t>000000000897</t>
  </si>
  <si>
    <t>181645</t>
  </si>
  <si>
    <t>P186868805756412714</t>
  </si>
  <si>
    <t>片岡砂恵子</t>
  </si>
  <si>
    <t>090-5074-7565</t>
  </si>
  <si>
    <t>(005-0002) 北海道札幌市南区澄川二条三丁目8の3</t>
  </si>
  <si>
    <t>北海道札幌市南区澄川二条三丁目8の3</t>
  </si>
  <si>
    <t>005-0002</t>
  </si>
  <si>
    <t>175448</t>
  </si>
  <si>
    <t>P186868667587071728</t>
  </si>
  <si>
    <t>山本陽</t>
  </si>
  <si>
    <t>070-8835-2537</t>
  </si>
  <si>
    <t>(652-0803) 兵庫県神戸市兵庫区大開通10丁目3-12 サンワプラザ神戸大開601号</t>
  </si>
  <si>
    <t>兵庫県神戸市兵庫区大開通10丁目3-12 サンワプラザ神戸大開601号</t>
  </si>
  <si>
    <t>652-0803</t>
  </si>
  <si>
    <t>【Women’s】Ovik Heavy Flannel Shirt W</t>
  </si>
  <si>
    <t>000000001709</t>
  </si>
  <si>
    <t>86999</t>
  </si>
  <si>
    <t>86999113-118M</t>
  </si>
  <si>
    <t>170325</t>
  </si>
  <si>
    <t>P186868344344703470</t>
  </si>
  <si>
    <t>内山桃子</t>
  </si>
  <si>
    <t>090-5998-5160</t>
  </si>
  <si>
    <t>(165-0023) 東京都中野区江原町2-23-2　</t>
  </si>
  <si>
    <t>東京都中野区江原町2-23-2　</t>
  </si>
  <si>
    <t>165-0023</t>
  </si>
  <si>
    <t>163934</t>
  </si>
  <si>
    <t>P186868194298376134</t>
  </si>
  <si>
    <t>松尾健宏</t>
  </si>
  <si>
    <t>080-2513-6200</t>
  </si>
  <si>
    <t>(123-0862) 東京都足立区皿沼3-19-5 アランフェス302</t>
  </si>
  <si>
    <t>東京都足立区皿沼3-19-5 アランフェス302</t>
  </si>
  <si>
    <t>123-0862</t>
  </si>
  <si>
    <t>000000001542</t>
  </si>
  <si>
    <t>90222</t>
  </si>
  <si>
    <t>160714</t>
  </si>
  <si>
    <t>P186867990891767783</t>
  </si>
  <si>
    <t>山本莉愛空</t>
  </si>
  <si>
    <t>090-2992-1928</t>
  </si>
  <si>
    <t>(520-0113) 滋賀県大津市坂本6-10-8</t>
  </si>
  <si>
    <t>滋賀県大津市坂本6-10-8</t>
  </si>
  <si>
    <t>520-0113</t>
  </si>
  <si>
    <t>Singi Gaiters</t>
  </si>
  <si>
    <t>000000001140</t>
  </si>
  <si>
    <t>77292</t>
  </si>
  <si>
    <t>77292550S/M</t>
  </si>
  <si>
    <t>【Women’s】Fjallraven Logo Tee W</t>
  </si>
  <si>
    <t>000000001274</t>
  </si>
  <si>
    <t>87146</t>
  </si>
  <si>
    <t>High Coast Wind Cap</t>
  </si>
  <si>
    <t>伝達メッセージ : フリーペーパー希望</t>
  </si>
  <si>
    <t>000000000249</t>
  </si>
  <si>
    <t>79258</t>
  </si>
  <si>
    <t>Abisko Hike Trousers M</t>
  </si>
  <si>
    <t>000000001464</t>
  </si>
  <si>
    <t>86868</t>
  </si>
  <si>
    <t>8686855052/R</t>
  </si>
  <si>
    <t>Hemp Blend T-Shirt M</t>
  </si>
  <si>
    <t>000000001552</t>
  </si>
  <si>
    <t>12600215</t>
  </si>
  <si>
    <t>77292633S/M</t>
  </si>
  <si>
    <t>25862664X</t>
  </si>
  <si>
    <t>Kanken Gear Bag</t>
  </si>
  <si>
    <t>23349577X</t>
  </si>
  <si>
    <t>23200330620X</t>
  </si>
  <si>
    <t>23226623X</t>
  </si>
  <si>
    <t>86984550S</t>
  </si>
  <si>
    <t>HC Hydratic Trail Jacket M</t>
  </si>
  <si>
    <t>23222620X</t>
  </si>
  <si>
    <t>23796600X</t>
  </si>
  <si>
    <t>25863560X</t>
  </si>
  <si>
    <t>25863550X</t>
  </si>
  <si>
    <t>23200300354-228X</t>
  </si>
  <si>
    <t>VardagBackpack17</t>
  </si>
  <si>
    <t>87153452S</t>
  </si>
  <si>
    <t>FoxBoxyLogoTeeW</t>
  </si>
  <si>
    <t>86977543S</t>
  </si>
  <si>
    <t>Abisko Wool Logo SS M</t>
  </si>
  <si>
    <t>23565577X</t>
  </si>
  <si>
    <t>23346050X</t>
  </si>
  <si>
    <t>24221679X</t>
  </si>
  <si>
    <t>Deep Patina</t>
  </si>
  <si>
    <t>87313534M</t>
  </si>
  <si>
    <t>1960 Logo T-shirt M</t>
  </si>
  <si>
    <t>Indigo Blue</t>
  </si>
  <si>
    <t>79258195M</t>
  </si>
  <si>
    <t>UN Blue</t>
  </si>
  <si>
    <t>23200331560X</t>
  </si>
  <si>
    <t>FROST GREEN</t>
  </si>
  <si>
    <t>12600219625S</t>
  </si>
  <si>
    <t>Lush Logo T-shirt M</t>
  </si>
  <si>
    <t>13100182452L/XL</t>
  </si>
  <si>
    <t>FjallravenLangtradarkeps</t>
  </si>
  <si>
    <t>23344228X</t>
  </si>
  <si>
    <t>27222614X</t>
  </si>
  <si>
    <t>Abisko Hike Foldsack</t>
  </si>
  <si>
    <t>23225623X</t>
  </si>
  <si>
    <t>77277300L</t>
  </si>
  <si>
    <t>8710155038/S</t>
  </si>
  <si>
    <t>Abisko Trail Stretch Trousers W</t>
  </si>
  <si>
    <t>13100239514S/M</t>
  </si>
  <si>
    <t>Vardag Lite Cap</t>
  </si>
  <si>
    <t>Breeze Blue</t>
  </si>
  <si>
    <t>23797501X</t>
  </si>
  <si>
    <t>23523031X</t>
  </si>
  <si>
    <t>77273244L</t>
  </si>
  <si>
    <t>AbiskoSummerHat</t>
  </si>
  <si>
    <t>86984550M</t>
  </si>
  <si>
    <t>23200339354-228X</t>
  </si>
  <si>
    <t>23200251664X</t>
  </si>
  <si>
    <t>23227016X</t>
  </si>
  <si>
    <t>23347550X</t>
  </si>
  <si>
    <t>Skule Kids</t>
  </si>
  <si>
    <t>13100181030L/XL</t>
  </si>
  <si>
    <t>87146514M</t>
  </si>
  <si>
    <t>FjallravenLogoTeeW</t>
  </si>
  <si>
    <t>12600215543S</t>
  </si>
  <si>
    <t>23797600X</t>
  </si>
  <si>
    <t>79258244L</t>
  </si>
  <si>
    <t>HatfieldHat</t>
  </si>
  <si>
    <t>23100177550X</t>
  </si>
  <si>
    <t>Abisko Bottle Pocket</t>
  </si>
  <si>
    <t>78150620L/XL</t>
  </si>
  <si>
    <t>High Coast Lite Cap</t>
  </si>
  <si>
    <t>84783195-622S/M</t>
  </si>
  <si>
    <t>22005620S/M</t>
  </si>
  <si>
    <t>S/F Cap</t>
  </si>
  <si>
    <t>23347577X</t>
  </si>
  <si>
    <t>23347300X</t>
  </si>
  <si>
    <t>23796021X</t>
  </si>
  <si>
    <t>79258244XL</t>
  </si>
  <si>
    <t>77357570-050S/M</t>
  </si>
  <si>
    <t>12500170118L</t>
  </si>
  <si>
    <t>Hoja Rider's Wind Jacket M</t>
  </si>
  <si>
    <t>87146514S</t>
  </si>
  <si>
    <t>23785334X</t>
  </si>
  <si>
    <t>True Red</t>
  </si>
  <si>
    <t>23797299X</t>
  </si>
  <si>
    <t>23200248000X</t>
  </si>
  <si>
    <t>Samlaren Pack Bags</t>
  </si>
  <si>
    <t>Assorted</t>
  </si>
  <si>
    <t>13100236555X</t>
  </si>
  <si>
    <t>Fjallblomster Bandana</t>
  </si>
  <si>
    <t>12600268113L</t>
  </si>
  <si>
    <t>78150555S/M</t>
  </si>
  <si>
    <t>23200251560X</t>
  </si>
  <si>
    <t>77279550L</t>
  </si>
  <si>
    <t>14600270111S</t>
  </si>
  <si>
    <t>Forest Walk T-shirt  W</t>
  </si>
  <si>
    <t>14600270637XS</t>
  </si>
  <si>
    <t>Soft Jade</t>
  </si>
  <si>
    <t>81280118S</t>
  </si>
  <si>
    <t>ReporterLiteVestM</t>
  </si>
  <si>
    <t>23344357X</t>
  </si>
  <si>
    <t>86984550L</t>
  </si>
  <si>
    <t>23710326X</t>
  </si>
  <si>
    <t>83502620M</t>
  </si>
  <si>
    <t>High Coast Lite Dress W</t>
  </si>
  <si>
    <t>77277555M</t>
  </si>
  <si>
    <t>13100267570L/XL</t>
  </si>
  <si>
    <t>14600167560S</t>
  </si>
  <si>
    <t>Abisko Hike Shirt W</t>
  </si>
  <si>
    <t>82606550S</t>
  </si>
  <si>
    <t>High Coast Wind Jacket M</t>
  </si>
  <si>
    <t>89849133XS</t>
  </si>
  <si>
    <t>Arctic Fox Print T-shirt W</t>
  </si>
  <si>
    <t>Mais Yellow</t>
  </si>
  <si>
    <t>84118550-048XS</t>
  </si>
  <si>
    <t>8717655050/R</t>
  </si>
  <si>
    <t>12600216113L</t>
  </si>
  <si>
    <t>77407626L/XL</t>
  </si>
  <si>
    <t>27248326X</t>
  </si>
  <si>
    <t>Vardag Pocket</t>
  </si>
  <si>
    <t>23710560X</t>
  </si>
  <si>
    <t>25862312X</t>
  </si>
  <si>
    <t>13100181550S/M</t>
  </si>
  <si>
    <t>87039300S</t>
  </si>
  <si>
    <t>14600188113M</t>
  </si>
  <si>
    <t>8717863346/R</t>
  </si>
  <si>
    <t>24221228X</t>
  </si>
  <si>
    <t>23345679X</t>
  </si>
  <si>
    <t>8641163346/R</t>
  </si>
  <si>
    <t>8686862546/R</t>
  </si>
  <si>
    <t>77357662L/XL</t>
  </si>
  <si>
    <t>13100213030S/M</t>
  </si>
  <si>
    <t>Abisko Trekking Cap</t>
  </si>
  <si>
    <t>12600249625M</t>
  </si>
  <si>
    <t>High Coast Pack Shirt SS M</t>
  </si>
  <si>
    <t>12600328111S</t>
  </si>
  <si>
    <t>Archive Logo T-Shirt M</t>
  </si>
  <si>
    <t>12600320620S</t>
  </si>
  <si>
    <t>Fjallraven Relaxed T-Shirt M</t>
  </si>
  <si>
    <t>Light Beige</t>
  </si>
  <si>
    <t>High Coast Pack Shorts M</t>
  </si>
  <si>
    <t>23100160037X</t>
  </si>
  <si>
    <t>27247638X</t>
  </si>
  <si>
    <t>Vardag Crossbody</t>
  </si>
  <si>
    <t>Storm</t>
  </si>
  <si>
    <t>14200222118S</t>
  </si>
  <si>
    <t>Vardag Skirt W</t>
  </si>
  <si>
    <t>13600016113S</t>
  </si>
  <si>
    <t>Rainbow T-Shirt</t>
  </si>
  <si>
    <t>13100211111S</t>
  </si>
  <si>
    <t>87030620XS</t>
  </si>
  <si>
    <t>Vardag Dungaree Trousers W</t>
  </si>
  <si>
    <t>81280118L</t>
  </si>
  <si>
    <t>GREEN</t>
  </si>
  <si>
    <t>13100240625L/XL</t>
  </si>
  <si>
    <t>Fjallraven Flat Brim Cap</t>
  </si>
  <si>
    <t>87039620M</t>
  </si>
  <si>
    <t>77410550X</t>
  </si>
  <si>
    <t>13100181030S/M</t>
  </si>
  <si>
    <t>23525620X</t>
  </si>
  <si>
    <t>23200337300X</t>
  </si>
  <si>
    <t>14300010550S</t>
  </si>
  <si>
    <t>Abisko Fjall Dress W</t>
  </si>
  <si>
    <t>12600249555S</t>
  </si>
  <si>
    <t>83242633S</t>
  </si>
  <si>
    <t>Anorak No.8</t>
  </si>
  <si>
    <t>23345550-550X</t>
  </si>
  <si>
    <t>23110525X</t>
  </si>
  <si>
    <t>Waterproof Packbag 20</t>
  </si>
  <si>
    <t>81838633S</t>
  </si>
  <si>
    <t>Singi Trekking Shirt LS M</t>
  </si>
  <si>
    <t>87310550S</t>
  </si>
  <si>
    <t>Nils Trousers M</t>
  </si>
  <si>
    <t>12600328111L</t>
  </si>
  <si>
    <t>79258195L</t>
  </si>
  <si>
    <t>81900662M</t>
  </si>
  <si>
    <t>Singi Merino Henley M</t>
  </si>
  <si>
    <t>52/R</t>
  </si>
  <si>
    <t>PINK</t>
  </si>
  <si>
    <t>84782555X</t>
  </si>
  <si>
    <t>Abisko Wool Headband</t>
  </si>
  <si>
    <t>87176662-62548/R</t>
  </si>
  <si>
    <t>84766030M</t>
  </si>
  <si>
    <t>87039113S</t>
  </si>
  <si>
    <t>79339030L</t>
  </si>
  <si>
    <t>Marlin Mosquito Hat</t>
  </si>
  <si>
    <t>77355633X</t>
  </si>
  <si>
    <t>Singi Clip Suspenders</t>
  </si>
  <si>
    <t>87208195S</t>
  </si>
  <si>
    <t>87142550M</t>
  </si>
  <si>
    <t>Abisko Lite Fleece Jacket W</t>
  </si>
  <si>
    <t>89828614S</t>
  </si>
  <si>
    <t>Kaipak Jacket W</t>
  </si>
  <si>
    <t>13100213118S/M</t>
  </si>
  <si>
    <t>23505021X</t>
  </si>
  <si>
    <t>87153300S</t>
  </si>
  <si>
    <t>77357300S/M</t>
  </si>
  <si>
    <t>84108357S</t>
  </si>
  <si>
    <t>AbiskoSun-hoodieW</t>
  </si>
  <si>
    <t>12600216244S</t>
  </si>
  <si>
    <t>13100213300S/M</t>
  </si>
  <si>
    <t>12600216113M</t>
  </si>
  <si>
    <t>23100176X</t>
  </si>
  <si>
    <t>Samlaren Field Repair</t>
  </si>
  <si>
    <t>23710662X</t>
  </si>
  <si>
    <t>Dusk</t>
  </si>
  <si>
    <t>12600232113M</t>
  </si>
  <si>
    <t>Fjallraven Heavy Classic T-shirt M</t>
  </si>
  <si>
    <t>12600328111M</t>
  </si>
  <si>
    <t>12600194118M</t>
  </si>
  <si>
    <t>Abisko Trail Shirt LS M</t>
  </si>
  <si>
    <t>89234550M</t>
  </si>
  <si>
    <t>89849133S</t>
  </si>
  <si>
    <t>12600216244M</t>
  </si>
  <si>
    <t>12100004113L/XL</t>
  </si>
  <si>
    <t>HighCoastWindCap</t>
  </si>
  <si>
    <t>84783300-118S/M</t>
  </si>
  <si>
    <t>300-118</t>
  </si>
  <si>
    <t>Dusty Rose-Fossil</t>
  </si>
  <si>
    <t>87146133M</t>
  </si>
  <si>
    <t>Fjallraven Logo Tee W</t>
  </si>
  <si>
    <t>23710160X</t>
  </si>
  <si>
    <t>23225620X</t>
  </si>
  <si>
    <t>13100181555S/M</t>
  </si>
  <si>
    <t>14600200570M</t>
  </si>
  <si>
    <t>12600194030L</t>
  </si>
  <si>
    <t>23793021X</t>
  </si>
  <si>
    <t>Kanken Bottle Pocket</t>
  </si>
  <si>
    <t>77277555L</t>
  </si>
  <si>
    <t>78138550S/M</t>
  </si>
  <si>
    <t>78138662S/M</t>
  </si>
  <si>
    <t>1420014155036/S</t>
  </si>
  <si>
    <t>Keb Agile Trousers W</t>
  </si>
  <si>
    <t>Hoja Hybrid Trousers M</t>
  </si>
  <si>
    <t>23780160X</t>
  </si>
  <si>
    <t>23796031X</t>
  </si>
  <si>
    <t>81698118L</t>
  </si>
  <si>
    <t>12600257020-999M</t>
  </si>
  <si>
    <t>020-999</t>
  </si>
  <si>
    <t>Grey-Melange</t>
  </si>
  <si>
    <t>12600268244S</t>
  </si>
  <si>
    <t>12600268113S</t>
  </si>
  <si>
    <t>23200254614X</t>
  </si>
  <si>
    <t>8717855050/R</t>
  </si>
  <si>
    <t>23793501X</t>
  </si>
  <si>
    <t>23798030X</t>
  </si>
  <si>
    <t>Kanken Seat Pad Mini</t>
  </si>
  <si>
    <t>78151625L/XL</t>
  </si>
  <si>
    <t>24215228X</t>
  </si>
  <si>
    <t>81511195L</t>
  </si>
  <si>
    <t>81841633S</t>
  </si>
  <si>
    <t>Smock No. 1</t>
  </si>
  <si>
    <t>12500171550S</t>
  </si>
  <si>
    <t>87146357XS</t>
  </si>
  <si>
    <t>87039113L</t>
  </si>
  <si>
    <t>77357030L/XL</t>
  </si>
  <si>
    <t>79258633XL</t>
  </si>
  <si>
    <t>77352633X</t>
  </si>
  <si>
    <t>12100004550L/XL</t>
  </si>
  <si>
    <t>12600268113M</t>
  </si>
  <si>
    <t>23225543X</t>
  </si>
  <si>
    <t>23222221X</t>
  </si>
  <si>
    <t>77357633S/M</t>
  </si>
  <si>
    <t>77277625M</t>
  </si>
  <si>
    <t>12600268244L</t>
  </si>
  <si>
    <t>23200251160X</t>
  </si>
  <si>
    <t>GRAPHITE</t>
  </si>
  <si>
    <t>23508560X</t>
  </si>
  <si>
    <t>23226333X</t>
  </si>
  <si>
    <t>Rowan Red</t>
  </si>
  <si>
    <t>030246</t>
  </si>
  <si>
    <t>P186926473277653027</t>
  </si>
  <si>
    <t>小林悠太</t>
  </si>
  <si>
    <t>080-4299-7225</t>
  </si>
  <si>
    <t>(272-0132) 千葉県市川市湊新田6-11 サニーハイツ202</t>
  </si>
  <si>
    <t>千葉県市川市湊新田6-11 サニーハイツ202</t>
  </si>
  <si>
    <t>272-0132</t>
  </si>
  <si>
    <t>Kanken Key Ring</t>
  </si>
  <si>
    <t>000000000290</t>
  </si>
  <si>
    <t>23785</t>
  </si>
  <si>
    <t>025651</t>
  </si>
  <si>
    <t>P186926436065463509</t>
  </si>
  <si>
    <t>Ovik Card Holder</t>
  </si>
  <si>
    <t>000000000298</t>
  </si>
  <si>
    <t>77308</t>
  </si>
  <si>
    <t>77308550X</t>
  </si>
  <si>
    <t>011353</t>
  </si>
  <si>
    <t>P186925788271782569</t>
  </si>
  <si>
    <t>織田俊明</t>
  </si>
  <si>
    <t>055-253-7591</t>
  </si>
  <si>
    <t>(400-0027) 山梨県甲府市 富士見1-16-13</t>
  </si>
  <si>
    <t>山梨県甲府市 富士見1-16-13</t>
  </si>
  <si>
    <t>400-0027</t>
  </si>
  <si>
    <t>000000000051</t>
  </si>
  <si>
    <t>24213</t>
  </si>
  <si>
    <t>000000000089</t>
  </si>
  <si>
    <t>24214</t>
  </si>
  <si>
    <t>005717</t>
  </si>
  <si>
    <t>P186925683854307261</t>
  </si>
  <si>
    <t>辰井佑衣</t>
  </si>
  <si>
    <t>090-9542-2997</t>
  </si>
  <si>
    <t>(684-0403) 島根県隠岐郡海士町海士4544-1</t>
  </si>
  <si>
    <t>090-954-2297</t>
  </si>
  <si>
    <t>島根県隠岐郡海士町福井1375-1</t>
  </si>
  <si>
    <t>684-0404</t>
  </si>
  <si>
    <t>23200247312X</t>
  </si>
  <si>
    <t>230604</t>
  </si>
  <si>
    <t>P186924984152666860</t>
  </si>
  <si>
    <t>今井稔子</t>
  </si>
  <si>
    <t>090-2045-0890</t>
  </si>
  <si>
    <t>(610-0352) 京都府京田辺市花住坂3丁目10-5花住坂ガーデン壱番館103</t>
  </si>
  <si>
    <t>京都府京田辺市花住坂3丁目10-5花住坂ガーデン壱番館103</t>
  </si>
  <si>
    <t>610-0352</t>
  </si>
  <si>
    <t>225802</t>
  </si>
  <si>
    <t>P186924933608596406</t>
  </si>
  <si>
    <t>橋積綾乃</t>
  </si>
  <si>
    <t>070-1300-5799</t>
  </si>
  <si>
    <t>(111-0042) 東京都台東区寿4-15-6-903 パークアクシス浅草・田原町</t>
  </si>
  <si>
    <t>東京都台東区寿4-15-6-903 パークアクシス浅草・田原町</t>
  </si>
  <si>
    <t>111-0042</t>
  </si>
  <si>
    <t>224441</t>
  </si>
  <si>
    <t>P186924849571891739</t>
  </si>
  <si>
    <t>大野陽子</t>
  </si>
  <si>
    <t>090-2199-2440</t>
  </si>
  <si>
    <t>(108-0023) 東京都港区芝浦4-19-1-1219</t>
  </si>
  <si>
    <t>東京都港区芝浦4-19-1-1219</t>
  </si>
  <si>
    <t>108-0023</t>
  </si>
  <si>
    <t>224351</t>
  </si>
  <si>
    <t>P186924844360599057</t>
  </si>
  <si>
    <t>金子英一</t>
  </si>
  <si>
    <t>070-9018-5538</t>
  </si>
  <si>
    <t>(350-1123) 埼玉県川越市脇田本町25番地21ユアコート川越802</t>
  </si>
  <si>
    <t>埼玉県川越市脇田本町25番地21ユアコート川越802</t>
  </si>
  <si>
    <t>350-1123</t>
  </si>
  <si>
    <t>000000000943</t>
  </si>
  <si>
    <t>25862</t>
  </si>
  <si>
    <t>223349</t>
  </si>
  <si>
    <t>P186924781238082192</t>
  </si>
  <si>
    <t>石川由起子</t>
  </si>
  <si>
    <t>090-3090-2364</t>
  </si>
  <si>
    <t>(328-0053) 栃木県栃木市片柳町1-5-13</t>
  </si>
  <si>
    <t>栃木県栃木市片柳町1-5-13</t>
  </si>
  <si>
    <t>328-0053</t>
  </si>
  <si>
    <t>222301</t>
  </si>
  <si>
    <t>P186924713310468051</t>
  </si>
  <si>
    <t>井田かなえ</t>
  </si>
  <si>
    <t>090-6140-2461</t>
  </si>
  <si>
    <t>(332-0034) 埼玉県川口市並木2-16-14 グランカーサ川口並木  603</t>
  </si>
  <si>
    <t>埼玉県川口市並木2-16-14 グランカーサ川口並木  603</t>
  </si>
  <si>
    <t>332-0034</t>
  </si>
  <si>
    <t>Kanken No. 2</t>
  </si>
  <si>
    <t>000000000068</t>
  </si>
  <si>
    <t>23565</t>
  </si>
  <si>
    <t>222043</t>
  </si>
  <si>
    <t>P186924789093668061</t>
  </si>
  <si>
    <t>菊川寛生</t>
  </si>
  <si>
    <t>(061-1277) 北海道北広島市大曲光4-1-8</t>
  </si>
  <si>
    <t>北海道北広島市大曲光4-1-8</t>
  </si>
  <si>
    <t>061-1277</t>
  </si>
  <si>
    <t>Sormland Reversible Beanie</t>
  </si>
  <si>
    <t>000000001608</t>
  </si>
  <si>
    <t>13100179</t>
  </si>
  <si>
    <t>13100179633X</t>
  </si>
  <si>
    <t>Amazon Pay [要確認]</t>
  </si>
  <si>
    <t>215750</t>
  </si>
  <si>
    <t>P186924554802907806</t>
  </si>
  <si>
    <t>藤崎文江</t>
  </si>
  <si>
    <t>090-7877-3273</t>
  </si>
  <si>
    <t>(285-0855) 千葉県佐倉市井野1579-9</t>
  </si>
  <si>
    <t>千葉県佐倉市井野1579-9</t>
  </si>
  <si>
    <t>285-0855</t>
  </si>
  <si>
    <t>215619</t>
  </si>
  <si>
    <t>P186924545325392393</t>
  </si>
  <si>
    <t>栗原月</t>
  </si>
  <si>
    <t>090-4134-5012</t>
  </si>
  <si>
    <t>(347-0068) 埼玉県加須市大門町20-64 花椿Ⅰ 205号室</t>
  </si>
  <si>
    <t>埼玉県加須市大門町20-64 花椿Ⅰ 205号室</t>
  </si>
  <si>
    <t>347-0068</t>
  </si>
  <si>
    <t>214113</t>
  </si>
  <si>
    <t>P186924450259454974</t>
  </si>
  <si>
    <t>前田祐吾</t>
  </si>
  <si>
    <t>090-9559-6210</t>
  </si>
  <si>
    <t>(781-5233) 高知県香南市野市町大谷309-5</t>
  </si>
  <si>
    <t>高知県香南市野市町大谷309-5</t>
  </si>
  <si>
    <t>781-5233</t>
  </si>
  <si>
    <t>212035</t>
  </si>
  <si>
    <t>P186924320474226697</t>
  </si>
  <si>
    <t>谷口哲雄</t>
  </si>
  <si>
    <t>0748-42-7437</t>
  </si>
  <si>
    <t>(521-1202) 滋賀県東近江市阿弥陀堂町437　</t>
  </si>
  <si>
    <t>滋賀県東近江市阿弥陀堂町437　</t>
  </si>
  <si>
    <t>521-1202</t>
  </si>
  <si>
    <t>205901</t>
  </si>
  <si>
    <t>P186924184791623839</t>
  </si>
  <si>
    <t>岩崎亜由美</t>
  </si>
  <si>
    <t>04-7123-4557</t>
  </si>
  <si>
    <t>(278-0057) 千葉県野田市光葉町3-32-12　</t>
  </si>
  <si>
    <t>千葉県野田市光葉町3-32-12　</t>
  </si>
  <si>
    <t>278-0057</t>
  </si>
  <si>
    <t>204213</t>
  </si>
  <si>
    <t>P186924079091322426</t>
  </si>
  <si>
    <t>北恵仁司</t>
  </si>
  <si>
    <t>090-9975-4706</t>
  </si>
  <si>
    <t>(277-0005) 千葉県柏市柏1ー7ー1ー1811</t>
  </si>
  <si>
    <t>千葉県柏市柏1ー7ー1ー1811</t>
  </si>
  <si>
    <t>277-0005</t>
  </si>
  <si>
    <t>000000000031</t>
  </si>
  <si>
    <t>79030</t>
  </si>
  <si>
    <t>Vardag Splitpack 45</t>
  </si>
  <si>
    <t>000000001622</t>
  </si>
  <si>
    <t>23200302</t>
  </si>
  <si>
    <t>23200302525-620X</t>
  </si>
  <si>
    <t>203203</t>
  </si>
  <si>
    <t>P186924015174616993</t>
  </si>
  <si>
    <t>伊藤悠子</t>
  </si>
  <si>
    <t>090-2234-5627</t>
  </si>
  <si>
    <t>(371-0015) 群馬県高崎市沖町486－467　</t>
  </si>
  <si>
    <t>群馬県高崎市沖町486－467　</t>
  </si>
  <si>
    <t>370-0086</t>
  </si>
  <si>
    <t>000000001746</t>
  </si>
  <si>
    <t>23200338</t>
  </si>
  <si>
    <t>202305</t>
  </si>
  <si>
    <t>P186923958708586217</t>
  </si>
  <si>
    <t>福田弦</t>
  </si>
  <si>
    <t>090-7813-7343</t>
  </si>
  <si>
    <t>(290-0026) 千葉県市原市諏訪1-7-15-202</t>
  </si>
  <si>
    <t>千葉県市原市諏訪1-7-15-202</t>
  </si>
  <si>
    <t>290-0026</t>
  </si>
  <si>
    <t>000000001133</t>
  </si>
  <si>
    <t>23345</t>
  </si>
  <si>
    <t>201922</t>
  </si>
  <si>
    <t>P186923935381344941</t>
  </si>
  <si>
    <t>石井真</t>
  </si>
  <si>
    <t>080-3498-8963</t>
  </si>
  <si>
    <t>(192-0363) 東京都八王子市別所1-54-3-111</t>
  </si>
  <si>
    <t>東京都八王子市別所1-54-3-111</t>
  </si>
  <si>
    <t>192-0363</t>
  </si>
  <si>
    <t>【Women’s】Abisko Sun-hoodie W</t>
  </si>
  <si>
    <t>000000001132</t>
  </si>
  <si>
    <t>84108</t>
  </si>
  <si>
    <t>84108614S</t>
  </si>
  <si>
    <t>201402</t>
  </si>
  <si>
    <t>P186923901783402522</t>
  </si>
  <si>
    <t>西河愛美</t>
  </si>
  <si>
    <t>090-5326-3365</t>
  </si>
  <si>
    <t>(343-0845) 埼玉県越谷市南越谷5-17-2-104</t>
  </si>
  <si>
    <t>埼玉県越谷市南越谷5-17-2-104</t>
  </si>
  <si>
    <t>343-0845</t>
  </si>
  <si>
    <t>201358</t>
  </si>
  <si>
    <t>P186923901342233727</t>
  </si>
  <si>
    <t>渡邉保子</t>
  </si>
  <si>
    <t>090-5616-7525</t>
  </si>
  <si>
    <t>(410-0816) 静岡県沼津市住吉町2-27</t>
  </si>
  <si>
    <t>静岡県沼津市住吉町2-27</t>
  </si>
  <si>
    <t>410-0816</t>
  </si>
  <si>
    <t>193630</t>
  </si>
  <si>
    <t>P186923665669225648</t>
  </si>
  <si>
    <t>吉屋花鈴</t>
  </si>
  <si>
    <t>080-4558-9684</t>
  </si>
  <si>
    <t>(750-0009) 山口県下関市上田中町8-18白雲台R21 307号</t>
  </si>
  <si>
    <t>山口県下関市上田中町8-18白雲台R21 307号</t>
  </si>
  <si>
    <t>750-0009</t>
  </si>
  <si>
    <t>162719</t>
  </si>
  <si>
    <t>P186922475397793893</t>
  </si>
  <si>
    <t>椎名聖</t>
  </si>
  <si>
    <t>090-2919-2726</t>
  </si>
  <si>
    <t>(370-0332) 群馬県太田市新田中江田町824-5</t>
  </si>
  <si>
    <t>群馬県太田市新田中江田町824-5</t>
  </si>
  <si>
    <t>370-0332</t>
  </si>
  <si>
    <t>143604</t>
  </si>
  <si>
    <t>P186921775487494648</t>
  </si>
  <si>
    <t>西元寺慈子</t>
  </si>
  <si>
    <t>099-269-6789</t>
  </si>
  <si>
    <t>(891-0113) 鹿児島県鹿児島市東谷山5-14-3　</t>
  </si>
  <si>
    <t>鹿児島県鹿児島市東谷山5-14-3　</t>
  </si>
  <si>
    <t>891-0113</t>
  </si>
  <si>
    <t>141925</t>
  </si>
  <si>
    <t>P186921670742585872</t>
  </si>
  <si>
    <t>吉留淳子</t>
  </si>
  <si>
    <t>080-2707-5559</t>
  </si>
  <si>
    <t>(813-0031) 福岡県福岡市東区八田3-23-42</t>
  </si>
  <si>
    <t>福岡県福岡市東区八田3-23-42</t>
  </si>
  <si>
    <t>813-0031</t>
  </si>
  <si>
    <t>23785199X</t>
  </si>
  <si>
    <t>134024</t>
  </si>
  <si>
    <t>P186921425228111561</t>
  </si>
  <si>
    <t>樫本ともこ</t>
  </si>
  <si>
    <t>080-7407-9549</t>
  </si>
  <si>
    <t>(225-0002) 神奈川県横浜市青葉区美しが丘2-28-4ディアナコート美しが丘403号</t>
  </si>
  <si>
    <t>神奈川県横浜市青葉区美しが丘2-28-4ディアナコート美しが丘403号</t>
  </si>
  <si>
    <t>132216</t>
  </si>
  <si>
    <t>P186921311213001341</t>
  </si>
  <si>
    <t>NABILLASHAFARA</t>
  </si>
  <si>
    <t>090-3036-2802</t>
  </si>
  <si>
    <t>(241-0826) 神奈川県横浜市旭区東希望が丘97-3アイシマ希望ヶ丘寮308</t>
  </si>
  <si>
    <t>神奈川県横浜市旭区東希望が丘97-3アイシマ希望ヶ丘寮308</t>
  </si>
  <si>
    <t>241-0826</t>
  </si>
  <si>
    <t>131608</t>
  </si>
  <si>
    <t>P186921272537421572</t>
  </si>
  <si>
    <t>谷亀智代</t>
  </si>
  <si>
    <t>080-5033-3486</t>
  </si>
  <si>
    <t>(252-0335) 神奈川県相模原市南区下溝605-13 シルキーC  105</t>
  </si>
  <si>
    <t>神奈川県相模原市南区下溝605-13 シルキーC  105</t>
  </si>
  <si>
    <t>252-0335</t>
  </si>
  <si>
    <t>125312</t>
  </si>
  <si>
    <t>P186921128322015353</t>
  </si>
  <si>
    <t>市東真菜</t>
  </si>
  <si>
    <t>090-6309-9979</t>
  </si>
  <si>
    <t>(264-0006) 千葉県千葉市若葉区小倉台3-16-1</t>
  </si>
  <si>
    <t>千葉県千葉市若葉区小倉台3-16-1</t>
  </si>
  <si>
    <t>264-0006</t>
  </si>
  <si>
    <t>124223</t>
  </si>
  <si>
    <t>P186921060198054623</t>
  </si>
  <si>
    <t>黒住武秀</t>
  </si>
  <si>
    <t>090-4804-7383</t>
  </si>
  <si>
    <t>(714-0062) 岡山県笠岡市茂平379-1 フェリーチェB  203</t>
  </si>
  <si>
    <t>岡山県笠岡市茂平379-1 フェリーチェB  203</t>
  </si>
  <si>
    <t>714-0062</t>
  </si>
  <si>
    <t>【ミニ】Kanken Mini  (Sky Blue 501)</t>
  </si>
  <si>
    <t>000000000973</t>
  </si>
  <si>
    <t>123724</t>
  </si>
  <si>
    <t>P186921028846901561</t>
  </si>
  <si>
    <t>長野珠妃</t>
  </si>
  <si>
    <t>080-1048-3820</t>
  </si>
  <si>
    <t>(944-0047) 新潟県妙高市白山町4-7-27</t>
  </si>
  <si>
    <t>新潟県妙高市白山町4-7-27</t>
  </si>
  <si>
    <t>944-0047</t>
  </si>
  <si>
    <t>123148</t>
  </si>
  <si>
    <t>P186920993673428496</t>
  </si>
  <si>
    <t>井之口由紀子</t>
  </si>
  <si>
    <t>0798-81-4155</t>
  </si>
  <si>
    <t>(663-8154) 兵庫県西宮市浜甲子園4－1－24－621</t>
  </si>
  <si>
    <t>兵庫県西宮市浜甲子園4－1－24－621</t>
  </si>
  <si>
    <t>663-8154</t>
  </si>
  <si>
    <t>121440</t>
  </si>
  <si>
    <t>P186920885867494007</t>
  </si>
  <si>
    <t>奥澤柑奈</t>
  </si>
  <si>
    <t>070-1533-2213</t>
  </si>
  <si>
    <t>(320-0851) 栃木県宇都宮市鶴田町1322-5</t>
  </si>
  <si>
    <t>栃木県宇都宮市鶴田町1322-5</t>
  </si>
  <si>
    <t>320-0851</t>
  </si>
  <si>
    <t>115552</t>
  </si>
  <si>
    <t>P186920767592036190</t>
  </si>
  <si>
    <t>秋山恭平</t>
  </si>
  <si>
    <t>080-3014-4625</t>
  </si>
  <si>
    <t>(140-0004) 東京都品川区南品川6-1-10オープンレジデンシア大井町301</t>
  </si>
  <si>
    <t>東京都品川区南品川6-1-10オープンレジデンシア大井町301</t>
  </si>
  <si>
    <t>140-0004</t>
  </si>
  <si>
    <t>105838</t>
  </si>
  <si>
    <t>P186920407490324523</t>
  </si>
  <si>
    <t>大野みぎわ</t>
  </si>
  <si>
    <t>090-5634-4584</t>
  </si>
  <si>
    <t>(432-8023) 静岡県浜松市中央区鴨江1-24-10</t>
  </si>
  <si>
    <t>静岡県浜松市中央区鴨江1-24-10</t>
  </si>
  <si>
    <t>432-8023</t>
  </si>
  <si>
    <t>073508</t>
  </si>
  <si>
    <t>P186919127207981827</t>
  </si>
  <si>
    <t>豊田允彦</t>
  </si>
  <si>
    <t>080-5417-7887</t>
  </si>
  <si>
    <t>(154-0017) 東京都世田谷区世田谷1-16-23NS世田谷101</t>
  </si>
  <si>
    <t>東京都世田谷区世田谷1-16-23NS世田谷101</t>
  </si>
  <si>
    <t>154-0017</t>
  </si>
  <si>
    <t>072121</t>
  </si>
  <si>
    <t>P186919040506793758</t>
  </si>
  <si>
    <t>根本恵</t>
  </si>
  <si>
    <t>090-2278-2196</t>
  </si>
  <si>
    <t>(974-8232) 福島県いわき市錦町町西13</t>
  </si>
  <si>
    <t>福島県いわき市錦町町西13</t>
  </si>
  <si>
    <t>974-8232</t>
  </si>
  <si>
    <t>011401</t>
  </si>
  <si>
    <t>P186916729390759039</t>
  </si>
  <si>
    <t>今井学</t>
  </si>
  <si>
    <t>090-4548-8170</t>
  </si>
  <si>
    <t>(272-0146) 千葉県市川市広尾１－１２－８ レクセルプラッツァ南行徳７１２</t>
  </si>
  <si>
    <t>千葉県市川市広尾１－１２－８ レクセルプラッツァ南行徳７１２</t>
  </si>
  <si>
    <t>272-0146</t>
  </si>
  <si>
    <t>000000000487</t>
  </si>
  <si>
    <t>27240</t>
  </si>
  <si>
    <t>000000001749</t>
  </si>
  <si>
    <t>23200300</t>
  </si>
  <si>
    <t>003024</t>
  </si>
  <si>
    <t>P186916455024955717</t>
  </si>
  <si>
    <t>倉原咲季</t>
  </si>
  <si>
    <t>090-2086-7132</t>
  </si>
  <si>
    <t>(870-1154) 大分県大分市田原979-1レジデンシャルわさだ09</t>
  </si>
  <si>
    <t>倉原麻衣</t>
  </si>
  <si>
    <t>080-6479-2274</t>
  </si>
  <si>
    <t>福岡県福岡市南区大橋1-17-15カサパルク501</t>
  </si>
  <si>
    <t>815-0033</t>
  </si>
  <si>
    <t>224052</t>
  </si>
  <si>
    <t>P186915765868923468</t>
  </si>
  <si>
    <t>有限会社UーART</t>
  </si>
  <si>
    <t>090-2934-1793</t>
  </si>
  <si>
    <t>(354-0045) 埼玉県入間郡三芳町上富1084ー15　</t>
  </si>
  <si>
    <t>埼玉県入間郡三芳町上富1084ー15　</t>
  </si>
  <si>
    <t>354-0045</t>
  </si>
  <si>
    <t>Expedition X-Latt Hoodie M</t>
  </si>
  <si>
    <t>000000001596</t>
  </si>
  <si>
    <t>12500157</t>
  </si>
  <si>
    <t>12500157550L</t>
  </si>
  <si>
    <t>223908</t>
  </si>
  <si>
    <t>P186915754956838039</t>
  </si>
  <si>
    <t>矢田礼人</t>
  </si>
  <si>
    <t>090-7431-7396</t>
  </si>
  <si>
    <t>(501-0445) 岐阜県本巣郡北方町柱本南2丁目138番地2 道路南側白い建物南側緑系の郵便受</t>
  </si>
  <si>
    <t>岐阜県本巣郡北方町柱本南2丁目138番地2 道路南側白い建物南側緑系の郵便受</t>
  </si>
  <si>
    <t>501-0445</t>
  </si>
  <si>
    <t>214022</t>
  </si>
  <si>
    <t>P186915385270492762</t>
  </si>
  <si>
    <t>山城新子</t>
  </si>
  <si>
    <t>090-5954-6391</t>
  </si>
  <si>
    <t>(270-0161) 千葉県流山市鰭ケ崎1307-26　</t>
  </si>
  <si>
    <t>04-7199-3184</t>
  </si>
  <si>
    <t>千葉県流山市鰭ケ崎1307-26　</t>
  </si>
  <si>
    <t>270-0161</t>
  </si>
  <si>
    <t>PayPay [要確認]</t>
  </si>
  <si>
    <t>000000001142</t>
  </si>
  <si>
    <t>23523</t>
  </si>
  <si>
    <t>204014</t>
  </si>
  <si>
    <t>P186915006872739556</t>
  </si>
  <si>
    <t>龍雨</t>
  </si>
  <si>
    <t>080-9525-4433</t>
  </si>
  <si>
    <t>(213-0014) 神奈川県川崎市高津区新作3-4-29KDXレジデンス406</t>
  </si>
  <si>
    <t>神奈川県川崎市高津区新作3-4-29KDXレジデンス406</t>
  </si>
  <si>
    <t>213-0014</t>
  </si>
  <si>
    <t>000000001104</t>
  </si>
  <si>
    <t>86411</t>
  </si>
  <si>
    <t>86411550-55050/R</t>
  </si>
  <si>
    <t>202759</t>
  </si>
  <si>
    <t>P186914929822765101</t>
  </si>
  <si>
    <t>坂間千鶴子</t>
  </si>
  <si>
    <t>090-2552-9305</t>
  </si>
  <si>
    <t>(259-1115) 神奈川県伊勢原市高森台2-2-16</t>
  </si>
  <si>
    <t>神奈川県伊勢原市高森台2-2-16</t>
  </si>
  <si>
    <t>259-1115</t>
  </si>
  <si>
    <t>202021</t>
  </si>
  <si>
    <t>P186914881780142613</t>
  </si>
  <si>
    <t>畑中竜太</t>
  </si>
  <si>
    <t>090-3523-9088</t>
  </si>
  <si>
    <t>(359-0024) 埼玉県所沢市下安松５４２－１１　</t>
  </si>
  <si>
    <t>埼玉県所沢市下安松５４２－１１　</t>
  </si>
  <si>
    <t>359-0024</t>
  </si>
  <si>
    <t>Sten Jacket M</t>
  </si>
  <si>
    <t>000000001260</t>
  </si>
  <si>
    <t>81679</t>
  </si>
  <si>
    <t>81679118M</t>
  </si>
  <si>
    <t>201833</t>
  </si>
  <si>
    <t>P186914870471649963</t>
  </si>
  <si>
    <t>佐藤慶一</t>
  </si>
  <si>
    <t>090-5545-6294</t>
  </si>
  <si>
    <t>(340-0044) 埼玉県草加市花栗1-24-31-8</t>
  </si>
  <si>
    <t>埼玉県草加市花栗1-24-31-8</t>
  </si>
  <si>
    <t>340-0044</t>
  </si>
  <si>
    <t>【ミニ】Kanken Mini  (Pastel Lavender 457)</t>
  </si>
  <si>
    <t>000000000950</t>
  </si>
  <si>
    <t>194200</t>
  </si>
  <si>
    <t>P186914640533379257</t>
  </si>
  <si>
    <t>平山正樹</t>
  </si>
  <si>
    <t>090-5621-1587</t>
  </si>
  <si>
    <t>(463-0083) 愛知県名古屋市守山区村合町34-3</t>
  </si>
  <si>
    <t>愛知県名古屋市守山区村合町34-3</t>
  </si>
  <si>
    <t>463-0083</t>
  </si>
  <si>
    <t>【Women’s】 High coast Shade Dress W</t>
  </si>
  <si>
    <t>000000001319</t>
  </si>
  <si>
    <t>87098</t>
  </si>
  <si>
    <t>87098196M</t>
  </si>
  <si>
    <t>181908</t>
  </si>
  <si>
    <t>P186914119197984540</t>
  </si>
  <si>
    <t>二反田剛</t>
  </si>
  <si>
    <t>089-926-1239</t>
  </si>
  <si>
    <t>(791-8016) 愛媛県松山市久万ノ台1058-5　</t>
  </si>
  <si>
    <t>愛媛県松山市久万ノ台1058-5　</t>
  </si>
  <si>
    <t>791-8016</t>
  </si>
  <si>
    <t>12600215302L</t>
  </si>
  <si>
    <t>164602</t>
  </si>
  <si>
    <t>P186913533505359571</t>
  </si>
  <si>
    <t>角田寿恵</t>
  </si>
  <si>
    <t>080-6357-3973</t>
  </si>
  <si>
    <t>(399-0701) 長野県塩尻市広丘吉田1162-16 マンショ百瀬303</t>
  </si>
  <si>
    <t>長野県塩尻市広丘吉田1162-16 マンション百瀬  303</t>
  </si>
  <si>
    <t>399-0701</t>
  </si>
  <si>
    <t>162448</t>
  </si>
  <si>
    <t>P186913399899469514</t>
  </si>
  <si>
    <t>関谷光太</t>
  </si>
  <si>
    <t>090-2941-4410</t>
  </si>
  <si>
    <t>(231-0023) 神奈川県横浜市中区山下町２７－１５０３</t>
  </si>
  <si>
    <t>神奈川県横浜市中区山下町27プロシード山下公園1503</t>
  </si>
  <si>
    <t>231-0023</t>
  </si>
  <si>
    <t>151208</t>
  </si>
  <si>
    <t>P186912942733204241</t>
  </si>
  <si>
    <t>寒山栞</t>
  </si>
  <si>
    <t>070-2831-1885</t>
  </si>
  <si>
    <t>(771-4306) 徳島県勝浦郡勝浦町棚野大字山蔭24</t>
  </si>
  <si>
    <t>徳島県勝浦郡勝浦町棚野大字山蔭24</t>
  </si>
  <si>
    <t>771-4306</t>
  </si>
  <si>
    <t>150202</t>
  </si>
  <si>
    <t>P186912879155233440</t>
  </si>
  <si>
    <t>小宮夕妃乃</t>
  </si>
  <si>
    <t>080-5764-4614</t>
  </si>
  <si>
    <t>(359-0042) 埼玉県所沢市並木3-2防衛医科大学校学生等宿舎(技官コース)</t>
  </si>
  <si>
    <t>埼玉県所沢市並木3-2防衛医科大学校学生等宿舎(技官コース)</t>
  </si>
  <si>
    <t>359-0042</t>
  </si>
  <si>
    <t>150009</t>
  </si>
  <si>
    <t>P186912867260843358</t>
  </si>
  <si>
    <t>山崎典子</t>
  </si>
  <si>
    <t>080-1414-3615</t>
  </si>
  <si>
    <t>(838-0068) 福岡県朝倉市甘木1672-6　</t>
  </si>
  <si>
    <t>奥平二美馨</t>
  </si>
  <si>
    <t>090-1191-9686</t>
  </si>
  <si>
    <t>茨城県守谷市百合ケ丘3-2810-119</t>
  </si>
  <si>
    <t>302-0110</t>
  </si>
  <si>
    <t>【ミニ】Kanken Mini  (Fog/Pink 021-312)</t>
  </si>
  <si>
    <t>000000000938</t>
  </si>
  <si>
    <t>143700</t>
  </si>
  <si>
    <t>P186912721661916201</t>
  </si>
  <si>
    <t>中野渡己紗</t>
  </si>
  <si>
    <t>080-6014-7125</t>
  </si>
  <si>
    <t>(321-3423) 栃木県芳賀郡市貝町市塙2210-1アンジェリーク102号室</t>
  </si>
  <si>
    <t>栃木県芳賀郡市貝町市塙2210-1アンジェリーク102号室</t>
  </si>
  <si>
    <t>321-3423</t>
  </si>
  <si>
    <t>141707</t>
  </si>
  <si>
    <t>P186912596544503394</t>
  </si>
  <si>
    <t>今田洋一</t>
  </si>
  <si>
    <t>0237-53-3688</t>
  </si>
  <si>
    <t>(995-0056) 山形県村山市河島山2-36</t>
  </si>
  <si>
    <t>山形県村山市河島山2-36</t>
  </si>
  <si>
    <t>995-0056</t>
  </si>
  <si>
    <t>Lappland Vest Pack</t>
  </si>
  <si>
    <t>000000001602</t>
  </si>
  <si>
    <t>23200279</t>
  </si>
  <si>
    <t>23200279633X</t>
  </si>
  <si>
    <t>132816</t>
  </si>
  <si>
    <t>P186912289188926088</t>
  </si>
  <si>
    <t>種田英敏</t>
  </si>
  <si>
    <t>090-1465-6412</t>
  </si>
  <si>
    <t>(151-0051) 東京都渋谷区千駄ヶ谷5-5-10 御苑レジデンス  411</t>
  </si>
  <si>
    <t>東京都渋谷区千駄ヶ谷5-5-10 御苑レジデンス  411</t>
  </si>
  <si>
    <t>151-0051</t>
  </si>
  <si>
    <t>000000001737</t>
  </si>
  <si>
    <t>23200359</t>
  </si>
  <si>
    <t>130104</t>
  </si>
  <si>
    <t>P186912118053816229</t>
  </si>
  <si>
    <t>鶴巻尚美</t>
  </si>
  <si>
    <t>090-2981-6769</t>
  </si>
  <si>
    <t>(327-0312) 栃木県佐野市栃本町1693-1</t>
  </si>
  <si>
    <t>栃木県佐野市栃本町1693-1</t>
  </si>
  <si>
    <t>327-0312</t>
  </si>
  <si>
    <t>124432</t>
  </si>
  <si>
    <t>P186912014032901369</t>
  </si>
  <si>
    <t>立石愛子</t>
  </si>
  <si>
    <t>080-6137-4742</t>
  </si>
  <si>
    <t>(110-0008) 東京都台東区池之端2丁目1-44大本東京本部</t>
  </si>
  <si>
    <t>東京都台東区池之端2丁目1-44大本東京本部</t>
  </si>
  <si>
    <t>110-0008</t>
  </si>
  <si>
    <t>123900</t>
  </si>
  <si>
    <t>P186911979219631525</t>
  </si>
  <si>
    <t>渡辺雅央</t>
  </si>
  <si>
    <t>090-9079-9370</t>
  </si>
  <si>
    <t>(142-0053) 東京都品川区中延4-16-8 第2野村ビル  302</t>
  </si>
  <si>
    <t>東京都品川区中延4-16-8 第2野村ビル  302</t>
  </si>
  <si>
    <t>142-0053</t>
  </si>
  <si>
    <t>000000000804</t>
  </si>
  <si>
    <t>27248</t>
  </si>
  <si>
    <t>27248638X</t>
  </si>
  <si>
    <t>122203</t>
  </si>
  <si>
    <t>P186911872579515049</t>
  </si>
  <si>
    <t>本橋久枝</t>
  </si>
  <si>
    <t>080-5093-0711</t>
  </si>
  <si>
    <t>(334-0004) 埼玉県川口市辻606-14</t>
  </si>
  <si>
    <t>埼玉県川口市辻606-14</t>
  </si>
  <si>
    <t>334-0004</t>
  </si>
  <si>
    <t>122131</t>
  </si>
  <si>
    <t>P186911869226665093</t>
  </si>
  <si>
    <t>ZhaoJieMeng</t>
  </si>
  <si>
    <t>514-298-4832</t>
  </si>
  <si>
    <t>(606-8244) 京都府京都市左京区北白川東平井町3-1 マンション白河  203</t>
  </si>
  <si>
    <t>080-5770-9335</t>
  </si>
  <si>
    <t>京都府京都市左京区北白川東平井町3-1 マンション白河  203</t>
  </si>
  <si>
    <t>606-8244</t>
  </si>
  <si>
    <t>000000001630</t>
  </si>
  <si>
    <t>23100177</t>
  </si>
  <si>
    <t>23100177161X</t>
  </si>
  <si>
    <t>121557</t>
  </si>
  <si>
    <t>P186911834277817777</t>
  </si>
  <si>
    <t>南部麻美</t>
  </si>
  <si>
    <t>090-7506-1735</t>
  </si>
  <si>
    <t>(659-0012) 兵庫県芦屋市朝日ケ丘町1-27 芦屋パインリッチ  502</t>
  </si>
  <si>
    <t>兵庫県芦屋市朝日ケ丘町1-27 芦屋パインリッチ  502</t>
  </si>
  <si>
    <t>659-0012</t>
  </si>
  <si>
    <t>111100</t>
  </si>
  <si>
    <t>P186911425638615898</t>
  </si>
  <si>
    <t>荒木睦美</t>
  </si>
  <si>
    <t>090-6449-4092</t>
  </si>
  <si>
    <t>(067-0032) 北海道江別市元江別819-85</t>
  </si>
  <si>
    <t>北海道江別市元江別819-85</t>
  </si>
  <si>
    <t>067-0032</t>
  </si>
  <si>
    <t>87146357M</t>
  </si>
  <si>
    <t>104553</t>
  </si>
  <si>
    <t>P186911267561045491</t>
  </si>
  <si>
    <t>吉田</t>
  </si>
  <si>
    <t>092-885-2722</t>
  </si>
  <si>
    <t>(819-0013) 福岡県福岡市西区愛宕浜4-24-4　</t>
  </si>
  <si>
    <t>福岡県福岡市西区愛宕浜4-24-4　</t>
  </si>
  <si>
    <t>819-0013</t>
  </si>
  <si>
    <t>【Women’s】Abisko Lite Fleece Jacket W</t>
  </si>
  <si>
    <t>000000001262</t>
  </si>
  <si>
    <t>87142</t>
  </si>
  <si>
    <t>87142302S</t>
  </si>
  <si>
    <t>【Women’s】High Coast Wind Jacket W</t>
  </si>
  <si>
    <t>000000001532</t>
  </si>
  <si>
    <t>83516</t>
  </si>
  <si>
    <t>83516118S</t>
  </si>
  <si>
    <t>102729</t>
  </si>
  <si>
    <t>P186911151800635417</t>
  </si>
  <si>
    <t>鬼頭宏太</t>
  </si>
  <si>
    <t>052-211-3796</t>
  </si>
  <si>
    <t>(460-0011) 愛知県名古屋市中区大須1-29-52 シティコーポ岩井通 1106</t>
  </si>
  <si>
    <t>愛知県名古屋市中区大須1-29-52シティコーポ岩井通1106号</t>
  </si>
  <si>
    <t>460-0011</t>
  </si>
  <si>
    <t>000000001457</t>
  </si>
  <si>
    <t>87313</t>
  </si>
  <si>
    <t>87313625S</t>
  </si>
  <si>
    <t>100116</t>
  </si>
  <si>
    <t>P186910986909169290</t>
  </si>
  <si>
    <t>佐藤誠</t>
  </si>
  <si>
    <t>090-2241-4783</t>
  </si>
  <si>
    <t>(350-0021) 埼玉県川越市大中居104-2　</t>
  </si>
  <si>
    <t>埼玉県川越市大中居104-2　</t>
  </si>
  <si>
    <t>350-0021</t>
  </si>
  <si>
    <t>87310674L</t>
  </si>
  <si>
    <t>095214</t>
  </si>
  <si>
    <t>P186910930042136768</t>
  </si>
  <si>
    <t>赤坂こころ</t>
  </si>
  <si>
    <t>090-5075-1993</t>
  </si>
  <si>
    <t>(097-0016) 北海道稚内市萩見5丁目21-6</t>
  </si>
  <si>
    <t>北海道稚内市萩見5丁目21-6</t>
  </si>
  <si>
    <t>097-0016</t>
  </si>
  <si>
    <t>062224</t>
  </si>
  <si>
    <t>P186909609922983269</t>
  </si>
  <si>
    <t>西村佳江</t>
  </si>
  <si>
    <t>090-6078-8055</t>
  </si>
  <si>
    <t>(410-0841) 静岡県沼津市下河原町3町目1-16</t>
  </si>
  <si>
    <t>静岡県沼津市下河原町3町目1-16</t>
  </si>
  <si>
    <t>410-0841</t>
  </si>
  <si>
    <t>000000000170</t>
  </si>
  <si>
    <t>24221</t>
  </si>
  <si>
    <t>13600016550L</t>
  </si>
  <si>
    <t>013425</t>
  </si>
  <si>
    <t>P186907798064247638</t>
  </si>
  <si>
    <t>MAYI</t>
  </si>
  <si>
    <t>080-5691-6668</t>
  </si>
  <si>
    <t>(650-0022) 兵庫県神戸市中央区元町通3丁目12-20CITY SPIRE神戸元町I1106号室</t>
  </si>
  <si>
    <t>兵庫県神戸市中央区元町通3丁目１２-２０ CITY SPIRE神戸元町  1106</t>
  </si>
  <si>
    <t>650-0022</t>
  </si>
  <si>
    <t>000000001384</t>
  </si>
  <si>
    <t>23349</t>
  </si>
  <si>
    <t>004212</t>
  </si>
  <si>
    <t>P186907469510096531</t>
  </si>
  <si>
    <t>江後有咲美</t>
  </si>
  <si>
    <t>090-4823-2418</t>
  </si>
  <si>
    <t>(277-0005) 千葉県柏市柏1332-7</t>
  </si>
  <si>
    <t>千葉県柏市柏1332-7</t>
  </si>
  <si>
    <t>222417</t>
  </si>
  <si>
    <t>P186906601853477426</t>
  </si>
  <si>
    <t>坂井愛理</t>
  </si>
  <si>
    <t>080-9617-4682</t>
  </si>
  <si>
    <t>(007-0813) 北海道札幌市東区東苗穂十三条3丁目3番15号</t>
  </si>
  <si>
    <t>北海道札幌市東区東苗穂十三条3丁目3番15号</t>
  </si>
  <si>
    <t>007-0813</t>
  </si>
  <si>
    <t>221601</t>
  </si>
  <si>
    <t>P186906549857189054</t>
  </si>
  <si>
    <t>江尻厚志</t>
  </si>
  <si>
    <t>090-2579-2206</t>
  </si>
  <si>
    <t>(480-1204) 愛知県瀬戸市北丘町220</t>
  </si>
  <si>
    <t>愛知県瀬戸市北丘町220</t>
  </si>
  <si>
    <t>480-1204</t>
  </si>
  <si>
    <t>200240</t>
  </si>
  <si>
    <t>P186905710839359829</t>
  </si>
  <si>
    <t>廣田知章</t>
  </si>
  <si>
    <t>090-8576-0355</t>
  </si>
  <si>
    <t>(146-0092) 東京都大田区下丸子3-25-21</t>
  </si>
  <si>
    <t>東京都大田区下丸子3-25-21</t>
  </si>
  <si>
    <t>146-0092</t>
  </si>
  <si>
    <t>【UNI】Luhkka</t>
  </si>
  <si>
    <t>000000000032</t>
  </si>
  <si>
    <t>80637</t>
  </si>
  <si>
    <t>194503</t>
  </si>
  <si>
    <t>P186905600028446421</t>
  </si>
  <si>
    <t>ドッグサロンジュエル</t>
  </si>
  <si>
    <t>080-3270-7097</t>
  </si>
  <si>
    <t>(272-0032) 千葉県市川市大洲3-18-16</t>
  </si>
  <si>
    <t>奈良由美</t>
  </si>
  <si>
    <t>090-2649-9321</t>
  </si>
  <si>
    <t>東京都葛飾区青戸7-32-3-1011 ザ・パークハウス青砥</t>
  </si>
  <si>
    <t>125-0062</t>
  </si>
  <si>
    <t>193944</t>
  </si>
  <si>
    <t>P186905566574159054</t>
  </si>
  <si>
    <t>尾張桂子</t>
  </si>
  <si>
    <t>0797-75-1014</t>
  </si>
  <si>
    <t>(659-0087) 兵庫県芦屋市三条町17-14-306</t>
  </si>
  <si>
    <t>兵庫県芦屋市三条町17-14-306</t>
  </si>
  <si>
    <t>659-0087</t>
  </si>
  <si>
    <t>【Women’s】Arctic Fox Print T-Shirt W</t>
  </si>
  <si>
    <t>000000001539</t>
  </si>
  <si>
    <t>89849</t>
  </si>
  <si>
    <t>89849534S</t>
  </si>
  <si>
    <t>193725</t>
  </si>
  <si>
    <t>P186905552036382926</t>
  </si>
  <si>
    <t>24213228X</t>
  </si>
  <si>
    <t>190431</t>
  </si>
  <si>
    <t>P186905344986721378</t>
  </si>
  <si>
    <t>8686855046/S</t>
  </si>
  <si>
    <t>Abisko Wool Hoodie M</t>
  </si>
  <si>
    <t>000000001725</t>
  </si>
  <si>
    <t>12600317</t>
  </si>
  <si>
    <t>12600317555S</t>
  </si>
  <si>
    <t>183016</t>
  </si>
  <si>
    <t>P186905129589739331</t>
  </si>
  <si>
    <t>金井塚結生</t>
  </si>
  <si>
    <t>090-3707-8181</t>
  </si>
  <si>
    <t>(059-1301) 北海道苫小牧市東開町2-6-29</t>
  </si>
  <si>
    <t>北海道苫小牧市東開町2-6-29</t>
  </si>
  <si>
    <t>059-1301</t>
  </si>
  <si>
    <t>182404</t>
  </si>
  <si>
    <t>P186905090503809123</t>
  </si>
  <si>
    <t>大嶋絵里香</t>
  </si>
  <si>
    <t>090-5191-3415</t>
  </si>
  <si>
    <t>(359-1132) 埼玉県所沢市松が丘1ー16ー35　</t>
  </si>
  <si>
    <t>埼玉県所沢市松が丘1ー16ー35　</t>
  </si>
  <si>
    <t>359-1132</t>
  </si>
  <si>
    <t>153444</t>
  </si>
  <si>
    <t>P186904025218493262</t>
  </si>
  <si>
    <t>石原希</t>
  </si>
  <si>
    <t>090-8456-8083</t>
  </si>
  <si>
    <t>(577-0831) 大阪府東大阪市俊徳町3丁目2-13</t>
  </si>
  <si>
    <t>大阪府東大阪市俊徳町3丁目2-13</t>
  </si>
  <si>
    <t>577-0831</t>
  </si>
  <si>
    <t>142827</t>
  </si>
  <si>
    <t>P186903608174325113</t>
  </si>
  <si>
    <t>坂本幸恵</t>
  </si>
  <si>
    <t>090-2433-4894</t>
  </si>
  <si>
    <t>(157-0065) 東京都世田谷区上祖師谷7-6-4 ソフトタウン祖師谷  103</t>
  </si>
  <si>
    <t>東京都世田谷区上祖師谷7-6-4 ソフトタウン祖師谷  103</t>
  </si>
  <si>
    <t>157-0065</t>
  </si>
  <si>
    <t>000000001138</t>
  </si>
  <si>
    <t>23800</t>
  </si>
  <si>
    <t>132057</t>
  </si>
  <si>
    <t>P186903183498092482</t>
  </si>
  <si>
    <t>田中容子</t>
  </si>
  <si>
    <t>090-7293-5755</t>
  </si>
  <si>
    <t>(178-0063) 東京都練馬区東大泉3-2-15-201</t>
  </si>
  <si>
    <t>東京都練馬区東大泉3-2-15-201</t>
  </si>
  <si>
    <t>178-0063</t>
  </si>
  <si>
    <t>【Women’s】Stina Padded Jacket W</t>
  </si>
  <si>
    <t>000000001714</t>
  </si>
  <si>
    <t>14500170</t>
  </si>
  <si>
    <t>14500170118M</t>
  </si>
  <si>
    <t>104712</t>
  </si>
  <si>
    <t>P186902216130946460</t>
  </si>
  <si>
    <t>鈴木愛</t>
  </si>
  <si>
    <t>080-1031-0298</t>
  </si>
  <si>
    <t>(208-0021) 東京都武蔵村山市三ツ藤1-46-7</t>
  </si>
  <si>
    <t>東京都武蔵村山市三ツ藤1-46-7</t>
  </si>
  <si>
    <t>208-0021</t>
  </si>
  <si>
    <t>103922</t>
  </si>
  <si>
    <t>P186902166857172772</t>
  </si>
  <si>
    <t>小澤順子</t>
  </si>
  <si>
    <t>0422-37-2052</t>
  </si>
  <si>
    <t>(180-0022) 東京都武蔵野市境2-24-15ザ・ライオンズ武蔵野408号室</t>
  </si>
  <si>
    <t>OzawaJunko</t>
  </si>
  <si>
    <t>東京都Musashinoshi Sakai 2-24-15-408　</t>
  </si>
  <si>
    <t>180-0022</t>
  </si>
  <si>
    <t>094431</t>
  </si>
  <si>
    <t>P186901821786515180</t>
  </si>
  <si>
    <t>青木恭子</t>
  </si>
  <si>
    <t>080-5047-1483</t>
  </si>
  <si>
    <t>(142-0062) 東京都品川区小山5-2-4 ステラメゾン武蔵小山708</t>
  </si>
  <si>
    <t>東京都品川区小山5-2-4 ステラメゾン武蔵小山708</t>
  </si>
  <si>
    <t>142-0062</t>
  </si>
  <si>
    <t>87146133S</t>
  </si>
  <si>
    <t>【Women’s】Fox Boxy Logo Tee W</t>
  </si>
  <si>
    <t>000000001275</t>
  </si>
  <si>
    <t>87153</t>
  </si>
  <si>
    <t>87153113S</t>
  </si>
  <si>
    <t>065630</t>
  </si>
  <si>
    <t>P186900764734261279</t>
  </si>
  <si>
    <t>東爪絵里</t>
  </si>
  <si>
    <t>090-9183-4797</t>
  </si>
  <si>
    <t>(515-0019) 三重県松阪市中央町459-1-404</t>
  </si>
  <si>
    <t>三重県松阪市中央町459-1-404</t>
  </si>
  <si>
    <t>515-0019</t>
  </si>
  <si>
    <t>【Women’s】Hemp Blend Out Here T-shirt W</t>
  </si>
  <si>
    <t>000000001660</t>
  </si>
  <si>
    <t>14600215</t>
  </si>
  <si>
    <t>14600215302XS</t>
  </si>
  <si>
    <t>【Women’s】Abisko Wool Hoodie W</t>
  </si>
  <si>
    <t>000000001733</t>
  </si>
  <si>
    <t>14600265</t>
  </si>
  <si>
    <t>14600265452XS</t>
  </si>
  <si>
    <t>011245</t>
  </si>
  <si>
    <t>P186898602005534588</t>
  </si>
  <si>
    <t>奥田有治</t>
  </si>
  <si>
    <t>03-6413-7014</t>
  </si>
  <si>
    <t>(154-0021) 東京都世田谷区豪徳寺1丁目33-31-109</t>
  </si>
  <si>
    <t>090-4540-9602</t>
  </si>
  <si>
    <t>東京都世田谷区豪徳寺1丁目33-31-109</t>
  </si>
  <si>
    <t>154-0021</t>
  </si>
  <si>
    <t>Nature T-shirt M</t>
  </si>
  <si>
    <t>000000001511</t>
  </si>
  <si>
    <t>87053</t>
  </si>
  <si>
    <t>87053555L</t>
  </si>
  <si>
    <t>002117</t>
  </si>
  <si>
    <t>P186898278220557395</t>
  </si>
  <si>
    <t>泉洋江</t>
  </si>
  <si>
    <t>090-9080-8204</t>
  </si>
  <si>
    <t>(005-0022) 北海道札幌市南区真駒内柏丘1丁目6-29</t>
  </si>
  <si>
    <t>北海道札幌市南区真駒内柏丘1丁目6-29</t>
  </si>
  <si>
    <t>005-0022</t>
  </si>
  <si>
    <t>【Women’s】Stina Trousers W</t>
  </si>
  <si>
    <t>000000001094</t>
  </si>
  <si>
    <t>84775</t>
  </si>
  <si>
    <t>8477563336/S</t>
  </si>
  <si>
    <t>87146243XS</t>
  </si>
  <si>
    <t>001721</t>
  </si>
  <si>
    <t>P186898253476812661</t>
  </si>
  <si>
    <t>名倉大葵</t>
  </si>
  <si>
    <t>080-5707-7991</t>
  </si>
  <si>
    <t>(555-0011) 大阪府大阪市西淀川区竹島3丁目3-33 カーサグランデ竹島  103</t>
  </si>
  <si>
    <t>大阪府大阪市西淀川区竹島3丁目3-33 カーサグランデ竹島  103</t>
  </si>
  <si>
    <t>555-0011</t>
  </si>
  <si>
    <t>001441</t>
  </si>
  <si>
    <t>P186898236695742037</t>
  </si>
  <si>
    <t>090-2872-4636</t>
  </si>
  <si>
    <t>店舗受取HUTTE</t>
  </si>
  <si>
    <t>001111</t>
  </si>
  <si>
    <t>P186898214678739726</t>
  </si>
  <si>
    <t>五十嵐道生</t>
  </si>
  <si>
    <t>080-3021-8297</t>
  </si>
  <si>
    <t>(277-0863) 千葉県柏市豊四季210-83</t>
  </si>
  <si>
    <t>千葉県柏市豊四季210-83</t>
  </si>
  <si>
    <t>277-0863</t>
  </si>
  <si>
    <t>000000001490</t>
  </si>
  <si>
    <t>23200248</t>
  </si>
  <si>
    <t>225132</t>
  </si>
  <si>
    <t>P186897713639631601</t>
  </si>
  <si>
    <t>齋藤久里子</t>
  </si>
  <si>
    <t>090-9156-5971</t>
  </si>
  <si>
    <t>(260-0844) 千葉県千葉市中央区千葉寺町972-40</t>
  </si>
  <si>
    <t>千葉県千葉市中央区千葉寺町972-40</t>
  </si>
  <si>
    <t>260-0844</t>
  </si>
  <si>
    <t>222707</t>
  </si>
  <si>
    <t>P186897559937834756</t>
  </si>
  <si>
    <t>姥宣之</t>
  </si>
  <si>
    <t>080-5304-8505</t>
  </si>
  <si>
    <t>(663-8006) 兵庫県西宮市段上町6-4-23ソレイユ段上201</t>
  </si>
  <si>
    <t>兵庫県西宮市段上町6-4-23ソレイユ段上201</t>
  </si>
  <si>
    <t>663-8006</t>
  </si>
  <si>
    <t>213543</t>
  </si>
  <si>
    <t>P186897236602127392</t>
  </si>
  <si>
    <t>長野麻美</t>
  </si>
  <si>
    <t>080-1329-2111</t>
  </si>
  <si>
    <t>(023-0024) 岩手県奥州市水沢名残75-1.</t>
  </si>
  <si>
    <t>中武佳那子</t>
  </si>
  <si>
    <t>080-1195-7883</t>
  </si>
  <si>
    <t>埼玉県さいたま市南区辻4-15-26</t>
  </si>
  <si>
    <t>336-0026</t>
  </si>
  <si>
    <t>210000</t>
  </si>
  <si>
    <t>P186897011900397094</t>
  </si>
  <si>
    <t>笹淵雄偉</t>
  </si>
  <si>
    <t>080-6656-4841</t>
  </si>
  <si>
    <t>(812-0887) 福岡県福岡市博多区三筑2-8-10-TYハイツ201</t>
  </si>
  <si>
    <t>福岡県福岡市博多区三筑2-8-10-TYハイツ201</t>
  </si>
  <si>
    <t>812-0887</t>
  </si>
  <si>
    <t>205913</t>
  </si>
  <si>
    <t>P186897006950433096</t>
  </si>
  <si>
    <t>有賀龍希</t>
  </si>
  <si>
    <t>080-6995-8999</t>
  </si>
  <si>
    <t>(396-0014) 長野県伊那市狐島3504-1 Bellcourt狐島  203</t>
  </si>
  <si>
    <t>長野県伊那市狐島3504-1 Bellcourt狐島  203</t>
  </si>
  <si>
    <t>396-0014</t>
  </si>
  <si>
    <t>205349</t>
  </si>
  <si>
    <t>P186896972989731573</t>
  </si>
  <si>
    <t>岡田良美</t>
  </si>
  <si>
    <t>090-4268-1268</t>
  </si>
  <si>
    <t>(444-3176) 愛知県岡崎市真伝吉祥2丁目25-13</t>
  </si>
  <si>
    <t>愛知県岡崎市真伝吉祥2丁目25-13</t>
  </si>
  <si>
    <t>444-3176</t>
  </si>
  <si>
    <t>204938</t>
  </si>
  <si>
    <t>P186896946642114584</t>
  </si>
  <si>
    <t>須井隆行</t>
  </si>
  <si>
    <t>090-6903-2111</t>
  </si>
  <si>
    <t>(611-0002) 京都府宇治市木幡平尾17-2　</t>
  </si>
  <si>
    <t>京都府宇治市木幡平尾17-2　</t>
  </si>
  <si>
    <t>611-0002</t>
  </si>
  <si>
    <t>204246</t>
  </si>
  <si>
    <t>P186896903456212481</t>
  </si>
  <si>
    <t>東豊人</t>
  </si>
  <si>
    <t>090-3450-4036</t>
  </si>
  <si>
    <t>(344-0038) 埼玉県春日部市大沼2-71-56　</t>
  </si>
  <si>
    <t>埼玉県春日部市大沼2-71-56　</t>
  </si>
  <si>
    <t>344-0038</t>
  </si>
  <si>
    <t>204152</t>
  </si>
  <si>
    <t>P186896897827524391</t>
  </si>
  <si>
    <t>吉永莉愛</t>
  </si>
  <si>
    <t>090-5829-4835</t>
  </si>
  <si>
    <t>(343-0825) 埼玉県越谷市大成町2丁目340-41</t>
  </si>
  <si>
    <t>埼玉県越谷市大成町2丁目340-41</t>
  </si>
  <si>
    <t>343-0825</t>
  </si>
  <si>
    <t>200554</t>
  </si>
  <si>
    <t>P186896671504746225</t>
  </si>
  <si>
    <t>加瀬愛梨</t>
  </si>
  <si>
    <t>090-1841-8988</t>
  </si>
  <si>
    <t>(288-0016) 千葉県銚子市外川台町10509</t>
  </si>
  <si>
    <t>千葉県銚子市外川台町10509</t>
  </si>
  <si>
    <t>288-0016</t>
  </si>
  <si>
    <t>185025</t>
  </si>
  <si>
    <t>P186896196587652141</t>
  </si>
  <si>
    <t>伊藤友貴</t>
  </si>
  <si>
    <t>090-7139-2232</t>
  </si>
  <si>
    <t>(714-0044) 岡山県笠岡市神島3187</t>
  </si>
  <si>
    <t>岡山県笠岡市神島3187</t>
  </si>
  <si>
    <t>714-0044</t>
  </si>
  <si>
    <t>183820</t>
  </si>
  <si>
    <t>P186896120606494609</t>
  </si>
  <si>
    <t>髙木咲来</t>
  </si>
  <si>
    <t>080-1355-0430</t>
  </si>
  <si>
    <t>(288-0021) 千葉県銚子市小畑新町7823</t>
  </si>
  <si>
    <t>千葉県銚子市小畑新町7823</t>
  </si>
  <si>
    <t>288-0021</t>
  </si>
  <si>
    <t>一度PayPay決済エラーがあった模様。→ (6/26) メイクショップ管理画面より明細書再送済。</t>
  </si>
  <si>
    <t>175029</t>
  </si>
  <si>
    <t>P186895819515282278</t>
  </si>
  <si>
    <t>ヘニヌルワーユニンシー</t>
  </si>
  <si>
    <t>090-7349-3634</t>
  </si>
  <si>
    <t>(988-0104) 宮城県気仙沼市赤岩五駄鱈気仙沼市赤岩五駄鱈12番地コアー番館203号</t>
  </si>
  <si>
    <t>宮城県気仙沼市赤岩五駄鱈気仙沼市赤岩五駄鱈12番地コアー番館203号</t>
  </si>
  <si>
    <t>988-0104</t>
  </si>
  <si>
    <t>161922</t>
  </si>
  <si>
    <t>P186895246282992120</t>
  </si>
  <si>
    <t>岡山容子</t>
  </si>
  <si>
    <t>048-857-4340</t>
  </si>
  <si>
    <t>(338-0007) 埼玉県さいたま市中央区円阿弥4-4-12　</t>
  </si>
  <si>
    <t>埼玉県さいたま市中央区円阿弥4-4-12　</t>
  </si>
  <si>
    <t>338-0007</t>
  </si>
  <si>
    <t>161750</t>
  </si>
  <si>
    <t>P186895313644304615</t>
  </si>
  <si>
    <t>Bergtagen Merino Headband</t>
  </si>
  <si>
    <t>000000001726</t>
  </si>
  <si>
    <t>13100193</t>
  </si>
  <si>
    <t>13100193570L/XL</t>
  </si>
  <si>
    <t>150759</t>
  </si>
  <si>
    <t>P186894797160563192</t>
  </si>
  <si>
    <t>丸山景詩</t>
  </si>
  <si>
    <t>080-8353-8097</t>
  </si>
  <si>
    <t>(271-0092) 千葉県松戸市松戸1554-7スプリングルピナス松戸202</t>
  </si>
  <si>
    <t>千葉県松戸市松戸1554-7スプリングルピナス松戸202</t>
  </si>
  <si>
    <t>271-0092</t>
  </si>
  <si>
    <t>000000001265</t>
  </si>
  <si>
    <t>81838</t>
  </si>
  <si>
    <t>81838633M</t>
  </si>
  <si>
    <t>101526</t>
  </si>
  <si>
    <t>P186892956614166530</t>
  </si>
  <si>
    <t>小塚一郎</t>
  </si>
  <si>
    <t>090-4213-8111</t>
  </si>
  <si>
    <t>(479-0835) 愛知県常滑市陶郷町1-24　</t>
  </si>
  <si>
    <t>愛知県常滑市陶郷町1-24　</t>
  </si>
  <si>
    <t>479-0835</t>
  </si>
  <si>
    <t>20260626162121</t>
  </si>
  <si>
    <t>095159</t>
  </si>
  <si>
    <t>P186892809083769372</t>
  </si>
  <si>
    <t>田中惠美子</t>
  </si>
  <si>
    <t>0586-43-3221</t>
  </si>
  <si>
    <t>(491-0914) 愛知県一宮市花池3-13-15</t>
  </si>
  <si>
    <t>愛知県一宮市花池3-13-15</t>
  </si>
  <si>
    <t>491-0914</t>
  </si>
  <si>
    <t>20260626162406</t>
  </si>
  <si>
    <t>085136</t>
  </si>
  <si>
    <t>P186892429215789289</t>
  </si>
  <si>
    <t>小野利幸</t>
  </si>
  <si>
    <t>080-6799-0211</t>
  </si>
  <si>
    <t>(211-0053) 神奈川県川崎市中原区上小田中2-20-6</t>
  </si>
  <si>
    <t>神奈川県川崎市中原区上小田中2-20-6</t>
  </si>
  <si>
    <t>211-0053</t>
  </si>
  <si>
    <t>20260626161535</t>
  </si>
  <si>
    <t>075841</t>
  </si>
  <si>
    <t>P186892096268888280</t>
  </si>
  <si>
    <t>柿沼篤</t>
  </si>
  <si>
    <t>080-5934-6981</t>
  </si>
  <si>
    <t>(348-0044) 埼玉県羽生市上岩瀬1536-6</t>
  </si>
  <si>
    <t>埼玉県羽生市上岩瀬1536-6</t>
  </si>
  <si>
    <t>348-0044</t>
  </si>
  <si>
    <t>20260626162313</t>
  </si>
  <si>
    <t>074116</t>
  </si>
  <si>
    <t>P186891986676767889</t>
  </si>
  <si>
    <t>垂水宏明</t>
  </si>
  <si>
    <t>080-3584-0913</t>
  </si>
  <si>
    <t>(814-0144) 福岡県福岡市城南区梅林2-17-9　</t>
  </si>
  <si>
    <t>福岡県福岡市城南区梅林2-17-9　</t>
  </si>
  <si>
    <t>814-0144</t>
  </si>
  <si>
    <t>20260626162015</t>
  </si>
  <si>
    <t>073954</t>
  </si>
  <si>
    <t>P186891978128532379</t>
  </si>
  <si>
    <t>舩橋あすか</t>
  </si>
  <si>
    <t>0466-28-5227</t>
  </si>
  <si>
    <t>(251-0003) 神奈川県藤沢市柄沢２－１６－１</t>
  </si>
  <si>
    <t>神奈川県藤沢市柄沢２－１６－１</t>
  </si>
  <si>
    <t>251-0003</t>
  </si>
  <si>
    <t>20260626161242</t>
  </si>
  <si>
    <t>232045</t>
  </si>
  <si>
    <t>P186888837754122021</t>
  </si>
  <si>
    <t>林乃愛</t>
  </si>
  <si>
    <t>090-6085-1720</t>
  </si>
  <si>
    <t>(503-2426) 岐阜県揖斐郡池田町八幡2384</t>
  </si>
  <si>
    <t>岐阜県揖斐郡池田町八幡2384</t>
  </si>
  <si>
    <t>503-2426</t>
  </si>
  <si>
    <t>20260626162652</t>
  </si>
  <si>
    <t>223538</t>
  </si>
  <si>
    <t>P186888553841305296</t>
  </si>
  <si>
    <t>桑原健太郎</t>
  </si>
  <si>
    <t>090-9512-7823</t>
  </si>
  <si>
    <t>(248-0007) 神奈川県鎌倉市大町2丁目12-6</t>
  </si>
  <si>
    <t>神奈川県鎌倉市大町2丁目12-6</t>
  </si>
  <si>
    <t>248-0007</t>
  </si>
  <si>
    <t>20260626161635</t>
  </si>
  <si>
    <t>221819</t>
  </si>
  <si>
    <t>P186888444925489065</t>
  </si>
  <si>
    <t>新垣綸乃</t>
  </si>
  <si>
    <t>080-3978-3556</t>
  </si>
  <si>
    <t>(901-1204) 沖縄県南城市大里稲嶺45-4</t>
  </si>
  <si>
    <t>沖縄県南城市大里稲嶺45-4</t>
  </si>
  <si>
    <t>901-1204</t>
  </si>
  <si>
    <t>20260626161731</t>
  </si>
  <si>
    <t>212549</t>
  </si>
  <si>
    <t>P186888114629099848</t>
  </si>
  <si>
    <t>大山藍</t>
  </si>
  <si>
    <t>090-2827-6660</t>
  </si>
  <si>
    <t>(763-0033) 香川県丸亀市中府町1-6-4 アルファステイツ中府III 503号</t>
  </si>
  <si>
    <t>香川県丸亀市中府町1-6-4 アルファステイツ中府III 503号</t>
  </si>
  <si>
    <t>763-0033</t>
  </si>
  <si>
    <t>20260626161338</t>
  </si>
  <si>
    <t>212237</t>
  </si>
  <si>
    <t>P186888094517576452</t>
  </si>
  <si>
    <t>古藤和明</t>
  </si>
  <si>
    <t>090-6794-1201</t>
  </si>
  <si>
    <t>(379-1313) 群馬県利根郡みなかみ町月夜野７１２番地６</t>
  </si>
  <si>
    <t>群馬県利根郡みなかみ町月夜野７１２番地６</t>
  </si>
  <si>
    <t>379-1313</t>
  </si>
  <si>
    <t>20260626161439</t>
  </si>
  <si>
    <t>211656</t>
  </si>
  <si>
    <t>P186888058732649027</t>
  </si>
  <si>
    <t>秋元麻里</t>
  </si>
  <si>
    <t>090-5425-4620</t>
  </si>
  <si>
    <t>(233-0016) 神奈川県横浜市港南区下永谷6-25-22栄昇ハイツ302</t>
  </si>
  <si>
    <t>神奈川県横浜市港南区下永谷6-25-22栄昇ハイツ302</t>
  </si>
  <si>
    <t>233-0016</t>
  </si>
  <si>
    <t>20260626161917</t>
  </si>
  <si>
    <t>203257</t>
  </si>
  <si>
    <t>P186887782011129708</t>
  </si>
  <si>
    <t>廣石裕佳</t>
  </si>
  <si>
    <t>042-484-9401</t>
  </si>
  <si>
    <t>(182-0006) 東京都調布市西つつじヶ丘1-12-6セイガステージつつじヶ丘202</t>
  </si>
  <si>
    <t>東京都調布市西つつじヶ丘1-12-6セイガステージつつじヶ丘202</t>
  </si>
  <si>
    <t>182-0006</t>
  </si>
  <si>
    <t>20260626162500</t>
  </si>
  <si>
    <t>202820</t>
  </si>
  <si>
    <t>P186887752962614831</t>
  </si>
  <si>
    <t>久岡麻衣</t>
  </si>
  <si>
    <t>080-6173-0656</t>
  </si>
  <si>
    <t>(532-0001) 大阪府大阪市淀川区十八条1丁目6-15-308</t>
  </si>
  <si>
    <t>大阪府大阪市淀川区十八条1丁目6-15-308</t>
  </si>
  <si>
    <t>532-0001</t>
  </si>
  <si>
    <t>20260626162557</t>
  </si>
  <si>
    <t>200358</t>
  </si>
  <si>
    <t>P186887599621031296</t>
  </si>
  <si>
    <t>柏熊淳平</t>
  </si>
  <si>
    <t>090-5041-4144</t>
  </si>
  <si>
    <t>(658-0072) 兵庫県神戸市東灘区岡本9丁目3番26-2号　</t>
  </si>
  <si>
    <t>兵庫県神戸市東灘区岡本9丁目3番26-2号　</t>
  </si>
  <si>
    <t>658-0072</t>
  </si>
  <si>
    <t>20260626161826</t>
  </si>
  <si>
    <t>P186887591472764257</t>
  </si>
  <si>
    <t>坂倉肇</t>
  </si>
  <si>
    <t>090-9216-0285</t>
  </si>
  <si>
    <t>(491-0931) 愛知県一宮市大和町馬引南正亀1-5</t>
  </si>
  <si>
    <t>愛知県一宮市大和町馬引南正亀1-5</t>
  </si>
  <si>
    <t>491-0931</t>
  </si>
  <si>
    <t>20260626162745</t>
  </si>
  <si>
    <t>175629</t>
  </si>
  <si>
    <t>P186886797615548763</t>
  </si>
  <si>
    <t>小杉玲奈</t>
  </si>
  <si>
    <t>080-1344-3401</t>
  </si>
  <si>
    <t>(266-0032) 千葉県千葉市緑区おゆみ野中央6-34-4 パークアヴェニュー105</t>
  </si>
  <si>
    <t>千葉県千葉市緑区おゆみ野中央6-34-4 パークアヴェニュー105</t>
  </si>
  <si>
    <t>266-0032</t>
  </si>
  <si>
    <t>【ミニ】Kanken Mini  (Pink 312)</t>
  </si>
  <si>
    <t>000000000967</t>
  </si>
  <si>
    <t>20260626162219</t>
  </si>
  <si>
    <t>093755</t>
  </si>
  <si>
    <t>P186883660845686633</t>
  </si>
  <si>
    <t>本下里桜</t>
  </si>
  <si>
    <t>080-9822-2358</t>
  </si>
  <si>
    <t>(176-0004) 東京都練馬区小竹町1-40-3</t>
  </si>
  <si>
    <t>東京都練馬区小竹町1-40-3</t>
  </si>
  <si>
    <t>176-0004</t>
  </si>
  <si>
    <t>20260625163921</t>
  </si>
  <si>
    <t>053659</t>
  </si>
  <si>
    <t>P186882145100222119</t>
  </si>
  <si>
    <t>鈴木大山</t>
  </si>
  <si>
    <t>080-9648-9513</t>
  </si>
  <si>
    <t>(140-0004) 東京都品川区南品川５－１１－４８アリュールゼームス坂４１３</t>
  </si>
  <si>
    <t>東京都品川区南品川５－１１－４８アリュールゼームス坂４１３</t>
  </si>
  <si>
    <t>20260625163819</t>
  </si>
  <si>
    <t>(6/26info)サイズ間違いのため返品希望。 → 6月27日(土) 14:51 marimo_o@hotmail.com 鈴木まり 様から再度ご連絡あり</t>
  </si>
  <si>
    <t>002228</t>
  </si>
  <si>
    <t>P186880166308738945</t>
  </si>
  <si>
    <t>山口大介</t>
  </si>
  <si>
    <t>090-9102-4292</t>
  </si>
  <si>
    <t>(116-0014) 東京都荒川区東日暮里2-25-4 メゾン桜田  302</t>
  </si>
  <si>
    <t>東京都荒川区東日暮里2-25-4 メゾン桜田  302</t>
  </si>
  <si>
    <t>116-0014</t>
  </si>
  <si>
    <t>000000000829</t>
  </si>
  <si>
    <t>87039</t>
  </si>
  <si>
    <t>87039195L</t>
  </si>
  <si>
    <t>20260625163109</t>
  </si>
  <si>
    <t>231010</t>
  </si>
  <si>
    <t>P186879711409631501</t>
  </si>
  <si>
    <t>青木陽美</t>
  </si>
  <si>
    <t>090-4843-6439</t>
  </si>
  <si>
    <t>(356-0028) 埼玉県ふじみ野市西原一丁目5-18ベアヒルズI303号室</t>
  </si>
  <si>
    <t>埼玉県ふじみ野市西原一丁目5-18ベアヒルズI303号室</t>
  </si>
  <si>
    <t>356-0028</t>
  </si>
  <si>
    <t>23523243X</t>
  </si>
  <si>
    <t>20260625164030</t>
  </si>
  <si>
    <t>230402</t>
  </si>
  <si>
    <t>P186879672828749817</t>
  </si>
  <si>
    <t>小野葉子</t>
  </si>
  <si>
    <t>090-7220-5716</t>
  </si>
  <si>
    <t>(258-0018) 神奈川県足柄上郡大井町金手1014　</t>
  </si>
  <si>
    <t>神奈川県足柄上郡大井町金手1014　</t>
  </si>
  <si>
    <t>258-0018</t>
  </si>
  <si>
    <t>20260625163420</t>
  </si>
  <si>
    <t>224957</t>
  </si>
  <si>
    <t>P186879584231618058</t>
  </si>
  <si>
    <t>SHINROYAMAMOTO</t>
  </si>
  <si>
    <t>090-6710-8389</t>
  </si>
  <si>
    <t>(250-0117) 神奈川県南足柄市塚原1519-3　</t>
  </si>
  <si>
    <t>神奈川県南足柄市塚原1519-3　</t>
  </si>
  <si>
    <t>250-0117</t>
  </si>
  <si>
    <t>20260625163012</t>
  </si>
  <si>
    <t>211711</t>
  </si>
  <si>
    <t>P186879000648448628</t>
  </si>
  <si>
    <t>横塚尚</t>
  </si>
  <si>
    <t>090-1764-8168</t>
  </si>
  <si>
    <t>(125-0042) 東京都葛飾区金町2-7-2　</t>
  </si>
  <si>
    <t>東京都葛飾区金町2-7-2　</t>
  </si>
  <si>
    <t>125-0042</t>
  </si>
  <si>
    <t>20260625163517</t>
  </si>
  <si>
    <t>205919</t>
  </si>
  <si>
    <t>P186878888237903054</t>
  </si>
  <si>
    <t>窪直樹</t>
  </si>
  <si>
    <t>090-1732-8486</t>
  </si>
  <si>
    <t>(204-0004) 東京都清瀬市野塩4-211-13</t>
  </si>
  <si>
    <t>東京都清瀬市野塩4-211-13</t>
  </si>
  <si>
    <t>204-0004</t>
  </si>
  <si>
    <t>20260625163213</t>
  </si>
  <si>
    <t>194942</t>
  </si>
  <si>
    <t>P186878450210764574</t>
  </si>
  <si>
    <t>加田祐介</t>
  </si>
  <si>
    <t>090-7079-4394</t>
  </si>
  <si>
    <t>(920-0017) 石川県金沢市諸江町下丁128-3</t>
  </si>
  <si>
    <t>石川県金沢市諸江町下丁128-3</t>
  </si>
  <si>
    <t>920-0017</t>
  </si>
  <si>
    <t>20260625163716</t>
  </si>
  <si>
    <t>193321</t>
  </si>
  <si>
    <t>P186878347322926438</t>
  </si>
  <si>
    <t>山崎未利</t>
  </si>
  <si>
    <t>090-7626-1114</t>
  </si>
  <si>
    <t>(781-5106) 高知県高知市介良乙1200-1コーポ西の澤B-6</t>
  </si>
  <si>
    <t>高知県高知市介良乙1200-1コーポ西の澤B-6</t>
  </si>
  <si>
    <t>781-5106</t>
  </si>
  <si>
    <t>20260625163318</t>
  </si>
  <si>
    <t>190959</t>
  </si>
  <si>
    <t>P186878200350724896</t>
  </si>
  <si>
    <t>村上周平</t>
  </si>
  <si>
    <t>080-5581-3807</t>
  </si>
  <si>
    <t>(034-0095) 青森県十和田市西二十一番町29-43</t>
  </si>
  <si>
    <t>青森県十和田市西二十一番町29-43</t>
  </si>
  <si>
    <t>034-0095</t>
  </si>
  <si>
    <t>20260625162806</t>
  </si>
  <si>
    <t>プロメンバー</t>
  </si>
  <si>
    <t>Abisko Mesh Cap</t>
  </si>
  <si>
    <t>000000000589</t>
  </si>
  <si>
    <t>77403</t>
  </si>
  <si>
    <t>77403614X</t>
  </si>
  <si>
    <t>174923</t>
  </si>
  <si>
    <t>P186877693247192156</t>
  </si>
  <si>
    <t>高岡良充</t>
  </si>
  <si>
    <t>080-3111-1397</t>
  </si>
  <si>
    <t>(660-0893) 兵庫県尼崎市西難波町2丁目26-26</t>
  </si>
  <si>
    <t>兵庫県尼崎市西難波町2丁目26-26</t>
  </si>
  <si>
    <t>660-0893</t>
  </si>
  <si>
    <t>20260625162904</t>
  </si>
  <si>
    <t>172717</t>
  </si>
  <si>
    <t>P186877554158937066</t>
  </si>
  <si>
    <t>鈴木麻里亜</t>
  </si>
  <si>
    <t>090-4818-2623</t>
  </si>
  <si>
    <t>(190-0182) 東京都西多摩郡日の出町平井726-12</t>
  </si>
  <si>
    <t>東京都西多摩郡日の出町平井726-12</t>
  </si>
  <si>
    <t>190-0182</t>
  </si>
  <si>
    <t>20260625163617</t>
  </si>
  <si>
    <t>(6/23 info.) 発送についてお問い合わせあり。</t>
  </si>
  <si>
    <t>20260624163004</t>
  </si>
  <si>
    <t>20260624164950</t>
  </si>
  <si>
    <t>20260624163054</t>
  </si>
  <si>
    <t>20260624164617</t>
  </si>
  <si>
    <t>20260624163704</t>
  </si>
  <si>
    <t>20260624163328</t>
  </si>
  <si>
    <t>20260624162733</t>
  </si>
  <si>
    <t>20260624164322</t>
  </si>
  <si>
    <t>20260624163231</t>
  </si>
  <si>
    <t>20260624164513</t>
  </si>
  <si>
    <t>20260624163756</t>
  </si>
  <si>
    <t>20260624163420</t>
  </si>
  <si>
    <t>20260624162907</t>
  </si>
  <si>
    <t>20260624164415</t>
  </si>
  <si>
    <t>20260624165136</t>
  </si>
  <si>
    <t>20260624165045</t>
  </si>
  <si>
    <t>20260624162636</t>
  </si>
  <si>
    <t>20260624164145</t>
  </si>
  <si>
    <t>20260624163609</t>
  </si>
  <si>
    <t>20260624163139</t>
  </si>
  <si>
    <t>20260624163903</t>
  </si>
  <si>
    <t>20260624163515</t>
  </si>
  <si>
    <t>NODE</t>
    <phoneticPr fontId="22"/>
  </si>
  <si>
    <t>19 NODE</t>
    <phoneticPr fontId="22"/>
  </si>
  <si>
    <t>FJALLRAVEN by 3NITY TOKYO NODE</t>
    <phoneticPr fontId="22"/>
  </si>
  <si>
    <t>23223543X</t>
  </si>
  <si>
    <t>23200330016X</t>
  </si>
  <si>
    <t>23223623X</t>
  </si>
  <si>
    <t>TNT026164L</t>
  </si>
  <si>
    <t>TENNEN</t>
  </si>
  <si>
    <t>TNT026</t>
  </si>
  <si>
    <t>天撚Tシャツ /メリノウール</t>
  </si>
  <si>
    <t>Burgundy</t>
  </si>
  <si>
    <t>Kanken Travel Wallet</t>
  </si>
  <si>
    <t>23200251021X</t>
  </si>
  <si>
    <t>084011</t>
  </si>
  <si>
    <t>P186946715506715034</t>
  </si>
  <si>
    <t>井原裕樹</t>
  </si>
  <si>
    <t>080-6146-8353</t>
  </si>
  <si>
    <t>(595-0805) 大阪府泉北郡忠岡町忠岡東1丁目22-13 忠岡グリーンハイツ  6-L</t>
  </si>
  <si>
    <t>大阪府泉北郡忠岡町忠岡東1丁目22-13 忠岡グリーンハイツ  6-L</t>
  </si>
  <si>
    <t>595-0805</t>
  </si>
  <si>
    <t>000000001465</t>
  </si>
  <si>
    <t>86977</t>
  </si>
  <si>
    <t>86977550M</t>
  </si>
  <si>
    <t>000000001734</t>
  </si>
  <si>
    <t>12600268</t>
  </si>
  <si>
    <t>12600268244M</t>
  </si>
  <si>
    <t>082508</t>
  </si>
  <si>
    <t>P186946620811731880</t>
  </si>
  <si>
    <t>井亦伶</t>
  </si>
  <si>
    <t>090-8097-8515</t>
  </si>
  <si>
    <t>(937-0816) 富山県魚津市大海寺野855-8</t>
  </si>
  <si>
    <t>富山県魚津市大海寺野855-8</t>
  </si>
  <si>
    <t>937-0816</t>
  </si>
  <si>
    <t>002517</t>
  </si>
  <si>
    <t>P186943601856493114</t>
  </si>
  <si>
    <t>Indri</t>
  </si>
  <si>
    <t>070-9036-5335</t>
  </si>
  <si>
    <t>(635-0832) 奈良県北葛城郡広陵町馬見中5丁目1番1号アーバンハイツ真美201</t>
  </si>
  <si>
    <t>奈良県北葛城郡広陵町馬見中5丁目1番1号アーバンハイツ真美201</t>
  </si>
  <si>
    <t>635-0832</t>
  </si>
  <si>
    <t>000000000594</t>
  </si>
  <si>
    <t>23710</t>
  </si>
  <si>
    <t>23710550X</t>
  </si>
  <si>
    <t>234528</t>
  </si>
  <si>
    <t>P186943351358138473</t>
  </si>
  <si>
    <t>SameerDeshmukh</t>
  </si>
  <si>
    <t>070-4465-5316</t>
  </si>
  <si>
    <t>(210-0011) 神奈川県川崎市川崎区富士見１丁目６番１５-２０９</t>
  </si>
  <si>
    <t>神奈川県川崎市川崎区富士見１丁目６番１５-２０９</t>
  </si>
  <si>
    <t>210-0011</t>
  </si>
  <si>
    <t>000000000802</t>
  </si>
  <si>
    <t>23225</t>
  </si>
  <si>
    <t>234423</t>
  </si>
  <si>
    <t>P186943344623497308</t>
  </si>
  <si>
    <t>デシュムクサミーア</t>
  </si>
  <si>
    <t>神奈川県川崎市川崎区富士見１丁目６番１５ コンフォーレ川崎富士見５棟  ２０９</t>
  </si>
  <si>
    <t>222006</t>
  </si>
  <si>
    <t>P186942814264413677</t>
  </si>
  <si>
    <t>白須政人</t>
  </si>
  <si>
    <t>080-6588-6230</t>
  </si>
  <si>
    <t>(402-0032) 山梨県都留市　鹿留１０９９－２</t>
  </si>
  <si>
    <t>山梨県都留市　鹿留１０９９－２</t>
  </si>
  <si>
    <t>402-0032</t>
  </si>
  <si>
    <t>220720</t>
  </si>
  <si>
    <t>P186942733978574865</t>
  </si>
  <si>
    <t>中川文江</t>
  </si>
  <si>
    <t>090-9033-4798</t>
  </si>
  <si>
    <t>(999-3716) 山形県東根市蟹沢1447-14</t>
  </si>
  <si>
    <t>山形県東根市蟹沢1447-14</t>
  </si>
  <si>
    <t>999-3716</t>
  </si>
  <si>
    <t>000000000210</t>
  </si>
  <si>
    <t>77316</t>
  </si>
  <si>
    <t>000000001244</t>
  </si>
  <si>
    <t>79339</t>
  </si>
  <si>
    <t>79339030M</t>
  </si>
  <si>
    <t>【Women’s】【UPDATED】Keb Trousers W</t>
  </si>
  <si>
    <t>000000001613</t>
  </si>
  <si>
    <t>86706</t>
  </si>
  <si>
    <t>86706662-62538/S</t>
  </si>
  <si>
    <t>210659</t>
  </si>
  <si>
    <t>P186942354275062894</t>
  </si>
  <si>
    <t>株式会社冨田工業</t>
  </si>
  <si>
    <t>090-5332-1465</t>
  </si>
  <si>
    <t>(315-0031) 茨城県石岡市東大橋1805</t>
  </si>
  <si>
    <t>茨城県石岡市東大橋1805</t>
  </si>
  <si>
    <t>315-0031</t>
  </si>
  <si>
    <t>210339</t>
  </si>
  <si>
    <t>P186942333308823369</t>
  </si>
  <si>
    <t>角田友美子</t>
  </si>
  <si>
    <t>080-6440-2799</t>
  </si>
  <si>
    <t>(358-0006) 埼玉県入間市春日町2-12-2-307</t>
  </si>
  <si>
    <t>埼玉県入間市春日町2-12-2-307</t>
  </si>
  <si>
    <t>358-0006</t>
  </si>
  <si>
    <t>000000000416</t>
  </si>
  <si>
    <t>25861</t>
  </si>
  <si>
    <t>193510</t>
  </si>
  <si>
    <t>P186941776605773414</t>
  </si>
  <si>
    <t>平光友子</t>
  </si>
  <si>
    <t>090-2267-5447</t>
  </si>
  <si>
    <t>(500-8223) 岐阜県岐阜市水海道2-5-15</t>
  </si>
  <si>
    <t>岐阜県岐阜市水海道2-5-15</t>
  </si>
  <si>
    <t>500-8223</t>
  </si>
  <si>
    <t>192150</t>
  </si>
  <si>
    <t>P186941692737373587</t>
  </si>
  <si>
    <t>松本健次郎</t>
  </si>
  <si>
    <t>053-485-9631</t>
  </si>
  <si>
    <t>(432-8001) 静岡県浜松市西区西山町1055-57ブライトタウン西山402</t>
  </si>
  <si>
    <t>静岡県浜松市西区西山町1055-57ブライトタウン西山402</t>
  </si>
  <si>
    <t>432-8001</t>
  </si>
  <si>
    <t>192119</t>
  </si>
  <si>
    <t>P186941775968513272</t>
  </si>
  <si>
    <t>大内雅</t>
  </si>
  <si>
    <t>(253-0105) 神奈川県高座郡寒川町岡田5-13-25メゾン・ド・フラン2 101</t>
  </si>
  <si>
    <t>神奈川県高座郡寒川町岡田5-13-25メゾン・ド・フラン2 101</t>
  </si>
  <si>
    <t>253-0105</t>
  </si>
  <si>
    <t>000000000296</t>
  </si>
  <si>
    <t>79061</t>
  </si>
  <si>
    <t>191057</t>
  </si>
  <si>
    <t>P186941624301428941</t>
  </si>
  <si>
    <t>下重智也</t>
  </si>
  <si>
    <t>090-4374-7589</t>
  </si>
  <si>
    <t>(108-0074) 東京都港区高輪1-4-23 コスモ高輪シティーフォルム1403</t>
  </si>
  <si>
    <t>東京都港区高輪1-4-23コスモ高輪シティフォルム1403</t>
  </si>
  <si>
    <t>108-0074</t>
  </si>
  <si>
    <t>000000001531</t>
  </si>
  <si>
    <t>82606</t>
  </si>
  <si>
    <t>82606232-620M</t>
  </si>
  <si>
    <t>181915</t>
  </si>
  <si>
    <t>P186941298978322974</t>
  </si>
  <si>
    <t>千葉里花</t>
  </si>
  <si>
    <t>0285-84-5470</t>
  </si>
  <si>
    <t>(321-4357) 栃木県真岡市下大沼一丁目11-6　</t>
  </si>
  <si>
    <t>栃木県真岡市下大沼一丁目11-6　</t>
  </si>
  <si>
    <t>321-4357</t>
  </si>
  <si>
    <t>173536</t>
  </si>
  <si>
    <t>P186941024353087257</t>
  </si>
  <si>
    <t>久野慶次</t>
  </si>
  <si>
    <t>090-1724-6514</t>
  </si>
  <si>
    <t>(411-0041) 静岡県三島市佐野見晴台1-23-2</t>
  </si>
  <si>
    <t>静岡県三島市佐野見晴台1-23-2</t>
  </si>
  <si>
    <t>411-0041</t>
  </si>
  <si>
    <t>Gift Wrapping (L)</t>
  </si>
  <si>
    <t>000000000584</t>
  </si>
  <si>
    <t>GIFT500</t>
  </si>
  <si>
    <t>173320</t>
  </si>
  <si>
    <t>P186941010112151775</t>
  </si>
  <si>
    <t>165300</t>
  </si>
  <si>
    <t>P186940756332847537</t>
  </si>
  <si>
    <t>viarputrirahayu</t>
  </si>
  <si>
    <t>070-5360-6276</t>
  </si>
  <si>
    <t>(889-4314) 宮崎県えびの市大河平ichigokan life suport  4327-27 ebino-shi miyazaki ken</t>
  </si>
  <si>
    <t>宮崎県えびの市大河平ichigokan life suport  4327-27 ebino-shi miyazaki ken</t>
  </si>
  <si>
    <t>889-4314</t>
  </si>
  <si>
    <t>162703</t>
  </si>
  <si>
    <t>P186940593147033594</t>
  </si>
  <si>
    <t>中島華子</t>
  </si>
  <si>
    <t>090-4275-1379</t>
  </si>
  <si>
    <t>(652-0058) 兵庫県神戸市兵庫区菊水町6丁目1-20-807</t>
  </si>
  <si>
    <t>兵庫県神戸市兵庫区菊水町6丁目1-20-807</t>
  </si>
  <si>
    <t>652-0058</t>
  </si>
  <si>
    <t>160142</t>
  </si>
  <si>
    <t>P186940517637469789</t>
  </si>
  <si>
    <t>伊藤雅章</t>
  </si>
  <si>
    <t>(550-0013) 大阪府大阪市西区新町２丁目１０－１２ー403</t>
  </si>
  <si>
    <t>大阪府大阪市西区新町２丁目１０－１２ー403</t>
  </si>
  <si>
    <t>550-0013</t>
  </si>
  <si>
    <t>伝達メッセージ : 電話させていただきました。 よろしくお願いいたします。</t>
  </si>
  <si>
    <t>153030</t>
  </si>
  <si>
    <t>P186940237333588905</t>
  </si>
  <si>
    <t>袖山桂子</t>
  </si>
  <si>
    <t>026-222-5427</t>
  </si>
  <si>
    <t>(381-0022) 長野県長野市大豆島745-12　</t>
  </si>
  <si>
    <t>袖山治嗣</t>
  </si>
  <si>
    <t>090-4399-0246</t>
  </si>
  <si>
    <t>北海道札幌市中央区北五条西2-5 JRタワーホテル日航札幌気付  袖山</t>
  </si>
  <si>
    <t>060-0005</t>
  </si>
  <si>
    <t>152329</t>
  </si>
  <si>
    <t>P186940193233028634</t>
  </si>
  <si>
    <t>田宮昌子</t>
  </si>
  <si>
    <t>0166-53-5104</t>
  </si>
  <si>
    <t>(070-0875) 北海道旭川市春光５条２丁目2-22　</t>
  </si>
  <si>
    <t>田宮優衣</t>
  </si>
  <si>
    <t>090-6982-5183</t>
  </si>
  <si>
    <t>京都府京都市東山区妙法院前側町メゾンジョスラン  412</t>
  </si>
  <si>
    <t>605-0932</t>
  </si>
  <si>
    <t>143752</t>
  </si>
  <si>
    <t>P186939906199401290</t>
  </si>
  <si>
    <t>野田彩乃</t>
  </si>
  <si>
    <t>080-3963-1451</t>
  </si>
  <si>
    <t>(880-0841) 宮崎県宮崎市吉村町西田甲656-5</t>
  </si>
  <si>
    <t>宮崎県宮崎市吉村町西田甲656-5</t>
  </si>
  <si>
    <t>880-0841</t>
  </si>
  <si>
    <t>23796115X</t>
  </si>
  <si>
    <t>【NEW】Gift Wrapping (M)</t>
  </si>
  <si>
    <t>000000001472</t>
  </si>
  <si>
    <t>GIFT400</t>
  </si>
  <si>
    <t>133952</t>
  </si>
  <si>
    <t>P186939541319158992</t>
  </si>
  <si>
    <t>木村世瑠奈</t>
  </si>
  <si>
    <t>080-7986-9082</t>
  </si>
  <si>
    <t>(860-0035) 熊本県熊本市中央区呉服町2-5-6-701</t>
  </si>
  <si>
    <t>中川美啓</t>
  </si>
  <si>
    <t>090-8405-0506</t>
  </si>
  <si>
    <t>熊本県熊本市中央区坪井1-3-6-206</t>
  </si>
  <si>
    <t>860-0863</t>
  </si>
  <si>
    <t>【ミニ】Kanken Mini  (Green 620)</t>
  </si>
  <si>
    <t>000000001740</t>
  </si>
  <si>
    <t>113427</t>
  </si>
  <si>
    <t>P186938752241301512</t>
  </si>
  <si>
    <t>平井俊介</t>
  </si>
  <si>
    <t>090-7278-0377</t>
  </si>
  <si>
    <t>(252-1124) 神奈川県綾瀬市吉岡1968-10</t>
  </si>
  <si>
    <t>田村心</t>
  </si>
  <si>
    <t>080-9441-1125</t>
  </si>
  <si>
    <t>神奈川県横浜市旭区若葉台3-2-1320</t>
  </si>
  <si>
    <t>241-0801</t>
  </si>
  <si>
    <t>081414</t>
  </si>
  <si>
    <t>P186937492531212070</t>
  </si>
  <si>
    <t>井之上寿子</t>
  </si>
  <si>
    <t>042-708-9170</t>
  </si>
  <si>
    <t>(195-0073) 東京都町田市薬師台2-19-3</t>
  </si>
  <si>
    <t>東京都町田市薬師台2-19-3</t>
  </si>
  <si>
    <t>195-0073</t>
  </si>
  <si>
    <t>065310</t>
  </si>
  <si>
    <t>P186936982589581854</t>
  </si>
  <si>
    <t>永嶋美華子</t>
  </si>
  <si>
    <t>080-3330-4037</t>
  </si>
  <si>
    <t>(990-2423) 山形県山形市東青田2-1-7</t>
  </si>
  <si>
    <t>山形県山形市東青田2-1-7</t>
  </si>
  <si>
    <t>990-2423</t>
  </si>
  <si>
    <t>000000001624</t>
  </si>
  <si>
    <t>005827</t>
  </si>
  <si>
    <t>P186934750900161998</t>
  </si>
  <si>
    <t>下山和子</t>
  </si>
  <si>
    <t>090-4754-7355</t>
  </si>
  <si>
    <t>(371-0012) 群馬県前橋市東片貝町482</t>
  </si>
  <si>
    <t>群馬県前橋市東片貝町482</t>
  </si>
  <si>
    <t>371-0012</t>
  </si>
  <si>
    <t>235918</t>
  </si>
  <si>
    <t>P186934378738521684</t>
  </si>
  <si>
    <t>本田美鳥</t>
  </si>
  <si>
    <t>090-3904-2870</t>
  </si>
  <si>
    <t>(151-0072) 東京都渋谷区幡ヶ谷1-23-17-302</t>
  </si>
  <si>
    <t>東京都渋谷区幡ヶ谷1-23-17-302</t>
  </si>
  <si>
    <t>151-0072</t>
  </si>
  <si>
    <t>【Women’s】Vardag Shorts W</t>
  </si>
  <si>
    <t>000000001662</t>
  </si>
  <si>
    <t>87105</t>
  </si>
  <si>
    <t>伝達メッセージ : 木曜か土曜の18時-20時の時間指定での受け取りをお願いできればと思います</t>
  </si>
  <si>
    <t>235435</t>
  </si>
  <si>
    <t>P186934349043842164</t>
  </si>
  <si>
    <t>福田桃香</t>
  </si>
  <si>
    <t>080-5347-5352</t>
  </si>
  <si>
    <t>(582-0029) 大阪府柏原市石川町7-24メゾンドール玉手山406号室</t>
  </si>
  <si>
    <t>大阪府柏原市石川町7-24メゾンドール玉手山406号室</t>
  </si>
  <si>
    <t>582-0029</t>
  </si>
  <si>
    <t>23796312X</t>
  </si>
  <si>
    <t>234924</t>
  </si>
  <si>
    <t>P186934316412265114</t>
  </si>
  <si>
    <t>星野亜衣子</t>
  </si>
  <si>
    <t>080-6776-1140</t>
  </si>
  <si>
    <t>(208-0032) 東京都武蔵村山市三ツ木1-25-27</t>
  </si>
  <si>
    <t>東京都武蔵村山市三ツ木1-25-27</t>
  </si>
  <si>
    <t>208-0032</t>
  </si>
  <si>
    <t>232651</t>
  </si>
  <si>
    <t>P186934174609888011</t>
  </si>
  <si>
    <t>辻本雄紀</t>
  </si>
  <si>
    <t>080-3783-8861</t>
  </si>
  <si>
    <t>(158-0081) 東京都世田谷区深沢5-24-23 ルナコート等々力503号室</t>
  </si>
  <si>
    <t>東京都世田谷区深沢5-24-23 ルナコート等々力503号室</t>
  </si>
  <si>
    <t>158-0081</t>
  </si>
  <si>
    <t>231110</t>
  </si>
  <si>
    <t>P186934075917743692</t>
  </si>
  <si>
    <t>後藤貴也</t>
  </si>
  <si>
    <t>042-810-0890</t>
  </si>
  <si>
    <t>(252-0104) 神奈川県相模原市緑区向原2-6-49　</t>
  </si>
  <si>
    <t>神奈川県相模原市緑区向原2-6-49　</t>
  </si>
  <si>
    <t>252-0104</t>
  </si>
  <si>
    <t>230458</t>
  </si>
  <si>
    <t>P186934036943334756</t>
  </si>
  <si>
    <t>山本昌之</t>
  </si>
  <si>
    <t>080-4027-8350</t>
  </si>
  <si>
    <t>(615-8142) 京都府京都市西京区樫原畔ノ海道10-45</t>
  </si>
  <si>
    <t>京都府京都市西京区樫原畔ノ海道10-45</t>
  </si>
  <si>
    <t>615-8142</t>
  </si>
  <si>
    <t>000000000712</t>
  </si>
  <si>
    <t>23508</t>
  </si>
  <si>
    <t>23508021X</t>
  </si>
  <si>
    <t>000000001495</t>
  </si>
  <si>
    <t>23200251</t>
  </si>
  <si>
    <t>230151</t>
  </si>
  <si>
    <t>P186934017264149576</t>
  </si>
  <si>
    <t>佐藤真菜</t>
  </si>
  <si>
    <t>090-3408-2245</t>
  </si>
  <si>
    <t>(366-0007) 埼玉県深谷市南阿賀野273</t>
  </si>
  <si>
    <t>埼玉県深谷市南阿賀野273</t>
  </si>
  <si>
    <t>366-0007</t>
  </si>
  <si>
    <t>222849</t>
  </si>
  <si>
    <t>P186933809460448813</t>
  </si>
  <si>
    <t>直井愛心</t>
  </si>
  <si>
    <t>080-9576-3755</t>
  </si>
  <si>
    <t>(300-3264) 茨城県つくば市篠崎2120-30</t>
  </si>
  <si>
    <t>茨城県つくば市篠崎2120-30</t>
  </si>
  <si>
    <t>300-3264</t>
  </si>
  <si>
    <t>222456</t>
  </si>
  <si>
    <t>P186933785012667092</t>
  </si>
  <si>
    <t>渡邉斗夢</t>
  </si>
  <si>
    <t>090-1258-8716</t>
  </si>
  <si>
    <t>(340-0002) 埼玉県草加市青柳5-5-20 コンフォート201</t>
  </si>
  <si>
    <t>埼玉県草加市青柳5-5-20 コンフォート201</t>
  </si>
  <si>
    <t>340-0002</t>
  </si>
  <si>
    <t>23796550X</t>
  </si>
  <si>
    <t>214601</t>
  </si>
  <si>
    <t>P186933540189044259</t>
  </si>
  <si>
    <t>田中真央</t>
  </si>
  <si>
    <t>080-2461-0874</t>
  </si>
  <si>
    <t>(606-8231) 京都府京都市左京区田中上古川町34-34 メゾン高野  508号室</t>
  </si>
  <si>
    <t>京都府京都市左京区田中上古川町34-34 メゾン高野  508号室</t>
  </si>
  <si>
    <t>606-8231</t>
  </si>
  <si>
    <t>Kanken 16L (Green 620)</t>
  </si>
  <si>
    <t>000000001739</t>
  </si>
  <si>
    <t>要確認 Amazon Pay → (6/30) info.より再注文依頼済。こちらはキャンセルします。</t>
  </si>
  <si>
    <t>195643</t>
  </si>
  <si>
    <t>P186932852527452561</t>
  </si>
  <si>
    <t>吉川亜希子</t>
  </si>
  <si>
    <t>080-5063-0624</t>
  </si>
  <si>
    <t>(368-0045) 埼玉県秩父市道生町23-9</t>
  </si>
  <si>
    <t>埼玉県秩父市道生町23-9</t>
  </si>
  <si>
    <t>368-0045</t>
  </si>
  <si>
    <t>195429</t>
  </si>
  <si>
    <t>P186932838466944351</t>
  </si>
  <si>
    <t>194725</t>
  </si>
  <si>
    <t>P186932794010842690</t>
  </si>
  <si>
    <t>鈴木希実</t>
  </si>
  <si>
    <t>080-2136-8300</t>
  </si>
  <si>
    <t>(940-0829) 新潟県長岡市長倉3丁目660番地</t>
  </si>
  <si>
    <t>新潟県長岡市長倉3丁目660番地</t>
  </si>
  <si>
    <t>940-0829</t>
  </si>
  <si>
    <t>191528</t>
  </si>
  <si>
    <t>P186932592981204757</t>
  </si>
  <si>
    <t>日野朱</t>
  </si>
  <si>
    <t>090-1068-0733</t>
  </si>
  <si>
    <t>(981-3132) 宮城県仙台市泉区将監12-16-3</t>
  </si>
  <si>
    <t>宮城県仙台市泉区将監12-16-3</t>
  </si>
  <si>
    <t>981-3132</t>
  </si>
  <si>
    <t>183317</t>
  </si>
  <si>
    <t>P186932327585742354</t>
  </si>
  <si>
    <t>中根里菜</t>
  </si>
  <si>
    <t>070-8460-3818</t>
  </si>
  <si>
    <t>(135-0007) 東京都江東区新大橋2-10-5 OAKLANCE森下2 503</t>
  </si>
  <si>
    <t>東京都江東区新大橋2-10-5 OAKLANCE森下2 503</t>
  </si>
  <si>
    <t>135-0007</t>
  </si>
  <si>
    <t>Walk With Nature T-Shirt M</t>
  </si>
  <si>
    <t>000000001503</t>
  </si>
  <si>
    <t>12600216</t>
  </si>
  <si>
    <t>12600216555L</t>
  </si>
  <si>
    <t>174210</t>
  </si>
  <si>
    <t>P186932005994144493</t>
  </si>
  <si>
    <t>Fista</t>
  </si>
  <si>
    <t>080-5294-5778</t>
  </si>
  <si>
    <t>(279-0002) 千葉県Urayasu-shi北栄4－4－7レオパレスラトナ205</t>
  </si>
  <si>
    <t>千葉県Urayasu-shi北栄4－4－7レオパレスラトナ205</t>
  </si>
  <si>
    <t>279-0002</t>
  </si>
  <si>
    <t>171614</t>
  </si>
  <si>
    <t>P186931842807814928</t>
  </si>
  <si>
    <t>下村千悠</t>
  </si>
  <si>
    <t>080-8728-0759</t>
  </si>
  <si>
    <t>(332-0011) 埼玉県川口市元郷1-1-30 ビーサイト701号室</t>
  </si>
  <si>
    <t>埼玉県川口市元郷1-1-30 ビーサイト701号室</t>
  </si>
  <si>
    <t>332-0011</t>
  </si>
  <si>
    <t>170753</t>
  </si>
  <si>
    <t>P186931790326699898</t>
  </si>
  <si>
    <t>AdistyHildaKamalia</t>
  </si>
  <si>
    <t>070-1430-0677</t>
  </si>
  <si>
    <t xml:space="preserve">(023-0026) 岩手県奥州市水沢里鎗Mizusawa Residence, Satouyari, 3 Banchi, Building 2, Room 306, Oshu-shi, Iwate </t>
  </si>
  <si>
    <t xml:space="preserve">岩手県奥州市水沢里鎗Mizusawa Residence, Satouyari, 3 Banchi, Building 2, Room 306, Oshu-shi, Iwate </t>
  </si>
  <si>
    <t>023-0026</t>
  </si>
  <si>
    <t>165553</t>
  </si>
  <si>
    <t>P186931714800738802</t>
  </si>
  <si>
    <t>加藤由紀子</t>
  </si>
  <si>
    <t>090-2244-9742</t>
  </si>
  <si>
    <t>(212-0052) 神奈川県川崎市幸区古市場2-96-16</t>
  </si>
  <si>
    <t>神奈川県川崎市幸区古市場2-96-16</t>
  </si>
  <si>
    <t>212-0052</t>
  </si>
  <si>
    <t>163246</t>
  </si>
  <si>
    <t>P186931569404221136</t>
  </si>
  <si>
    <t>田中江史子</t>
  </si>
  <si>
    <t>愛知県一宮市花池3－13－15 life</t>
  </si>
  <si>
    <t>Kanken Totepack Mini</t>
  </si>
  <si>
    <t>000000000595</t>
  </si>
  <si>
    <t>23711</t>
  </si>
  <si>
    <t>23711350X</t>
  </si>
  <si>
    <t>150743</t>
  </si>
  <si>
    <t>P186931034332195800</t>
  </si>
  <si>
    <t>久多良木亮</t>
  </si>
  <si>
    <t>090-9075-2283</t>
  </si>
  <si>
    <t>(224-0037) 神奈川県横浜市都筑区茅ケ崎南5丁目26－10－202</t>
  </si>
  <si>
    <t>神奈川県横浜市都筑区茅ケ崎南5丁目26－10－202</t>
  </si>
  <si>
    <t>224-0037</t>
  </si>
  <si>
    <t>150413</t>
  </si>
  <si>
    <t>P186931012299454347</t>
  </si>
  <si>
    <t>岩本摩美</t>
  </si>
  <si>
    <t>090-9232-1163</t>
  </si>
  <si>
    <t>(336-0042) 埼玉県さいたま市南区大谷口1257-15メゾングレイス  403</t>
  </si>
  <si>
    <t>手嶋礼子</t>
  </si>
  <si>
    <t>東京都板橋区大山金井町20-5　</t>
  </si>
  <si>
    <t>173-0024</t>
  </si>
  <si>
    <t>135601</t>
  </si>
  <si>
    <t>P186930583218107119</t>
  </si>
  <si>
    <t>20260630175033</t>
  </si>
  <si>
    <t>130900</t>
  </si>
  <si>
    <t>P186930287384244999</t>
  </si>
  <si>
    <t>大川彩花</t>
  </si>
  <si>
    <t>080-5695-1993</t>
  </si>
  <si>
    <t>(191-0022) 東京都日野市新井1-6-17</t>
  </si>
  <si>
    <t>東京都日野市新井1-6-17</t>
  </si>
  <si>
    <t>191-0022</t>
  </si>
  <si>
    <t>23710501X</t>
  </si>
  <si>
    <t>20260630170511</t>
  </si>
  <si>
    <t>130343</t>
  </si>
  <si>
    <t>P186930254148699933</t>
  </si>
  <si>
    <t>郡司聖子</t>
  </si>
  <si>
    <t>080-9995-0721</t>
  </si>
  <si>
    <t>(363-0007) 埼玉県桶川市小針領家646</t>
  </si>
  <si>
    <t>埼玉県桶川市小針領家646</t>
  </si>
  <si>
    <t>363-0007</t>
  </si>
  <si>
    <t>000000000292</t>
  </si>
  <si>
    <t>23154</t>
  </si>
  <si>
    <t>23154042X</t>
  </si>
  <si>
    <t>20260630174826</t>
  </si>
  <si>
    <t>【Women’s】Abisko Hike Shirt W</t>
  </si>
  <si>
    <t>000000001649</t>
  </si>
  <si>
    <t>14600167</t>
  </si>
  <si>
    <t>14600167560XS</t>
  </si>
  <si>
    <t>095227</t>
  </si>
  <si>
    <t>P186929050836914449</t>
  </si>
  <si>
    <t>(273-0103) 千葉県鎌ケ谷市丸山3-10-7 ウッドベル2 201号</t>
  </si>
  <si>
    <t>千葉県鎌ケ谷市丸山3-10-7 ウッドベル2 201号</t>
  </si>
  <si>
    <t>273-0103</t>
  </si>
  <si>
    <t>000000001242</t>
  </si>
  <si>
    <t>77404</t>
  </si>
  <si>
    <t>20260630181336</t>
  </si>
  <si>
    <t>094130</t>
  </si>
  <si>
    <t>P186928981873692771</t>
  </si>
  <si>
    <t>000000000355</t>
  </si>
  <si>
    <t>77363</t>
  </si>
  <si>
    <t>77363550X</t>
  </si>
  <si>
    <t>20260630181523</t>
  </si>
  <si>
    <t>092418</t>
  </si>
  <si>
    <t>P186928873721071276</t>
  </si>
  <si>
    <t>000000000723</t>
  </si>
  <si>
    <t>25863</t>
  </si>
  <si>
    <t>20260630181429</t>
  </si>
  <si>
    <t>091409</t>
  </si>
  <si>
    <t>P186928809801655891</t>
  </si>
  <si>
    <t>25862550X</t>
  </si>
  <si>
    <t>20260630181835</t>
  </si>
  <si>
    <t>20260630181734</t>
  </si>
  <si>
    <t>20260630181634</t>
  </si>
  <si>
    <t>20260630180113</t>
  </si>
  <si>
    <t>20260630175157</t>
  </si>
  <si>
    <t>20260630174157</t>
  </si>
  <si>
    <t>20260630170257</t>
  </si>
  <si>
    <t>20260630172343</t>
  </si>
  <si>
    <t>20260630173708</t>
  </si>
  <si>
    <t>20260630172625</t>
  </si>
  <si>
    <t>20260630173909</t>
  </si>
  <si>
    <t>Yahoo!ショッピングPayPay残高払い [決済完了]</t>
  </si>
  <si>
    <t>20260630180403</t>
  </si>
  <si>
    <t>20260630171636</t>
  </si>
  <si>
    <t>20260630172747</t>
  </si>
  <si>
    <t>20260630170415</t>
  </si>
  <si>
    <t>20260630174622</t>
  </si>
  <si>
    <t>20260630172425</t>
  </si>
  <si>
    <t>20260630174337</t>
  </si>
  <si>
    <t>20260630180618</t>
  </si>
  <si>
    <t>20260630174036</t>
  </si>
  <si>
    <t>20260630175534</t>
  </si>
  <si>
    <t>20260630173041</t>
  </si>
  <si>
    <t>20260630172705</t>
  </si>
  <si>
    <t>20260630174744</t>
  </si>
  <si>
    <t>20260630180238</t>
  </si>
  <si>
    <t>メールエラーがあった模様。</t>
  </si>
  <si>
    <t>20260630173830</t>
  </si>
  <si>
    <t>20260630174115</t>
  </si>
  <si>
    <t>20260630170614</t>
  </si>
  <si>
    <t>20260630173953</t>
  </si>
  <si>
    <t>20260630173337</t>
  </si>
  <si>
    <t>20260630171123</t>
  </si>
  <si>
    <t>20260630172246</t>
  </si>
  <si>
    <t>20260630171249</t>
  </si>
  <si>
    <t>20260630171738</t>
  </si>
  <si>
    <t>20260630173209</t>
  </si>
  <si>
    <t>20260630180031</t>
  </si>
  <si>
    <t>20260630173751</t>
  </si>
  <si>
    <t>20260630172108</t>
  </si>
  <si>
    <t>20260630172828</t>
  </si>
  <si>
    <t>20260630175913</t>
  </si>
  <si>
    <t>北狐祭手ぬぐい</t>
  </si>
  <si>
    <t>000000001606</t>
  </si>
  <si>
    <t>SPHokkosai1200X</t>
  </si>
  <si>
    <t>20260630174546</t>
  </si>
  <si>
    <t>20260630174235</t>
  </si>
  <si>
    <t>20260630172915</t>
  </si>
  <si>
    <t>20260630171046</t>
  </si>
  <si>
    <t>20260630175439</t>
  </si>
  <si>
    <t>20260630170914</t>
  </si>
  <si>
    <t>20260630181212</t>
  </si>
  <si>
    <t>20260630173541</t>
  </si>
  <si>
    <t>20260630175239</t>
  </si>
  <si>
    <t>20260630175118</t>
  </si>
  <si>
    <t>20260630175715</t>
  </si>
  <si>
    <t>20260630173623</t>
  </si>
  <si>
    <t>20260630173000</t>
  </si>
  <si>
    <t>20260630172155</t>
  </si>
  <si>
    <t>20260630174507</t>
  </si>
  <si>
    <t>20260630171842</t>
  </si>
  <si>
    <t>20260630175833</t>
  </si>
  <si>
    <t>20260630174951</t>
  </si>
  <si>
    <t>20260630171931</t>
  </si>
  <si>
    <t>20260630180156</t>
  </si>
  <si>
    <t>20260630180656</t>
  </si>
  <si>
    <t>20260630172024</t>
  </si>
  <si>
    <t>20260630180537</t>
  </si>
  <si>
    <t>20260630180319</t>
  </si>
  <si>
    <t>20260630173419</t>
  </si>
  <si>
    <t>20260630175753</t>
  </si>
  <si>
    <t>20260630175402</t>
  </si>
  <si>
    <t>20260630174420</t>
  </si>
  <si>
    <t>ALVERSTONE II GTX</t>
  </si>
  <si>
    <t>000000001330</t>
  </si>
  <si>
    <t>H200900</t>
  </si>
  <si>
    <t>H2009000646018</t>
  </si>
  <si>
    <t>20260630173258</t>
  </si>
  <si>
    <t>20260630173124</t>
  </si>
  <si>
    <t>20260630174907</t>
  </si>
  <si>
    <t>20260630174701</t>
  </si>
  <si>
    <t>20260630170655</t>
  </si>
  <si>
    <t>20260630170959</t>
  </si>
  <si>
    <t>215945</t>
  </si>
  <si>
    <t>P186906447523008911</t>
  </si>
  <si>
    <t>杉尾隆太</t>
  </si>
  <si>
    <t>08-9625-0343</t>
  </si>
  <si>
    <t>(799-0431) 愛媛県四国中央市寒川町2674　</t>
  </si>
  <si>
    <t>0896-25-0343</t>
  </si>
  <si>
    <t>愛媛県四国中央市寒川町2674　</t>
  </si>
  <si>
    <t>799-0431</t>
  </si>
  <si>
    <t>20260630180453</t>
  </si>
  <si>
    <t>20260630175953</t>
  </si>
  <si>
    <t>Gift Wrapping (S) 小物用</t>
  </si>
  <si>
    <t>000000000585</t>
  </si>
  <si>
    <t>GIFT300</t>
  </si>
  <si>
    <t>20260630170828</t>
  </si>
  <si>
    <t>20260630175319</t>
  </si>
  <si>
    <t>20260630181136</t>
  </si>
  <si>
    <t>20260630175635</t>
  </si>
  <si>
    <t>000000001612</t>
  </si>
  <si>
    <t>Hokkosai1200X</t>
  </si>
  <si>
    <t>20260630172537</t>
  </si>
  <si>
    <t>20260630173459</t>
  </si>
  <si>
    <t>20260630170746</t>
  </si>
  <si>
    <t>20260629170700</t>
  </si>
  <si>
    <t>20260629165326</t>
  </si>
  <si>
    <t>123152</t>
  </si>
  <si>
    <t>P186902874690044043</t>
  </si>
  <si>
    <t>石村知己</t>
  </si>
  <si>
    <t>080-9404-0015</t>
  </si>
  <si>
    <t>(136-0071) 東京都江東区亀戸9ー9ー1ー406</t>
  </si>
  <si>
    <t>090-4078-0007</t>
  </si>
  <si>
    <t>東京都江東区亀戸9ー9ー1ー406</t>
  </si>
  <si>
    <t>136-0071</t>
  </si>
  <si>
    <t>20260629170037</t>
  </si>
  <si>
    <t>20260629170808</t>
  </si>
  <si>
    <t>20260629171111</t>
  </si>
  <si>
    <t>20260629165537</t>
  </si>
  <si>
    <t>20260629165909</t>
  </si>
  <si>
    <t>20260629170605</t>
  </si>
  <si>
    <t>20260629165953</t>
  </si>
  <si>
    <t>20260629170519</t>
  </si>
  <si>
    <t>20260629165708</t>
  </si>
  <si>
    <t>20260629171714</t>
  </si>
  <si>
    <t>20260629170909</t>
  </si>
  <si>
    <t>20260629165432</t>
  </si>
  <si>
    <t>20260629171633</t>
  </si>
  <si>
    <t>20260629171159</t>
  </si>
  <si>
    <t>20260629171516</t>
  </si>
  <si>
    <t>20260629171402</t>
  </si>
  <si>
    <t>20260629171326</t>
  </si>
  <si>
    <t>20260629171440</t>
  </si>
  <si>
    <t>20260629171554</t>
  </si>
  <si>
    <t>20260629171240</t>
  </si>
  <si>
    <t>20260629171748</t>
  </si>
  <si>
    <t>20260629170131</t>
  </si>
  <si>
    <t>20260629171011</t>
  </si>
  <si>
    <t>20260629170411</t>
  </si>
  <si>
    <t>20260629165625</t>
  </si>
  <si>
    <t>123737</t>
  </si>
  <si>
    <t>P186948209336569367</t>
  </si>
  <si>
    <t>松原由未子</t>
  </si>
  <si>
    <t>070-8340-6798</t>
  </si>
  <si>
    <t>(192-0066) 東京都八王子市本町31-9</t>
  </si>
  <si>
    <t>東京都八王子市本町31-9</t>
  </si>
  <si>
    <t>192-0066</t>
  </si>
  <si>
    <t>(6/30 info.) Amazon Pay 経由にて発送についてお問い合わせあり。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</si>
</sst>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0"/>
      <color theme="1"/>
      <name val="ＭＳ Ｐ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0"/>
      <color rgb="FF006100"/>
      <name val="ＭＳ Ｐゴシック"/>
      <family val="2"/>
      <charset val="128"/>
      <scheme val="minor"/>
    </font>
    <font>
      <sz val="10"/>
      <color rgb="FF9C0006"/>
      <name val="ＭＳ Ｐゴシック"/>
      <family val="2"/>
      <charset val="128"/>
      <scheme val="minor"/>
    </font>
    <font>
      <sz val="10"/>
      <color rgb="FF9C6500"/>
      <name val="ＭＳ Ｐゴシック"/>
      <family val="2"/>
      <charset val="128"/>
      <scheme val="minor"/>
    </font>
    <font>
      <sz val="10"/>
      <color rgb="FF3F3F76"/>
      <name val="ＭＳ Ｐゴシック"/>
      <family val="2"/>
      <charset val="128"/>
      <scheme val="minor"/>
    </font>
    <font>
      <b/>
      <sz val="10"/>
      <color rgb="FF3F3F3F"/>
      <name val="ＭＳ Ｐゴシック"/>
      <family val="2"/>
      <charset val="128"/>
      <scheme val="minor"/>
    </font>
    <font>
      <b/>
      <sz val="10"/>
      <color rgb="FFFA7D00"/>
      <name val="ＭＳ Ｐゴシック"/>
      <family val="2"/>
      <charset val="128"/>
      <scheme val="minor"/>
    </font>
    <font>
      <sz val="10"/>
      <color rgb="FFFA7D00"/>
      <name val="ＭＳ Ｐゴシック"/>
      <family val="2"/>
      <charset val="128"/>
      <scheme val="minor"/>
    </font>
    <font>
      <b/>
      <sz val="10"/>
      <color theme="0"/>
      <name val="ＭＳ Ｐゴシック"/>
      <family val="2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i/>
      <sz val="10"/>
      <color rgb="FF7F7F7F"/>
      <name val="ＭＳ Ｐゴシック"/>
      <family val="2"/>
      <charset val="128"/>
      <scheme val="minor"/>
    </font>
    <font>
      <b/>
      <sz val="10"/>
      <color theme="1"/>
      <name val="ＭＳ Ｐゴシック"/>
      <family val="2"/>
      <charset val="128"/>
      <scheme val="minor"/>
    </font>
    <font>
      <sz val="10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ゴシック"/>
      <family val="2"/>
      <charset val="128"/>
    </font>
    <font>
      <b/>
      <sz val="10"/>
      <color theme="1"/>
      <name val="ＭＳ Ｐゴシック"/>
      <family val="3"/>
      <charset val="128"/>
      <scheme val="minor"/>
    </font>
    <font>
      <sz val="10"/>
      <color theme="1"/>
      <name val="meiryo"/>
      <family val="2"/>
      <charset val="128"/>
    </font>
    <font>
      <b/>
      <sz val="10"/>
      <color theme="1"/>
      <name val="meiryo"/>
      <family val="3"/>
      <charset val="128"/>
    </font>
    <font>
      <sz val="6"/>
      <name val="meiryo"/>
      <family val="2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</cellStyleXfs>
  <cellXfs count="30">
    <xf numFmtId="0" fontId="0" fillId="0" borderId="0" xfId="0">
      <alignment vertical="center"/>
    </xf>
    <xf numFmtId="38" fontId="0" fillId="0" borderId="0" xfId="42" applyFon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quotePrefix="1">
      <alignment vertical="center"/>
    </xf>
    <xf numFmtId="0" fontId="4" fillId="0" borderId="0" xfId="43">
      <alignment vertical="center"/>
    </xf>
    <xf numFmtId="0" fontId="4" fillId="0" borderId="0" xfId="43" applyAlignment="1">
      <alignment horizontal="center" vertical="center"/>
    </xf>
    <xf numFmtId="0" fontId="4" fillId="34" borderId="0" xfId="43" applyFill="1" applyAlignment="1">
      <alignment horizontal="center" vertical="top" textRotation="180"/>
    </xf>
    <xf numFmtId="0" fontId="4" fillId="35" borderId="0" xfId="43" applyFill="1" applyAlignment="1">
      <alignment horizontal="center" vertical="top" textRotation="180"/>
    </xf>
    <xf numFmtId="0" fontId="4" fillId="33" borderId="0" xfId="43" applyFill="1" applyAlignment="1">
      <alignment horizontal="center" vertical="top" textRotation="180"/>
    </xf>
    <xf numFmtId="0" fontId="1" fillId="34" borderId="0" xfId="43" applyFont="1" applyFill="1" applyAlignment="1">
      <alignment horizontal="center" vertical="top" textRotation="180"/>
    </xf>
    <xf numFmtId="0" fontId="1" fillId="0" borderId="0" xfId="43" applyFont="1">
      <alignment vertical="center"/>
    </xf>
    <xf numFmtId="0" fontId="1" fillId="0" borderId="0" xfId="43" applyFont="1" applyAlignment="1">
      <alignment horizontal="center" vertical="center"/>
    </xf>
    <xf numFmtId="0" fontId="4" fillId="33" borderId="0" xfId="43" applyFill="1">
      <alignment vertical="center"/>
    </xf>
    <xf numFmtId="0" fontId="1" fillId="35" borderId="0" xfId="43" applyFont="1" applyFill="1" applyAlignment="1">
      <alignment horizontal="center" vertical="top" textRotation="180"/>
    </xf>
    <xf numFmtId="0" fontId="1" fillId="33" borderId="0" xfId="43" applyFont="1" applyFill="1" applyAlignment="1">
      <alignment horizontal="center" vertical="top" textRotation="180"/>
    </xf>
    <xf numFmtId="0" fontId="4" fillId="34" borderId="0" xfId="43" applyFill="1">
      <alignment vertical="center"/>
    </xf>
    <xf numFmtId="0" fontId="4" fillId="35" borderId="0" xfId="43" applyFill="1">
      <alignment vertical="center"/>
    </xf>
    <xf numFmtId="0" fontId="24" fillId="0" borderId="0" xfId="0" applyFont="1">
      <alignment vertical="center"/>
    </xf>
    <xf numFmtId="0" fontId="24" fillId="34" borderId="0" xfId="0" applyFont="1" applyFill="1" applyAlignment="1">
      <alignment horizontal="center" vertical="center"/>
    </xf>
    <xf numFmtId="0" fontId="25" fillId="0" borderId="0" xfId="46">
      <alignment vertical="center"/>
    </xf>
    <xf numFmtId="0" fontId="25" fillId="33" borderId="0" xfId="46" applyFill="1">
      <alignment vertical="center"/>
    </xf>
    <xf numFmtId="14" fontId="25" fillId="0" borderId="0" xfId="46" applyNumberFormat="1">
      <alignment vertical="center"/>
    </xf>
    <xf numFmtId="0" fontId="26" fillId="33" borderId="0" xfId="46" applyFont="1" applyFill="1" applyAlignment="1">
      <alignment horizontal="right" vertical="center"/>
    </xf>
    <xf numFmtId="0" fontId="26" fillId="33" borderId="0" xfId="46" applyFon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</cellXfs>
  <cellStyles count="47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4ED10349-24A6-4D38-AA13-0DAE42B48348}"/>
    <cellStyle name="標準 3" xfId="44" xr:uid="{3004747A-E9E4-49A6-97F7-863A73C2D7B1}"/>
    <cellStyle name="標準 4" xfId="45" xr:uid="{BD78495F-6128-4D2B-A2BD-1A6E2A0568DC}"/>
    <cellStyle name="標準 5" xfId="46" xr:uid="{2DD80459-AD04-4B3C-A966-AD78265E8042}"/>
    <cellStyle name="良い" xfId="6" builtinId="26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336177</xdr:colOff>
      <xdr:row>4</xdr:row>
      <xdr:rowOff>112060</xdr:rowOff>
    </xdr:from>
    <xdr:to>
      <xdr:col>6</xdr:col>
      <xdr:colOff>560295</xdr:colOff>
      <xdr:row>10</xdr:row>
      <xdr:rowOff>33618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B741FF4-397F-465D-8720-1863C82FF09B}"/>
            </a:ext>
          </a:extLst>
        </xdr:cNvPr>
        <xdr:cNvSpPr/>
      </xdr:nvSpPr>
      <xdr:spPr>
        <a:xfrm>
          <a:off x="2498912" y="739589"/>
          <a:ext cx="2857501" cy="86285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600"/>
            <a:t>営業日付別売上分析（旧）</a:t>
          </a:r>
          <a:endParaRPr kumimoji="1" lang="en-US" altLang="ja-JP" sz="1600"/>
        </a:p>
        <a:p>
          <a:pPr algn="l"/>
          <a:r>
            <a:rPr kumimoji="1" lang="en-US" altLang="ja-JP" sz="1600"/>
            <a:t>C</a:t>
          </a:r>
          <a:r>
            <a:rPr kumimoji="1" lang="ja-JP" altLang="en-US" sz="1600"/>
            <a:t>～</a:t>
          </a:r>
          <a:r>
            <a:rPr kumimoji="1" lang="en-US" altLang="ja-JP" sz="1600"/>
            <a:t>K</a:t>
          </a:r>
          <a:r>
            <a:rPr kumimoji="1" lang="ja-JP" altLang="en-US" sz="1600"/>
            <a:t> 列を貼付け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123825</xdr:rowOff>
    </xdr:from>
    <xdr:to>
      <xdr:col>9</xdr:col>
      <xdr:colOff>257175</xdr:colOff>
      <xdr:row>7</xdr:row>
      <xdr:rowOff>76200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1976FC6-C552-7A27-0F11-F45DE4333D96}"/>
            </a:ext>
          </a:extLst>
        </xdr:cNvPr>
        <xdr:cNvSpPr/>
      </xdr:nvSpPr>
      <xdr:spPr>
        <a:xfrm>
          <a:off x="828675" y="733425"/>
          <a:ext cx="3390900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ZOZO </a:t>
          </a:r>
          <a:r>
            <a:rPr kumimoji="1" lang="ja-JP" altLang="en-US" sz="1100"/>
            <a:t>売上明細 Ｋ</a:t>
          </a:r>
          <a:r>
            <a:rPr kumimoji="1" lang="en-US" altLang="ja-JP" sz="1100"/>
            <a:t>-S</a:t>
          </a:r>
          <a:r>
            <a:rPr kumimoji="1" lang="ja-JP" altLang="en-US" sz="1100"/>
            <a:t>列を貼り付け→</a:t>
          </a:r>
          <a:r>
            <a:rPr kumimoji="1" lang="en-US" altLang="ja-JP" sz="1100"/>
            <a:t>PIVOT</a:t>
          </a:r>
          <a:r>
            <a:rPr kumimoji="1" lang="ja-JP" altLang="en-US" sz="1100"/>
            <a:t>更新</a:t>
          </a:r>
        </a:p>
      </xdr:txBody>
    </xdr:sp>
    <xdr:clientData/>
  </xdr:twoCellAnchor>
  <xdr:twoCellAnchor>
    <xdr:from>
      <xdr:col>15</xdr:col>
      <xdr:colOff>257175</xdr:colOff>
      <xdr:row>4</xdr:row>
      <xdr:rowOff>95250</xdr:rowOff>
    </xdr:from>
    <xdr:to>
      <xdr:col>23</xdr:col>
      <xdr:colOff>219075</xdr:colOff>
      <xdr:row>7</xdr:row>
      <xdr:rowOff>47625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34B3A81-DB91-90C6-CDA1-5DE6E903C1D2}"/>
            </a:ext>
          </a:extLst>
        </xdr:cNvPr>
        <xdr:cNvSpPr/>
      </xdr:nvSpPr>
      <xdr:spPr>
        <a:xfrm>
          <a:off x="8629650" y="704850"/>
          <a:ext cx="3390900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OIOI </a:t>
          </a:r>
          <a:r>
            <a:rPr kumimoji="1" lang="ja-JP" altLang="en-US" sz="1100"/>
            <a:t>売上明細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Ｋ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-S</a:t>
          </a:r>
          <a:r>
            <a:rPr kumimoji="1" lang="ja-JP" altLang="en-US" sz="1100"/>
            <a:t>列を貼り付け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PIVOT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更新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4</xdr:row>
      <xdr:rowOff>0</xdr:rowOff>
    </xdr:from>
    <xdr:to>
      <xdr:col>15</xdr:col>
      <xdr:colOff>571500</xdr:colOff>
      <xdr:row>7</xdr:row>
      <xdr:rowOff>123825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94C3254-EAF2-465D-A868-E3E57621E73B}"/>
            </a:ext>
          </a:extLst>
        </xdr:cNvPr>
        <xdr:cNvSpPr/>
      </xdr:nvSpPr>
      <xdr:spPr>
        <a:xfrm>
          <a:off x="5743575" y="838200"/>
          <a:ext cx="6448425" cy="752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前週月曜～日曜で日付指定し、注文一覧をＤＬ</a:t>
          </a:r>
          <a:endParaRPr kumimoji="1" lang="en-US" altLang="ja-JP" sz="1100"/>
        </a:p>
        <a:p>
          <a:pPr algn="l"/>
          <a:r>
            <a:rPr kumimoji="1" lang="ja-JP" altLang="en-US" sz="1100"/>
            <a:t>→Ｄ列：「キャンセル」行を削除　</a:t>
          </a:r>
          <a:r>
            <a:rPr kumimoji="1" lang="en-US" altLang="ja-JP" sz="1100"/>
            <a:t>E</a:t>
          </a:r>
          <a:r>
            <a:rPr kumimoji="1" lang="ja-JP" altLang="en-US" sz="1100"/>
            <a:t>列：</a:t>
          </a:r>
          <a:r>
            <a:rPr kumimoji="1" lang="en-US" altLang="ja-JP" sz="1100"/>
            <a:t>【</a:t>
          </a:r>
          <a:r>
            <a:rPr kumimoji="1" lang="ja-JP" altLang="en-US" sz="1100"/>
            <a:t>店舗客注</a:t>
          </a:r>
          <a:r>
            <a:rPr kumimoji="1" lang="en-US" altLang="ja-JP" sz="1100"/>
            <a:t>】</a:t>
          </a:r>
          <a:r>
            <a:rPr kumimoji="1" lang="ja-JP" altLang="en-US" sz="1100"/>
            <a:t>も行で削除</a:t>
          </a:r>
          <a:endParaRPr kumimoji="1" lang="en-US" altLang="ja-JP" sz="1100"/>
        </a:p>
        <a:p>
          <a:pPr algn="l"/>
          <a:r>
            <a:rPr kumimoji="1" lang="en-US" altLang="ja-JP" sz="1100"/>
            <a:t>PIVOT</a:t>
          </a:r>
          <a:r>
            <a:rPr kumimoji="1" lang="ja-JP" altLang="en-US" sz="1100"/>
            <a:t>シート更新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uzuki" refreshedDate="46204.591114814815" createdVersion="8" refreshedVersion="8" minRefreshableVersion="3" recordCount="860" xr:uid="{8A3F69FE-F9A5-4B05-AEE9-141D42AB41AD}">
  <cacheSource type="worksheet">
    <worksheetSource ref="B1:J861" sheet="営業日付別売上分析 貼り付け"/>
  </cacheSource>
  <cacheFields count="9">
    <cacheField name="3rd Item No." numFmtId="0">
      <sharedItems containsMixedTypes="1" containsNumber="1" containsInteger="1" minValue="8118803046" maxValue="1220020755048" count="444">
        <s v="77292633S/M"/>
        <s v="23225550X"/>
        <s v="77357520L/XL"/>
        <s v="23225424X"/>
        <s v="23226424X"/>
        <s v="79030X"/>
        <s v="23510126X"/>
        <s v="23561126X"/>
        <s v="23561457X"/>
        <s v="23524560X"/>
        <s v="23803560X"/>
        <s v="24215560X"/>
        <s v="23349577X"/>
        <s v="24213030X"/>
        <s v="25862664X"/>
        <s v="23200330620X"/>
        <s v="23226623X"/>
        <s v="86984550S"/>
        <s v="23785620X"/>
        <s v="23510664X"/>
        <s v="23165550X"/>
        <s v="23565633X"/>
        <s v="23222620X"/>
        <s v="23802424X"/>
        <s v="23796600X"/>
        <s v="23227550X"/>
        <s v="77357570-050L/XL"/>
        <s v="25863550X"/>
        <s v="25863560X"/>
        <s v="23510021-312X"/>
        <s v="23510501X"/>
        <s v="23346550X"/>
        <s v="23346577X"/>
        <s v="23785299X"/>
        <s v="23200300354-228X"/>
        <s v="23222016X"/>
        <s v="23803633X"/>
        <s v="23525160X"/>
        <s v="23510501-115X"/>
        <s v="23710312X"/>
        <s v="79060X"/>
        <s v="23796560X"/>
        <s v="23505160X"/>
        <s v="23510424X"/>
        <s v="23621550-907X"/>
        <s v="23561312X"/>
        <s v="24213633X"/>
        <s v="24216633X"/>
        <s v="86977543S"/>
        <s v="87153452S"/>
        <s v="23227543X"/>
        <s v="23200307550X"/>
        <s v="23565577X"/>
        <s v="23223550X"/>
        <s v="87310550L"/>
        <s v="23200340037X"/>
        <s v="23200408570-260X"/>
        <s v="23227221X"/>
        <s v="23200303037X"/>
        <s v="23346050X"/>
        <s v="24221679X"/>
        <s v="87313534M"/>
        <s v="23561221X"/>
        <s v="23510560X"/>
        <s v="23200335577X"/>
        <s v="23349550X"/>
        <s v="23510457X"/>
        <s v="23510312X"/>
        <s v="79258195M"/>
        <s v="23565550X"/>
        <s v="23791525X"/>
        <s v="23803577X"/>
        <s v="23797424X"/>
        <s v="23200331560X"/>
        <s v="23156550X"/>
        <s v="23200339620-221X"/>
        <s v="77357232S/M"/>
        <n v="8118811848"/>
        <s v="23797664-319X"/>
        <s v="23345560X"/>
        <s v="23510302X"/>
        <s v="24221633X"/>
        <s v="23227614X"/>
        <s v="23349662X"/>
        <s v="23200395550X"/>
        <s v="23227452X"/>
        <s v="23797664X"/>
        <s v="23505550X"/>
        <s v="23620550-907X"/>
        <s v="12600219625S"/>
        <s v="23227424X"/>
        <s v="23200337550X"/>
        <s v="23226550X"/>
        <s v="13100182452L/XL"/>
        <s v="77357622S/M"/>
        <s v="23200359577-986X"/>
        <s v="23524031X"/>
        <s v="13100182118S/M"/>
        <s v="23524424X"/>
        <s v="23804550X"/>
        <s v="23320633X"/>
        <s v="23344228X"/>
        <s v="23523550X"/>
        <s v="23200337171X"/>
        <s v="23795550X"/>
        <s v="27222614X"/>
        <s v="23561228X"/>
        <s v="23200338354-228X"/>
        <s v="23200284238X"/>
        <s v="23565560X"/>
        <s v="23225623X"/>
        <s v="77277300L"/>
        <s v="77357030S/M"/>
        <s v="8710155038/S"/>
        <s v="23525424X"/>
        <s v="23623302-907X"/>
        <s v="13100239514S/M"/>
        <s v="23797501X"/>
        <s v="23200335300X"/>
        <s v="23780664X"/>
        <s v="23797115X"/>
        <s v="23344550-550X"/>
        <s v="23510228X"/>
        <s v="23523031X"/>
        <s v="23226221X"/>
        <s v="77273244L"/>
        <s v="23227623X"/>
        <s v="23796664X"/>
        <s v="23561501-115X"/>
        <s v="23797560X"/>
        <s v="23524664X"/>
        <s v="23505326X"/>
        <s v="23510326X"/>
        <s v="23524501X"/>
        <s v="77357300L/XL"/>
        <s v="86984550M"/>
        <s v="23561620X"/>
        <s v="24215030X"/>
        <s v="24215633X"/>
        <s v="23200339354-228X"/>
        <s v="23200251664X"/>
        <s v="23227016X"/>
        <s v="13100181232L/XL"/>
        <s v="23347550X"/>
        <s v="13100181030L/XL"/>
        <s v="23510221X"/>
        <s v="23226560X"/>
        <s v="77357520S/M"/>
        <s v="12600215543S"/>
        <s v="87146514M"/>
        <s v="23797302X"/>
        <s v="23797600X"/>
        <s v="23166550X"/>
        <s v="79258244L"/>
        <s v="23797021X"/>
        <s v="23100177550X"/>
        <s v="78150620L/XL"/>
        <s v="23200338037X"/>
        <s v="81511560L"/>
        <s v="23510031X"/>
        <s v="84783195-622L/XL"/>
        <s v="84783195-622S/M"/>
        <s v="22005620S/M"/>
        <s v="23510118X"/>
        <s v="23347300X"/>
        <s v="23347577X"/>
        <s v="23510540X"/>
        <s v="23796021X"/>
        <s v="79258244XL"/>
        <s v="23222543X"/>
        <s v="77357570-050S/M"/>
        <s v="24221550X"/>
        <s v="23100160620X"/>
        <s v="23785560X"/>
        <s v="12500170118L"/>
        <n v="8689203052"/>
        <s v="87146514S"/>
        <s v="87153300XS"/>
        <s v="23200334031-424X"/>
        <s v="23561457-916X"/>
        <s v="23510021X"/>
        <s v="23785334X"/>
        <s v="23200339037X"/>
        <s v="23200395118X"/>
        <s v="23622907X"/>
        <s v="23200331221X"/>
        <s v="23561031X"/>
        <s v="23200395664X"/>
        <s v="23797299X"/>
        <s v="23200301037X"/>
        <s v="23510457-916X"/>
        <s v="23200248000X"/>
        <s v="23345633X"/>
        <s v="13100236555X"/>
        <s v="12600268113L"/>
        <s v="23797160X"/>
        <s v="23524550X"/>
        <s v="78150555S/M"/>
        <s v="23226620X"/>
        <s v="23510550X"/>
        <s v="23200251560X"/>
        <s v="77279550L"/>
        <s v="79258030L"/>
        <s v="14600270111S"/>
        <s v="14600270637XS"/>
        <s v="23510160X"/>
        <s v="23223620X"/>
        <s v="81280118S"/>
        <s v="23344357X"/>
        <s v="86984550L"/>
        <s v="23710326X"/>
        <s v="23301171X"/>
        <s v="23200356577-986X"/>
        <s v="83502620M"/>
        <n v="8689211852"/>
        <n v="8689262552"/>
        <s v="77277555M"/>
        <s v="13100267570L/XL"/>
        <s v="23524457X"/>
        <s v="14600167560S"/>
        <s v="82606550S"/>
        <s v="84118550-048XS"/>
        <s v="89849133XS"/>
        <s v="79104X"/>
        <s v="8717655050/R"/>
        <n v="8689211848"/>
        <s v="12600216113L"/>
        <s v="77407626L/XL"/>
        <s v="27248326X"/>
        <s v="23223560X"/>
        <s v="23710560X"/>
        <s v="25862312X"/>
        <s v="13100181550S/M"/>
        <s v="23200247550X"/>
        <s v="14600188113M"/>
        <n v="8689211846"/>
        <s v="87039300S"/>
        <s v="8717863346/R"/>
        <s v="23200330560X"/>
        <s v="13100237625S/M"/>
        <s v="14600188113XS"/>
        <s v="23200303620X"/>
        <s v="25857525X"/>
        <s v="23345679X"/>
        <s v="24221228X"/>
        <s v="8641163346/R"/>
        <s v="8686862546/R"/>
        <s v="77357232L/XL"/>
        <s v="77357662L/XL"/>
        <s v="13100213030S/M"/>
        <n v="1220020755048"/>
        <s v="12600249625M"/>
        <s v="12600320620S"/>
        <s v="12600328111S"/>
        <n v="8475619150"/>
        <s v="23100160037X"/>
        <s v="23525457X"/>
        <s v="27247638X"/>
        <s v="13100211111S"/>
        <s v="13600016113S"/>
        <s v="14200222118S"/>
        <s v="87030620XS"/>
        <s v="81280118L"/>
        <s v="13100240625L/XL"/>
        <s v="23797620X"/>
        <s v="23797457X"/>
        <s v="23561021-312X"/>
        <s v="87039620M"/>
        <s v="77410550X"/>
        <s v="8641163348/R"/>
        <s v="13100181030S/M"/>
        <s v="23525620X"/>
        <s v="23796424X"/>
        <s v="23200337300X"/>
        <s v="12600249555S"/>
        <s v="14300010550S"/>
        <s v="83242633S"/>
        <s v="24220633X"/>
        <s v="23344050X"/>
        <s v="23345550-550X"/>
        <s v="23561326X"/>
        <s v="23561540X"/>
        <s v="23110525X"/>
        <s v="79061X"/>
        <s v="24245633X"/>
        <s v="81838633S"/>
        <s v="87310550S"/>
        <s v="12600328111L"/>
        <n v="8175203050"/>
        <s v="24218560X"/>
        <s v="79258195L"/>
        <s v="81900662M"/>
        <s v="8686855052/R"/>
        <s v="23797312X"/>
        <s v="84782555X"/>
        <s v="87176662-62548/R"/>
        <s v="23200353221X"/>
        <s v="84766030M"/>
        <s v="23223424X"/>
        <s v="24218633X"/>
        <s v="87039113S"/>
        <s v="23200395457X"/>
        <s v="23796118X"/>
        <s v="87310113M"/>
        <s v="23510600X"/>
        <s v="23561560X"/>
        <s v="23561046X"/>
        <s v="81511560M"/>
        <s v="23222424X"/>
        <s v="77277118L"/>
        <s v="77277118M"/>
        <s v="77355633X"/>
        <s v="79339030L"/>
        <s v="77316633X"/>
        <s v="23200307221X"/>
        <s v="23561501X"/>
        <s v="23561600X"/>
        <s v="12500171577S"/>
        <s v="87208195S"/>
        <s v="87142550M"/>
        <s v="89828614S"/>
        <s v="23324633X"/>
        <s v="23513907X"/>
        <s v="13100213118S/M"/>
        <s v="23505228X"/>
        <s v="23154662X"/>
        <s v="23785664X"/>
        <s v="23505021X"/>
        <s v="87153300S"/>
        <s v="23323633X"/>
        <s v="77357300S/M"/>
        <s v="84108357S"/>
        <s v="12600216244S"/>
        <s v="13100213300S/M"/>
        <s v="53503525X"/>
        <s v="23561550X"/>
        <s v="12600216113M"/>
        <s v="23100176X"/>
        <s v="23505664X"/>
        <s v="23525550X"/>
        <s v="23710662X"/>
        <s v="23156042X"/>
        <s v="13100237550S/M"/>
        <s v="23226452X"/>
        <s v="23344560X"/>
        <s v="12600232113M"/>
        <s v="23785326X"/>
        <s v="77297555X"/>
        <n v="8118811844"/>
        <s v="23505560X"/>
        <s v="12600194118M"/>
        <s v="12600328111M"/>
        <s v="23225221X"/>
        <s v="12100004113L/XL"/>
        <s v="12600216244M"/>
        <s v="89234550M"/>
        <s v="89849133S"/>
        <s v="23797118X"/>
        <s v="23510620X"/>
        <s v="23623550-907X"/>
        <s v="84783300-118S/M"/>
        <s v="87146133M"/>
        <s v="23710160X"/>
        <s v="23796620X"/>
        <s v="23200338662X"/>
        <s v="23785141X"/>
        <s v="23225620X"/>
        <s v="12600216113S"/>
        <s v="13100181555S/M"/>
        <s v="77029030X"/>
        <s v="14600200570M"/>
        <s v="12600194030L"/>
        <s v="23200341037X"/>
        <s v="23793021X"/>
        <s v="23523501X"/>
        <s v="23523424X"/>
        <s v="77277555L"/>
        <s v="78138550S/M"/>
        <s v="78138662S/M"/>
        <s v="23525664X"/>
        <s v="23345357X"/>
        <n v="1220019755048"/>
        <s v="1420014155036/S"/>
        <s v="23200306550X"/>
        <s v="23510576X"/>
        <s v="23780160X"/>
        <s v="23796031X"/>
        <s v="12600257020-999M"/>
        <s v="81698118L"/>
        <n v="8118862546"/>
        <s v="12600268113S"/>
        <s v="12600268244S"/>
        <s v="24221560X"/>
        <s v="23344633X"/>
        <s v="23200254614X"/>
        <s v="23321633X"/>
        <s v="77404550X"/>
        <s v="8717855050/R"/>
        <s v="87310113L"/>
        <s v="24221046X"/>
        <s v="23222560X"/>
        <s v="24218030X"/>
        <s v="23793501X"/>
        <s v="77406550L/XL"/>
        <s v="23200358302-986X"/>
        <s v="23798030X"/>
        <s v="78151625L/XL"/>
        <s v="24215228X"/>
        <s v="77391300S/M"/>
        <s v="23524326X"/>
        <s v="81511195L"/>
        <n v="8118803046"/>
        <s v="77297633X"/>
        <s v="23200337662X"/>
        <s v="81841633S"/>
        <s v="12500171550S"/>
        <s v="87146357XS"/>
        <s v="23200251620X"/>
        <s v="23803118X"/>
        <s v="87039113L"/>
        <s v="23524046X"/>
        <s v="77357030L/XL"/>
        <s v="23200339662X"/>
        <s v="79258633XL"/>
        <s v="23200334228-135X"/>
        <s v="77352633X"/>
        <s v="23223207X"/>
        <s v="23510046X"/>
        <s v="12100004550L/XL"/>
        <s v="12600268113M"/>
        <s v="87310550M"/>
        <s v="23346662X"/>
        <s v="23225543X"/>
        <s v="24221030X"/>
        <s v="23222221X"/>
        <s v="23200300037X"/>
        <s v="77357633S/M"/>
        <s v="87310633M"/>
        <s v="27240638X"/>
        <s v="23200338620-221X"/>
        <s v="77277625M"/>
        <s v="12600268244L"/>
        <s v="23796221X"/>
        <s v="23565238X"/>
      </sharedItems>
    </cacheField>
    <cacheField name="表記部門名1" numFmtId="0">
      <sharedItems/>
    </cacheField>
    <cacheField name="StyleNo" numFmtId="0">
      <sharedItems containsSemiMixedTypes="0" containsString="0" containsNumber="1" containsInteger="1" minValue="22005" maxValue="23200408"/>
    </cacheField>
    <cacheField name="商品名" numFmtId="0">
      <sharedItems/>
    </cacheField>
    <cacheField name="ColorNo" numFmtId="0">
      <sharedItems containsBlank="1" containsMixedTypes="1" containsNumber="1" containsInteger="1" minValue="0" maxValue="907"/>
    </cacheField>
    <cacheField name="ColorName" numFmtId="0">
      <sharedItems containsBlank="1"/>
    </cacheField>
    <cacheField name="Size" numFmtId="0">
      <sharedItems containsMixedTypes="1" containsNumber="1" containsInteger="1" minValue="44" maxValue="52"/>
    </cacheField>
    <cacheField name="数量" numFmtId="0">
      <sharedItems containsSemiMixedTypes="0" containsString="0" containsNumber="1" containsInteger="1" minValue="-1" maxValue="2"/>
    </cacheField>
    <cacheField name="店舗" numFmtId="0">
      <sharedItems count="9">
        <s v="04 名古屋"/>
        <s v="15 大丸心斎橋"/>
        <s v="10 ヒュッテ"/>
        <s v="20 NARITA"/>
        <s v="17 玉川高島屋"/>
        <s v="08 ルクア大阪"/>
        <s v="16 6142"/>
        <s v="13 京王新宿"/>
        <s v="07 TOKY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uzuki" refreshedDate="46204.593595023151" createdVersion="8" refreshedVersion="8" minRefreshableVersion="3" recordCount="60" xr:uid="{6D5055C6-A09F-4464-93CF-D0738ADDAC96}">
  <cacheSource type="worksheet">
    <worksheetSource ref="B1:J1048576" sheet="ZOZOOIOI"/>
  </cacheSource>
  <cacheFields count="9">
    <cacheField name="商品コード" numFmtId="0">
      <sharedItems containsBlank="1" count="126">
        <s v="23561501-115X"/>
        <s v="23510457X"/>
        <s v="23561021-312X"/>
        <s v="23561326X"/>
        <s v="23223543X"/>
        <s v="23349662X"/>
        <s v="23200330016X"/>
        <s v="23223623X"/>
        <s v="23524031X"/>
        <s v="23344550-550X"/>
        <s v="23804550X"/>
        <s v="TNT026164L"/>
        <s v="23510160X"/>
        <s v="23510664X"/>
        <s v="23344550X"/>
        <s v="23200330620X"/>
        <s v="23200251160X"/>
        <s v="23561600X"/>
        <s v="23510021X"/>
        <s v="23510501X"/>
        <s v="23561457-916X"/>
        <s v="23710031X"/>
        <s v="23796664X"/>
        <s v="23796221X"/>
        <s v="23346050X"/>
        <s v="23561501X"/>
        <s v="23561312X"/>
        <s v="23797031X"/>
        <s v="23796031X"/>
        <s v="23561457X"/>
        <s v="23620550-907X"/>
        <s v="23796118X"/>
        <s v="23524160X"/>
        <s v="23510540X"/>
        <s v="23510560X"/>
        <s v="23510312X"/>
        <s v="23510600X"/>
        <s v="24213030X"/>
        <s v="23796457X"/>
        <s v="23796560X"/>
        <s v="23345550-550X"/>
        <s v="23345357X"/>
        <m/>
        <s v="23510550X" u="1"/>
        <s v="23797457X" u="1"/>
        <s v="TNT026111L" u="1"/>
        <s v="23510021-312X" u="1"/>
        <s v="23510046X" u="1"/>
        <s v="23802664X" u="1"/>
        <s v="23510031X" u="1"/>
        <s v="23796312X" u="1"/>
        <s v="23200284238X" u="1"/>
        <s v="23510501-115X" u="1"/>
        <s v="23525046X" u="1"/>
        <s v="23227550X" u="1"/>
        <s v="23349550X" u="1"/>
        <s v="23510424X" u="1"/>
        <s v="23796550X" u="1"/>
        <s v="23510126X" u="1"/>
        <s v="23510228X" u="1"/>
        <s v="24216633X" u="1"/>
        <s v="23780550X" u="1"/>
        <s v="23780664X" u="1"/>
        <s v="23799550X" u="1"/>
        <s v="23510118X" u="1"/>
        <s v="23510620X" u="1"/>
        <s v="23561031X" u="1"/>
        <s v="23561221X" u="1"/>
        <s v="23797424X" u="1"/>
        <s v="23622907X" u="1"/>
        <s v="23505021X" u="1"/>
        <s v="23223424X" u="1"/>
        <s v="24221550X" u="1"/>
        <s v="23796424X" u="1"/>
        <s v="23800550X" u="1"/>
        <s v="23226550X" u="1"/>
        <s v="23510221X" u="1"/>
        <s v="23561021X" u="1"/>
        <s v="23565633X" u="1"/>
        <s v="79030X" u="1"/>
        <s v="23795525X" u="1"/>
        <s v="23505550X" u="1"/>
        <s v="24221560X" u="1"/>
        <s v="79258195M" u="1"/>
        <s v="23796160X" u="1"/>
        <s v="23508326X" u="1"/>
        <s v="23510326X" u="1"/>
        <s v="23796600X" u="1"/>
        <s v="23523550X" u="1"/>
        <s v="23803238X" u="1"/>
        <s v="23561560X" u="1"/>
        <s v="23505326X" u="1"/>
        <s v="23524457X" u="1"/>
        <s v="23796115X" u="1"/>
        <s v="23223560X" u="1"/>
        <s v="23525550X" u="1"/>
        <s v="24221228X" u="1"/>
        <s v="23223550X" u="1"/>
        <s v="23223614X" u="1"/>
        <s v="23561540X" u="1"/>
        <s v="23507312X" u="1"/>
        <s v="23346550X" u="1"/>
        <s v="23227016X" u="1"/>
        <s v="23797021X" u="1"/>
        <s v="23505664X" u="1"/>
        <s v="23561424X" u="1"/>
        <s v="23561550X" u="1"/>
        <s v="23623550-907X" u="1"/>
        <s v="23802160X" u="1"/>
        <s v="23321633X" u="1"/>
        <s v="23797118X" u="1"/>
        <s v="23797501X" u="1"/>
        <s v="23505160X" u="1"/>
        <s v="23323633X" u="1"/>
        <s v="23796021X" u="1"/>
        <s v="23223221X" u="1"/>
        <s v="23226623X" u="1"/>
        <s v="23200303037X" u="1"/>
        <s v="23506501X" u="1"/>
        <s v="23507501X" u="1"/>
        <s v="23225424X" u="1"/>
        <s v="23797560X" u="1"/>
        <s v="23227623X" u="1"/>
        <s v="23227614X" u="1"/>
        <s v="23505560X" u="1"/>
        <s v="23226333X" u="1"/>
      </sharedItems>
    </cacheField>
    <cacheField name="ブランド名" numFmtId="0">
      <sharedItems containsBlank="1"/>
    </cacheField>
    <cacheField name="StyleNo" numFmtId="0">
      <sharedItems containsBlank="1" containsMixedTypes="1" containsNumber="1" containsInteger="1" minValue="23223" maxValue="23200330"/>
    </cacheField>
    <cacheField name="商品名" numFmtId="0">
      <sharedItems containsBlank="1"/>
    </cacheField>
    <cacheField name="ColorNo" numFmtId="0">
      <sharedItems containsBlank="1" containsMixedTypes="1" containsNumber="1" containsInteger="1" minValue="16" maxValue="664"/>
    </cacheField>
    <cacheField name="ColorName" numFmtId="0">
      <sharedItems containsBlank="1"/>
    </cacheField>
    <cacheField name="Size" numFmtId="0">
      <sharedItems containsBlank="1"/>
    </cacheField>
    <cacheField name="標準単価" numFmtId="0">
      <sharedItems containsString="0" containsBlank="1" containsNumber="1" containsInteger="1" minValue="4300" maxValue="26000"/>
    </cacheField>
    <cacheField name="販売数量" numFmtId="0">
      <sharedItems containsString="0" containsBlank="1" containsNumber="1" containsInteger="1" minValue="-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uzuki" refreshedDate="46204.594229745373" createdVersion="8" refreshedVersion="8" minRefreshableVersion="3" recordCount="60" xr:uid="{224B4697-E34D-4DF7-8558-A90140E0996B}">
  <cacheSource type="worksheet">
    <worksheetSource ref="P1:X1048576" sheet="ZOZOOIOI"/>
  </cacheSource>
  <cacheFields count="9">
    <cacheField name="商品コード" numFmtId="0">
      <sharedItems containsBlank="1" count="79">
        <s v="23510501X"/>
        <s v="23505560X"/>
        <s v="23346662X"/>
        <s v="23525160X"/>
        <s v="23510126X"/>
        <s v="23510312X"/>
        <s v="23561046X"/>
        <s v="23510664X"/>
        <s v="23781550X"/>
        <s v="23165550X"/>
        <s v="79030X"/>
        <s v="23510540X"/>
        <s v="23510501-115X"/>
        <s v="23565238X"/>
        <s v="23200251021X"/>
        <s v="23510424X"/>
        <s v="23349662X"/>
        <s v="23349550X"/>
        <s v="23510021X"/>
        <s v="23565633X"/>
        <s v="23345550X"/>
        <s v="23223207X"/>
        <s v="23508560X"/>
        <s v="23322633X"/>
        <s v="23510550X"/>
        <s v="23346550X"/>
        <s v="23226333X"/>
        <s v="23796424X"/>
        <m/>
        <s v="23524326X" u="1"/>
        <s v="23525424X" u="1"/>
        <s v="23200334228-135X" u="1"/>
        <s v="23510457X" u="1"/>
        <s v="23200334046-620X" u="1"/>
        <s v="23344550-550X" u="1"/>
        <s v="23510021-312X" u="1"/>
        <s v="23523160X" u="1"/>
        <s v="23510046X" u="1"/>
        <s v="23510326X" u="1"/>
        <s v="23346577X" u="1"/>
        <s v="23223623X" u="1"/>
        <s v="23506664X" u="1"/>
        <s v="23345357X" u="1"/>
        <s v="23524046X" u="1"/>
        <s v="23226016X" u="1"/>
        <s v="23226614X" u="1"/>
        <s v="23622907X" u="1"/>
        <s v="23345050X" u="1"/>
        <s v="23524424X" u="1"/>
        <s v="23222543X" u="1"/>
        <s v="23222118X" u="1"/>
        <s v="23344050X" u="1"/>
        <s v="23223424X" u="1"/>
        <s v="23345228X" u="1"/>
        <s v="23797576X" u="1"/>
        <s v="23200303037X" u="1"/>
        <s v="23200284238X" u="1"/>
        <s v="23506160X" u="1"/>
        <s v="23510302X" u="1"/>
        <s v="23804550X" u="1"/>
        <s v="25862312X" u="1"/>
        <s v="23508326X" u="1"/>
        <s v="23793550X" u="1"/>
        <s v="23510160X" u="1"/>
        <s v="23799550X" u="1"/>
        <s v="23225424X" u="1"/>
        <s v="23505160X" u="1"/>
        <s v="23510600X" u="1"/>
        <s v="23525550X" u="1"/>
        <s v="23561312X" u="1"/>
        <s v="23525457X" u="1"/>
        <s v="23561424X" u="1"/>
        <s v="23226620X" u="1"/>
        <s v="23345550-550X" u="1"/>
        <s v="23796118X" u="1"/>
        <s v="24218633X" u="1"/>
        <s v="23561550X" u="1"/>
        <s v="23225623X" u="1"/>
        <s v="23507550X" u="1"/>
      </sharedItems>
    </cacheField>
    <cacheField name="ブランド名" numFmtId="0">
      <sharedItems containsBlank="1"/>
    </cacheField>
    <cacheField name="StyleNo" numFmtId="0">
      <sharedItems containsString="0" containsBlank="1" containsNumber="1" containsInteger="1" minValue="23165" maxValue="23200251"/>
    </cacheField>
    <cacheField name="商品名" numFmtId="0">
      <sharedItems containsBlank="1"/>
    </cacheField>
    <cacheField name="ColorNo" numFmtId="0">
      <sharedItems containsBlank="1" containsMixedTypes="1" containsNumber="1" containsInteger="1" minValue="21" maxValue="664"/>
    </cacheField>
    <cacheField name="ColorName" numFmtId="0">
      <sharedItems containsBlank="1"/>
    </cacheField>
    <cacheField name="Size" numFmtId="0">
      <sharedItems containsBlank="1"/>
    </cacheField>
    <cacheField name="標準単価" numFmtId="0">
      <sharedItems containsString="0" containsBlank="1" containsNumber="1" containsInteger="1" minValue="850" maxValue="42000"/>
    </cacheField>
    <cacheField name="販売数量" numFmtId="0">
      <sharedItems containsString="0" containsBlank="1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uzuki" refreshedDate="46204.600720023147" createdVersion="8" refreshedVersion="8" minRefreshableVersion="3" recordCount="278" xr:uid="{3B9CD92E-312E-4BA0-91E3-0E80098221DD}">
  <cacheSource type="worksheet">
    <worksheetSource ref="O1:T1048576" sheet="EC_ORDER"/>
  </cacheSource>
  <cacheFields count="6">
    <cacheField name="個数" numFmtId="0">
      <sharedItems containsString="0" containsBlank="1" containsNumber="1" containsInteger="1" minValue="1" maxValue="3"/>
    </cacheField>
    <cacheField name="商品価格" numFmtId="0">
      <sharedItems containsString="0" containsBlank="1" containsNumber="1" containsInteger="1" minValue="330" maxValue="70400"/>
    </cacheField>
    <cacheField name="ポイント" numFmtId="0">
      <sharedItems containsString="0" containsBlank="1" containsNumber="1" containsInteger="1" minValue="5" maxValue="7040"/>
    </cacheField>
    <cacheField name="商品コード" numFmtId="0">
      <sharedItems containsBlank="1"/>
    </cacheField>
    <cacheField name="独自商品コード" numFmtId="0">
      <sharedItems containsBlank="1"/>
    </cacheField>
    <cacheField name="オプション独自コード" numFmtId="0">
      <sharedItems containsBlank="1" containsMixedTypes="1" containsNumber="1" containsInteger="1" minValue="8475619144" maxValue="8717963346" count="164">
        <s v="23524046X"/>
        <s v="86977550M"/>
        <s v="12600268244M"/>
        <s v="23510664X"/>
        <s v="23710550X"/>
        <s v="23225424X"/>
        <s v="23510560X"/>
        <s v="77316633X"/>
        <s v="79339030M"/>
        <s v="86706662-62538/S"/>
        <s v="23510501X"/>
        <s v="25861525X"/>
        <s v="23510302X"/>
        <s v="79061X"/>
        <s v="82606232-620M"/>
        <s v="GIFT500"/>
        <s v="23510031X"/>
        <s v="23524560X"/>
        <s v="23510424X"/>
        <s v="23510550X"/>
        <s v="23796115X"/>
        <s v="GIFT400"/>
        <s v="23561620X"/>
        <s v="23200300354-228X"/>
        <n v="8710503036"/>
        <s v="23796312X"/>
        <s v="23508021X"/>
        <s v="23200251021X"/>
        <s v="23510457X"/>
        <s v="23796550X"/>
        <s v="23510620X"/>
        <s v="23796560X"/>
        <s v="23796620X"/>
        <s v="23524326X"/>
        <s v="12600216555L"/>
        <s v="23510457-916X"/>
        <s v="23711350X"/>
        <s v="24221030X"/>
        <s v="23710501X"/>
        <s v="23154042X"/>
        <s v="14600167560XS"/>
        <s v="77404550X"/>
        <s v="77363550X"/>
        <s v="25863550X"/>
        <s v="25862550X"/>
        <s v="23785550X"/>
        <s v="77308550X"/>
        <s v="24213030X"/>
        <s v="24214633X"/>
        <s v="23200247312X"/>
        <s v="23525501X"/>
        <s v="23510118X"/>
        <s v="23505550X"/>
        <s v="23507550X"/>
        <s v="25862664X"/>
        <s v="23565560X"/>
        <s v="13100179633X"/>
        <s v="23510540X"/>
        <s v="23227452X"/>
        <s v="79030X"/>
        <s v="23227543X"/>
        <s v="23200302525-620X"/>
        <s v="23200338662X"/>
        <s v="23345050X"/>
        <s v="84108614S"/>
        <s v="12100003662L/XL"/>
        <s v="23524457X"/>
        <s v="23785199X"/>
        <s v="23346550X"/>
        <s v="23524550X"/>
        <s v="23510160X"/>
        <s v="23510046X"/>
        <s v="23561501X"/>
        <s v="23561302X"/>
        <s v="23200303037X"/>
        <s v="23797576X"/>
        <s v="23510600X"/>
        <s v="27240550X"/>
        <s v="SPHokkosai1200X"/>
        <s v="23200338620-221X"/>
        <s v="23200341037X"/>
        <s v="23796424X"/>
        <s v="12500157550L"/>
        <s v="23510312X"/>
        <s v="86411550-55050/R"/>
        <s v="81679118M"/>
        <s v="23561457X"/>
        <s v="87098196M"/>
        <s v="12600215302L"/>
        <s v="77292550S/M"/>
        <s v="23797620X"/>
        <s v="23561021-312X"/>
        <s v="23200279633X"/>
        <s v="23200359577-986X"/>
        <s v="23505326X"/>
        <s v="27248638X"/>
        <s v="23100177161X"/>
        <s v="23785664X"/>
        <s v="87146357M"/>
        <s v="23200337300X"/>
        <s v="87142302S"/>
        <s v="83516118S"/>
        <s v="87313625S"/>
        <s v="87310674L"/>
        <s v="H2009000646018"/>
        <s v="24221633X"/>
        <s v="13600016550L"/>
        <s v="23349577X"/>
        <s v="23796600X"/>
        <s v="80637633S"/>
        <s v="GIFT300"/>
        <s v="89849534S"/>
        <s v="24213228X"/>
        <s v="8686855046/S"/>
        <s v="Hokkosai1200X"/>
        <s v="12600317555S"/>
        <s v="23505228X"/>
        <s v="23510228X"/>
        <s v="23800550X"/>
        <s v="14500170118M"/>
        <s v="87146133S"/>
        <s v="87153113S"/>
        <s v="89849133XS"/>
        <s v="14600215302XS"/>
        <s v="14600265452XS"/>
        <s v="87053555L"/>
        <s v="8477563336/S"/>
        <s v="87146243XS"/>
        <s v="87153300XS"/>
        <s v="23227550X"/>
        <s v="8641163348/R"/>
        <s v="23200248000X"/>
        <s v="23323633X"/>
        <s v="23324633X"/>
        <s v="23505664X"/>
        <s v="23510501-115X"/>
        <s v="23510126X"/>
        <s v="13100193570L/XL"/>
        <s v="81838633M"/>
        <s v="23561501-115X"/>
        <s v="23561221X"/>
        <s v="77279633M"/>
        <s v="23525550X"/>
        <s v="23200408570-260X"/>
        <s v="23223452X"/>
        <s v="23561312X"/>
        <s v="23513907X"/>
        <s v="87039195L"/>
        <s v="23523243X"/>
        <s v="23346577X"/>
        <s v="79258244L"/>
        <s v="77403614X"/>
        <s v="87039113M"/>
        <s v="23226550X"/>
        <s v="23804550X"/>
        <s v="23200303620X"/>
        <s v="23200282620X"/>
        <s v="23525031X"/>
        <s v="86999113-118M"/>
        <s v="90222626-66244"/>
        <m/>
        <n v="8717963346" u="1"/>
        <n v="8717955046" u="1"/>
        <n v="847561914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0">
  <r>
    <x v="0"/>
    <s v="FJALLRAVEN"/>
    <n v="77292"/>
    <s v="Singi Gaiters"/>
    <n v="633"/>
    <s v="Dark Olive"/>
    <s v="S/M"/>
    <n v="1"/>
    <x v="0"/>
  </r>
  <r>
    <x v="1"/>
    <s v="FJALLRAVEN"/>
    <n v="23225"/>
    <s v="High Coast Totepack"/>
    <n v="550"/>
    <s v="Black"/>
    <s v="X"/>
    <n v="1"/>
    <x v="1"/>
  </r>
  <r>
    <x v="1"/>
    <s v="FJALLRAVEN"/>
    <n v="23225"/>
    <s v="High Coast Totepack"/>
    <n v="550"/>
    <s v="Black"/>
    <s v="X"/>
    <n v="-1"/>
    <x v="1"/>
  </r>
  <r>
    <x v="1"/>
    <s v="FJALLRAVEN"/>
    <n v="23225"/>
    <s v="High Coast Totepack"/>
    <n v="550"/>
    <s v="Black"/>
    <s v="X"/>
    <n v="1"/>
    <x v="1"/>
  </r>
  <r>
    <x v="2"/>
    <s v="FJALLRAVEN"/>
    <n v="77357"/>
    <s v="Vidda Cap"/>
    <n v="520"/>
    <s v="Uncle Blue"/>
    <s v="L/XL"/>
    <n v="1"/>
    <x v="2"/>
  </r>
  <r>
    <x v="2"/>
    <s v="FJALLRAVEN"/>
    <n v="77357"/>
    <s v="Vidda Cap"/>
    <n v="520"/>
    <s v="Uncle Blue"/>
    <s v="L/XL"/>
    <n v="-1"/>
    <x v="2"/>
  </r>
  <r>
    <x v="3"/>
    <s v="FJALLRAVEN"/>
    <n v="23225"/>
    <s v="High Coast Totepack"/>
    <n v="424"/>
    <s v="Blackberry"/>
    <s v="X"/>
    <n v="1"/>
    <x v="3"/>
  </r>
  <r>
    <x v="4"/>
    <s v="FJALLRAVEN"/>
    <n v="23226"/>
    <s v="High Coast Pocket"/>
    <n v="424"/>
    <s v="Blackberry"/>
    <s v="X"/>
    <n v="1"/>
    <x v="3"/>
  </r>
  <r>
    <x v="2"/>
    <s v="FJALLRAVEN"/>
    <n v="77357"/>
    <s v="Vidda Cap"/>
    <n v="520"/>
    <s v="Uncle Blue"/>
    <s v="L/XL"/>
    <n v="1"/>
    <x v="2"/>
  </r>
  <r>
    <x v="5"/>
    <s v="FJALLRAVEN"/>
    <n v="79030"/>
    <s v="Greenland Wax travel pack"/>
    <m/>
    <m/>
    <s v="X"/>
    <n v="1"/>
    <x v="2"/>
  </r>
  <r>
    <x v="6"/>
    <s v="FJALLRAVEN"/>
    <n v="23510"/>
    <s v="Kanken"/>
    <n v="126"/>
    <s v="Corn"/>
    <s v="X"/>
    <n v="1"/>
    <x v="4"/>
  </r>
  <r>
    <x v="7"/>
    <s v="FJALLRAVEN"/>
    <n v="23561"/>
    <s v="Kanken Mini"/>
    <n v="126"/>
    <s v="Corn"/>
    <s v="X"/>
    <n v="1"/>
    <x v="3"/>
  </r>
  <r>
    <x v="8"/>
    <s v="FJALLRAVEN"/>
    <n v="23561"/>
    <s v="Kanken Mini"/>
    <n v="457"/>
    <s v="Pastel Lavender"/>
    <s v="X"/>
    <n v="1"/>
    <x v="3"/>
  </r>
  <r>
    <x v="9"/>
    <s v="FJALLRAVEN"/>
    <n v="23524"/>
    <s v="Kanken Laptop 15"/>
    <n v="560"/>
    <s v="Navy"/>
    <s v="X"/>
    <n v="1"/>
    <x v="0"/>
  </r>
  <r>
    <x v="10"/>
    <s v="FJALLRAVEN"/>
    <n v="23803"/>
    <s v="Kanken no. 2 Laptop 15"/>
    <n v="560"/>
    <s v="Navy"/>
    <s v="X"/>
    <n v="1"/>
    <x v="3"/>
  </r>
  <r>
    <x v="11"/>
    <s v="FJALLRAVEN"/>
    <n v="24215"/>
    <s v="Gear Pocket"/>
    <n v="560"/>
    <s v="Navy"/>
    <s v="X"/>
    <n v="1"/>
    <x v="5"/>
  </r>
  <r>
    <x v="12"/>
    <s v="FJALLRAVEN"/>
    <n v="23349"/>
    <s v="Skule 20"/>
    <n v="577"/>
    <s v="Nimbus Blue"/>
    <s v="X"/>
    <n v="1"/>
    <x v="0"/>
  </r>
  <r>
    <x v="13"/>
    <s v="FJALLRAVEN"/>
    <n v="24213"/>
    <s v="Gear Bag"/>
    <n v="30"/>
    <s v="Dark Grey"/>
    <s v="X"/>
    <n v="1"/>
    <x v="0"/>
  </r>
  <r>
    <x v="14"/>
    <s v="FJALLRAVEN"/>
    <n v="25862"/>
    <s v="Kanken Gear Bag"/>
    <n v="664"/>
    <s v="Frost Green"/>
    <s v="X"/>
    <n v="1"/>
    <x v="0"/>
  </r>
  <r>
    <x v="15"/>
    <s v="FJALLRAVEN"/>
    <n v="23200330"/>
    <s v="High Coast Backpack 24"/>
    <n v="620"/>
    <s v="Green"/>
    <s v="X"/>
    <n v="1"/>
    <x v="6"/>
  </r>
  <r>
    <x v="16"/>
    <s v="FJALLRAVEN"/>
    <n v="23226"/>
    <s v="High Coast Pocket"/>
    <n v="623"/>
    <s v="Mountain Green"/>
    <s v="X"/>
    <n v="1"/>
    <x v="6"/>
  </r>
  <r>
    <x v="17"/>
    <s v="FJALLRAVEN"/>
    <n v="86984"/>
    <s v="HC Hydratic Trail Jacket M"/>
    <n v="550"/>
    <s v="Black"/>
    <s v="S"/>
    <n v="1"/>
    <x v="0"/>
  </r>
  <r>
    <x v="18"/>
    <s v="FJALLRAVEN"/>
    <n v="23785"/>
    <s v="Kanken Keyring"/>
    <n v="620"/>
    <s v="Green"/>
    <s v="X"/>
    <n v="1"/>
    <x v="3"/>
  </r>
  <r>
    <x v="19"/>
    <s v="FJALLRAVEN"/>
    <n v="23510"/>
    <s v="Kanken"/>
    <n v="664"/>
    <s v="Frost Green"/>
    <s v="X"/>
    <n v="1"/>
    <x v="1"/>
  </r>
  <r>
    <x v="20"/>
    <s v="FJALLRAVEN"/>
    <n v="23165"/>
    <s v="Ulvo Hip Pack Medium"/>
    <n v="550"/>
    <s v="Black"/>
    <s v="X"/>
    <n v="1"/>
    <x v="7"/>
  </r>
  <r>
    <x v="21"/>
    <s v="FJALLRAVEN"/>
    <n v="23565"/>
    <s v="Kanken No.2"/>
    <n v="633"/>
    <s v="Dark Olive"/>
    <s v="X"/>
    <n v="1"/>
    <x v="8"/>
  </r>
  <r>
    <x v="22"/>
    <s v="FJALLRAVEN"/>
    <n v="23222"/>
    <s v="High Coast Foldsack 24"/>
    <n v="620"/>
    <s v="Green"/>
    <s v="X"/>
    <n v="1"/>
    <x v="6"/>
  </r>
  <r>
    <x v="23"/>
    <s v="FJALLRAVEN"/>
    <n v="23802"/>
    <s v="Kanken Weekender"/>
    <n v="424"/>
    <s v="Blackberry"/>
    <s v="X"/>
    <n v="1"/>
    <x v="3"/>
  </r>
  <r>
    <x v="24"/>
    <s v="FJALLRAVEN"/>
    <n v="23796"/>
    <s v="Kanken Hip Pack"/>
    <n v="600"/>
    <s v="Mint Green"/>
    <s v="X"/>
    <n v="1"/>
    <x v="5"/>
  </r>
  <r>
    <x v="25"/>
    <s v="FJALLRAVEN"/>
    <n v="23227"/>
    <s v="High Coast Crossbody"/>
    <n v="550"/>
    <s v="Black"/>
    <s v="X"/>
    <n v="1"/>
    <x v="3"/>
  </r>
  <r>
    <x v="26"/>
    <s v="FJALLRAVEN"/>
    <n v="77357"/>
    <s v="Vidda Cap"/>
    <s v="570-050"/>
    <s v="Mountain Blue-Basalt"/>
    <s v="L/XL"/>
    <n v="1"/>
    <x v="3"/>
  </r>
  <r>
    <x v="27"/>
    <s v="FJALLRAVEN"/>
    <n v="25863"/>
    <s v="Kanken Gear Pocket"/>
    <n v="550"/>
    <s v="Black"/>
    <s v="X"/>
    <n v="1"/>
    <x v="5"/>
  </r>
  <r>
    <x v="28"/>
    <s v="FJALLRAVEN"/>
    <n v="25863"/>
    <s v="Kanken Gear Pocket"/>
    <n v="560"/>
    <s v="Navy"/>
    <s v="X"/>
    <n v="1"/>
    <x v="5"/>
  </r>
  <r>
    <x v="29"/>
    <s v="FJALLRAVEN"/>
    <n v="23510"/>
    <s v="Kanken"/>
    <s v="021-312"/>
    <s v="Fog-Pink"/>
    <s v="X"/>
    <n v="1"/>
    <x v="6"/>
  </r>
  <r>
    <x v="30"/>
    <s v="FJALLRAVEN"/>
    <n v="23510"/>
    <s v="Kanken"/>
    <n v="501"/>
    <s v="Sky blue"/>
    <s v="X"/>
    <n v="1"/>
    <x v="1"/>
  </r>
  <r>
    <x v="31"/>
    <s v="FJALLRAVEN"/>
    <n v="23346"/>
    <s v="Skule 28"/>
    <n v="550"/>
    <s v="Black"/>
    <s v="X"/>
    <n v="1"/>
    <x v="1"/>
  </r>
  <r>
    <x v="31"/>
    <s v="FJALLRAVEN"/>
    <n v="23346"/>
    <s v="Skule 28"/>
    <n v="550"/>
    <s v="Black"/>
    <s v="X"/>
    <n v="1"/>
    <x v="5"/>
  </r>
  <r>
    <x v="32"/>
    <s v="FJALLRAVEN"/>
    <n v="23346"/>
    <s v="Skule 28"/>
    <n v="577"/>
    <s v="Nimbus Blue"/>
    <s v="X"/>
    <n v="1"/>
    <x v="5"/>
  </r>
  <r>
    <x v="33"/>
    <s v="FJALLRAVEN"/>
    <n v="23785"/>
    <s v="Kanken Keyring"/>
    <n v="299"/>
    <s v="Dark Oak"/>
    <s v="X"/>
    <n v="1"/>
    <x v="5"/>
  </r>
  <r>
    <x v="34"/>
    <s v="FJALLRAVEN"/>
    <n v="23200300"/>
    <s v="VardagBackpack17"/>
    <s v="354-228"/>
    <s v="Poppy Pink-Khaki Dust"/>
    <s v="X"/>
    <n v="1"/>
    <x v="8"/>
  </r>
  <r>
    <x v="35"/>
    <s v="FJALLRAVEN"/>
    <n v="23222"/>
    <s v="High Coast Foldsack 24"/>
    <n v="16"/>
    <s v="Shark Grey"/>
    <s v="X"/>
    <n v="1"/>
    <x v="5"/>
  </r>
  <r>
    <x v="36"/>
    <s v="FJALLRAVEN"/>
    <n v="23803"/>
    <s v="Kanken no. 2 Laptop 15"/>
    <n v="633"/>
    <s v="Dark Olive"/>
    <s v="X"/>
    <n v="1"/>
    <x v="3"/>
  </r>
  <r>
    <x v="37"/>
    <s v="FJALLRAVEN"/>
    <n v="23525"/>
    <s v="Kanken Laptop 17"/>
    <n v="160"/>
    <s v="Ochre"/>
    <s v="X"/>
    <n v="1"/>
    <x v="5"/>
  </r>
  <r>
    <x v="38"/>
    <s v="FJALLRAVEN"/>
    <n v="23510"/>
    <s v="Kanken"/>
    <s v="501-115"/>
    <s v="Sky Blue-Light Oak"/>
    <s v="X"/>
    <n v="1"/>
    <x v="3"/>
  </r>
  <r>
    <x v="39"/>
    <s v="FJALLRAVEN"/>
    <n v="23710"/>
    <s v="Kanken Totepack"/>
    <n v="312"/>
    <s v="Pink"/>
    <s v="X"/>
    <n v="1"/>
    <x v="5"/>
  </r>
  <r>
    <x v="40"/>
    <s v="FJALLRAVEN"/>
    <n v="79060"/>
    <s v="Greenland Wax"/>
    <m/>
    <m/>
    <s v="X"/>
    <n v="1"/>
    <x v="5"/>
  </r>
  <r>
    <x v="41"/>
    <s v="FJALLRAVEN"/>
    <n v="23796"/>
    <s v="Kanken Hip Pack"/>
    <n v="560"/>
    <s v="Navy"/>
    <s v="X"/>
    <n v="1"/>
    <x v="8"/>
  </r>
  <r>
    <x v="42"/>
    <s v="FJALLRAVEN"/>
    <n v="23505"/>
    <s v="Kanken Shoulder Pads"/>
    <n v="160"/>
    <s v="Ochre"/>
    <s v="X"/>
    <n v="1"/>
    <x v="8"/>
  </r>
  <r>
    <x v="43"/>
    <s v="FJALLRAVEN"/>
    <n v="23510"/>
    <s v="Kanken"/>
    <n v="424"/>
    <s v="Blackberry"/>
    <s v="X"/>
    <n v="1"/>
    <x v="8"/>
  </r>
  <r>
    <x v="44"/>
    <s v="FJALLRAVEN"/>
    <n v="23621"/>
    <s v="Kanken Rainbow Mini"/>
    <s v="550-907"/>
    <s v="Black-Rainbow Pattern"/>
    <s v="X"/>
    <n v="1"/>
    <x v="8"/>
  </r>
  <r>
    <x v="45"/>
    <s v="FJALLRAVEN"/>
    <n v="23561"/>
    <s v="Kanken Mini"/>
    <n v="312"/>
    <s v="Pink"/>
    <s v="X"/>
    <n v="1"/>
    <x v="8"/>
  </r>
  <r>
    <x v="10"/>
    <s v="FJALLRAVEN"/>
    <n v="23803"/>
    <s v="Kanken no. 2 Laptop 15"/>
    <n v="560"/>
    <s v="Navy"/>
    <s v="X"/>
    <n v="1"/>
    <x v="8"/>
  </r>
  <r>
    <x v="46"/>
    <s v="FJALLRAVEN"/>
    <n v="24213"/>
    <s v="Gear Bag"/>
    <n v="633"/>
    <s v="Dark Olive"/>
    <s v="X"/>
    <n v="1"/>
    <x v="5"/>
  </r>
  <r>
    <x v="47"/>
    <s v="FJALLRAVEN"/>
    <n v="24216"/>
    <s v="Zip Wallet"/>
    <n v="633"/>
    <s v="Dark Olive"/>
    <s v="X"/>
    <n v="1"/>
    <x v="5"/>
  </r>
  <r>
    <x v="48"/>
    <s v="FJALLRAVEN"/>
    <n v="86977"/>
    <s v="Abisko Wool Logo SS M"/>
    <n v="543"/>
    <s v="Dawn Blue"/>
    <s v="S"/>
    <n v="1"/>
    <x v="1"/>
  </r>
  <r>
    <x v="49"/>
    <s v="FJALLRAVEN"/>
    <n v="87153"/>
    <s v="FoxBoxyLogoTeeW"/>
    <n v="452"/>
    <s v="Lavender Mist"/>
    <s v="S"/>
    <n v="1"/>
    <x v="1"/>
  </r>
  <r>
    <x v="50"/>
    <s v="FJALLRAVEN"/>
    <n v="23227"/>
    <s v="High Coast Crossbody"/>
    <n v="543"/>
    <s v="Dawn Blue"/>
    <s v="X"/>
    <n v="1"/>
    <x v="6"/>
  </r>
  <r>
    <x v="51"/>
    <s v="FJALLRAVEN"/>
    <n v="23200307"/>
    <s v="Abisko Softpack 16"/>
    <n v="550"/>
    <s v="Black"/>
    <s v="X"/>
    <n v="1"/>
    <x v="6"/>
  </r>
  <r>
    <x v="52"/>
    <s v="FJALLRAVEN"/>
    <n v="23565"/>
    <s v="KankenNo.2"/>
    <n v="577"/>
    <s v="Nimbus Blue"/>
    <s v="X"/>
    <n v="1"/>
    <x v="8"/>
  </r>
  <r>
    <x v="38"/>
    <s v="FJALLRAVEN"/>
    <n v="23510"/>
    <s v="Kanken"/>
    <s v="501-115"/>
    <s v="Sky Blue-Light Oak"/>
    <s v="X"/>
    <n v="1"/>
    <x v="7"/>
  </r>
  <r>
    <x v="53"/>
    <s v="FJALLRAVEN"/>
    <n v="23223"/>
    <s v="High Coast Hip Pack"/>
    <n v="550"/>
    <s v="Black"/>
    <s v="X"/>
    <n v="1"/>
    <x v="8"/>
  </r>
  <r>
    <x v="54"/>
    <s v="FJALLRAVEN"/>
    <n v="87310"/>
    <s v="Fjallraven Logo T-shirt M"/>
    <n v="550"/>
    <s v="Black"/>
    <s v="L"/>
    <n v="1"/>
    <x v="8"/>
  </r>
  <r>
    <x v="55"/>
    <s v="FJALLRAVEN"/>
    <n v="23200340"/>
    <s v="Farden Crossbody"/>
    <n v="37"/>
    <s v="Coal Black"/>
    <s v="X"/>
    <n v="1"/>
    <x v="8"/>
  </r>
  <r>
    <x v="56"/>
    <s v="FJALLRAVEN"/>
    <n v="23200408"/>
    <s v="Samlaren Tote Pack 2A"/>
    <s v="570-260"/>
    <s v="Mountain Blue-Field Orange"/>
    <s v="X"/>
    <n v="1"/>
    <x v="8"/>
  </r>
  <r>
    <x v="57"/>
    <s v="FJALLRAVEN"/>
    <n v="23227"/>
    <s v="High Coast Crossbody"/>
    <n v="221"/>
    <s v="Clay"/>
    <s v="X"/>
    <n v="1"/>
    <x v="8"/>
  </r>
  <r>
    <x v="58"/>
    <s v="FJALLRAVEN"/>
    <n v="23200303"/>
    <s v="Farden Carry-On Pack"/>
    <n v="37"/>
    <s v="Coal Black"/>
    <s v="X"/>
    <n v="1"/>
    <x v="1"/>
  </r>
  <r>
    <x v="59"/>
    <s v="FJALLRAVEN"/>
    <n v="23346"/>
    <s v="Skule 28"/>
    <n v="50"/>
    <s v="Basalt"/>
    <s v="X"/>
    <n v="1"/>
    <x v="5"/>
  </r>
  <r>
    <x v="60"/>
    <s v="FJALLRAVEN"/>
    <n v="24221"/>
    <s v="Pocket"/>
    <n v="679"/>
    <s v="Deep Patina"/>
    <s v="X"/>
    <n v="1"/>
    <x v="1"/>
  </r>
  <r>
    <x v="61"/>
    <s v="FJALLRAVEN"/>
    <n v="87313"/>
    <s v="1960 Logo T-shirt M"/>
    <n v="534"/>
    <s v="Indigo Blue"/>
    <s v="M"/>
    <n v="1"/>
    <x v="3"/>
  </r>
  <r>
    <x v="38"/>
    <s v="FJALLRAVEN"/>
    <n v="23510"/>
    <s v="Kanken"/>
    <s v="501-115"/>
    <s v="Sky Blue-Light Oak"/>
    <s v="X"/>
    <n v="1"/>
    <x v="8"/>
  </r>
  <r>
    <x v="62"/>
    <s v="FJALLRAVEN"/>
    <n v="23561"/>
    <s v="Kanken Mini"/>
    <n v="221"/>
    <s v="Clay"/>
    <s v="X"/>
    <n v="1"/>
    <x v="8"/>
  </r>
  <r>
    <x v="63"/>
    <s v="FJALLRAVEN"/>
    <n v="23510"/>
    <s v="Kanken"/>
    <n v="560"/>
    <s v="Navy"/>
    <s v="X"/>
    <n v="1"/>
    <x v="0"/>
  </r>
  <r>
    <x v="64"/>
    <s v="FJALLRAVEN"/>
    <n v="23200335"/>
    <s v="Skule 24"/>
    <n v="577"/>
    <s v="Nimbus Blue"/>
    <s v="X"/>
    <n v="1"/>
    <x v="1"/>
  </r>
  <r>
    <x v="65"/>
    <s v="FJALLRAVEN"/>
    <n v="23349"/>
    <s v="Skule 20"/>
    <n v="550"/>
    <s v="Black"/>
    <s v="X"/>
    <n v="1"/>
    <x v="6"/>
  </r>
  <r>
    <x v="23"/>
    <s v="FJALLRAVEN"/>
    <n v="23802"/>
    <s v="Kanken Weekender"/>
    <n v="424"/>
    <s v="Blackberry"/>
    <s v="X"/>
    <n v="1"/>
    <x v="8"/>
  </r>
  <r>
    <x v="66"/>
    <s v="FJALLRAVEN"/>
    <n v="23510"/>
    <s v="Kanken"/>
    <n v="457"/>
    <s v="Pastel Lavender"/>
    <s v="X"/>
    <n v="1"/>
    <x v="8"/>
  </r>
  <r>
    <x v="67"/>
    <s v="FJALLRAVEN"/>
    <n v="23510"/>
    <s v="Kanken"/>
    <n v="312"/>
    <s v="Pink"/>
    <s v="X"/>
    <n v="1"/>
    <x v="8"/>
  </r>
  <r>
    <x v="68"/>
    <s v="FJALLRAVEN"/>
    <n v="79258"/>
    <s v="Hatfield Hat"/>
    <n v="195"/>
    <s v="Sand Stone"/>
    <s v="M"/>
    <n v="1"/>
    <x v="0"/>
  </r>
  <r>
    <x v="69"/>
    <s v="FJALLRAVEN"/>
    <n v="23565"/>
    <s v="Kanken No.2"/>
    <n v="550"/>
    <s v="Black"/>
    <s v="X"/>
    <n v="1"/>
    <x v="4"/>
  </r>
  <r>
    <x v="70"/>
    <s v="FJALLRAVEN"/>
    <n v="23791"/>
    <s v="Kanken Rain Cover"/>
    <n v="525"/>
    <s v="UN Blue"/>
    <s v="X"/>
    <n v="1"/>
    <x v="8"/>
  </r>
  <r>
    <x v="71"/>
    <s v="FJALLRAVEN"/>
    <n v="23803"/>
    <s v="Kanken no. 2 Laptop 15"/>
    <n v="577"/>
    <s v="Nimbus Blue"/>
    <s v="X"/>
    <n v="1"/>
    <x v="3"/>
  </r>
  <r>
    <x v="72"/>
    <s v="FJALLRAVEN"/>
    <n v="23797"/>
    <s v="Kanken Sling"/>
    <n v="424"/>
    <s v="Blackberry"/>
    <s v="X"/>
    <n v="1"/>
    <x v="8"/>
  </r>
  <r>
    <x v="73"/>
    <s v="FJALLRAVEN"/>
    <n v="23200331"/>
    <s v="High Coast Tote 30"/>
    <n v="560"/>
    <s v="Navy"/>
    <s v="X"/>
    <n v="1"/>
    <x v="5"/>
  </r>
  <r>
    <x v="74"/>
    <s v="FJALLRAVEN"/>
    <n v="23156"/>
    <s v="Greenland Pocket"/>
    <n v="550"/>
    <s v="Black"/>
    <s v="X"/>
    <n v="1"/>
    <x v="6"/>
  </r>
  <r>
    <x v="75"/>
    <s v="FJALLRAVEN"/>
    <n v="23200339"/>
    <s v="Vardag Pocket Large"/>
    <s v="620-221"/>
    <s v="Green-Clay"/>
    <s v="X"/>
    <n v="1"/>
    <x v="6"/>
  </r>
  <r>
    <x v="76"/>
    <s v="FJALLRAVEN"/>
    <n v="77357"/>
    <s v="Vidda Cap"/>
    <n v="232"/>
    <s v="Buckwheat Brown"/>
    <s v="S/M"/>
    <n v="1"/>
    <x v="6"/>
  </r>
  <r>
    <x v="77"/>
    <s v="FJALLRAVEN"/>
    <n v="81188"/>
    <s v="Ruaha Shorts M"/>
    <n v="118"/>
    <s v="Fossil"/>
    <n v="48"/>
    <n v="1"/>
    <x v="6"/>
  </r>
  <r>
    <x v="78"/>
    <s v="FJALLRAVEN"/>
    <n v="23797"/>
    <s v="Kanken Sling"/>
    <s v="664-319"/>
    <s v="Frost Green-Peach Pink"/>
    <s v="X"/>
    <n v="1"/>
    <x v="8"/>
  </r>
  <r>
    <x v="79"/>
    <s v="FJALLRAVEN"/>
    <n v="23345"/>
    <s v="Raven 28"/>
    <n v="560"/>
    <s v="Navy"/>
    <s v="X"/>
    <n v="1"/>
    <x v="5"/>
  </r>
  <r>
    <x v="80"/>
    <s v="FJALLRAVEN"/>
    <n v="23510"/>
    <s v="Kanken"/>
    <n v="302"/>
    <s v="Chalk Rose"/>
    <s v="X"/>
    <n v="1"/>
    <x v="4"/>
  </r>
  <r>
    <x v="81"/>
    <s v="FJALLRAVEN"/>
    <n v="24221"/>
    <s v="Pocket"/>
    <n v="633"/>
    <s v="Dark Olive"/>
    <s v="X"/>
    <n v="1"/>
    <x v="1"/>
  </r>
  <r>
    <x v="82"/>
    <s v="FJALLRAVEN"/>
    <n v="23227"/>
    <s v="High Coast Crossbody"/>
    <n v="614"/>
    <s v="Patina Green"/>
    <s v="X"/>
    <n v="1"/>
    <x v="7"/>
  </r>
  <r>
    <x v="83"/>
    <s v="FJALLRAVEN"/>
    <n v="23349"/>
    <s v="Skule 20"/>
    <n v="662"/>
    <s v="Deep Forest"/>
    <s v="X"/>
    <n v="1"/>
    <x v="3"/>
  </r>
  <r>
    <x v="84"/>
    <s v="FJALLRAVEN"/>
    <n v="23200395"/>
    <s v="Kanken Crossbody"/>
    <n v="550"/>
    <s v="Black"/>
    <s v="X"/>
    <n v="1"/>
    <x v="3"/>
  </r>
  <r>
    <x v="78"/>
    <s v="FJALLRAVEN"/>
    <n v="23797"/>
    <s v="Kanken Sling"/>
    <s v="664-319"/>
    <s v="Frost Green-Peach Pink"/>
    <s v="X"/>
    <n v="1"/>
    <x v="3"/>
  </r>
  <r>
    <x v="85"/>
    <s v="FJALLRAVEN"/>
    <n v="23227"/>
    <s v="HighCoastCrossbody"/>
    <n v="452"/>
    <s v="Lavender Mist"/>
    <s v="X"/>
    <n v="1"/>
    <x v="3"/>
  </r>
  <r>
    <x v="86"/>
    <s v="FJALLRAVEN"/>
    <n v="23797"/>
    <s v="Kanken Sling"/>
    <n v="664"/>
    <s v="FROST GREEN"/>
    <s v="X"/>
    <n v="1"/>
    <x v="3"/>
  </r>
  <r>
    <x v="5"/>
    <s v="FJALLRAVEN"/>
    <n v="79030"/>
    <s v="Greenland Wax travel pack"/>
    <m/>
    <m/>
    <s v="X"/>
    <n v="1"/>
    <x v="1"/>
  </r>
  <r>
    <x v="87"/>
    <s v="FJALLRAVEN"/>
    <n v="23505"/>
    <s v="Kanken Shoulder Pads"/>
    <n v="550"/>
    <s v="Black"/>
    <s v="X"/>
    <n v="1"/>
    <x v="5"/>
  </r>
  <r>
    <x v="88"/>
    <s v="FJALLRAVEN"/>
    <n v="23620"/>
    <s v="Kanken Rainbow"/>
    <s v="550-907"/>
    <s v="Black-Rainbow Pattern"/>
    <s v="X"/>
    <n v="1"/>
    <x v="5"/>
  </r>
  <r>
    <x v="89"/>
    <s v="FJALLRAVEN"/>
    <n v="12600219"/>
    <s v="Lush Logo T-shirt M"/>
    <n v="625"/>
    <s v="Laurel Green"/>
    <s v="S"/>
    <n v="1"/>
    <x v="7"/>
  </r>
  <r>
    <x v="57"/>
    <s v="FJALLRAVEN"/>
    <n v="23227"/>
    <s v="High Coast Crossbody"/>
    <n v="221"/>
    <s v="Clay"/>
    <s v="X"/>
    <n v="2"/>
    <x v="5"/>
  </r>
  <r>
    <x v="90"/>
    <s v="FJALLRAVEN"/>
    <n v="23227"/>
    <s v="High Coast Crossbody"/>
    <n v="424"/>
    <s v="Blackberry"/>
    <s v="X"/>
    <n v="2"/>
    <x v="5"/>
  </r>
  <r>
    <x v="91"/>
    <s v="FJALLRAVEN"/>
    <n v="23200337"/>
    <s v="Skule Sling 6"/>
    <n v="550"/>
    <s v="Black"/>
    <s v="X"/>
    <n v="2"/>
    <x v="4"/>
  </r>
  <r>
    <x v="92"/>
    <s v="FJALLRAVEN"/>
    <n v="23226"/>
    <s v="High Coast Pocket"/>
    <n v="550"/>
    <s v="Black"/>
    <s v="X"/>
    <n v="1"/>
    <x v="4"/>
  </r>
  <r>
    <x v="93"/>
    <s v="FJALLRAVEN"/>
    <n v="13100182"/>
    <s v="FjallravenLangtradarkeps"/>
    <n v="452"/>
    <s v="Lavender Mist"/>
    <s v="L/XL"/>
    <n v="1"/>
    <x v="2"/>
  </r>
  <r>
    <x v="94"/>
    <s v="FJALLRAVEN"/>
    <n v="77357"/>
    <s v="Vidda Cap"/>
    <n v="622"/>
    <s v="Light Olive"/>
    <s v="S/M"/>
    <n v="1"/>
    <x v="3"/>
  </r>
  <r>
    <x v="95"/>
    <s v="FJALLRAVEN"/>
    <n v="23200359"/>
    <s v="Kanken Graphics Laptop 15"/>
    <s v="577-986"/>
    <s v="Nimbus Blue-Hidden Animals"/>
    <s v="X"/>
    <n v="1"/>
    <x v="5"/>
  </r>
  <r>
    <x v="96"/>
    <s v="FJALLRAVEN"/>
    <n v="23524"/>
    <s v="Kanken Laptop 15"/>
    <n v="31"/>
    <s v="Graphite"/>
    <s v="X"/>
    <n v="1"/>
    <x v="7"/>
  </r>
  <r>
    <x v="97"/>
    <s v="FJALLRAVEN"/>
    <n v="13100182"/>
    <s v="FjallravenLangtradarkeps"/>
    <n v="118"/>
    <s v="Fossil"/>
    <s v="S/M"/>
    <n v="1"/>
    <x v="6"/>
  </r>
  <r>
    <x v="98"/>
    <s v="FJALLRAVEN"/>
    <n v="23524"/>
    <s v="Kanken Laptop 15"/>
    <n v="424"/>
    <s v="Blackberry"/>
    <s v="X"/>
    <n v="1"/>
    <x v="8"/>
  </r>
  <r>
    <x v="99"/>
    <s v="FJALLRAVEN"/>
    <n v="23804"/>
    <s v="Kanken no. 2 Black Laptop 15"/>
    <n v="550"/>
    <s v="Black"/>
    <s v="X"/>
    <n v="1"/>
    <x v="3"/>
  </r>
  <r>
    <x v="69"/>
    <s v="FJALLRAVEN"/>
    <n v="23565"/>
    <s v="Kanken No.2"/>
    <n v="550"/>
    <s v="Black"/>
    <s v="X"/>
    <n v="1"/>
    <x v="3"/>
  </r>
  <r>
    <x v="100"/>
    <s v="FJALLRAVEN"/>
    <n v="23320"/>
    <s v="Singi 28"/>
    <n v="633"/>
    <s v="Dark Olive"/>
    <s v="X"/>
    <n v="1"/>
    <x v="8"/>
  </r>
  <r>
    <x v="101"/>
    <s v="FJALLRAVEN"/>
    <n v="23344"/>
    <s v="Raven 20"/>
    <n v="228"/>
    <s v="Khaki Dust"/>
    <s v="X"/>
    <n v="1"/>
    <x v="3"/>
  </r>
  <r>
    <x v="80"/>
    <s v="FJALLRAVEN"/>
    <n v="23510"/>
    <s v="Kanken"/>
    <n v="302"/>
    <s v="Chalk Rose"/>
    <s v="X"/>
    <n v="1"/>
    <x v="4"/>
  </r>
  <r>
    <x v="102"/>
    <s v="FJALLRAVEN"/>
    <n v="23523"/>
    <s v="Kanken Laptop 13"/>
    <n v="550"/>
    <s v="Black"/>
    <s v="X"/>
    <n v="1"/>
    <x v="3"/>
  </r>
  <r>
    <x v="103"/>
    <s v="FJALLRAVEN"/>
    <n v="23200337"/>
    <s v="Skule Sling 6"/>
    <n v="171"/>
    <s v="Red Gold"/>
    <s v="X"/>
    <n v="1"/>
    <x v="8"/>
  </r>
  <r>
    <x v="104"/>
    <s v="FJALLRAVEN"/>
    <n v="23795"/>
    <s v="Kanken Rain Cover Mini"/>
    <n v="550"/>
    <s v="Black"/>
    <s v="X"/>
    <n v="-1"/>
    <x v="7"/>
  </r>
  <r>
    <x v="105"/>
    <s v="FJALLRAVEN"/>
    <n v="27222"/>
    <s v="Abisko Hike Foldsack"/>
    <n v="614"/>
    <s v="Patina Green"/>
    <s v="X"/>
    <n v="1"/>
    <x v="5"/>
  </r>
  <r>
    <x v="106"/>
    <s v="FJALLRAVEN"/>
    <n v="23561"/>
    <s v="Kanken Mini"/>
    <n v="228"/>
    <s v="Khaki Dust"/>
    <s v="X"/>
    <n v="1"/>
    <x v="0"/>
  </r>
  <r>
    <x v="107"/>
    <s v="FJALLRAVEN"/>
    <n v="23200338"/>
    <s v="Vardag Pocket Small"/>
    <s v="354-228"/>
    <s v="Poppy Pink-Khaki Dust"/>
    <s v="X"/>
    <n v="1"/>
    <x v="8"/>
  </r>
  <r>
    <x v="70"/>
    <s v="FJALLRAVEN"/>
    <n v="23791"/>
    <s v="Kanken Rain Cover"/>
    <n v="525"/>
    <s v="UN Blue"/>
    <s v="X"/>
    <n v="1"/>
    <x v="7"/>
  </r>
  <r>
    <x v="108"/>
    <s v="FJALLRAVEN"/>
    <n v="23200284"/>
    <s v="Kanken No. 2 Hip Pack"/>
    <n v="238"/>
    <s v="Hazel Brown"/>
    <s v="X"/>
    <n v="1"/>
    <x v="5"/>
  </r>
  <r>
    <x v="80"/>
    <s v="FJALLRAVEN"/>
    <n v="23510"/>
    <s v="Kanken"/>
    <n v="302"/>
    <s v="Chalk Rose"/>
    <s v="X"/>
    <n v="1"/>
    <x v="7"/>
  </r>
  <r>
    <x v="109"/>
    <s v="FJALLRAVEN"/>
    <n v="23565"/>
    <s v="Kanken No.2"/>
    <n v="560"/>
    <s v="Navy"/>
    <s v="X"/>
    <n v="1"/>
    <x v="8"/>
  </r>
  <r>
    <x v="110"/>
    <s v="FJALLRAVEN"/>
    <n v="23225"/>
    <s v="High Coast Totepack"/>
    <n v="623"/>
    <s v="Mountain Green"/>
    <s v="X"/>
    <n v="1"/>
    <x v="7"/>
  </r>
  <r>
    <x v="111"/>
    <s v="FJALLRAVEN"/>
    <n v="77277"/>
    <s v="Kiruna Hat"/>
    <n v="300"/>
    <s v="Dusty Rose"/>
    <s v="L"/>
    <n v="1"/>
    <x v="7"/>
  </r>
  <r>
    <x v="112"/>
    <s v="FJALLRAVEN"/>
    <n v="77357"/>
    <s v="Vidda Cap"/>
    <n v="30"/>
    <s v="Dark Grey"/>
    <s v="S/M"/>
    <n v="1"/>
    <x v="3"/>
  </r>
  <r>
    <x v="113"/>
    <s v="FJALLRAVEN"/>
    <n v="87101"/>
    <s v="Abisko Trail Stretch Trousers W"/>
    <n v="550"/>
    <s v="Black"/>
    <s v="38/S"/>
    <n v="1"/>
    <x v="1"/>
  </r>
  <r>
    <x v="114"/>
    <s v="FJALLRAVEN"/>
    <n v="23525"/>
    <s v="Kanken Laptop 17"/>
    <n v="424"/>
    <s v="Blackberry"/>
    <s v="X"/>
    <n v="1"/>
    <x v="8"/>
  </r>
  <r>
    <x v="3"/>
    <s v="FJALLRAVEN"/>
    <n v="23225"/>
    <s v="High Coast Totepack"/>
    <n v="424"/>
    <s v="Blackberry"/>
    <s v="X"/>
    <n v="1"/>
    <x v="3"/>
  </r>
  <r>
    <x v="91"/>
    <s v="FJALLRAVEN"/>
    <n v="23200337"/>
    <s v="Skule Sling 6"/>
    <n v="550"/>
    <s v="Black"/>
    <s v="X"/>
    <n v="1"/>
    <x v="5"/>
  </r>
  <r>
    <x v="80"/>
    <s v="FJALLRAVEN"/>
    <n v="23510"/>
    <s v="Kanken"/>
    <n v="302"/>
    <s v="Chalk Rose"/>
    <s v="X"/>
    <n v="1"/>
    <x v="3"/>
  </r>
  <r>
    <x v="115"/>
    <s v="FJALLRAVEN"/>
    <n v="23623"/>
    <s v="KankenRainbowSling"/>
    <s v="302-907"/>
    <s v="Chalk Rose-Rainbow"/>
    <s v="X"/>
    <n v="1"/>
    <x v="3"/>
  </r>
  <r>
    <x v="58"/>
    <s v="FJALLRAVEN"/>
    <n v="23200303"/>
    <s v="Farden Carry-On Pack"/>
    <n v="37"/>
    <s v="Coal Black"/>
    <s v="X"/>
    <n v="1"/>
    <x v="8"/>
  </r>
  <r>
    <x v="116"/>
    <s v="FJALLRAVEN"/>
    <n v="13100239"/>
    <s v="Vardag Lite Cap"/>
    <n v="514"/>
    <s v="Breeze Blue"/>
    <s v="S/M"/>
    <n v="1"/>
    <x v="3"/>
  </r>
  <r>
    <x v="117"/>
    <s v="FJALLRAVEN"/>
    <n v="23797"/>
    <s v="Kanken Sling"/>
    <n v="501"/>
    <s v="Sky Blue"/>
    <s v="X"/>
    <n v="1"/>
    <x v="3"/>
  </r>
  <r>
    <x v="92"/>
    <s v="FJALLRAVEN"/>
    <n v="23226"/>
    <s v="High Coast Pocket"/>
    <n v="550"/>
    <s v="Black"/>
    <s v="X"/>
    <n v="1"/>
    <x v="1"/>
  </r>
  <r>
    <x v="118"/>
    <s v="FJALLRAVEN"/>
    <n v="23200335"/>
    <s v="Skule 24"/>
    <n v="300"/>
    <s v="Dusty Rose"/>
    <s v="X"/>
    <n v="1"/>
    <x v="8"/>
  </r>
  <r>
    <x v="119"/>
    <s v="FJALLRAVEN"/>
    <n v="23780"/>
    <s v="Kanken Card Wallet"/>
    <n v="664"/>
    <s v="Frost Green"/>
    <s v="X"/>
    <n v="1"/>
    <x v="8"/>
  </r>
  <r>
    <x v="19"/>
    <s v="FJALLRAVEN"/>
    <n v="23510"/>
    <s v="Kanken"/>
    <n v="664"/>
    <s v="Frost Green"/>
    <s v="X"/>
    <n v="1"/>
    <x v="8"/>
  </r>
  <r>
    <x v="120"/>
    <s v="FJALLRAVEN"/>
    <n v="23797"/>
    <s v="Kanken Sling"/>
    <n v="115"/>
    <s v="Light Oak"/>
    <s v="X"/>
    <n v="1"/>
    <x v="8"/>
  </r>
  <r>
    <x v="62"/>
    <s v="FJALLRAVEN"/>
    <n v="23561"/>
    <s v="Kanken Mini"/>
    <n v="221"/>
    <s v="Clay"/>
    <s v="X"/>
    <n v="1"/>
    <x v="6"/>
  </r>
  <r>
    <x v="120"/>
    <s v="FJALLRAVEN"/>
    <n v="23797"/>
    <s v="Kanken Sling"/>
    <n v="115"/>
    <s v="Light Oak"/>
    <s v="X"/>
    <n v="1"/>
    <x v="6"/>
  </r>
  <r>
    <x v="92"/>
    <s v="FJALLRAVEN"/>
    <n v="23226"/>
    <s v="High Coast Pocket"/>
    <n v="550"/>
    <s v="Black"/>
    <s v="X"/>
    <n v="1"/>
    <x v="8"/>
  </r>
  <r>
    <x v="57"/>
    <s v="FJALLRAVEN"/>
    <n v="23227"/>
    <s v="High Coast Crossbody"/>
    <n v="221"/>
    <s v="Clay"/>
    <s v="X"/>
    <n v="1"/>
    <x v="8"/>
  </r>
  <r>
    <x v="121"/>
    <s v="FJALLRAVEN"/>
    <n v="23344"/>
    <s v="Raven 20"/>
    <s v="550-550"/>
    <s v="Black-Black"/>
    <s v="X"/>
    <n v="1"/>
    <x v="8"/>
  </r>
  <r>
    <x v="122"/>
    <s v="FJALLRAVEN"/>
    <n v="23510"/>
    <s v="Kanken"/>
    <n v="228"/>
    <s v="Khaki Dust"/>
    <s v="X"/>
    <n v="1"/>
    <x v="8"/>
  </r>
  <r>
    <x v="123"/>
    <s v="FJALLRAVEN"/>
    <n v="23523"/>
    <s v="Kanken Laptop 13"/>
    <n v="31"/>
    <s v="Graphite"/>
    <s v="X"/>
    <n v="1"/>
    <x v="7"/>
  </r>
  <r>
    <x v="124"/>
    <s v="FJALLRAVEN"/>
    <n v="23226"/>
    <s v="High Coast Pocket"/>
    <n v="221"/>
    <s v="Clay"/>
    <s v="X"/>
    <n v="1"/>
    <x v="5"/>
  </r>
  <r>
    <x v="16"/>
    <s v="FJALLRAVEN"/>
    <n v="23226"/>
    <s v="High Coast Pocket"/>
    <n v="623"/>
    <s v="Mountain Green"/>
    <s v="X"/>
    <n v="1"/>
    <x v="5"/>
  </r>
  <r>
    <x v="67"/>
    <s v="FJALLRAVEN"/>
    <n v="23510"/>
    <s v="Kanken"/>
    <n v="312"/>
    <s v="Pink"/>
    <s v="X"/>
    <n v="1"/>
    <x v="3"/>
  </r>
  <r>
    <x v="125"/>
    <s v="FJALLRAVEN"/>
    <n v="77273"/>
    <s v="AbiskoSummerHat"/>
    <n v="244"/>
    <s v="Suede Brown"/>
    <s v="L"/>
    <n v="1"/>
    <x v="2"/>
  </r>
  <r>
    <x v="126"/>
    <s v="FJALLRAVEN"/>
    <n v="23227"/>
    <s v="High Coast Crossbody"/>
    <n v="623"/>
    <s v="Mountain Green"/>
    <s v="X"/>
    <n v="1"/>
    <x v="2"/>
  </r>
  <r>
    <x v="30"/>
    <s v="FJALLRAVEN"/>
    <n v="23510"/>
    <s v="Kanken"/>
    <n v="501"/>
    <s v="Sky blue"/>
    <s v="X"/>
    <n v="1"/>
    <x v="1"/>
  </r>
  <r>
    <x v="127"/>
    <s v="FJALLRAVEN"/>
    <n v="23796"/>
    <s v="Kanken Hip Pack"/>
    <n v="664"/>
    <s v="Frost Green"/>
    <s v="X"/>
    <n v="1"/>
    <x v="5"/>
  </r>
  <r>
    <x v="65"/>
    <s v="FJALLRAVEN"/>
    <n v="23349"/>
    <s v="Skule 20"/>
    <n v="550"/>
    <s v="Black"/>
    <s v="X"/>
    <n v="1"/>
    <x v="3"/>
  </r>
  <r>
    <x v="128"/>
    <s v="FJALLRAVEN"/>
    <n v="23561"/>
    <s v="Kanken Mini"/>
    <s v="501-115"/>
    <s v="Sky Blue-Light Oak"/>
    <s v="X"/>
    <n v="1"/>
    <x v="7"/>
  </r>
  <r>
    <x v="88"/>
    <s v="FJALLRAVEN"/>
    <n v="23620"/>
    <s v="Kanken Rainbow"/>
    <s v="550-907"/>
    <s v="Black-Rainbow Pattern"/>
    <s v="X"/>
    <n v="1"/>
    <x v="8"/>
  </r>
  <r>
    <x v="129"/>
    <s v="FJALLRAVEN"/>
    <n v="23797"/>
    <s v="Kanken Sling"/>
    <n v="560"/>
    <s v="NAVY"/>
    <s v="X"/>
    <n v="1"/>
    <x v="3"/>
  </r>
  <r>
    <x v="130"/>
    <s v="FJALLRAVEN"/>
    <n v="23524"/>
    <s v="Kanken Laptop 15"/>
    <n v="664"/>
    <s v="Frost Green"/>
    <s v="X"/>
    <n v="1"/>
    <x v="8"/>
  </r>
  <r>
    <x v="131"/>
    <s v="FJALLRAVEN"/>
    <n v="23505"/>
    <s v="Kanken Shoulder Pads"/>
    <n v="326"/>
    <s v="Ox Red"/>
    <s v="X"/>
    <n v="1"/>
    <x v="1"/>
  </r>
  <r>
    <x v="132"/>
    <s v="FJALLRAVEN"/>
    <n v="23510"/>
    <s v="Kanken"/>
    <n v="326"/>
    <s v="Ox Red"/>
    <s v="X"/>
    <n v="1"/>
    <x v="1"/>
  </r>
  <r>
    <x v="50"/>
    <s v="FJALLRAVEN"/>
    <n v="23227"/>
    <s v="High Coast Crossbody"/>
    <n v="543"/>
    <s v="Dawn Blue"/>
    <s v="X"/>
    <n v="1"/>
    <x v="3"/>
  </r>
  <r>
    <x v="133"/>
    <s v="FJALLRAVEN"/>
    <n v="23524"/>
    <s v="Kanken Laptop 15"/>
    <n v="501"/>
    <s v="Sky Blue"/>
    <s v="X"/>
    <n v="1"/>
    <x v="5"/>
  </r>
  <r>
    <x v="82"/>
    <s v="FJALLRAVEN"/>
    <n v="23227"/>
    <s v="High Coast Crossbody"/>
    <n v="614"/>
    <s v="Patina Green"/>
    <s v="X"/>
    <n v="-1"/>
    <x v="7"/>
  </r>
  <r>
    <x v="134"/>
    <s v="FJALLRAVEN"/>
    <n v="77357"/>
    <s v="Vidda Cap"/>
    <n v="300"/>
    <s v="Dusty Rose"/>
    <s v="L/XL"/>
    <n v="1"/>
    <x v="8"/>
  </r>
  <r>
    <x v="92"/>
    <s v="FJALLRAVEN"/>
    <n v="23226"/>
    <s v="High Coast Pocket"/>
    <n v="550"/>
    <s v="Black"/>
    <s v="X"/>
    <n v="1"/>
    <x v="8"/>
  </r>
  <r>
    <x v="63"/>
    <s v="FJALLRAVEN"/>
    <n v="23510"/>
    <s v="Kanken"/>
    <n v="560"/>
    <s v="Navy"/>
    <s v="X"/>
    <n v="1"/>
    <x v="8"/>
  </r>
  <r>
    <x v="80"/>
    <s v="FJALLRAVEN"/>
    <n v="23510"/>
    <s v="Kanken"/>
    <n v="302"/>
    <s v="Chalk Rose"/>
    <s v="X"/>
    <n v="1"/>
    <x v="8"/>
  </r>
  <r>
    <x v="135"/>
    <s v="FJALLRAVEN"/>
    <n v="86984"/>
    <s v="HC Hydratic Trail Jacket M"/>
    <n v="550"/>
    <s v="Black"/>
    <s v="M"/>
    <n v="1"/>
    <x v="8"/>
  </r>
  <r>
    <x v="136"/>
    <s v="FJALLRAVEN"/>
    <n v="23561"/>
    <s v="Kanken Mini"/>
    <n v="620"/>
    <s v="Green"/>
    <s v="X"/>
    <n v="1"/>
    <x v="7"/>
  </r>
  <r>
    <x v="66"/>
    <s v="FJALLRAVEN"/>
    <n v="23510"/>
    <s v="Kanken"/>
    <n v="457"/>
    <s v="Pastel Lavender"/>
    <s v="X"/>
    <n v="1"/>
    <x v="4"/>
  </r>
  <r>
    <x v="80"/>
    <s v="FJALLRAVEN"/>
    <n v="23510"/>
    <s v="Kanken"/>
    <n v="302"/>
    <s v="Chalk Rose"/>
    <s v="X"/>
    <n v="1"/>
    <x v="5"/>
  </r>
  <r>
    <x v="137"/>
    <s v="FJALLRAVEN"/>
    <n v="24215"/>
    <s v="Gear Pocket"/>
    <n v="30"/>
    <s v="Dark Grey"/>
    <s v="X"/>
    <n v="1"/>
    <x v="4"/>
  </r>
  <r>
    <x v="138"/>
    <s v="FJALLRAVEN"/>
    <n v="24215"/>
    <s v="Gear Pocket"/>
    <n v="633"/>
    <s v="Dark Olive"/>
    <s v="X"/>
    <n v="1"/>
    <x v="4"/>
  </r>
  <r>
    <x v="21"/>
    <s v="FJALLRAVEN"/>
    <n v="23565"/>
    <s v="Kanken No.2"/>
    <n v="633"/>
    <s v="Dark Olive"/>
    <s v="X"/>
    <n v="1"/>
    <x v="1"/>
  </r>
  <r>
    <x v="139"/>
    <s v="FJALLRAVEN"/>
    <n v="23200339"/>
    <s v="Vardag Pocket Large"/>
    <s v="354-228"/>
    <s v="Poppy Pink-Khaki Dust"/>
    <s v="X"/>
    <n v="1"/>
    <x v="1"/>
  </r>
  <r>
    <x v="67"/>
    <s v="FJALLRAVEN"/>
    <n v="23510"/>
    <s v="Kanken"/>
    <n v="312"/>
    <s v="Pink"/>
    <s v="X"/>
    <n v="1"/>
    <x v="7"/>
  </r>
  <r>
    <x v="25"/>
    <s v="FJALLRAVEN"/>
    <n v="23227"/>
    <s v="High Coast Crossbody"/>
    <n v="550"/>
    <s v="Black"/>
    <s v="X"/>
    <n v="1"/>
    <x v="5"/>
  </r>
  <r>
    <x v="140"/>
    <s v="FJALLRAVEN"/>
    <n v="23200251"/>
    <s v="Kanken Outlong"/>
    <n v="664"/>
    <s v="Frost Green"/>
    <s v="X"/>
    <n v="1"/>
    <x v="3"/>
  </r>
  <r>
    <x v="107"/>
    <s v="FJALLRAVEN"/>
    <n v="23200338"/>
    <s v="Vardag Pocket Small"/>
    <s v="354-228"/>
    <s v="Poppy Pink-Khaki Dust"/>
    <s v="X"/>
    <n v="1"/>
    <x v="5"/>
  </r>
  <r>
    <x v="141"/>
    <s v="FJALLRAVEN"/>
    <n v="23227"/>
    <s v="High Coast Crossbody"/>
    <n v="16"/>
    <s v="Shark Grey"/>
    <s v="X"/>
    <n v="1"/>
    <x v="0"/>
  </r>
  <r>
    <x v="118"/>
    <s v="FJALLRAVEN"/>
    <n v="23200335"/>
    <s v="Skule 24"/>
    <n v="300"/>
    <s v="Dusty Rose"/>
    <s v="X"/>
    <n v="1"/>
    <x v="1"/>
  </r>
  <r>
    <x v="142"/>
    <s v="FJALLRAVEN"/>
    <n v="13100181"/>
    <s v="Fjallraven Logo Cap"/>
    <n v="232"/>
    <s v="Buckwheat Brown"/>
    <s v="L/XL"/>
    <n v="1"/>
    <x v="1"/>
  </r>
  <r>
    <x v="143"/>
    <s v="FJALLRAVEN"/>
    <n v="23347"/>
    <s v="Skule Kids"/>
    <n v="550"/>
    <s v="Black"/>
    <s v="X"/>
    <n v="1"/>
    <x v="6"/>
  </r>
  <r>
    <x v="144"/>
    <s v="FJALLRAVEN"/>
    <n v="13100181"/>
    <s v="Fjallraven Logo Cap"/>
    <n v="30"/>
    <s v="Dark Grey"/>
    <s v="L/XL"/>
    <n v="1"/>
    <x v="1"/>
  </r>
  <r>
    <x v="58"/>
    <s v="FJALLRAVEN"/>
    <n v="23200303"/>
    <s v="Farden Carry-On Pack"/>
    <n v="37"/>
    <s v="Coal Black"/>
    <s v="X"/>
    <n v="1"/>
    <x v="8"/>
  </r>
  <r>
    <x v="145"/>
    <s v="FJALLRAVEN"/>
    <n v="23510"/>
    <s v="Kanken"/>
    <n v="221"/>
    <s v="Clay"/>
    <s v="X"/>
    <n v="1"/>
    <x v="1"/>
  </r>
  <r>
    <x v="142"/>
    <s v="FJALLRAVEN"/>
    <n v="13100181"/>
    <s v="Fjallraven Logo Cap"/>
    <n v="232"/>
    <s v="Buckwheat Brown"/>
    <s v="L/XL"/>
    <n v="-1"/>
    <x v="1"/>
  </r>
  <r>
    <x v="146"/>
    <s v="FJALLRAVEN"/>
    <n v="23226"/>
    <s v="High Coast Pocket"/>
    <n v="560"/>
    <s v="Navy"/>
    <s v="X"/>
    <n v="1"/>
    <x v="1"/>
  </r>
  <r>
    <x v="147"/>
    <s v="FJALLRAVEN"/>
    <n v="77357"/>
    <s v="Vidda Cap"/>
    <n v="520"/>
    <s v="Uncle Blue"/>
    <s v="S/M"/>
    <n v="1"/>
    <x v="1"/>
  </r>
  <r>
    <x v="148"/>
    <s v="FJALLRAVEN"/>
    <n v="12600215"/>
    <s v="Hemp Blend T-shirt M"/>
    <n v="543"/>
    <s v="Dawn Blue"/>
    <s v="S"/>
    <n v="1"/>
    <x v="5"/>
  </r>
  <r>
    <x v="149"/>
    <s v="FJALLRAVEN"/>
    <n v="87146"/>
    <s v="FjallravenLogoTeeW"/>
    <n v="514"/>
    <s v="Breeze Blue"/>
    <s v="M"/>
    <n v="1"/>
    <x v="5"/>
  </r>
  <r>
    <x v="150"/>
    <s v="FJALLRAVEN"/>
    <n v="23797"/>
    <s v="KankenSling"/>
    <n v="302"/>
    <s v="Chalk Rose"/>
    <s v="X"/>
    <n v="1"/>
    <x v="6"/>
  </r>
  <r>
    <x v="151"/>
    <s v="FJALLRAVEN"/>
    <n v="23797"/>
    <s v="Kanken Sling"/>
    <n v="600"/>
    <s v="Mint Green"/>
    <s v="X"/>
    <n v="1"/>
    <x v="6"/>
  </r>
  <r>
    <x v="152"/>
    <s v="FJALLRAVEN"/>
    <n v="23166"/>
    <s v="Ulvo Hip Pack Large"/>
    <n v="550"/>
    <s v="Black"/>
    <s v="X"/>
    <n v="1"/>
    <x v="5"/>
  </r>
  <r>
    <x v="112"/>
    <s v="FJALLRAVEN"/>
    <n v="77357"/>
    <s v="Vidda Cap"/>
    <n v="30"/>
    <s v="Dark Grey"/>
    <s v="S/M"/>
    <n v="1"/>
    <x v="1"/>
  </r>
  <r>
    <x v="153"/>
    <s v="FJALLRAVEN"/>
    <n v="79258"/>
    <s v="HatfieldHat"/>
    <n v="244"/>
    <s v="Suede Brown"/>
    <s v="L"/>
    <n v="1"/>
    <x v="0"/>
  </r>
  <r>
    <x v="128"/>
    <s v="FJALLRAVEN"/>
    <n v="23561"/>
    <s v="Kanken Mini"/>
    <s v="501-115"/>
    <s v="Sky Blue-Light Oak"/>
    <s v="X"/>
    <n v="1"/>
    <x v="4"/>
  </r>
  <r>
    <x v="154"/>
    <s v="FJALLRAVEN"/>
    <n v="23797"/>
    <s v="Kanken Sling"/>
    <n v="21"/>
    <s v="FOG"/>
    <s v="X"/>
    <n v="1"/>
    <x v="4"/>
  </r>
  <r>
    <x v="155"/>
    <s v="FJALLRAVEN"/>
    <n v="23100177"/>
    <s v="Abisko Bottle Pocket"/>
    <n v="550"/>
    <s v="Black"/>
    <s v="X"/>
    <n v="1"/>
    <x v="4"/>
  </r>
  <r>
    <x v="9"/>
    <s v="FJALLRAVEN"/>
    <n v="23524"/>
    <s v="Kanken Laptop 15"/>
    <n v="560"/>
    <s v="Navy"/>
    <s v="X"/>
    <n v="1"/>
    <x v="5"/>
  </r>
  <r>
    <x v="156"/>
    <s v="FJALLRAVEN"/>
    <n v="78150"/>
    <s v="High Coast Lite Cap"/>
    <n v="620"/>
    <s v="Green"/>
    <s v="L/XL"/>
    <n v="1"/>
    <x v="3"/>
  </r>
  <r>
    <x v="57"/>
    <s v="FJALLRAVEN"/>
    <n v="23227"/>
    <s v="High Coast Crossbody"/>
    <n v="221"/>
    <s v="Clay"/>
    <s v="X"/>
    <n v="1"/>
    <x v="7"/>
  </r>
  <r>
    <x v="157"/>
    <s v="FJALLRAVEN"/>
    <n v="23200338"/>
    <s v="Vardag Pocket Small"/>
    <n v="37"/>
    <s v="Coal Black"/>
    <s v="X"/>
    <n v="1"/>
    <x v="7"/>
  </r>
  <r>
    <x v="158"/>
    <s v="FJALLRAVEN"/>
    <n v="81511"/>
    <s v="Ovik Polo Shirt M"/>
    <n v="560"/>
    <s v="Navy"/>
    <s v="L"/>
    <n v="1"/>
    <x v="4"/>
  </r>
  <r>
    <x v="117"/>
    <s v="FJALLRAVEN"/>
    <n v="23797"/>
    <s v="Kanken Sling"/>
    <n v="501"/>
    <s v="Sky Blue"/>
    <s v="X"/>
    <n v="1"/>
    <x v="3"/>
  </r>
  <r>
    <x v="159"/>
    <s v="FJALLRAVEN"/>
    <n v="23510"/>
    <s v="Kanken"/>
    <n v="31"/>
    <s v="Graphite"/>
    <s v="X"/>
    <n v="1"/>
    <x v="1"/>
  </r>
  <r>
    <x v="63"/>
    <s v="FJALLRAVEN"/>
    <n v="23510"/>
    <s v="Kanken"/>
    <n v="560"/>
    <s v="Navy"/>
    <s v="X"/>
    <n v="1"/>
    <x v="4"/>
  </r>
  <r>
    <x v="63"/>
    <s v="FJALLRAVEN"/>
    <n v="23510"/>
    <s v="Kanken"/>
    <n v="560"/>
    <s v="Navy"/>
    <s v="X"/>
    <n v="-1"/>
    <x v="4"/>
  </r>
  <r>
    <x v="63"/>
    <s v="FJALLRAVEN"/>
    <n v="23510"/>
    <s v="Kanken"/>
    <n v="560"/>
    <s v="Navy"/>
    <s v="X"/>
    <n v="1"/>
    <x v="4"/>
  </r>
  <r>
    <x v="160"/>
    <s v="FJALLRAVEN"/>
    <n v="84783"/>
    <s v="Reversible Bucket Hat"/>
    <s v="195-622"/>
    <s v="Sand Stone-Light Olive"/>
    <s v="L/XL"/>
    <n v="-1"/>
    <x v="4"/>
  </r>
  <r>
    <x v="161"/>
    <s v="FJALLRAVEN"/>
    <n v="84783"/>
    <s v="Reversible Bucket Hat"/>
    <s v="195-622"/>
    <s v="Sand Stone-Light Olive"/>
    <s v="S/M"/>
    <n v="1"/>
    <x v="4"/>
  </r>
  <r>
    <x v="162"/>
    <s v="FJALLRAVEN"/>
    <n v="22005"/>
    <s v="S/F Cap"/>
    <n v="620"/>
    <s v="Green"/>
    <s v="S/M"/>
    <n v="1"/>
    <x v="8"/>
  </r>
  <r>
    <x v="92"/>
    <s v="FJALLRAVEN"/>
    <n v="23226"/>
    <s v="High Coast Pocket"/>
    <n v="550"/>
    <s v="Black"/>
    <s v="X"/>
    <n v="1"/>
    <x v="8"/>
  </r>
  <r>
    <x v="132"/>
    <s v="FJALLRAVEN"/>
    <n v="23510"/>
    <s v="Kanken"/>
    <n v="326"/>
    <s v="Ox Red"/>
    <s v="X"/>
    <n v="1"/>
    <x v="7"/>
  </r>
  <r>
    <x v="163"/>
    <s v="FJALLRAVEN"/>
    <n v="23510"/>
    <s v="Kanken"/>
    <n v="118"/>
    <s v="Fossil"/>
    <s v="X"/>
    <n v="1"/>
    <x v="7"/>
  </r>
  <r>
    <x v="144"/>
    <s v="FJALLRAVEN"/>
    <n v="13100181"/>
    <s v="Fjallraven Logo Cap"/>
    <n v="30"/>
    <s v="Dark Grey"/>
    <s v="L/XL"/>
    <n v="1"/>
    <x v="6"/>
  </r>
  <r>
    <x v="29"/>
    <s v="FJALLRAVEN"/>
    <n v="23510"/>
    <s v="Kanken"/>
    <s v="021-312"/>
    <s v="Fog-Pink"/>
    <s v="X"/>
    <n v="1"/>
    <x v="3"/>
  </r>
  <r>
    <x v="164"/>
    <s v="FJALLRAVEN"/>
    <n v="23347"/>
    <s v="Skule Kids"/>
    <n v="300"/>
    <s v="Dusty Rose"/>
    <s v="X"/>
    <n v="1"/>
    <x v="6"/>
  </r>
  <r>
    <x v="165"/>
    <s v="FJALLRAVEN"/>
    <n v="23347"/>
    <s v="Skule Kids"/>
    <n v="577"/>
    <s v="Nimbus Blue"/>
    <s v="X"/>
    <n v="1"/>
    <x v="6"/>
  </r>
  <r>
    <x v="166"/>
    <s v="FJALLRAVEN"/>
    <n v="23510"/>
    <s v="Kanken"/>
    <n v="540"/>
    <s v="Royal Blue"/>
    <s v="X"/>
    <n v="1"/>
    <x v="4"/>
  </r>
  <r>
    <x v="167"/>
    <s v="FJALLRAVEN"/>
    <n v="23796"/>
    <s v="Kanken Hip Pack"/>
    <n v="21"/>
    <s v="Fog"/>
    <s v="X"/>
    <n v="1"/>
    <x v="8"/>
  </r>
  <r>
    <x v="168"/>
    <s v="FJALLRAVEN"/>
    <n v="79258"/>
    <s v="HatfieldHat"/>
    <n v="244"/>
    <s v="Suede Brown"/>
    <s v="XL"/>
    <n v="1"/>
    <x v="8"/>
  </r>
  <r>
    <x v="85"/>
    <s v="FJALLRAVEN"/>
    <n v="23227"/>
    <s v="HighCoastCrossbody"/>
    <n v="452"/>
    <s v="Lavender Mist"/>
    <s v="X"/>
    <n v="1"/>
    <x v="0"/>
  </r>
  <r>
    <x v="169"/>
    <s v="FJALLRAVEN"/>
    <n v="23222"/>
    <s v="High Coast Foldsack 24"/>
    <n v="543"/>
    <s v="Dawn Blue"/>
    <s v="X"/>
    <n v="1"/>
    <x v="5"/>
  </r>
  <r>
    <x v="52"/>
    <s v="FJALLRAVEN"/>
    <n v="23565"/>
    <s v="KankenNo.2"/>
    <n v="577"/>
    <s v="Nimbus Blue"/>
    <s v="X"/>
    <n v="1"/>
    <x v="3"/>
  </r>
  <r>
    <x v="170"/>
    <s v="FJALLRAVEN"/>
    <n v="77357"/>
    <s v="Vidda Cap"/>
    <s v="570-050"/>
    <s v="Mountain Blue-Basalt"/>
    <s v="S/M"/>
    <n v="1"/>
    <x v="3"/>
  </r>
  <r>
    <x v="171"/>
    <s v="FJALLRAVEN"/>
    <n v="24221"/>
    <s v="Pocket"/>
    <n v="550"/>
    <s v="Black"/>
    <s v="X"/>
    <n v="1"/>
    <x v="7"/>
  </r>
  <r>
    <x v="172"/>
    <s v="FJALLRAVEN"/>
    <n v="23100160"/>
    <s v="Farden Necessity Bag"/>
    <n v="620"/>
    <s v="Green"/>
    <s v="X"/>
    <n v="1"/>
    <x v="7"/>
  </r>
  <r>
    <x v="173"/>
    <s v="FJALLRAVEN"/>
    <n v="23785"/>
    <s v="Kanken Keyring"/>
    <n v="560"/>
    <s v="Navy"/>
    <s v="X"/>
    <n v="1"/>
    <x v="8"/>
  </r>
  <r>
    <x v="31"/>
    <s v="FJALLRAVEN"/>
    <n v="23346"/>
    <s v="Skule 28"/>
    <n v="550"/>
    <s v="Black"/>
    <s v="X"/>
    <n v="1"/>
    <x v="4"/>
  </r>
  <r>
    <x v="174"/>
    <s v="FJALLRAVEN"/>
    <n v="12500170"/>
    <s v="Hoja Rider's Wind Jacket M"/>
    <n v="118"/>
    <s v="Fossil"/>
    <s v="L"/>
    <n v="1"/>
    <x v="8"/>
  </r>
  <r>
    <x v="175"/>
    <s v="FJALLRAVEN"/>
    <n v="86892"/>
    <s v="Vidda Pro Lite Shorts M"/>
    <n v="30"/>
    <s v="Dark Grey"/>
    <n v="52"/>
    <n v="1"/>
    <x v="8"/>
  </r>
  <r>
    <x v="176"/>
    <s v="FJALLRAVEN"/>
    <n v="87146"/>
    <s v="FjallravenLogoTeeW"/>
    <n v="514"/>
    <s v="Breeze Blue"/>
    <s v="S"/>
    <n v="1"/>
    <x v="8"/>
  </r>
  <r>
    <x v="177"/>
    <s v="FJALLRAVEN"/>
    <n v="87153"/>
    <s v="Fox Boxy Logo Tee W"/>
    <n v="300"/>
    <s v="Dusty Rose"/>
    <s v="XS"/>
    <n v="1"/>
    <x v="3"/>
  </r>
  <r>
    <x v="178"/>
    <s v="FJALLRAVEN"/>
    <n v="23200334"/>
    <s v="KankenKoncept"/>
    <s v="031-424"/>
    <s v="Graphite-Blackberry"/>
    <s v="X"/>
    <n v="1"/>
    <x v="4"/>
  </r>
  <r>
    <x v="45"/>
    <s v="FJALLRAVEN"/>
    <n v="23561"/>
    <s v="Kanken Mini"/>
    <n v="312"/>
    <s v="Pink"/>
    <s v="X"/>
    <n v="1"/>
    <x v="5"/>
  </r>
  <r>
    <x v="80"/>
    <s v="FJALLRAVEN"/>
    <n v="23510"/>
    <s v="Kanken"/>
    <n v="302"/>
    <s v="Chalk Rose"/>
    <s v="X"/>
    <n v="1"/>
    <x v="8"/>
  </r>
  <r>
    <x v="38"/>
    <s v="FJALLRAVEN"/>
    <n v="23510"/>
    <s v="Kanken"/>
    <s v="501-115"/>
    <s v="Sky Blue-Light Oak"/>
    <s v="X"/>
    <n v="1"/>
    <x v="8"/>
  </r>
  <r>
    <x v="179"/>
    <s v="FJALLRAVEN"/>
    <n v="23561"/>
    <s v="Kanken Mini"/>
    <s v="457-916"/>
    <s v="Pastel Lavender-Confetti Pattern"/>
    <s v="X"/>
    <n v="1"/>
    <x v="8"/>
  </r>
  <r>
    <x v="180"/>
    <s v="FJALLRAVEN"/>
    <n v="23510"/>
    <s v="Kanken"/>
    <n v="21"/>
    <s v="Fog"/>
    <s v="X"/>
    <n v="1"/>
    <x v="8"/>
  </r>
  <r>
    <x v="67"/>
    <s v="FJALLRAVEN"/>
    <n v="23510"/>
    <s v="Kanken"/>
    <n v="312"/>
    <s v="Pink"/>
    <s v="X"/>
    <n v="1"/>
    <x v="7"/>
  </r>
  <r>
    <x v="181"/>
    <s v="FJALLRAVEN"/>
    <n v="23785"/>
    <s v="Kanken Keyring"/>
    <n v="334"/>
    <s v="True Red"/>
    <s v="X"/>
    <n v="1"/>
    <x v="8"/>
  </r>
  <r>
    <x v="132"/>
    <s v="FJALLRAVEN"/>
    <n v="23510"/>
    <s v="Kanken"/>
    <n v="326"/>
    <s v="Ox Red"/>
    <s v="X"/>
    <n v="1"/>
    <x v="7"/>
  </r>
  <r>
    <x v="182"/>
    <s v="FJALLRAVEN"/>
    <n v="23200339"/>
    <s v="Vardag Pocket Large"/>
    <n v="37"/>
    <s v="Coal Black"/>
    <s v="X"/>
    <n v="1"/>
    <x v="5"/>
  </r>
  <r>
    <x v="183"/>
    <s v="FJALLRAVEN"/>
    <n v="23200395"/>
    <s v="Kanken Crossbody"/>
    <n v="118"/>
    <s v="Fossil"/>
    <s v="X"/>
    <n v="1"/>
    <x v="1"/>
  </r>
  <r>
    <x v="184"/>
    <s v="FJALLRAVEN"/>
    <n v="23622"/>
    <s v="Kanken Rainbow Keyring"/>
    <n v="907"/>
    <s v="Rainbow Pattern"/>
    <s v="X"/>
    <n v="1"/>
    <x v="6"/>
  </r>
  <r>
    <x v="50"/>
    <s v="FJALLRAVEN"/>
    <n v="23227"/>
    <s v="High Coast Crossbody"/>
    <n v="543"/>
    <s v="Dawn Blue"/>
    <s v="X"/>
    <n v="1"/>
    <x v="8"/>
  </r>
  <r>
    <x v="185"/>
    <s v="FJALLRAVEN"/>
    <n v="23200331"/>
    <s v="High Coast Tote 30"/>
    <n v="221"/>
    <s v="Clay"/>
    <s v="X"/>
    <n v="1"/>
    <x v="8"/>
  </r>
  <r>
    <x v="53"/>
    <s v="FJALLRAVEN"/>
    <n v="23223"/>
    <s v="High Coast Hip Pack"/>
    <n v="550"/>
    <s v="Black"/>
    <s v="X"/>
    <n v="1"/>
    <x v="8"/>
  </r>
  <r>
    <x v="186"/>
    <s v="FJALLRAVEN"/>
    <n v="23561"/>
    <s v="Kanken Mini"/>
    <n v="31"/>
    <s v="Graphite"/>
    <s v="X"/>
    <n v="1"/>
    <x v="3"/>
  </r>
  <r>
    <x v="187"/>
    <s v="FJALLRAVEN"/>
    <n v="23200395"/>
    <s v="Kanken Crossbody"/>
    <n v="664"/>
    <s v="Frost Green"/>
    <s v="X"/>
    <n v="1"/>
    <x v="3"/>
  </r>
  <r>
    <x v="132"/>
    <s v="FJALLRAVEN"/>
    <n v="23510"/>
    <s v="Kanken"/>
    <n v="326"/>
    <s v="Ox Red"/>
    <s v="X"/>
    <n v="1"/>
    <x v="1"/>
  </r>
  <r>
    <x v="188"/>
    <s v="FJALLRAVEN"/>
    <n v="23797"/>
    <s v="Kanken Sling"/>
    <n v="299"/>
    <s v="Dark Oak"/>
    <s v="X"/>
    <n v="1"/>
    <x v="5"/>
  </r>
  <r>
    <x v="129"/>
    <s v="FJALLRAVEN"/>
    <n v="23797"/>
    <s v="Kanken Sling"/>
    <n v="560"/>
    <s v="NAVY"/>
    <s v="X"/>
    <n v="1"/>
    <x v="5"/>
  </r>
  <r>
    <x v="67"/>
    <s v="FJALLRAVEN"/>
    <n v="23510"/>
    <s v="Kanken"/>
    <n v="312"/>
    <s v="Pink"/>
    <s v="X"/>
    <n v="1"/>
    <x v="5"/>
  </r>
  <r>
    <x v="84"/>
    <s v="FJALLRAVEN"/>
    <n v="23200395"/>
    <s v="Kanken Crossbody"/>
    <n v="550"/>
    <s v="Black"/>
    <s v="X"/>
    <n v="1"/>
    <x v="3"/>
  </r>
  <r>
    <x v="58"/>
    <s v="FJALLRAVEN"/>
    <n v="23200303"/>
    <s v="Farden Carry-On Pack"/>
    <n v="37"/>
    <s v="Coal Black"/>
    <s v="X"/>
    <n v="1"/>
    <x v="0"/>
  </r>
  <r>
    <x v="189"/>
    <s v="FJALLRAVEN"/>
    <n v="23200301"/>
    <s v="Vardag Shoulder Bag 6"/>
    <n v="37"/>
    <s v="Coal Black"/>
    <s v="X"/>
    <n v="1"/>
    <x v="3"/>
  </r>
  <r>
    <x v="46"/>
    <s v="FJALLRAVEN"/>
    <n v="24213"/>
    <s v="Gear Bag"/>
    <n v="633"/>
    <s v="Dark Olive"/>
    <s v="X"/>
    <n v="1"/>
    <x v="7"/>
  </r>
  <r>
    <x v="190"/>
    <s v="FJALLRAVEN"/>
    <n v="23510"/>
    <s v="Kanken"/>
    <s v="457-916"/>
    <s v="Pastel Lavender-Confetti Pattern"/>
    <s v="X"/>
    <n v="1"/>
    <x v="0"/>
  </r>
  <r>
    <x v="38"/>
    <s v="FJALLRAVEN"/>
    <n v="23510"/>
    <s v="Kanken"/>
    <s v="501-115"/>
    <s v="Sky Blue-Light Oak"/>
    <s v="X"/>
    <n v="1"/>
    <x v="4"/>
  </r>
  <r>
    <x v="191"/>
    <s v="FJALLRAVEN"/>
    <n v="23200248"/>
    <s v="Samlaren Pack Bags"/>
    <n v="0"/>
    <s v="Assorted"/>
    <s v="X"/>
    <n v="1"/>
    <x v="5"/>
  </r>
  <r>
    <x v="65"/>
    <s v="FJALLRAVEN"/>
    <n v="23349"/>
    <s v="Skule 20"/>
    <n v="550"/>
    <s v="Black"/>
    <s v="X"/>
    <n v="1"/>
    <x v="5"/>
  </r>
  <r>
    <x v="192"/>
    <s v="FJALLRAVEN"/>
    <n v="23345"/>
    <s v="Raven 28"/>
    <n v="633"/>
    <s v="Dark Olive"/>
    <s v="X"/>
    <n v="1"/>
    <x v="5"/>
  </r>
  <r>
    <x v="193"/>
    <s v="FJALLRAVEN"/>
    <n v="13100236"/>
    <s v="Fjallblomster Bandana"/>
    <n v="555"/>
    <s v="Dark Navy"/>
    <s v="X"/>
    <n v="1"/>
    <x v="0"/>
  </r>
  <r>
    <x v="194"/>
    <s v="FJALLRAVEN"/>
    <n v="12600268"/>
    <s v="Multicolor Logo T-shirt M"/>
    <n v="113"/>
    <s v="Chalk White"/>
    <s v="L"/>
    <n v="1"/>
    <x v="8"/>
  </r>
  <r>
    <x v="195"/>
    <s v="FJALLRAVEN"/>
    <n v="23797"/>
    <s v="Kanken Sling"/>
    <n v="160"/>
    <s v="OCHRE"/>
    <s v="X"/>
    <n v="1"/>
    <x v="3"/>
  </r>
  <r>
    <x v="196"/>
    <s v="FJALLRAVEN"/>
    <n v="23524"/>
    <s v="Kanken Laptop 15"/>
    <n v="550"/>
    <s v="Black"/>
    <s v="X"/>
    <n v="1"/>
    <x v="5"/>
  </r>
  <r>
    <x v="197"/>
    <s v="FJALLRAVEN"/>
    <n v="78150"/>
    <s v="High Coast Lite Cap"/>
    <n v="555"/>
    <s v="Dark Navy"/>
    <s v="S/M"/>
    <n v="1"/>
    <x v="3"/>
  </r>
  <r>
    <x v="112"/>
    <s v="FJALLRAVEN"/>
    <n v="77357"/>
    <s v="Vidda Cap"/>
    <n v="30"/>
    <s v="Dark Grey"/>
    <s v="S/M"/>
    <n v="1"/>
    <x v="5"/>
  </r>
  <r>
    <x v="198"/>
    <s v="FJALLRAVEN"/>
    <n v="23226"/>
    <s v="High Coast Pocket"/>
    <n v="620"/>
    <s v="Green"/>
    <s v="X"/>
    <n v="1"/>
    <x v="8"/>
  </r>
  <r>
    <x v="87"/>
    <s v="FJALLRAVEN"/>
    <n v="23505"/>
    <s v="Kanken Shoulder Pads"/>
    <n v="550"/>
    <s v="Black"/>
    <s v="X"/>
    <n v="1"/>
    <x v="1"/>
  </r>
  <r>
    <x v="199"/>
    <s v="FJALLRAVEN"/>
    <n v="23510"/>
    <s v="Kanken"/>
    <n v="550"/>
    <s v="Black"/>
    <s v="X"/>
    <n v="1"/>
    <x v="1"/>
  </r>
  <r>
    <x v="200"/>
    <s v="FJALLRAVEN"/>
    <n v="23200251"/>
    <s v="Kanken Outlong"/>
    <n v="560"/>
    <s v="Navy"/>
    <s v="X"/>
    <n v="1"/>
    <x v="5"/>
  </r>
  <r>
    <x v="201"/>
    <s v="FJALLRAVEN"/>
    <n v="77279"/>
    <s v="Singi Trekking Cap"/>
    <n v="550"/>
    <s v="Black"/>
    <s v="L"/>
    <n v="1"/>
    <x v="8"/>
  </r>
  <r>
    <x v="202"/>
    <s v="FJALLRAVEN"/>
    <n v="79258"/>
    <s v="Hatfield Hat"/>
    <n v="30"/>
    <s v="Dark Grey"/>
    <s v="L"/>
    <n v="1"/>
    <x v="8"/>
  </r>
  <r>
    <x v="76"/>
    <s v="FJALLRAVEN"/>
    <n v="77357"/>
    <s v="Vidda Cap"/>
    <n v="232"/>
    <s v="Buckwheat Brown"/>
    <s v="S/M"/>
    <n v="1"/>
    <x v="5"/>
  </r>
  <r>
    <x v="141"/>
    <s v="FJALLRAVEN"/>
    <n v="23227"/>
    <s v="High Coast Crossbody"/>
    <n v="16"/>
    <s v="Shark Grey"/>
    <s v="X"/>
    <n v="1"/>
    <x v="3"/>
  </r>
  <r>
    <x v="90"/>
    <s v="FJALLRAVEN"/>
    <n v="23227"/>
    <s v="High Coast Crossbody"/>
    <n v="424"/>
    <s v="Blackberry"/>
    <s v="X"/>
    <n v="1"/>
    <x v="3"/>
  </r>
  <r>
    <x v="203"/>
    <s v="FJALLRAVEN"/>
    <n v="14600270"/>
    <s v="Forest Walk T-shirt  W"/>
    <n v="111"/>
    <s v="Eggshell"/>
    <s v="S"/>
    <n v="1"/>
    <x v="3"/>
  </r>
  <r>
    <x v="204"/>
    <s v="FJALLRAVEN"/>
    <n v="14600270"/>
    <s v="Forest Walk T-shirt  W"/>
    <n v="637"/>
    <s v="Soft Jade"/>
    <s v="XS"/>
    <n v="1"/>
    <x v="3"/>
  </r>
  <r>
    <x v="42"/>
    <s v="FJALLRAVEN"/>
    <n v="23505"/>
    <s v="Kanken Shoulder Pads"/>
    <n v="160"/>
    <s v="Ochre"/>
    <s v="X"/>
    <n v="1"/>
    <x v="1"/>
  </r>
  <r>
    <x v="205"/>
    <s v="FJALLRAVEN"/>
    <n v="23510"/>
    <s v="Kanken"/>
    <n v="160"/>
    <s v="Ochre"/>
    <s v="X"/>
    <n v="1"/>
    <x v="1"/>
  </r>
  <r>
    <x v="65"/>
    <s v="FJALLRAVEN"/>
    <n v="23349"/>
    <s v="Skule 20"/>
    <n v="550"/>
    <s v="Black"/>
    <s v="X"/>
    <n v="1"/>
    <x v="3"/>
  </r>
  <r>
    <x v="65"/>
    <s v="FJALLRAVEN"/>
    <n v="23349"/>
    <s v="Skule 20"/>
    <n v="550"/>
    <s v="Black"/>
    <s v="X"/>
    <n v="1"/>
    <x v="3"/>
  </r>
  <r>
    <x v="65"/>
    <s v="FJALLRAVEN"/>
    <n v="23349"/>
    <s v="Skule 20"/>
    <n v="550"/>
    <s v="Black"/>
    <s v="X"/>
    <n v="-1"/>
    <x v="3"/>
  </r>
  <r>
    <x v="206"/>
    <s v="FJALLRAVEN"/>
    <n v="23223"/>
    <s v="High Coast Hip Pack"/>
    <n v="620"/>
    <s v="Green"/>
    <s v="X"/>
    <n v="1"/>
    <x v="6"/>
  </r>
  <r>
    <x v="207"/>
    <s v="FJALLRAVEN"/>
    <n v="81280"/>
    <s v="ReporterLiteVestM"/>
    <n v="118"/>
    <s v="Fossil"/>
    <s v="S"/>
    <n v="1"/>
    <x v="1"/>
  </r>
  <r>
    <x v="208"/>
    <s v="FJALLRAVEN"/>
    <n v="23344"/>
    <s v="Raven 20"/>
    <n v="357"/>
    <s v="Port"/>
    <s v="X"/>
    <n v="1"/>
    <x v="8"/>
  </r>
  <r>
    <x v="59"/>
    <s v="FJALLRAVEN"/>
    <n v="23346"/>
    <s v="Skule 28"/>
    <n v="50"/>
    <s v="Basalt"/>
    <s v="X"/>
    <n v="1"/>
    <x v="8"/>
  </r>
  <r>
    <x v="209"/>
    <s v="FJALLRAVEN"/>
    <n v="86984"/>
    <s v="HC Hydratic Trail Jacket M"/>
    <n v="550"/>
    <s v="Black"/>
    <s v="L"/>
    <n v="1"/>
    <x v="0"/>
  </r>
  <r>
    <x v="210"/>
    <s v="FJALLRAVEN"/>
    <n v="23710"/>
    <s v="Kanken Totepack"/>
    <n v="326"/>
    <s v="Ox Red"/>
    <s v="X"/>
    <n v="1"/>
    <x v="1"/>
  </r>
  <r>
    <x v="40"/>
    <s v="FJALLRAVEN"/>
    <n v="79060"/>
    <s v="Greenland Wax"/>
    <m/>
    <m/>
    <s v="X"/>
    <n v="1"/>
    <x v="1"/>
  </r>
  <r>
    <x v="183"/>
    <s v="FJALLRAVEN"/>
    <n v="23200395"/>
    <s v="Kanken Crossbody"/>
    <n v="118"/>
    <s v="Fossil"/>
    <s v="X"/>
    <n v="1"/>
    <x v="7"/>
  </r>
  <r>
    <x v="211"/>
    <s v="FJALLRAVEN"/>
    <n v="23301"/>
    <s v="Ulvo 23"/>
    <n v="171"/>
    <s v="Red Gold"/>
    <s v="X"/>
    <n v="1"/>
    <x v="5"/>
  </r>
  <r>
    <x v="133"/>
    <s v="FJALLRAVEN"/>
    <n v="23524"/>
    <s v="Kanken Laptop 15"/>
    <n v="501"/>
    <s v="Sky Blue"/>
    <s v="X"/>
    <n v="1"/>
    <x v="1"/>
  </r>
  <r>
    <x v="118"/>
    <s v="FJALLRAVEN"/>
    <n v="23200335"/>
    <s v="Skule 24"/>
    <n v="300"/>
    <s v="Dusty Rose"/>
    <s v="X"/>
    <n v="1"/>
    <x v="6"/>
  </r>
  <r>
    <x v="108"/>
    <s v="FJALLRAVEN"/>
    <n v="23200284"/>
    <s v="Kanken No. 2 Hip Pack"/>
    <n v="238"/>
    <s v="Hazel Brown"/>
    <s v="X"/>
    <n v="1"/>
    <x v="8"/>
  </r>
  <r>
    <x v="212"/>
    <s v="FJALLRAVEN"/>
    <n v="23200356"/>
    <s v="Kanken Graphics"/>
    <s v="577-986"/>
    <s v="Nimbus Blue-Hidden Animals"/>
    <s v="X"/>
    <n v="1"/>
    <x v="6"/>
  </r>
  <r>
    <x v="1"/>
    <s v="FJALLRAVEN"/>
    <n v="23225"/>
    <s v="High Coast Totepack"/>
    <n v="550"/>
    <s v="Black"/>
    <s v="X"/>
    <n v="1"/>
    <x v="3"/>
  </r>
  <r>
    <x v="80"/>
    <s v="FJALLRAVEN"/>
    <n v="23510"/>
    <s v="Kanken"/>
    <n v="302"/>
    <s v="Chalk Rose"/>
    <s v="X"/>
    <n v="1"/>
    <x v="8"/>
  </r>
  <r>
    <x v="132"/>
    <s v="FJALLRAVEN"/>
    <n v="23510"/>
    <s v="Kanken"/>
    <n v="326"/>
    <s v="Ox Red"/>
    <s v="X"/>
    <n v="1"/>
    <x v="7"/>
  </r>
  <r>
    <x v="213"/>
    <s v="FJALLRAVEN"/>
    <n v="83502"/>
    <s v="High Coast Lite Dress W"/>
    <n v="620"/>
    <s v="Green"/>
    <s v="M"/>
    <n v="1"/>
    <x v="0"/>
  </r>
  <r>
    <x v="175"/>
    <s v="FJALLRAVEN"/>
    <n v="86892"/>
    <s v="Vidda Pro Lite Shorts M"/>
    <n v="30"/>
    <s v="Dark Grey"/>
    <n v="52"/>
    <n v="1"/>
    <x v="0"/>
  </r>
  <r>
    <x v="214"/>
    <s v="FJALLRAVEN"/>
    <n v="86892"/>
    <s v="Vidda Pro Lite Shorts M"/>
    <n v="118"/>
    <s v="Fossil"/>
    <n v="52"/>
    <n v="1"/>
    <x v="0"/>
  </r>
  <r>
    <x v="215"/>
    <s v="FJALLRAVEN"/>
    <n v="86892"/>
    <s v="Vidda Pro Lite Shorts M"/>
    <n v="625"/>
    <s v="Laurel Green"/>
    <n v="52"/>
    <n v="1"/>
    <x v="0"/>
  </r>
  <r>
    <x v="76"/>
    <s v="FJALLRAVEN"/>
    <n v="77357"/>
    <s v="Vidda Cap"/>
    <n v="232"/>
    <s v="Buckwheat Brown"/>
    <s v="S/M"/>
    <n v="1"/>
    <x v="4"/>
  </r>
  <r>
    <x v="216"/>
    <s v="FJALLRAVEN"/>
    <n v="77277"/>
    <s v="Kiruna Hat"/>
    <n v="555"/>
    <s v="Dark Navy"/>
    <s v="M"/>
    <n v="1"/>
    <x v="7"/>
  </r>
  <r>
    <x v="217"/>
    <s v="FJALLRAVEN"/>
    <n v="13100267"/>
    <s v="Samlaren Bucket Hat"/>
    <n v="570"/>
    <s v="Mountain Blue"/>
    <s v="L/XL"/>
    <n v="1"/>
    <x v="7"/>
  </r>
  <r>
    <x v="180"/>
    <s v="FJALLRAVEN"/>
    <n v="23510"/>
    <s v="Kanken"/>
    <n v="21"/>
    <s v="Fog"/>
    <s v="X"/>
    <n v="1"/>
    <x v="5"/>
  </r>
  <r>
    <x v="218"/>
    <s v="FJALLRAVEN"/>
    <n v="23524"/>
    <s v="Kanken Laptop 15"/>
    <n v="457"/>
    <s v="Pastel Lavender"/>
    <s v="X"/>
    <n v="1"/>
    <x v="8"/>
  </r>
  <r>
    <x v="218"/>
    <s v="FJALLRAVEN"/>
    <n v="23524"/>
    <s v="Kanken Laptop 15"/>
    <n v="457"/>
    <s v="Pastel Lavender"/>
    <s v="X"/>
    <n v="1"/>
    <x v="0"/>
  </r>
  <r>
    <x v="196"/>
    <s v="FJALLRAVEN"/>
    <n v="23524"/>
    <s v="Kanken Laptop 15"/>
    <n v="550"/>
    <s v="Black"/>
    <s v="X"/>
    <n v="1"/>
    <x v="3"/>
  </r>
  <r>
    <x v="92"/>
    <s v="FJALLRAVEN"/>
    <n v="23226"/>
    <s v="High Coast Pocket"/>
    <n v="550"/>
    <s v="Black"/>
    <s v="X"/>
    <n v="1"/>
    <x v="3"/>
  </r>
  <r>
    <x v="198"/>
    <s v="FJALLRAVEN"/>
    <n v="23226"/>
    <s v="High Coast Pocket"/>
    <n v="620"/>
    <s v="Green"/>
    <s v="X"/>
    <n v="1"/>
    <x v="3"/>
  </r>
  <r>
    <x v="195"/>
    <s v="FJALLRAVEN"/>
    <n v="23797"/>
    <s v="Kanken Sling"/>
    <n v="160"/>
    <s v="OCHRE"/>
    <s v="X"/>
    <n v="1"/>
    <x v="3"/>
  </r>
  <r>
    <x v="115"/>
    <s v="FJALLRAVEN"/>
    <n v="23623"/>
    <s v="KankenRainbowSling"/>
    <s v="302-907"/>
    <s v="Chalk Rose-Rainbow"/>
    <s v="X"/>
    <n v="1"/>
    <x v="3"/>
  </r>
  <r>
    <x v="218"/>
    <s v="FJALLRAVEN"/>
    <n v="23524"/>
    <s v="Kanken Laptop 15"/>
    <n v="457"/>
    <s v="Pastel Lavender"/>
    <s v="X"/>
    <n v="1"/>
    <x v="4"/>
  </r>
  <r>
    <x v="219"/>
    <s v="FJALLRAVEN"/>
    <n v="14600167"/>
    <s v="Abisko Hike Shirt W"/>
    <n v="560"/>
    <s v="Navy"/>
    <s v="S"/>
    <n v="1"/>
    <x v="2"/>
  </r>
  <r>
    <x v="220"/>
    <s v="FJALLRAVEN"/>
    <n v="82606"/>
    <s v="High Coast Wind Jacket M"/>
    <n v="550"/>
    <s v="Black"/>
    <s v="S"/>
    <n v="1"/>
    <x v="2"/>
  </r>
  <r>
    <x v="189"/>
    <s v="FJALLRAVEN"/>
    <n v="23200301"/>
    <s v="Vardag Shoulder Bag 6"/>
    <n v="37"/>
    <s v="Coal Black"/>
    <s v="X"/>
    <n v="1"/>
    <x v="5"/>
  </r>
  <r>
    <x v="221"/>
    <s v="FJALLRAVEN"/>
    <n v="84118"/>
    <s v="Abisko Wool Fox SS W"/>
    <s v="550-048"/>
    <s v="Black-Iron Grey"/>
    <s v="XS"/>
    <n v="1"/>
    <x v="5"/>
  </r>
  <r>
    <x v="222"/>
    <s v="FJALLRAVEN"/>
    <n v="89849"/>
    <s v="Arctic Fox Print T-shirt W"/>
    <n v="133"/>
    <s v="Mais Yellow"/>
    <s v="XS"/>
    <n v="1"/>
    <x v="5"/>
  </r>
  <r>
    <x v="223"/>
    <s v="FJALLRAVEN"/>
    <n v="79104"/>
    <s v="Kneepads"/>
    <m/>
    <m/>
    <s v="X"/>
    <n v="1"/>
    <x v="0"/>
  </r>
  <r>
    <x v="224"/>
    <s v="FJALLRAVEN"/>
    <n v="87176"/>
    <s v="Keb Trousers M"/>
    <n v="550"/>
    <s v="Black"/>
    <s v="50/R"/>
    <n v="1"/>
    <x v="0"/>
  </r>
  <r>
    <x v="225"/>
    <s v="FJALLRAVEN"/>
    <n v="86892"/>
    <s v="Vidda Pro Lite Shorts M"/>
    <n v="118"/>
    <s v="Fossil"/>
    <n v="48"/>
    <n v="1"/>
    <x v="5"/>
  </r>
  <r>
    <x v="226"/>
    <s v="FJALLRAVEN"/>
    <n v="12600216"/>
    <s v="Walk With Nature T-shirt M"/>
    <n v="113"/>
    <s v="Chalk White"/>
    <s v="L"/>
    <n v="1"/>
    <x v="2"/>
  </r>
  <r>
    <x v="227"/>
    <s v="FJALLRAVEN"/>
    <n v="77407"/>
    <s v="Lappland Camo Cap"/>
    <n v="626"/>
    <s v="Green Camo"/>
    <s v="L/XL"/>
    <n v="1"/>
    <x v="2"/>
  </r>
  <r>
    <x v="228"/>
    <s v="FJALLRAVEN"/>
    <n v="27248"/>
    <s v="Vardag Pocket"/>
    <n v="326"/>
    <s v="Ox Red"/>
    <s v="X"/>
    <n v="1"/>
    <x v="7"/>
  </r>
  <r>
    <x v="5"/>
    <s v="FJALLRAVEN"/>
    <n v="79030"/>
    <s v="Greenland Wax travel pack"/>
    <m/>
    <m/>
    <s v="X"/>
    <n v="1"/>
    <x v="2"/>
  </r>
  <r>
    <x v="229"/>
    <s v="FJALLRAVEN"/>
    <n v="23223"/>
    <s v="High Coast Hip Pack"/>
    <n v="560"/>
    <s v="Navy"/>
    <s v="X"/>
    <n v="1"/>
    <x v="1"/>
  </r>
  <r>
    <x v="230"/>
    <s v="FJALLRAVEN"/>
    <n v="23710"/>
    <s v="Kanken Totepack"/>
    <n v="560"/>
    <s v="Navy"/>
    <s v="X"/>
    <n v="1"/>
    <x v="5"/>
  </r>
  <r>
    <x v="231"/>
    <s v="FJALLRAVEN"/>
    <n v="25862"/>
    <s v="Kanken Gear Bag"/>
    <n v="312"/>
    <s v="Pink"/>
    <s v="X"/>
    <n v="1"/>
    <x v="5"/>
  </r>
  <r>
    <x v="40"/>
    <s v="FJALLRAVEN"/>
    <n v="79060"/>
    <s v="Greenland Wax"/>
    <m/>
    <m/>
    <s v="X"/>
    <n v="1"/>
    <x v="5"/>
  </r>
  <r>
    <x v="232"/>
    <s v="FJALLRAVEN"/>
    <n v="13100181"/>
    <s v="Fjallraven Logo Cap"/>
    <n v="550"/>
    <s v="Black"/>
    <s v="S/M"/>
    <n v="1"/>
    <x v="7"/>
  </r>
  <r>
    <x v="233"/>
    <s v="FJALLRAVEN"/>
    <n v="23200247"/>
    <s v="Kanken Pen Case"/>
    <n v="550"/>
    <s v="Black"/>
    <s v="X"/>
    <n v="1"/>
    <x v="7"/>
  </r>
  <r>
    <x v="129"/>
    <s v="FJALLRAVEN"/>
    <n v="23797"/>
    <s v="Kanken Sling"/>
    <n v="560"/>
    <s v="NAVY"/>
    <s v="X"/>
    <n v="1"/>
    <x v="3"/>
  </r>
  <r>
    <x v="234"/>
    <s v="FJALLRAVEN"/>
    <n v="14600188"/>
    <s v="Fjallraven Heavy Classic T-shirt W"/>
    <n v="113"/>
    <s v="Chalk White"/>
    <s v="M"/>
    <n v="1"/>
    <x v="0"/>
  </r>
  <r>
    <x v="235"/>
    <s v="FJALLRAVEN"/>
    <n v="86892"/>
    <s v="Vidda Pro Lite Shorts M"/>
    <n v="118"/>
    <s v="Fossil"/>
    <n v="46"/>
    <n v="1"/>
    <x v="0"/>
  </r>
  <r>
    <x v="236"/>
    <s v="FJALLRAVEN"/>
    <n v="87039"/>
    <s v="Ovik Travel Shirt SS M"/>
    <n v="300"/>
    <s v="Dusty Rose"/>
    <s v="S"/>
    <n v="1"/>
    <x v="0"/>
  </r>
  <r>
    <x v="43"/>
    <s v="FJALLRAVEN"/>
    <n v="23510"/>
    <s v="Kanken"/>
    <n v="424"/>
    <s v="Blackberry"/>
    <s v="X"/>
    <n v="1"/>
    <x v="5"/>
  </r>
  <r>
    <x v="18"/>
    <s v="FJALLRAVEN"/>
    <n v="23785"/>
    <s v="Kanken Keyring"/>
    <n v="620"/>
    <s v="Green"/>
    <s v="X"/>
    <n v="1"/>
    <x v="5"/>
  </r>
  <r>
    <x v="237"/>
    <s v="FJALLRAVEN"/>
    <n v="87178"/>
    <s v="Vidda Pro Ventilated Trs M"/>
    <n v="633"/>
    <s v="Dark Olive"/>
    <s v="46/R"/>
    <n v="1"/>
    <x v="0"/>
  </r>
  <r>
    <x v="80"/>
    <s v="FJALLRAVEN"/>
    <n v="23510"/>
    <s v="Kanken"/>
    <n v="302"/>
    <s v="Chalk Rose"/>
    <s v="X"/>
    <n v="1"/>
    <x v="8"/>
  </r>
  <r>
    <x v="238"/>
    <s v="FJALLRAVEN"/>
    <n v="23200330"/>
    <s v="High Coast Backpack 24"/>
    <n v="560"/>
    <s v="Navy"/>
    <s v="X"/>
    <n v="1"/>
    <x v="8"/>
  </r>
  <r>
    <x v="97"/>
    <s v="FJALLRAVEN"/>
    <n v="13100182"/>
    <s v="FjallravenLangtradarkeps"/>
    <n v="118"/>
    <s v="Fossil"/>
    <s v="S/M"/>
    <n v="1"/>
    <x v="2"/>
  </r>
  <r>
    <x v="239"/>
    <s v="FJALLRAVEN"/>
    <n v="13100237"/>
    <s v="Vardag Bucket Hat"/>
    <n v="625"/>
    <s v="Laurel Green"/>
    <s v="S/M"/>
    <n v="1"/>
    <x v="2"/>
  </r>
  <r>
    <x v="240"/>
    <s v="FJALLRAVEN"/>
    <n v="14600188"/>
    <s v="Fjallraven Heavy Classic T-shirt W"/>
    <n v="113"/>
    <s v="Chalk White"/>
    <s v="XS"/>
    <n v="1"/>
    <x v="2"/>
  </r>
  <r>
    <x v="35"/>
    <s v="FJALLRAVEN"/>
    <n v="23222"/>
    <s v="High Coast Foldsack 24"/>
    <n v="16"/>
    <s v="Shark Grey"/>
    <s v="X"/>
    <n v="1"/>
    <x v="2"/>
  </r>
  <r>
    <x v="189"/>
    <s v="FJALLRAVEN"/>
    <n v="23200301"/>
    <s v="Vardag Shoulder Bag 6"/>
    <n v="37"/>
    <s v="Coal Black"/>
    <s v="X"/>
    <n v="1"/>
    <x v="7"/>
  </r>
  <r>
    <x v="38"/>
    <s v="FJALLRAVEN"/>
    <n v="23510"/>
    <s v="Kanken"/>
    <s v="501-115"/>
    <s v="Sky Blue-Light Oak"/>
    <s v="X"/>
    <n v="1"/>
    <x v="3"/>
  </r>
  <r>
    <x v="5"/>
    <s v="FJALLRAVEN"/>
    <n v="79030"/>
    <s v="Greenland Wax travel pack"/>
    <m/>
    <m/>
    <s v="X"/>
    <n v="1"/>
    <x v="8"/>
  </r>
  <r>
    <x v="79"/>
    <s v="FJALLRAVEN"/>
    <n v="23345"/>
    <s v="Raven 28"/>
    <n v="560"/>
    <s v="Navy"/>
    <s v="X"/>
    <n v="1"/>
    <x v="8"/>
  </r>
  <r>
    <x v="142"/>
    <s v="FJALLRAVEN"/>
    <n v="13100181"/>
    <s v="Fjallraven Logo Cap"/>
    <n v="232"/>
    <s v="Buckwheat Brown"/>
    <s v="L/XL"/>
    <n v="1"/>
    <x v="2"/>
  </r>
  <r>
    <x v="43"/>
    <s v="FJALLRAVEN"/>
    <n v="23510"/>
    <s v="Kanken"/>
    <n v="424"/>
    <s v="Blackberry"/>
    <s v="X"/>
    <n v="1"/>
    <x v="5"/>
  </r>
  <r>
    <x v="43"/>
    <s v="FJALLRAVEN"/>
    <n v="23510"/>
    <s v="Kanken"/>
    <n v="424"/>
    <s v="Blackberry"/>
    <s v="X"/>
    <n v="1"/>
    <x v="5"/>
  </r>
  <r>
    <x v="241"/>
    <s v="FJALLRAVEN"/>
    <n v="23200303"/>
    <s v="Farden Carry-On Pack"/>
    <n v="620"/>
    <s v="Green"/>
    <s v="X"/>
    <n v="1"/>
    <x v="8"/>
  </r>
  <r>
    <x v="242"/>
    <s v="FJALLRAVEN"/>
    <n v="25857"/>
    <s v="Rain Cover 20-35 L"/>
    <n v="525"/>
    <s v="UN Blue"/>
    <s v="X"/>
    <n v="1"/>
    <x v="8"/>
  </r>
  <r>
    <x v="91"/>
    <s v="FJALLRAVEN"/>
    <n v="23200337"/>
    <s v="Skule Sling 6"/>
    <n v="550"/>
    <s v="Black"/>
    <s v="X"/>
    <n v="1"/>
    <x v="5"/>
  </r>
  <r>
    <x v="243"/>
    <s v="FJALLRAVEN"/>
    <n v="23345"/>
    <s v="Raven 28"/>
    <n v="679"/>
    <s v="Deep Patina"/>
    <s v="X"/>
    <n v="1"/>
    <x v="0"/>
  </r>
  <r>
    <x v="244"/>
    <s v="FJALLRAVEN"/>
    <n v="24221"/>
    <s v="Pocket"/>
    <n v="228"/>
    <s v="Khaki Dust"/>
    <s v="X"/>
    <n v="1"/>
    <x v="0"/>
  </r>
  <r>
    <x v="54"/>
    <s v="FJALLRAVEN"/>
    <n v="87310"/>
    <s v="Fjallraven Logo T-shirt M"/>
    <n v="550"/>
    <s v="Black"/>
    <s v="L"/>
    <n v="1"/>
    <x v="4"/>
  </r>
  <r>
    <x v="245"/>
    <s v="FJALLRAVEN"/>
    <n v="86411"/>
    <s v="Keb Agile Trousers M"/>
    <n v="633"/>
    <s v="Dark Olive"/>
    <s v="46/R"/>
    <n v="1"/>
    <x v="5"/>
  </r>
  <r>
    <x v="246"/>
    <s v="FJALLRAVEN"/>
    <n v="86868"/>
    <s v="Abisko Hike Trousers M"/>
    <n v="625"/>
    <s v="Laurel Green"/>
    <s v="46/R"/>
    <n v="1"/>
    <x v="5"/>
  </r>
  <r>
    <x v="13"/>
    <s v="FJALLRAVEN"/>
    <n v="24213"/>
    <s v="Gear Bag"/>
    <n v="30"/>
    <s v="Dark Grey"/>
    <s v="X"/>
    <n v="1"/>
    <x v="2"/>
  </r>
  <r>
    <x v="138"/>
    <s v="FJALLRAVEN"/>
    <n v="24215"/>
    <s v="Gear Pocket"/>
    <n v="633"/>
    <s v="Dark Olive"/>
    <s v="X"/>
    <n v="1"/>
    <x v="6"/>
  </r>
  <r>
    <x v="247"/>
    <s v="FJALLRAVEN"/>
    <n v="77357"/>
    <s v="Vidda Cap"/>
    <n v="232"/>
    <s v="Buckwheat Brown"/>
    <s v="L/XL"/>
    <n v="1"/>
    <x v="6"/>
  </r>
  <r>
    <x v="248"/>
    <s v="FJALLRAVEN"/>
    <n v="77357"/>
    <s v="Vidda Cap"/>
    <n v="662"/>
    <s v="Deep Forest"/>
    <s v="L/XL"/>
    <n v="1"/>
    <x v="6"/>
  </r>
  <r>
    <x v="249"/>
    <s v="FJALLRAVEN"/>
    <n v="13100213"/>
    <s v="Abisko Trekking Cap"/>
    <n v="30"/>
    <s v="Dark Grey"/>
    <s v="S/M"/>
    <n v="1"/>
    <x v="8"/>
  </r>
  <r>
    <x v="250"/>
    <s v="FJALLRAVEN"/>
    <n v="12200207"/>
    <s v="High Coast Pack Shorts M"/>
    <n v="550"/>
    <s v="Black"/>
    <n v="48"/>
    <n v="1"/>
    <x v="0"/>
  </r>
  <r>
    <x v="251"/>
    <s v="FJALLRAVEN"/>
    <n v="12600249"/>
    <s v="High Coast Pack Shirt SS M"/>
    <n v="625"/>
    <s v="Laurel Green"/>
    <s v="M"/>
    <n v="1"/>
    <x v="0"/>
  </r>
  <r>
    <x v="252"/>
    <s v="FJALLRAVEN"/>
    <n v="12600320"/>
    <s v="Fjallraven Relaxed T-Shirt M"/>
    <n v="620"/>
    <s v="Green"/>
    <s v="S"/>
    <n v="1"/>
    <x v="0"/>
  </r>
  <r>
    <x v="253"/>
    <s v="FJALLRAVEN"/>
    <n v="12600328"/>
    <s v="Archive Logo T-Shirt M"/>
    <n v="111"/>
    <s v="Eggshell"/>
    <s v="S"/>
    <n v="1"/>
    <x v="0"/>
  </r>
  <r>
    <x v="254"/>
    <s v="FJALLRAVEN"/>
    <n v="84756"/>
    <s v="Travellers MT Shorts M"/>
    <n v="191"/>
    <s v="Light Beige"/>
    <n v="50"/>
    <n v="1"/>
    <x v="0"/>
  </r>
  <r>
    <x v="38"/>
    <s v="FJALLRAVEN"/>
    <n v="23510"/>
    <s v="Kanken"/>
    <s v="501-115"/>
    <s v="Sky Blue-Light Oak"/>
    <s v="X"/>
    <n v="1"/>
    <x v="5"/>
  </r>
  <r>
    <x v="255"/>
    <s v="FJALLRAVEN"/>
    <n v="23100160"/>
    <s v="Farden Necessity Bag"/>
    <n v="37"/>
    <s v="Coal Black"/>
    <s v="X"/>
    <n v="1"/>
    <x v="4"/>
  </r>
  <r>
    <x v="256"/>
    <s v="FJALLRAVEN"/>
    <n v="23525"/>
    <s v="Kanken Laptop 17"/>
    <n v="457"/>
    <s v="Pastel Lavender"/>
    <s v="X"/>
    <n v="1"/>
    <x v="4"/>
  </r>
  <r>
    <x v="257"/>
    <s v="FJALLRAVEN"/>
    <n v="27247"/>
    <s v="Vardag Crossbody"/>
    <n v="638"/>
    <s v="Storm"/>
    <s v="X"/>
    <n v="1"/>
    <x v="7"/>
  </r>
  <r>
    <x v="258"/>
    <s v="FJALLRAVEN"/>
    <n v="13100211"/>
    <s v="Fjallraven Wool Sock"/>
    <n v="111"/>
    <s v="Eggshell"/>
    <s v="S"/>
    <n v="1"/>
    <x v="2"/>
  </r>
  <r>
    <x v="259"/>
    <s v="FJALLRAVEN"/>
    <n v="13600016"/>
    <s v="Rainbow T-Shirt"/>
    <n v="113"/>
    <s v="Chalk White"/>
    <s v="S"/>
    <n v="1"/>
    <x v="2"/>
  </r>
  <r>
    <x v="260"/>
    <s v="FJALLRAVEN"/>
    <n v="14200222"/>
    <s v="Vardag Skirt W"/>
    <n v="118"/>
    <s v="Fossil"/>
    <s v="S"/>
    <n v="1"/>
    <x v="2"/>
  </r>
  <r>
    <x v="202"/>
    <s v="FJALLRAVEN"/>
    <n v="79258"/>
    <s v="Hatfield Hat"/>
    <n v="30"/>
    <s v="Dark Grey"/>
    <s v="L"/>
    <n v="1"/>
    <x v="2"/>
  </r>
  <r>
    <x v="261"/>
    <s v="FJALLRAVEN"/>
    <n v="87030"/>
    <s v="Vardag Dungaree Trousers W"/>
    <n v="620"/>
    <s v="Green"/>
    <s v="XS"/>
    <n v="1"/>
    <x v="2"/>
  </r>
  <r>
    <x v="262"/>
    <s v="FJALLRAVEN"/>
    <n v="81280"/>
    <s v="ReporterLiteVestM"/>
    <n v="118"/>
    <s v="Fossil"/>
    <s v="L"/>
    <n v="1"/>
    <x v="5"/>
  </r>
  <r>
    <x v="263"/>
    <s v="FJALLRAVEN"/>
    <n v="13100240"/>
    <s v="Fjallraven Flat Brim Cap"/>
    <n v="625"/>
    <s v="Laurel Green"/>
    <s v="L/XL"/>
    <n v="1"/>
    <x v="8"/>
  </r>
  <r>
    <x v="264"/>
    <s v="FJALLRAVEN"/>
    <n v="23797"/>
    <s v="Kanken Sling"/>
    <n v="620"/>
    <s v="GREEN"/>
    <s v="X"/>
    <n v="1"/>
    <x v="8"/>
  </r>
  <r>
    <x v="140"/>
    <s v="FJALLRAVEN"/>
    <n v="23200251"/>
    <s v="Kanken Outlong"/>
    <n v="664"/>
    <s v="Frost Green"/>
    <s v="X"/>
    <n v="1"/>
    <x v="8"/>
  </r>
  <r>
    <x v="265"/>
    <s v="FJALLRAVEN"/>
    <n v="23797"/>
    <s v="Kanken Sling"/>
    <n v="457"/>
    <s v="Pastel Lavender"/>
    <s v="X"/>
    <n v="1"/>
    <x v="8"/>
  </r>
  <r>
    <x v="266"/>
    <s v="FJALLRAVEN"/>
    <n v="23561"/>
    <s v="Kanken Mini"/>
    <s v="021-312"/>
    <s v="Fog-Pink"/>
    <s v="X"/>
    <n v="1"/>
    <x v="5"/>
  </r>
  <r>
    <x v="266"/>
    <s v="FJALLRAVEN"/>
    <n v="23561"/>
    <s v="Kanken Mini"/>
    <s v="021-312"/>
    <s v="Fog-Pink"/>
    <s v="X"/>
    <n v="1"/>
    <x v="5"/>
  </r>
  <r>
    <x v="144"/>
    <s v="FJALLRAVEN"/>
    <n v="13100181"/>
    <s v="Fjallraven Logo Cap"/>
    <n v="30"/>
    <s v="Dark Grey"/>
    <s v="L/XL"/>
    <n v="1"/>
    <x v="2"/>
  </r>
  <r>
    <x v="99"/>
    <s v="FJALLRAVEN"/>
    <n v="23804"/>
    <s v="Kanken no. 2 Black Laptop 15"/>
    <n v="550"/>
    <s v="Black"/>
    <s v="X"/>
    <n v="1"/>
    <x v="2"/>
  </r>
  <r>
    <x v="267"/>
    <s v="FJALLRAVEN"/>
    <n v="87039"/>
    <s v="Ovik Travel Shirt SS M"/>
    <n v="620"/>
    <s v="Green"/>
    <s v="M"/>
    <n v="1"/>
    <x v="2"/>
  </r>
  <r>
    <x v="268"/>
    <s v="FJALLRAVEN"/>
    <n v="77410"/>
    <s v="Abisko Midsummer Belt"/>
    <n v="550"/>
    <s v="Black"/>
    <s v="X"/>
    <n v="1"/>
    <x v="0"/>
  </r>
  <r>
    <x v="269"/>
    <s v="FJALLRAVEN"/>
    <n v="86411"/>
    <s v="Keb Agile Trousers M"/>
    <n v="633"/>
    <s v="Dark Olive"/>
    <s v="48/R"/>
    <n v="1"/>
    <x v="0"/>
  </r>
  <r>
    <x v="80"/>
    <s v="FJALLRAVEN"/>
    <n v="23510"/>
    <s v="Kanken"/>
    <n v="302"/>
    <s v="Chalk Rose"/>
    <s v="X"/>
    <n v="1"/>
    <x v="8"/>
  </r>
  <r>
    <x v="270"/>
    <s v="FJALLRAVEN"/>
    <n v="13100181"/>
    <s v="Fjallraven Logo Cap"/>
    <n v="30"/>
    <s v="Dark Grey"/>
    <s v="S/M"/>
    <n v="1"/>
    <x v="6"/>
  </r>
  <r>
    <x v="36"/>
    <s v="FJALLRAVEN"/>
    <n v="23803"/>
    <s v="Kanken no. 2 Laptop 15"/>
    <n v="633"/>
    <s v="Dark Olive"/>
    <s v="X"/>
    <n v="1"/>
    <x v="6"/>
  </r>
  <r>
    <x v="101"/>
    <s v="FJALLRAVEN"/>
    <n v="23344"/>
    <s v="Raven 20"/>
    <n v="228"/>
    <s v="Khaki Dust"/>
    <s v="X"/>
    <n v="1"/>
    <x v="8"/>
  </r>
  <r>
    <x v="271"/>
    <s v="FJALLRAVEN"/>
    <n v="23525"/>
    <s v="Kanken Laptop 17"/>
    <n v="620"/>
    <s v="Green"/>
    <s v="X"/>
    <n v="1"/>
    <x v="3"/>
  </r>
  <r>
    <x v="272"/>
    <s v="FJALLRAVEN"/>
    <n v="23796"/>
    <s v="Kanken Hip Pack"/>
    <n v="424"/>
    <s v="Blackberry"/>
    <s v="X"/>
    <n v="1"/>
    <x v="6"/>
  </r>
  <r>
    <x v="36"/>
    <s v="FJALLRAVEN"/>
    <n v="23803"/>
    <s v="Kanken no. 2 Laptop 15"/>
    <n v="633"/>
    <s v="Dark Olive"/>
    <s v="X"/>
    <n v="1"/>
    <x v="8"/>
  </r>
  <r>
    <x v="4"/>
    <s v="FJALLRAVEN"/>
    <n v="23226"/>
    <s v="High Coast Pocket"/>
    <n v="424"/>
    <s v="Blackberry"/>
    <s v="X"/>
    <n v="1"/>
    <x v="3"/>
  </r>
  <r>
    <x v="273"/>
    <s v="FJALLRAVEN"/>
    <n v="23200337"/>
    <s v="Skule Sling 6"/>
    <n v="300"/>
    <s v="Dusty Rose"/>
    <s v="X"/>
    <n v="1"/>
    <x v="7"/>
  </r>
  <r>
    <x v="274"/>
    <s v="FJALLRAVEN"/>
    <n v="12600249"/>
    <s v="High Coast Pack Shirt SS M"/>
    <n v="555"/>
    <s v="Dark Navy"/>
    <s v="S"/>
    <n v="1"/>
    <x v="2"/>
  </r>
  <r>
    <x v="275"/>
    <s v="FJALLRAVEN"/>
    <n v="14300010"/>
    <s v="Abisko Fjall Dress W"/>
    <n v="550"/>
    <s v="Black"/>
    <s v="S"/>
    <n v="1"/>
    <x v="2"/>
  </r>
  <r>
    <x v="155"/>
    <s v="FJALLRAVEN"/>
    <n v="23100177"/>
    <s v="Abisko Bottle Pocket"/>
    <n v="550"/>
    <s v="Black"/>
    <s v="X"/>
    <n v="1"/>
    <x v="2"/>
  </r>
  <r>
    <x v="276"/>
    <s v="FJALLRAVEN"/>
    <n v="83242"/>
    <s v="Anorak No.8"/>
    <n v="633"/>
    <s v="Dark Olive"/>
    <s v="S"/>
    <n v="1"/>
    <x v="2"/>
  </r>
  <r>
    <x v="38"/>
    <s v="FJALLRAVEN"/>
    <n v="23510"/>
    <s v="Kanken"/>
    <s v="501-115"/>
    <s v="Sky Blue-Light Oak"/>
    <s v="X"/>
    <n v="1"/>
    <x v="4"/>
  </r>
  <r>
    <x v="189"/>
    <s v="FJALLRAVEN"/>
    <n v="23200301"/>
    <s v="Vardag Shoulder Bag 6"/>
    <n v="37"/>
    <s v="Coal Black"/>
    <s v="X"/>
    <n v="1"/>
    <x v="5"/>
  </r>
  <r>
    <x v="266"/>
    <s v="FJALLRAVEN"/>
    <n v="23561"/>
    <s v="Kanken Mini"/>
    <s v="021-312"/>
    <s v="Fog-Pink"/>
    <s v="X"/>
    <n v="1"/>
    <x v="1"/>
  </r>
  <r>
    <x v="277"/>
    <s v="FJALLRAVEN"/>
    <n v="24220"/>
    <s v="Passport Wallet"/>
    <n v="633"/>
    <s v="Dark Olive"/>
    <s v="X"/>
    <n v="1"/>
    <x v="0"/>
  </r>
  <r>
    <x v="278"/>
    <s v="FJALLRAVEN"/>
    <n v="23344"/>
    <s v="Raven 20"/>
    <n v="50"/>
    <s v="Basalt"/>
    <s v="X"/>
    <n v="1"/>
    <x v="6"/>
  </r>
  <r>
    <x v="198"/>
    <s v="FJALLRAVEN"/>
    <n v="23226"/>
    <s v="High Coast Pocket"/>
    <n v="620"/>
    <s v="Green"/>
    <s v="X"/>
    <n v="1"/>
    <x v="6"/>
  </r>
  <r>
    <x v="279"/>
    <s v="FJALLRAVEN"/>
    <n v="23345"/>
    <s v="Raven 28"/>
    <s v="550-550"/>
    <s v="Black-Black"/>
    <s v="X"/>
    <n v="1"/>
    <x v="7"/>
  </r>
  <r>
    <x v="5"/>
    <s v="FJALLRAVEN"/>
    <n v="79030"/>
    <s v="Greenland Wax travel pack"/>
    <m/>
    <m/>
    <s v="X"/>
    <n v="1"/>
    <x v="7"/>
  </r>
  <r>
    <x v="128"/>
    <s v="FJALLRAVEN"/>
    <n v="23561"/>
    <s v="Kanken Mini"/>
    <s v="501-115"/>
    <s v="Sky Blue-Light Oak"/>
    <s v="X"/>
    <n v="1"/>
    <x v="3"/>
  </r>
  <r>
    <x v="31"/>
    <s v="FJALLRAVEN"/>
    <n v="23346"/>
    <s v="Skule 28"/>
    <n v="550"/>
    <s v="Black"/>
    <s v="X"/>
    <n v="1"/>
    <x v="3"/>
  </r>
  <r>
    <x v="80"/>
    <s v="FJALLRAVEN"/>
    <n v="23510"/>
    <s v="Kanken"/>
    <n v="302"/>
    <s v="Chalk Rose"/>
    <s v="X"/>
    <n v="1"/>
    <x v="8"/>
  </r>
  <r>
    <x v="218"/>
    <s v="FJALLRAVEN"/>
    <n v="23524"/>
    <s v="Kanken Laptop 15"/>
    <n v="457"/>
    <s v="Pastel Lavender"/>
    <s v="X"/>
    <n v="1"/>
    <x v="8"/>
  </r>
  <r>
    <x v="45"/>
    <s v="FJALLRAVEN"/>
    <n v="23561"/>
    <s v="Kanken Mini"/>
    <n v="312"/>
    <s v="Pink"/>
    <s v="X"/>
    <n v="1"/>
    <x v="8"/>
  </r>
  <r>
    <x v="280"/>
    <s v="FJALLRAVEN"/>
    <n v="23561"/>
    <s v="Kanken Mini"/>
    <n v="326"/>
    <s v="Ox Red"/>
    <s v="X"/>
    <n v="1"/>
    <x v="8"/>
  </r>
  <r>
    <x v="281"/>
    <s v="FJALLRAVEN"/>
    <n v="23561"/>
    <s v="Kanken Mini"/>
    <n v="540"/>
    <s v="Royal Blue"/>
    <s v="X"/>
    <n v="1"/>
    <x v="8"/>
  </r>
  <r>
    <x v="265"/>
    <s v="FJALLRAVEN"/>
    <n v="23797"/>
    <s v="Kanken Sling"/>
    <n v="457"/>
    <s v="Pastel Lavender"/>
    <s v="X"/>
    <n v="1"/>
    <x v="8"/>
  </r>
  <r>
    <x v="31"/>
    <s v="FJALLRAVEN"/>
    <n v="23346"/>
    <s v="Skule 28"/>
    <n v="550"/>
    <s v="Black"/>
    <s v="X"/>
    <n v="1"/>
    <x v="8"/>
  </r>
  <r>
    <x v="98"/>
    <s v="FJALLRAVEN"/>
    <n v="23524"/>
    <s v="Kanken Laptop 15"/>
    <n v="424"/>
    <s v="Blackberry"/>
    <s v="X"/>
    <n v="1"/>
    <x v="8"/>
  </r>
  <r>
    <x v="282"/>
    <s v="FJALLRAVEN"/>
    <n v="23110"/>
    <s v="Waterproof Packbag 20"/>
    <n v="525"/>
    <s v="UN Blue"/>
    <s v="X"/>
    <n v="1"/>
    <x v="2"/>
  </r>
  <r>
    <x v="192"/>
    <s v="FJALLRAVEN"/>
    <n v="23345"/>
    <s v="Raven 28"/>
    <n v="633"/>
    <s v="Dark Olive"/>
    <s v="X"/>
    <n v="1"/>
    <x v="2"/>
  </r>
  <r>
    <x v="46"/>
    <s v="FJALLRAVEN"/>
    <n v="24213"/>
    <s v="Gear Bag"/>
    <n v="633"/>
    <s v="Dark Olive"/>
    <s v="X"/>
    <n v="1"/>
    <x v="5"/>
  </r>
  <r>
    <x v="1"/>
    <s v="FJALLRAVEN"/>
    <n v="23225"/>
    <s v="High Coast Totepack"/>
    <n v="550"/>
    <s v="Black"/>
    <s v="X"/>
    <n v="1"/>
    <x v="5"/>
  </r>
  <r>
    <x v="283"/>
    <s v="FJALLRAVEN"/>
    <n v="79061"/>
    <s v="Greenland Wax Bag"/>
    <m/>
    <s v="Assorted"/>
    <s v="X"/>
    <n v="1"/>
    <x v="8"/>
  </r>
  <r>
    <x v="284"/>
    <s v="FJALLRAVEN"/>
    <n v="24245"/>
    <s v="Splitpack Large"/>
    <n v="633"/>
    <s v="Dark Olive"/>
    <s v="X"/>
    <n v="1"/>
    <x v="8"/>
  </r>
  <r>
    <x v="285"/>
    <s v="FJALLRAVEN"/>
    <n v="81838"/>
    <s v="Singi Trekking Shirt LS M"/>
    <n v="633"/>
    <s v="Dark Olive"/>
    <s v="S"/>
    <n v="1"/>
    <x v="8"/>
  </r>
  <r>
    <x v="99"/>
    <s v="FJALLRAVEN"/>
    <n v="23804"/>
    <s v="Kanken no. 2 Black Laptop 15"/>
    <n v="550"/>
    <s v="Black"/>
    <s v="X"/>
    <n v="1"/>
    <x v="5"/>
  </r>
  <r>
    <x v="112"/>
    <s v="FJALLRAVEN"/>
    <n v="77357"/>
    <s v="Vidda Cap"/>
    <n v="30"/>
    <s v="Dark Grey"/>
    <s v="S/M"/>
    <n v="1"/>
    <x v="5"/>
  </r>
  <r>
    <x v="286"/>
    <s v="FJALLRAVEN"/>
    <n v="87310"/>
    <s v="Fjallraven Logo T-shirt M"/>
    <n v="550"/>
    <s v="Black"/>
    <s v="S"/>
    <n v="1"/>
    <x v="5"/>
  </r>
  <r>
    <x v="159"/>
    <s v="FJALLRAVEN"/>
    <n v="23510"/>
    <s v="Kanken"/>
    <n v="31"/>
    <s v="Graphite"/>
    <s v="X"/>
    <n v="1"/>
    <x v="8"/>
  </r>
  <r>
    <x v="38"/>
    <s v="FJALLRAVEN"/>
    <n v="23510"/>
    <s v="Kanken"/>
    <s v="501-115"/>
    <s v="Sky Blue-Light Oak"/>
    <s v="X"/>
    <n v="1"/>
    <x v="8"/>
  </r>
  <r>
    <x v="287"/>
    <s v="FJALLRAVEN"/>
    <n v="12600328"/>
    <s v="Archive Logo T-Shirt M"/>
    <n v="111"/>
    <s v="Eggshell"/>
    <s v="L"/>
    <n v="1"/>
    <x v="0"/>
  </r>
  <r>
    <x v="283"/>
    <s v="FJALLRAVEN"/>
    <n v="79061"/>
    <s v="Greenland Wax Bag"/>
    <m/>
    <s v="Assorted"/>
    <s v="X"/>
    <n v="1"/>
    <x v="0"/>
  </r>
  <r>
    <x v="288"/>
    <s v="FJALLRAVEN"/>
    <n v="81752"/>
    <s v="Nils Trousers M"/>
    <n v="30"/>
    <s v="Dark Grey"/>
    <n v="50"/>
    <n v="1"/>
    <x v="0"/>
  </r>
  <r>
    <x v="92"/>
    <s v="FJALLRAVEN"/>
    <n v="23226"/>
    <s v="High Coast Pocket"/>
    <n v="550"/>
    <s v="Black"/>
    <s v="X"/>
    <n v="1"/>
    <x v="5"/>
  </r>
  <r>
    <x v="289"/>
    <s v="FJALLRAVEN"/>
    <n v="24218"/>
    <s v="Zip Card Holder"/>
    <n v="560"/>
    <s v="Navy"/>
    <s v="X"/>
    <n v="1"/>
    <x v="0"/>
  </r>
  <r>
    <x v="290"/>
    <s v="FJALLRAVEN"/>
    <n v="79258"/>
    <s v="Hatfield Hat"/>
    <n v="195"/>
    <s v="Sand Stone"/>
    <s v="L"/>
    <n v="1"/>
    <x v="5"/>
  </r>
  <r>
    <x v="66"/>
    <s v="FJALLRAVEN"/>
    <n v="23510"/>
    <s v="Kanken"/>
    <n v="457"/>
    <s v="Pastel Lavender"/>
    <s v="X"/>
    <n v="1"/>
    <x v="1"/>
  </r>
  <r>
    <x v="291"/>
    <s v="FJALLRAVEN"/>
    <n v="81900"/>
    <s v="Singi Merino Henley M"/>
    <n v="662"/>
    <s v="Deep Forest"/>
    <s v="M"/>
    <n v="1"/>
    <x v="0"/>
  </r>
  <r>
    <x v="292"/>
    <s v="FJALLRAVEN"/>
    <n v="86868"/>
    <s v="Abisko Hike Trousers M"/>
    <n v="550"/>
    <s v="Black"/>
    <s v="52/R"/>
    <n v="1"/>
    <x v="0"/>
  </r>
  <r>
    <x v="293"/>
    <s v="FJALLRAVEN"/>
    <n v="23797"/>
    <s v="Kanken Sling"/>
    <n v="312"/>
    <s v="PINK"/>
    <s v="X"/>
    <n v="1"/>
    <x v="1"/>
  </r>
  <r>
    <x v="40"/>
    <s v="FJALLRAVEN"/>
    <n v="79060"/>
    <s v="Greenland Wax"/>
    <m/>
    <m/>
    <s v="X"/>
    <n v="1"/>
    <x v="8"/>
  </r>
  <r>
    <x v="294"/>
    <s v="FJALLRAVEN"/>
    <n v="84782"/>
    <s v="Abisko Wool Headband"/>
    <n v="555"/>
    <s v="Dark Navy"/>
    <s v="X"/>
    <n v="1"/>
    <x v="8"/>
  </r>
  <r>
    <x v="295"/>
    <s v="FJALLRAVEN"/>
    <n v="87176"/>
    <s v="Keb Trousers M"/>
    <s v="662-625"/>
    <s v="Deep Forest-Laurel Green"/>
    <s v="48/R"/>
    <n v="1"/>
    <x v="0"/>
  </r>
  <r>
    <x v="50"/>
    <s v="FJALLRAVEN"/>
    <n v="23227"/>
    <s v="High Coast Crossbody"/>
    <n v="543"/>
    <s v="Dawn Blue"/>
    <s v="X"/>
    <n v="1"/>
    <x v="8"/>
  </r>
  <r>
    <x v="271"/>
    <s v="FJALLRAVEN"/>
    <n v="23525"/>
    <s v="Kanken Laptop 17"/>
    <n v="620"/>
    <s v="Green"/>
    <s v="X"/>
    <n v="1"/>
    <x v="5"/>
  </r>
  <r>
    <x v="38"/>
    <s v="FJALLRAVEN"/>
    <n v="23510"/>
    <s v="Kanken"/>
    <s v="501-115"/>
    <s v="Sky Blue-Light Oak"/>
    <s v="X"/>
    <n v="1"/>
    <x v="7"/>
  </r>
  <r>
    <x v="296"/>
    <s v="FJALLRAVEN"/>
    <n v="23200353"/>
    <s v="Abisko Hike Lite 20 M/L"/>
    <n v="221"/>
    <s v="Clay"/>
    <s v="X"/>
    <n v="1"/>
    <x v="0"/>
  </r>
  <r>
    <x v="297"/>
    <s v="FJALLRAVEN"/>
    <n v="84766"/>
    <s v="Travellers MT Hat"/>
    <n v="30"/>
    <s v="Dark Grey"/>
    <s v="M"/>
    <n v="1"/>
    <x v="0"/>
  </r>
  <r>
    <x v="191"/>
    <s v="FJALLRAVEN"/>
    <n v="23200248"/>
    <s v="Samlaren Pack Bags"/>
    <n v="0"/>
    <s v="Assorted"/>
    <s v="X"/>
    <n v="1"/>
    <x v="8"/>
  </r>
  <r>
    <x v="198"/>
    <s v="FJALLRAVEN"/>
    <n v="23226"/>
    <s v="High Coast Pocket"/>
    <n v="620"/>
    <s v="Green"/>
    <s v="X"/>
    <n v="1"/>
    <x v="8"/>
  </r>
  <r>
    <x v="29"/>
    <s v="FJALLRAVEN"/>
    <n v="23510"/>
    <s v="Kanken"/>
    <s v="021-312"/>
    <s v="Fog-Pink"/>
    <s v="X"/>
    <n v="1"/>
    <x v="3"/>
  </r>
  <r>
    <x v="83"/>
    <s v="FJALLRAVEN"/>
    <n v="23349"/>
    <s v="Skule 20"/>
    <n v="662"/>
    <s v="Deep Forest"/>
    <s v="X"/>
    <n v="1"/>
    <x v="3"/>
  </r>
  <r>
    <x v="298"/>
    <s v="FJALLRAVEN"/>
    <n v="23223"/>
    <s v="High Coast Hip Pack"/>
    <n v="424"/>
    <s v="Blackberry"/>
    <s v="X"/>
    <n v="1"/>
    <x v="1"/>
  </r>
  <r>
    <x v="58"/>
    <s v="FJALLRAVEN"/>
    <n v="23200303"/>
    <s v="Farden Carry-On Pack"/>
    <n v="37"/>
    <s v="Coal Black"/>
    <s v="X"/>
    <n v="1"/>
    <x v="5"/>
  </r>
  <r>
    <x v="138"/>
    <s v="FJALLRAVEN"/>
    <n v="24215"/>
    <s v="Gear Pocket"/>
    <n v="633"/>
    <s v="Dark Olive"/>
    <s v="X"/>
    <n v="1"/>
    <x v="5"/>
  </r>
  <r>
    <x v="80"/>
    <s v="FJALLRAVEN"/>
    <n v="23510"/>
    <s v="Kanken"/>
    <n v="302"/>
    <s v="Chalk Rose"/>
    <s v="X"/>
    <n v="1"/>
    <x v="3"/>
  </r>
  <r>
    <x v="71"/>
    <s v="FJALLRAVEN"/>
    <n v="23803"/>
    <s v="Kanken no. 2 Laptop 15"/>
    <n v="577"/>
    <s v="Nimbus Blue"/>
    <s v="X"/>
    <n v="1"/>
    <x v="8"/>
  </r>
  <r>
    <x v="91"/>
    <s v="FJALLRAVEN"/>
    <n v="23200337"/>
    <s v="Skule Sling 6"/>
    <n v="550"/>
    <s v="Black"/>
    <s v="X"/>
    <n v="1"/>
    <x v="5"/>
  </r>
  <r>
    <x v="130"/>
    <s v="FJALLRAVEN"/>
    <n v="23524"/>
    <s v="Kanken Laptop 15"/>
    <n v="664"/>
    <s v="Frost Green"/>
    <s v="X"/>
    <n v="1"/>
    <x v="0"/>
  </r>
  <r>
    <x v="299"/>
    <s v="FJALLRAVEN"/>
    <n v="24218"/>
    <s v="Zip Card Holder"/>
    <n v="633"/>
    <s v="Dark Olive"/>
    <s v="X"/>
    <n v="1"/>
    <x v="0"/>
  </r>
  <r>
    <x v="300"/>
    <s v="FJALLRAVEN"/>
    <n v="87039"/>
    <s v="Ovik Travel Shirt SS M"/>
    <n v="113"/>
    <s v="Chalk White"/>
    <s v="S"/>
    <n v="1"/>
    <x v="0"/>
  </r>
  <r>
    <x v="67"/>
    <s v="FJALLRAVEN"/>
    <n v="23510"/>
    <s v="Kanken"/>
    <n v="312"/>
    <s v="Pink"/>
    <s v="X"/>
    <n v="1"/>
    <x v="5"/>
  </r>
  <r>
    <x v="19"/>
    <s v="FJALLRAVEN"/>
    <n v="23510"/>
    <s v="Kanken"/>
    <n v="664"/>
    <s v="Frost Green"/>
    <s v="X"/>
    <n v="1"/>
    <x v="7"/>
  </r>
  <r>
    <x v="301"/>
    <s v="FJALLRAVEN"/>
    <n v="23200395"/>
    <s v="Kanken Crossbody"/>
    <n v="457"/>
    <s v="Pastel Lavender"/>
    <s v="X"/>
    <n v="1"/>
    <x v="0"/>
  </r>
  <r>
    <x v="166"/>
    <s v="FJALLRAVEN"/>
    <n v="23510"/>
    <s v="Kanken"/>
    <n v="540"/>
    <s v="Royal Blue"/>
    <s v="X"/>
    <n v="1"/>
    <x v="5"/>
  </r>
  <r>
    <x v="302"/>
    <s v="FJALLRAVEN"/>
    <n v="23796"/>
    <s v="Kanken Hip Pack"/>
    <n v="118"/>
    <s v="Fossil"/>
    <s v="X"/>
    <n v="1"/>
    <x v="5"/>
  </r>
  <r>
    <x v="303"/>
    <s v="FJALLRAVEN"/>
    <n v="87310"/>
    <s v="Fjallraven Logo T-shirt M"/>
    <n v="113"/>
    <s v="Chalk White"/>
    <s v="M"/>
    <n v="1"/>
    <x v="5"/>
  </r>
  <r>
    <x v="53"/>
    <s v="FJALLRAVEN"/>
    <n v="23223"/>
    <s v="High Coast Hip Pack"/>
    <n v="550"/>
    <s v="Black"/>
    <s v="X"/>
    <n v="1"/>
    <x v="5"/>
  </r>
  <r>
    <x v="260"/>
    <s v="FJALLRAVEN"/>
    <n v="14200222"/>
    <s v="Vardag Skirt W"/>
    <n v="118"/>
    <s v="Fossil"/>
    <s v="S"/>
    <n v="1"/>
    <x v="5"/>
  </r>
  <r>
    <x v="86"/>
    <s v="FJALLRAVEN"/>
    <n v="23797"/>
    <s v="Kanken Sling"/>
    <n v="664"/>
    <s v="FROST GREEN"/>
    <s v="X"/>
    <n v="1"/>
    <x v="5"/>
  </r>
  <r>
    <x v="58"/>
    <s v="FJALLRAVEN"/>
    <n v="23200303"/>
    <s v="Farden Carry-On Pack"/>
    <n v="37"/>
    <s v="Coal Black"/>
    <s v="X"/>
    <n v="-1"/>
    <x v="5"/>
  </r>
  <r>
    <x v="138"/>
    <s v="FJALLRAVEN"/>
    <n v="24215"/>
    <s v="Gear Pocket"/>
    <n v="633"/>
    <s v="Dark Olive"/>
    <s v="X"/>
    <n v="-1"/>
    <x v="5"/>
  </r>
  <r>
    <x v="58"/>
    <s v="FJALLRAVEN"/>
    <n v="23200303"/>
    <s v="Farden Carry-On Pack"/>
    <n v="37"/>
    <s v="Coal Black"/>
    <s v="X"/>
    <n v="1"/>
    <x v="5"/>
  </r>
  <r>
    <x v="138"/>
    <s v="FJALLRAVEN"/>
    <n v="24215"/>
    <s v="Gear Pocket"/>
    <n v="633"/>
    <s v="Dark Olive"/>
    <s v="X"/>
    <n v="1"/>
    <x v="5"/>
  </r>
  <r>
    <x v="183"/>
    <s v="FJALLRAVEN"/>
    <n v="23200395"/>
    <s v="Kanken Crossbody"/>
    <n v="118"/>
    <s v="Fossil"/>
    <s v="X"/>
    <n v="1"/>
    <x v="3"/>
  </r>
  <r>
    <x v="4"/>
    <s v="FJALLRAVEN"/>
    <n v="23226"/>
    <s v="High Coast Pocket"/>
    <n v="424"/>
    <s v="Blackberry"/>
    <s v="X"/>
    <n v="1"/>
    <x v="3"/>
  </r>
  <r>
    <x v="208"/>
    <s v="FJALLRAVEN"/>
    <n v="23344"/>
    <s v="Raven 20"/>
    <n v="357"/>
    <s v="Port"/>
    <s v="X"/>
    <n v="1"/>
    <x v="3"/>
  </r>
  <r>
    <x v="304"/>
    <s v="FJALLRAVEN"/>
    <n v="23510"/>
    <s v="Kanken"/>
    <n v="600"/>
    <s v="Mint Green"/>
    <s v="X"/>
    <n v="1"/>
    <x v="3"/>
  </r>
  <r>
    <x v="305"/>
    <s v="FJALLRAVEN"/>
    <n v="23561"/>
    <s v="Kanken Mini"/>
    <n v="560"/>
    <s v="Navy"/>
    <s v="X"/>
    <n v="1"/>
    <x v="3"/>
  </r>
  <r>
    <x v="67"/>
    <s v="FJALLRAVEN"/>
    <n v="23510"/>
    <s v="Kanken"/>
    <n v="312"/>
    <s v="Pink"/>
    <s v="X"/>
    <n v="1"/>
    <x v="4"/>
  </r>
  <r>
    <x v="306"/>
    <s v="FJALLRAVEN"/>
    <n v="23561"/>
    <s v="Kanken Mini"/>
    <n v="46"/>
    <s v="Super grey"/>
    <s v="X"/>
    <n v="1"/>
    <x v="3"/>
  </r>
  <r>
    <x v="307"/>
    <s v="FJALLRAVEN"/>
    <n v="81511"/>
    <s v="Ovik Polo Shirt M"/>
    <n v="560"/>
    <s v="Navy"/>
    <s v="M"/>
    <n v="1"/>
    <x v="5"/>
  </r>
  <r>
    <x v="308"/>
    <s v="FJALLRAVEN"/>
    <n v="23222"/>
    <s v="High Coast Foldsack 24"/>
    <n v="424"/>
    <s v="Blackberry"/>
    <s v="X"/>
    <n v="1"/>
    <x v="0"/>
  </r>
  <r>
    <x v="309"/>
    <s v="FJALLRAVEN"/>
    <n v="77277"/>
    <s v="KirunaHat"/>
    <n v="118"/>
    <s v="Fossil"/>
    <s v="L"/>
    <n v="1"/>
    <x v="0"/>
  </r>
  <r>
    <x v="310"/>
    <s v="FJALLRAVEN"/>
    <n v="77277"/>
    <s v="KirunaHat"/>
    <n v="118"/>
    <s v="Fossil"/>
    <s v="M"/>
    <n v="1"/>
    <x v="0"/>
  </r>
  <r>
    <x v="0"/>
    <s v="FJALLRAVEN"/>
    <n v="77292"/>
    <s v="Singi Gaiters"/>
    <n v="633"/>
    <s v="Dark Olive"/>
    <s v="S/M"/>
    <n v="1"/>
    <x v="0"/>
  </r>
  <r>
    <x v="311"/>
    <s v="FJALLRAVEN"/>
    <n v="77355"/>
    <s v="Singi Clip Suspenders"/>
    <n v="633"/>
    <s v="Dark Olive"/>
    <s v="X"/>
    <n v="1"/>
    <x v="0"/>
  </r>
  <r>
    <x v="312"/>
    <s v="FJALLRAVEN"/>
    <n v="79339"/>
    <s v="Marlin Mosquito Hat"/>
    <n v="30"/>
    <s v="Dark Grey"/>
    <s v="L"/>
    <n v="1"/>
    <x v="0"/>
  </r>
  <r>
    <x v="178"/>
    <s v="FJALLRAVEN"/>
    <n v="23200334"/>
    <s v="KankenKoncept"/>
    <s v="031-424"/>
    <s v="Graphite-Blackberry"/>
    <s v="X"/>
    <n v="1"/>
    <x v="0"/>
  </r>
  <r>
    <x v="271"/>
    <s v="FJALLRAVEN"/>
    <n v="23525"/>
    <s v="Kanken Laptop 17"/>
    <n v="620"/>
    <s v="Green"/>
    <s v="X"/>
    <n v="1"/>
    <x v="0"/>
  </r>
  <r>
    <x v="99"/>
    <s v="FJALLRAVEN"/>
    <n v="23804"/>
    <s v="Kanken no. 2 Black Laptop 15"/>
    <n v="550"/>
    <s v="Black"/>
    <s v="X"/>
    <n v="1"/>
    <x v="8"/>
  </r>
  <r>
    <x v="289"/>
    <s v="FJALLRAVEN"/>
    <n v="24218"/>
    <s v="Zip Card Holder"/>
    <n v="560"/>
    <s v="Navy"/>
    <s v="X"/>
    <n v="1"/>
    <x v="1"/>
  </r>
  <r>
    <x v="313"/>
    <s v="FJALLRAVEN"/>
    <n v="77316"/>
    <s v="Keb Trekking Belt"/>
    <n v="633"/>
    <s v="Dark Olive"/>
    <s v="X"/>
    <n v="1"/>
    <x v="1"/>
  </r>
  <r>
    <x v="283"/>
    <s v="FJALLRAVEN"/>
    <n v="79061"/>
    <s v="Greenland Wax Bag"/>
    <m/>
    <s v="Assorted"/>
    <s v="X"/>
    <n v="1"/>
    <x v="1"/>
  </r>
  <r>
    <x v="67"/>
    <s v="FJALLRAVEN"/>
    <n v="23510"/>
    <s v="Kanken"/>
    <n v="312"/>
    <s v="Pink"/>
    <s v="X"/>
    <n v="1"/>
    <x v="0"/>
  </r>
  <r>
    <x v="314"/>
    <s v="FJALLRAVEN"/>
    <n v="23200307"/>
    <s v="Abisko Softpack 16"/>
    <n v="221"/>
    <s v="Clay"/>
    <s v="X"/>
    <n v="1"/>
    <x v="0"/>
  </r>
  <r>
    <x v="192"/>
    <s v="FJALLRAVEN"/>
    <n v="23345"/>
    <s v="Raven 28"/>
    <n v="633"/>
    <s v="Dark Olive"/>
    <s v="X"/>
    <n v="1"/>
    <x v="7"/>
  </r>
  <r>
    <x v="315"/>
    <s v="FJALLRAVEN"/>
    <n v="23561"/>
    <s v="Kanken Mini"/>
    <n v="501"/>
    <s v="Sky blue"/>
    <s v="X"/>
    <n v="1"/>
    <x v="7"/>
  </r>
  <r>
    <x v="316"/>
    <s v="FJALLRAVEN"/>
    <n v="23561"/>
    <s v="Kanken Mini"/>
    <n v="600"/>
    <s v="Mint Green"/>
    <s v="X"/>
    <n v="1"/>
    <x v="5"/>
  </r>
  <r>
    <x v="317"/>
    <s v="FJALLRAVEN"/>
    <n v="12500171"/>
    <s v="Bergtagen Windshell Jacket M"/>
    <n v="577"/>
    <s v="Nimbus Blue"/>
    <s v="S"/>
    <n v="1"/>
    <x v="8"/>
  </r>
  <r>
    <x v="318"/>
    <s v="FJALLRAVEN"/>
    <n v="87208"/>
    <s v="Ovik Travel Shirt LS M"/>
    <n v="195"/>
    <s v="Sand Stone"/>
    <s v="S"/>
    <n v="1"/>
    <x v="8"/>
  </r>
  <r>
    <x v="319"/>
    <s v="FJALLRAVEN"/>
    <n v="87142"/>
    <s v="Abisko Lite Fleece Jacket W"/>
    <n v="550"/>
    <s v="Black"/>
    <s v="M"/>
    <n v="1"/>
    <x v="2"/>
  </r>
  <r>
    <x v="320"/>
    <s v="FJALLRAVEN"/>
    <n v="89828"/>
    <s v="Kaipak Jacket W"/>
    <n v="614"/>
    <s v="Patina Green"/>
    <s v="S"/>
    <n v="1"/>
    <x v="2"/>
  </r>
  <r>
    <x v="30"/>
    <s v="FJALLRAVEN"/>
    <n v="23510"/>
    <s v="Kanken"/>
    <n v="501"/>
    <s v="Sky blue"/>
    <s v="X"/>
    <n v="1"/>
    <x v="7"/>
  </r>
  <r>
    <x v="321"/>
    <s v="FJALLRAVEN"/>
    <n v="23324"/>
    <s v="Singi Gear Holder"/>
    <n v="633"/>
    <s v="Dark Olive"/>
    <s v="X"/>
    <n v="1"/>
    <x v="5"/>
  </r>
  <r>
    <x v="322"/>
    <s v="FJALLRAVEN"/>
    <n v="23513"/>
    <s v="Kanken Rainbow Chest Strap"/>
    <n v="907"/>
    <s v="Rainbow Pattern"/>
    <s v="X"/>
    <n v="1"/>
    <x v="4"/>
  </r>
  <r>
    <x v="8"/>
    <s v="FJALLRAVEN"/>
    <n v="23561"/>
    <s v="Kanken Mini"/>
    <n v="457"/>
    <s v="Pastel Lavender"/>
    <s v="X"/>
    <n v="1"/>
    <x v="4"/>
  </r>
  <r>
    <x v="249"/>
    <s v="FJALLRAVEN"/>
    <n v="13100213"/>
    <s v="Abisko Trekking Cap"/>
    <n v="30"/>
    <s v="Dark Grey"/>
    <s v="S/M"/>
    <n v="1"/>
    <x v="2"/>
  </r>
  <r>
    <x v="323"/>
    <s v="FJALLRAVEN"/>
    <n v="13100213"/>
    <s v="AbiskoTrekkingCap"/>
    <n v="118"/>
    <s v="Fossil"/>
    <s v="S/M"/>
    <n v="1"/>
    <x v="2"/>
  </r>
  <r>
    <x v="324"/>
    <s v="FJALLRAVEN"/>
    <n v="23505"/>
    <s v="Kanken Shoulder Pads"/>
    <n v="228"/>
    <s v="Khaki Dust"/>
    <s v="X"/>
    <n v="1"/>
    <x v="2"/>
  </r>
  <r>
    <x v="112"/>
    <s v="FJALLRAVEN"/>
    <n v="77357"/>
    <s v="Vidda Cap"/>
    <n v="30"/>
    <s v="Dark Grey"/>
    <s v="S/M"/>
    <n v="1"/>
    <x v="2"/>
  </r>
  <r>
    <x v="128"/>
    <s v="FJALLRAVEN"/>
    <n v="23561"/>
    <s v="Kanken Mini"/>
    <s v="501-115"/>
    <s v="Sky Blue-Light Oak"/>
    <s v="X"/>
    <n v="1"/>
    <x v="5"/>
  </r>
  <r>
    <x v="325"/>
    <s v="FJALLRAVEN"/>
    <n v="23154"/>
    <s v="Greenland Shoulder Bag"/>
    <n v="662"/>
    <s v="Deep Forest"/>
    <s v="X"/>
    <n v="1"/>
    <x v="7"/>
  </r>
  <r>
    <x v="326"/>
    <s v="FJALLRAVEN"/>
    <n v="23785"/>
    <s v="Kanken Keyring"/>
    <n v="664"/>
    <s v="Frost Green"/>
    <s v="X"/>
    <n v="1"/>
    <x v="2"/>
  </r>
  <r>
    <x v="327"/>
    <s v="FJALLRAVEN"/>
    <n v="23505"/>
    <s v="Kanken Shoulder Pads"/>
    <n v="21"/>
    <s v="Fog"/>
    <s v="X"/>
    <n v="1"/>
    <x v="2"/>
  </r>
  <r>
    <x v="38"/>
    <s v="FJALLRAVEN"/>
    <n v="23510"/>
    <s v="Kanken"/>
    <s v="501-115"/>
    <s v="Sky Blue-Light Oak"/>
    <s v="X"/>
    <n v="1"/>
    <x v="2"/>
  </r>
  <r>
    <x v="328"/>
    <s v="FJALLRAVEN"/>
    <n v="87153"/>
    <s v="Fox Boxy Logo Tee W"/>
    <n v="300"/>
    <s v="Dusty Rose"/>
    <s v="S"/>
    <n v="1"/>
    <x v="3"/>
  </r>
  <r>
    <x v="80"/>
    <s v="FJALLRAVEN"/>
    <n v="23510"/>
    <s v="Kanken"/>
    <n v="302"/>
    <s v="Chalk Rose"/>
    <s v="X"/>
    <n v="1"/>
    <x v="1"/>
  </r>
  <r>
    <x v="100"/>
    <s v="FJALLRAVEN"/>
    <n v="23320"/>
    <s v="Singi 28"/>
    <n v="633"/>
    <s v="Dark Olive"/>
    <s v="X"/>
    <n v="1"/>
    <x v="2"/>
  </r>
  <r>
    <x v="329"/>
    <s v="FJALLRAVEN"/>
    <n v="23323"/>
    <s v="Singi Side Pocket"/>
    <n v="633"/>
    <s v="Dark Olive"/>
    <s v="X"/>
    <n v="1"/>
    <x v="2"/>
  </r>
  <r>
    <x v="321"/>
    <s v="FJALLRAVEN"/>
    <n v="23324"/>
    <s v="Singi Gear Holder"/>
    <n v="633"/>
    <s v="Dark Olive"/>
    <s v="X"/>
    <n v="1"/>
    <x v="2"/>
  </r>
  <r>
    <x v="330"/>
    <s v="FJALLRAVEN"/>
    <n v="77357"/>
    <s v="Vidda Cap"/>
    <n v="300"/>
    <s v="Dusty Rose"/>
    <s v="S/M"/>
    <n v="1"/>
    <x v="2"/>
  </r>
  <r>
    <x v="331"/>
    <s v="FJALLRAVEN"/>
    <n v="84108"/>
    <s v="AbiskoSun-hoodieW"/>
    <n v="357"/>
    <s v="Port"/>
    <s v="S"/>
    <n v="1"/>
    <x v="2"/>
  </r>
  <r>
    <x v="332"/>
    <s v="FJALLRAVEN"/>
    <n v="12600216"/>
    <s v="Walk With Nature T-shirt M"/>
    <n v="244"/>
    <s v="Suede Brown"/>
    <s v="S"/>
    <n v="1"/>
    <x v="5"/>
  </r>
  <r>
    <x v="333"/>
    <s v="FJALLRAVEN"/>
    <n v="13100213"/>
    <s v="Abisko Trekking Cap"/>
    <n v="300"/>
    <s v="Dusty Rose"/>
    <s v="S/M"/>
    <n v="1"/>
    <x v="5"/>
  </r>
  <r>
    <x v="334"/>
    <s v="FJALLRAVEN"/>
    <n v="53503"/>
    <s v="Abisko Dome 3"/>
    <n v="525"/>
    <s v="UN Blue"/>
    <s v="X"/>
    <n v="1"/>
    <x v="5"/>
  </r>
  <r>
    <x v="335"/>
    <s v="FJALLRAVEN"/>
    <n v="23561"/>
    <s v="Kanken Mini"/>
    <n v="550"/>
    <s v="Black"/>
    <s v="X"/>
    <n v="1"/>
    <x v="3"/>
  </r>
  <r>
    <x v="121"/>
    <s v="FJALLRAVEN"/>
    <n v="23344"/>
    <s v="Raven 20"/>
    <s v="550-550"/>
    <s v="Black-Black"/>
    <s v="X"/>
    <n v="1"/>
    <x v="2"/>
  </r>
  <r>
    <x v="336"/>
    <s v="FJALLRAVEN"/>
    <n v="12600216"/>
    <s v="Walk With Nature T-shirt M"/>
    <n v="113"/>
    <s v="Chalk White"/>
    <s v="M"/>
    <n v="1"/>
    <x v="0"/>
  </r>
  <r>
    <x v="337"/>
    <s v="FJALLRAVEN"/>
    <n v="23100176"/>
    <s v="Samlaren Field Repair"/>
    <m/>
    <s v="Assorted"/>
    <s v="X"/>
    <n v="1"/>
    <x v="0"/>
  </r>
  <r>
    <x v="38"/>
    <s v="FJALLRAVEN"/>
    <n v="23510"/>
    <s v="Kanken"/>
    <s v="501-115"/>
    <s v="Sky Blue-Light Oak"/>
    <s v="X"/>
    <n v="1"/>
    <x v="2"/>
  </r>
  <r>
    <x v="338"/>
    <s v="FJALLRAVEN"/>
    <n v="23505"/>
    <s v="Kanken Shoulder Pads"/>
    <n v="664"/>
    <s v="Frost Green"/>
    <s v="X"/>
    <n v="1"/>
    <x v="8"/>
  </r>
  <r>
    <x v="339"/>
    <s v="FJALLRAVEN"/>
    <n v="23525"/>
    <s v="Kanken Laptop 17"/>
    <n v="550"/>
    <s v="Black"/>
    <s v="X"/>
    <n v="1"/>
    <x v="5"/>
  </r>
  <r>
    <x v="180"/>
    <s v="FJALLRAVEN"/>
    <n v="23510"/>
    <s v="Kanken"/>
    <n v="21"/>
    <s v="Fog"/>
    <s v="X"/>
    <n v="1"/>
    <x v="3"/>
  </r>
  <r>
    <x v="38"/>
    <s v="FJALLRAVEN"/>
    <n v="23510"/>
    <s v="Kanken"/>
    <s v="501-115"/>
    <s v="Sky Blue-Light Oak"/>
    <s v="X"/>
    <n v="1"/>
    <x v="7"/>
  </r>
  <r>
    <x v="264"/>
    <s v="FJALLRAVEN"/>
    <n v="23797"/>
    <s v="Kanken Sling"/>
    <n v="620"/>
    <s v="GREEN"/>
    <s v="X"/>
    <n v="1"/>
    <x v="8"/>
  </r>
  <r>
    <x v="340"/>
    <s v="FJALLRAVEN"/>
    <n v="23710"/>
    <s v="Kanken Totepack"/>
    <n v="662"/>
    <s v="Deep Forest"/>
    <s v="X"/>
    <n v="1"/>
    <x v="5"/>
  </r>
  <r>
    <x v="5"/>
    <s v="FJALLRAVEN"/>
    <n v="79030"/>
    <s v="Greenland Wax travel pack"/>
    <m/>
    <m/>
    <s v="X"/>
    <n v="1"/>
    <x v="5"/>
  </r>
  <r>
    <x v="271"/>
    <s v="FJALLRAVEN"/>
    <n v="23525"/>
    <s v="Kanken Laptop 17"/>
    <n v="620"/>
    <s v="Green"/>
    <s v="X"/>
    <n v="1"/>
    <x v="5"/>
  </r>
  <r>
    <x v="341"/>
    <s v="FJALLRAVEN"/>
    <n v="23156"/>
    <s v="Greenland Pocket"/>
    <n v="42"/>
    <s v="Dusk"/>
    <s v="X"/>
    <n v="1"/>
    <x v="4"/>
  </r>
  <r>
    <x v="47"/>
    <s v="FJALLRAVEN"/>
    <n v="24216"/>
    <s v="Zip Wallet"/>
    <n v="633"/>
    <s v="Dark Olive"/>
    <s v="X"/>
    <n v="1"/>
    <x v="4"/>
  </r>
  <r>
    <x v="342"/>
    <s v="FJALLRAVEN"/>
    <n v="13100237"/>
    <s v="Vardag Bucket Hat"/>
    <n v="550"/>
    <s v="Black"/>
    <s v="S/M"/>
    <n v="1"/>
    <x v="5"/>
  </r>
  <r>
    <x v="128"/>
    <s v="FJALLRAVEN"/>
    <n v="23561"/>
    <s v="Kanken Mini"/>
    <s v="501-115"/>
    <s v="Sky Blue-Light Oak"/>
    <s v="X"/>
    <n v="1"/>
    <x v="6"/>
  </r>
  <r>
    <x v="80"/>
    <s v="FJALLRAVEN"/>
    <n v="23510"/>
    <s v="Kanken"/>
    <n v="302"/>
    <s v="Chalk Rose"/>
    <s v="X"/>
    <n v="1"/>
    <x v="5"/>
  </r>
  <r>
    <x v="80"/>
    <s v="FJALLRAVEN"/>
    <n v="23510"/>
    <s v="Kanken"/>
    <n v="302"/>
    <s v="Chalk Rose"/>
    <s v="X"/>
    <n v="-1"/>
    <x v="5"/>
  </r>
  <r>
    <x v="343"/>
    <s v="FJALLRAVEN"/>
    <n v="23226"/>
    <s v="HighCoastPocket"/>
    <n v="452"/>
    <s v="Lavender Mist"/>
    <s v="X"/>
    <n v="1"/>
    <x v="5"/>
  </r>
  <r>
    <x v="344"/>
    <s v="FJALLRAVEN"/>
    <n v="23344"/>
    <s v="Raven 20"/>
    <n v="560"/>
    <s v="Navy"/>
    <s v="X"/>
    <n v="1"/>
    <x v="7"/>
  </r>
  <r>
    <x v="345"/>
    <s v="FJALLRAVEN"/>
    <n v="12600232"/>
    <s v="Fjallraven Heavy Classic T-shirt M"/>
    <n v="113"/>
    <s v="Chalk White"/>
    <s v="M"/>
    <n v="1"/>
    <x v="2"/>
  </r>
  <r>
    <x v="346"/>
    <s v="FJALLRAVEN"/>
    <n v="23785"/>
    <s v="Kanken Keyring"/>
    <n v="326"/>
    <s v="Ox Red"/>
    <s v="X"/>
    <n v="1"/>
    <x v="2"/>
  </r>
  <r>
    <x v="347"/>
    <s v="FJALLRAVEN"/>
    <n v="77297"/>
    <s v="Canvas Brass Belt 4 cm"/>
    <n v="555"/>
    <s v="Dark Navy"/>
    <s v="X"/>
    <n v="1"/>
    <x v="2"/>
  </r>
  <r>
    <x v="348"/>
    <s v="FJALLRAVEN"/>
    <n v="81188"/>
    <s v="Ruaha Shorts M"/>
    <n v="118"/>
    <s v="Fossil"/>
    <n v="44"/>
    <n v="1"/>
    <x v="2"/>
  </r>
  <r>
    <x v="183"/>
    <s v="FJALLRAVEN"/>
    <n v="23200395"/>
    <s v="Kanken Crossbody"/>
    <n v="118"/>
    <s v="Fossil"/>
    <s v="X"/>
    <n v="1"/>
    <x v="6"/>
  </r>
  <r>
    <x v="349"/>
    <s v="FJALLRAVEN"/>
    <n v="23505"/>
    <s v="Kanken Shoulder Pads"/>
    <n v="560"/>
    <s v="Navy"/>
    <s v="X"/>
    <n v="1"/>
    <x v="4"/>
  </r>
  <r>
    <x v="159"/>
    <s v="FJALLRAVEN"/>
    <n v="23510"/>
    <s v="Kanken"/>
    <n v="31"/>
    <s v="Graphite"/>
    <s v="X"/>
    <n v="1"/>
    <x v="4"/>
  </r>
  <r>
    <x v="52"/>
    <s v="FJALLRAVEN"/>
    <n v="23565"/>
    <s v="KankenNo.2"/>
    <n v="577"/>
    <s v="Nimbus Blue"/>
    <s v="X"/>
    <n v="1"/>
    <x v="3"/>
  </r>
  <r>
    <x v="80"/>
    <s v="FJALLRAVEN"/>
    <n v="23510"/>
    <s v="Kanken"/>
    <n v="302"/>
    <s v="Chalk Rose"/>
    <s v="X"/>
    <n v="1"/>
    <x v="4"/>
  </r>
  <r>
    <x v="84"/>
    <s v="FJALLRAVEN"/>
    <n v="23200395"/>
    <s v="Kanken Crossbody"/>
    <n v="550"/>
    <s v="Black"/>
    <s v="X"/>
    <n v="1"/>
    <x v="8"/>
  </r>
  <r>
    <x v="66"/>
    <s v="FJALLRAVEN"/>
    <n v="23510"/>
    <s v="Kanken"/>
    <n v="457"/>
    <s v="Pastel Lavender"/>
    <s v="X"/>
    <n v="1"/>
    <x v="2"/>
  </r>
  <r>
    <x v="350"/>
    <s v="FJALLRAVEN"/>
    <n v="12600194"/>
    <s v="Abisko Trail Shirt LS M"/>
    <n v="118"/>
    <s v="Fossil"/>
    <s v="M"/>
    <n v="1"/>
    <x v="0"/>
  </r>
  <r>
    <x v="351"/>
    <s v="FJALLRAVEN"/>
    <n v="12600328"/>
    <s v="Archive Logo T-Shirt M"/>
    <n v="111"/>
    <s v="Eggshell"/>
    <s v="M"/>
    <n v="1"/>
    <x v="0"/>
  </r>
  <r>
    <x v="103"/>
    <s v="FJALLRAVEN"/>
    <n v="23200337"/>
    <s v="Skule Sling 6"/>
    <n v="171"/>
    <s v="Red Gold"/>
    <s v="X"/>
    <n v="1"/>
    <x v="0"/>
  </r>
  <r>
    <x v="352"/>
    <s v="FJALLRAVEN"/>
    <n v="23225"/>
    <s v="High Coast Totepack"/>
    <n v="221"/>
    <s v="Clay"/>
    <s v="X"/>
    <n v="1"/>
    <x v="6"/>
  </r>
  <r>
    <x v="353"/>
    <s v="FJALLRAVEN"/>
    <n v="12100004"/>
    <s v="HighCoastWindCap"/>
    <n v="113"/>
    <s v="Chalk White"/>
    <s v="L/XL"/>
    <n v="1"/>
    <x v="2"/>
  </r>
  <r>
    <x v="354"/>
    <s v="FJALLRAVEN"/>
    <n v="12600216"/>
    <s v="Walk With Nature T-shirt M"/>
    <n v="244"/>
    <s v="Suede Brown"/>
    <s v="M"/>
    <n v="1"/>
    <x v="2"/>
  </r>
  <r>
    <x v="61"/>
    <s v="FJALLRAVEN"/>
    <n v="87313"/>
    <s v="1960 Logo T-shirt M"/>
    <n v="534"/>
    <s v="Indigo Blue"/>
    <s v="M"/>
    <n v="1"/>
    <x v="2"/>
  </r>
  <r>
    <x v="355"/>
    <s v="FJALLRAVEN"/>
    <n v="89234"/>
    <s v="Stina Jacket W"/>
    <n v="550"/>
    <s v="Black"/>
    <s v="M"/>
    <n v="1"/>
    <x v="2"/>
  </r>
  <r>
    <x v="356"/>
    <s v="FJALLRAVEN"/>
    <n v="89849"/>
    <s v="Arctic Fox Print T-shirt W"/>
    <n v="133"/>
    <s v="Mais Yellow"/>
    <s v="S"/>
    <n v="1"/>
    <x v="2"/>
  </r>
  <r>
    <x v="126"/>
    <s v="FJALLRAVEN"/>
    <n v="23227"/>
    <s v="High Coast Crossbody"/>
    <n v="623"/>
    <s v="Mountain Green"/>
    <s v="X"/>
    <n v="1"/>
    <x v="3"/>
  </r>
  <r>
    <x v="184"/>
    <s v="FJALLRAVEN"/>
    <n v="23622"/>
    <s v="Kanken Rainbow Keyring"/>
    <n v="907"/>
    <s v="Rainbow Pattern"/>
    <s v="X"/>
    <n v="1"/>
    <x v="3"/>
  </r>
  <r>
    <x v="126"/>
    <s v="FJALLRAVEN"/>
    <n v="23227"/>
    <s v="High Coast Crossbody"/>
    <n v="623"/>
    <s v="Mountain Green"/>
    <s v="X"/>
    <n v="1"/>
    <x v="3"/>
  </r>
  <r>
    <x v="184"/>
    <s v="FJALLRAVEN"/>
    <n v="23622"/>
    <s v="Kanken Rainbow Keyring"/>
    <n v="907"/>
    <s v="Rainbow Pattern"/>
    <s v="X"/>
    <n v="1"/>
    <x v="3"/>
  </r>
  <r>
    <x v="126"/>
    <s v="FJALLRAVEN"/>
    <n v="23227"/>
    <s v="High Coast Crossbody"/>
    <n v="623"/>
    <s v="Mountain Green"/>
    <s v="X"/>
    <n v="-1"/>
    <x v="3"/>
  </r>
  <r>
    <x v="184"/>
    <s v="FJALLRAVEN"/>
    <n v="23622"/>
    <s v="Kanken Rainbow Keyring"/>
    <n v="907"/>
    <s v="Rainbow Pattern"/>
    <s v="X"/>
    <n v="-1"/>
    <x v="3"/>
  </r>
  <r>
    <x v="335"/>
    <s v="FJALLRAVEN"/>
    <n v="23561"/>
    <s v="Kanken Mini"/>
    <n v="550"/>
    <s v="Black"/>
    <s v="X"/>
    <n v="1"/>
    <x v="8"/>
  </r>
  <r>
    <x v="80"/>
    <s v="FJALLRAVEN"/>
    <n v="23510"/>
    <s v="Kanken"/>
    <n v="302"/>
    <s v="Chalk Rose"/>
    <s v="X"/>
    <n v="1"/>
    <x v="6"/>
  </r>
  <r>
    <x v="357"/>
    <s v="FJALLRAVEN"/>
    <n v="23797"/>
    <s v="Kanken Sling"/>
    <n v="118"/>
    <s v="Fossil"/>
    <s v="X"/>
    <n v="1"/>
    <x v="1"/>
  </r>
  <r>
    <x v="131"/>
    <s v="FJALLRAVEN"/>
    <n v="23505"/>
    <s v="Kanken Shoulder Pads"/>
    <n v="326"/>
    <s v="Ox Red"/>
    <s v="X"/>
    <n v="1"/>
    <x v="0"/>
  </r>
  <r>
    <x v="80"/>
    <s v="FJALLRAVEN"/>
    <n v="23510"/>
    <s v="Kanken"/>
    <n v="302"/>
    <s v="Chalk Rose"/>
    <s v="X"/>
    <n v="1"/>
    <x v="0"/>
  </r>
  <r>
    <x v="358"/>
    <s v="FJALLRAVEN"/>
    <n v="23510"/>
    <s v="Kanken"/>
    <n v="620"/>
    <s v="Green"/>
    <s v="X"/>
    <n v="1"/>
    <x v="7"/>
  </r>
  <r>
    <x v="132"/>
    <s v="FJALLRAVEN"/>
    <n v="23510"/>
    <s v="Kanken"/>
    <n v="326"/>
    <s v="Ox Red"/>
    <s v="X"/>
    <n v="1"/>
    <x v="6"/>
  </r>
  <r>
    <x v="67"/>
    <s v="FJALLRAVEN"/>
    <n v="23510"/>
    <s v="Kanken"/>
    <n v="312"/>
    <s v="Pink"/>
    <s v="X"/>
    <n v="1"/>
    <x v="3"/>
  </r>
  <r>
    <x v="217"/>
    <s v="FJALLRAVEN"/>
    <n v="13100267"/>
    <s v="Samlaren Bucket Hat"/>
    <n v="570"/>
    <s v="Mountain Blue"/>
    <s v="L/XL"/>
    <n v="1"/>
    <x v="5"/>
  </r>
  <r>
    <x v="359"/>
    <s v="FJALLRAVEN"/>
    <n v="23623"/>
    <s v="Kanken Rainbow Sling"/>
    <s v="550-907"/>
    <s v="Black-Rainbow Pattern"/>
    <s v="X"/>
    <n v="1"/>
    <x v="5"/>
  </r>
  <r>
    <x v="360"/>
    <s v="FJALLRAVEN"/>
    <n v="84783"/>
    <s v="Reversible Bucket Hat"/>
    <s v="300-118"/>
    <s v="Dusty Rose-Fossil"/>
    <s v="S/M"/>
    <n v="1"/>
    <x v="5"/>
  </r>
  <r>
    <x v="361"/>
    <s v="FJALLRAVEN"/>
    <n v="87146"/>
    <s v="Fjallraven Logo Tee W"/>
    <n v="133"/>
    <s v="Mais Yellow"/>
    <s v="M"/>
    <n v="1"/>
    <x v="5"/>
  </r>
  <r>
    <x v="29"/>
    <s v="FJALLRAVEN"/>
    <n v="23510"/>
    <s v="Kanken"/>
    <s v="021-312"/>
    <s v="Fog-Pink"/>
    <s v="X"/>
    <n v="1"/>
    <x v="6"/>
  </r>
  <r>
    <x v="362"/>
    <s v="FJALLRAVEN"/>
    <n v="23710"/>
    <s v="Kanken Totepack"/>
    <n v="160"/>
    <s v="Ochre"/>
    <s v="X"/>
    <n v="1"/>
    <x v="0"/>
  </r>
  <r>
    <x v="363"/>
    <s v="FJALLRAVEN"/>
    <n v="23796"/>
    <s v="KankenHipPack"/>
    <n v="620"/>
    <s v="Green"/>
    <s v="X"/>
    <n v="1"/>
    <x v="0"/>
  </r>
  <r>
    <x v="76"/>
    <s v="FJALLRAVEN"/>
    <n v="77357"/>
    <s v="Vidda Cap"/>
    <n v="232"/>
    <s v="Buckwheat Brown"/>
    <s v="S/M"/>
    <n v="1"/>
    <x v="0"/>
  </r>
  <r>
    <x v="364"/>
    <s v="FJALLRAVEN"/>
    <n v="23200338"/>
    <s v="Vardag Pocket Small"/>
    <n v="662"/>
    <s v="Deep Forest"/>
    <s v="X"/>
    <n v="1"/>
    <x v="5"/>
  </r>
  <r>
    <x v="184"/>
    <s v="FJALLRAVEN"/>
    <n v="23622"/>
    <s v="Kanken Rainbow Keyring"/>
    <n v="907"/>
    <s v="Rainbow Pattern"/>
    <s v="X"/>
    <n v="2"/>
    <x v="5"/>
  </r>
  <r>
    <x v="365"/>
    <s v="FJALLRAVEN"/>
    <n v="23785"/>
    <s v="Kanken Keyring"/>
    <n v="141"/>
    <s v="Warm Yellow"/>
    <s v="X"/>
    <n v="1"/>
    <x v="5"/>
  </r>
  <r>
    <x v="268"/>
    <s v="FJALLRAVEN"/>
    <n v="77410"/>
    <s v="Abisko Midsummer Belt"/>
    <n v="550"/>
    <s v="Black"/>
    <s v="X"/>
    <n v="1"/>
    <x v="5"/>
  </r>
  <r>
    <x v="366"/>
    <s v="FJALLRAVEN"/>
    <n v="23225"/>
    <s v="High Coast Totepack"/>
    <n v="620"/>
    <s v="Green"/>
    <s v="X"/>
    <n v="1"/>
    <x v="6"/>
  </r>
  <r>
    <x v="132"/>
    <s v="FJALLRAVEN"/>
    <n v="23510"/>
    <s v="Kanken"/>
    <n v="326"/>
    <s v="Ox Red"/>
    <s v="X"/>
    <n v="1"/>
    <x v="6"/>
  </r>
  <r>
    <x v="317"/>
    <s v="FJALLRAVEN"/>
    <n v="12500171"/>
    <s v="Bergtagen Windshell Jacket M"/>
    <n v="577"/>
    <s v="Nimbus Blue"/>
    <s v="S"/>
    <n v="1"/>
    <x v="5"/>
  </r>
  <r>
    <x v="367"/>
    <s v="FJALLRAVEN"/>
    <n v="12600216"/>
    <s v="Walk With Nature T-shirt M"/>
    <n v="113"/>
    <s v="Chalk White"/>
    <s v="S"/>
    <n v="1"/>
    <x v="5"/>
  </r>
  <r>
    <x v="368"/>
    <s v="FJALLRAVEN"/>
    <n v="13100181"/>
    <s v="Fjallraven Logo Cap"/>
    <n v="555"/>
    <s v="Dark Navy"/>
    <s v="S/M"/>
    <n v="1"/>
    <x v="5"/>
  </r>
  <r>
    <x v="369"/>
    <s v="FJALLRAVEN"/>
    <n v="77029"/>
    <s v="Canvas Belt"/>
    <n v="30"/>
    <s v="Dark Grey"/>
    <s v="X"/>
    <n v="1"/>
    <x v="5"/>
  </r>
  <r>
    <x v="80"/>
    <s v="FJALLRAVEN"/>
    <n v="23510"/>
    <s v="Kanken"/>
    <n v="302"/>
    <s v="Chalk Rose"/>
    <s v="X"/>
    <n v="1"/>
    <x v="2"/>
  </r>
  <r>
    <x v="132"/>
    <s v="FJALLRAVEN"/>
    <n v="23510"/>
    <s v="Kanken"/>
    <n v="326"/>
    <s v="Ox Red"/>
    <s v="X"/>
    <n v="1"/>
    <x v="2"/>
  </r>
  <r>
    <x v="154"/>
    <s v="FJALLRAVEN"/>
    <n v="23797"/>
    <s v="Kanken Sling"/>
    <n v="21"/>
    <s v="FOG"/>
    <s v="X"/>
    <n v="1"/>
    <x v="5"/>
  </r>
  <r>
    <x v="5"/>
    <s v="FJALLRAVEN"/>
    <n v="79030"/>
    <s v="Greenland Wax travel pack"/>
    <m/>
    <m/>
    <s v="X"/>
    <n v="1"/>
    <x v="8"/>
  </r>
  <r>
    <x v="131"/>
    <s v="FJALLRAVEN"/>
    <n v="23505"/>
    <s v="Kanken Shoulder Pads"/>
    <n v="326"/>
    <s v="Ox Red"/>
    <s v="X"/>
    <n v="1"/>
    <x v="8"/>
  </r>
  <r>
    <x v="122"/>
    <s v="FJALLRAVEN"/>
    <n v="23510"/>
    <s v="Kanken"/>
    <n v="228"/>
    <s v="Khaki Dust"/>
    <s v="X"/>
    <n v="1"/>
    <x v="8"/>
  </r>
  <r>
    <x v="183"/>
    <s v="FJALLRAVEN"/>
    <n v="23200395"/>
    <s v="Kanken Crossbody"/>
    <n v="118"/>
    <s v="Fossil"/>
    <s v="X"/>
    <n v="1"/>
    <x v="5"/>
  </r>
  <r>
    <x v="370"/>
    <s v="FJALLRAVEN"/>
    <n v="14600200"/>
    <s v="ovik Hemp Camp Shirt SS W"/>
    <n v="570"/>
    <s v="Mountain Blue"/>
    <s v="M"/>
    <n v="1"/>
    <x v="2"/>
  </r>
  <r>
    <x v="5"/>
    <s v="FJALLRAVEN"/>
    <n v="79030"/>
    <s v="Greenland Wax travel pack"/>
    <m/>
    <m/>
    <s v="X"/>
    <n v="1"/>
    <x v="7"/>
  </r>
  <r>
    <x v="371"/>
    <s v="FJALLRAVEN"/>
    <n v="12600194"/>
    <s v="Abisko Trail Shirt LS M"/>
    <n v="30"/>
    <s v="Dark Grey"/>
    <s v="L"/>
    <n v="1"/>
    <x v="1"/>
  </r>
  <r>
    <x v="112"/>
    <s v="FJALLRAVEN"/>
    <n v="77357"/>
    <s v="Vidda Cap"/>
    <n v="30"/>
    <s v="Dark Grey"/>
    <s v="S/M"/>
    <n v="1"/>
    <x v="1"/>
  </r>
  <r>
    <x v="5"/>
    <s v="FJALLRAVEN"/>
    <n v="79030"/>
    <s v="Greenland Wax travel pack"/>
    <m/>
    <m/>
    <s v="X"/>
    <n v="1"/>
    <x v="1"/>
  </r>
  <r>
    <x v="372"/>
    <s v="FJALLRAVEN"/>
    <n v="23200341"/>
    <s v="Vardag Totepack 22"/>
    <n v="37"/>
    <s v="Coal Black"/>
    <s v="X"/>
    <n v="1"/>
    <x v="0"/>
  </r>
  <r>
    <x v="103"/>
    <s v="FJALLRAVEN"/>
    <n v="23200337"/>
    <s v="Skule Sling 6"/>
    <n v="171"/>
    <s v="Red Gold"/>
    <s v="X"/>
    <n v="1"/>
    <x v="5"/>
  </r>
  <r>
    <x v="180"/>
    <s v="FJALLRAVEN"/>
    <n v="23510"/>
    <s v="Kanken"/>
    <n v="21"/>
    <s v="Fog"/>
    <s v="X"/>
    <n v="1"/>
    <x v="6"/>
  </r>
  <r>
    <x v="373"/>
    <s v="FJALLRAVEN"/>
    <n v="23793"/>
    <s v="Kanken Bottle Pocket"/>
    <n v="21"/>
    <s v="Fog"/>
    <s v="X"/>
    <n v="1"/>
    <x v="6"/>
  </r>
  <r>
    <x v="53"/>
    <s v="FJALLRAVEN"/>
    <n v="23223"/>
    <s v="High Coast Hip Pack"/>
    <n v="550"/>
    <s v="Black"/>
    <s v="X"/>
    <n v="1"/>
    <x v="5"/>
  </r>
  <r>
    <x v="163"/>
    <s v="FJALLRAVEN"/>
    <n v="23510"/>
    <s v="Kanken"/>
    <n v="118"/>
    <s v="Fossil"/>
    <s v="X"/>
    <n v="1"/>
    <x v="8"/>
  </r>
  <r>
    <x v="374"/>
    <s v="FJALLRAVEN"/>
    <n v="23523"/>
    <s v="Kanken Laptop 13"/>
    <n v="501"/>
    <s v="Sky Blue"/>
    <s v="X"/>
    <n v="1"/>
    <x v="8"/>
  </r>
  <r>
    <x v="375"/>
    <s v="FJALLRAVEN"/>
    <n v="23523"/>
    <s v="Kanken Laptop 13"/>
    <n v="424"/>
    <s v="Blackberry"/>
    <s v="X"/>
    <n v="1"/>
    <x v="4"/>
  </r>
  <r>
    <x v="376"/>
    <s v="FJALLRAVEN"/>
    <n v="77277"/>
    <s v="Kiruna Hat"/>
    <n v="555"/>
    <s v="Dark Navy"/>
    <s v="L"/>
    <n v="1"/>
    <x v="5"/>
  </r>
  <r>
    <x v="377"/>
    <s v="FJALLRAVEN"/>
    <n v="78138"/>
    <s v="1960 Logo Langtradarkeps"/>
    <n v="550"/>
    <s v="Black"/>
    <s v="S/M"/>
    <n v="1"/>
    <x v="8"/>
  </r>
  <r>
    <x v="378"/>
    <s v="FJALLRAVEN"/>
    <n v="78138"/>
    <s v="1960 Logo Langtradarkeps"/>
    <n v="662"/>
    <s v="Deep Forest"/>
    <s v="S/M"/>
    <n v="1"/>
    <x v="8"/>
  </r>
  <r>
    <x v="323"/>
    <s v="FJALLRAVEN"/>
    <n v="13100213"/>
    <s v="AbiskoTrekkingCap"/>
    <n v="118"/>
    <s v="Fossil"/>
    <s v="S/M"/>
    <n v="1"/>
    <x v="5"/>
  </r>
  <r>
    <x v="66"/>
    <s v="FJALLRAVEN"/>
    <n v="23510"/>
    <s v="Kanken"/>
    <n v="457"/>
    <s v="Pastel Lavender"/>
    <s v="X"/>
    <n v="1"/>
    <x v="1"/>
  </r>
  <r>
    <x v="379"/>
    <s v="FJALLRAVEN"/>
    <n v="23525"/>
    <s v="Kanken Laptop 17"/>
    <n v="664"/>
    <s v="Frost Green"/>
    <s v="X"/>
    <n v="1"/>
    <x v="0"/>
  </r>
  <r>
    <x v="380"/>
    <s v="FJALLRAVEN"/>
    <n v="23345"/>
    <s v="Raven 28"/>
    <n v="357"/>
    <s v="Port"/>
    <s v="X"/>
    <n v="1"/>
    <x v="5"/>
  </r>
  <r>
    <x v="40"/>
    <s v="FJALLRAVEN"/>
    <n v="79060"/>
    <s v="Greenland Wax"/>
    <m/>
    <m/>
    <s v="X"/>
    <n v="1"/>
    <x v="5"/>
  </r>
  <r>
    <x v="381"/>
    <s v="FJALLRAVEN"/>
    <n v="12200197"/>
    <s v="Hoja Hybrid Trousers M"/>
    <n v="550"/>
    <s v="Black"/>
    <n v="48"/>
    <n v="1"/>
    <x v="0"/>
  </r>
  <r>
    <x v="382"/>
    <s v="FJALLRAVEN"/>
    <n v="14200141"/>
    <s v="Keb Agile Trousers W"/>
    <n v="550"/>
    <s v="Black"/>
    <s v="36/S"/>
    <n v="1"/>
    <x v="0"/>
  </r>
  <r>
    <x v="182"/>
    <s v="FJALLRAVEN"/>
    <n v="23200339"/>
    <s v="Vardag Pocket Large"/>
    <n v="37"/>
    <s v="Coal Black"/>
    <s v="X"/>
    <n v="1"/>
    <x v="0"/>
  </r>
  <r>
    <x v="187"/>
    <s v="FJALLRAVEN"/>
    <n v="23200395"/>
    <s v="Kanken Crossbody"/>
    <n v="664"/>
    <s v="Frost Green"/>
    <s v="X"/>
    <n v="1"/>
    <x v="0"/>
  </r>
  <r>
    <x v="198"/>
    <s v="FJALLRAVEN"/>
    <n v="23226"/>
    <s v="High Coast Pocket"/>
    <n v="620"/>
    <s v="Green"/>
    <s v="X"/>
    <n v="1"/>
    <x v="5"/>
  </r>
  <r>
    <x v="183"/>
    <s v="FJALLRAVEN"/>
    <n v="23200395"/>
    <s v="Kanken Crossbody"/>
    <n v="118"/>
    <s v="Fossil"/>
    <s v="X"/>
    <n v="1"/>
    <x v="3"/>
  </r>
  <r>
    <x v="10"/>
    <s v="FJALLRAVEN"/>
    <n v="23803"/>
    <s v="Kanken no. 2 Laptop 15"/>
    <n v="560"/>
    <s v="Navy"/>
    <s v="X"/>
    <n v="1"/>
    <x v="8"/>
  </r>
  <r>
    <x v="159"/>
    <s v="FJALLRAVEN"/>
    <n v="23510"/>
    <s v="Kanken"/>
    <n v="31"/>
    <s v="Graphite"/>
    <s v="X"/>
    <n v="1"/>
    <x v="1"/>
  </r>
  <r>
    <x v="14"/>
    <s v="FJALLRAVEN"/>
    <n v="25862"/>
    <s v="Kanken Gear Bag"/>
    <n v="664"/>
    <s v="Frost Green"/>
    <s v="X"/>
    <n v="1"/>
    <x v="8"/>
  </r>
  <r>
    <x v="383"/>
    <s v="FJALLRAVEN"/>
    <n v="23200306"/>
    <s v="Abisko Hip Pack 6"/>
    <n v="550"/>
    <s v="Black"/>
    <s v="X"/>
    <n v="1"/>
    <x v="7"/>
  </r>
  <r>
    <x v="384"/>
    <s v="FJALLRAVEN"/>
    <n v="23510"/>
    <s v="Kanken"/>
    <n v="576"/>
    <s v="Midnight Purple"/>
    <s v="X"/>
    <n v="1"/>
    <x v="5"/>
  </r>
  <r>
    <x v="379"/>
    <s v="FJALLRAVEN"/>
    <n v="23525"/>
    <s v="Kanken Laptop 17"/>
    <n v="664"/>
    <s v="Frost Green"/>
    <s v="X"/>
    <n v="1"/>
    <x v="4"/>
  </r>
  <r>
    <x v="385"/>
    <s v="FJALLRAVEN"/>
    <n v="23780"/>
    <s v="Kanken Card Wallet"/>
    <n v="160"/>
    <s v="Ochre"/>
    <s v="X"/>
    <n v="1"/>
    <x v="5"/>
  </r>
  <r>
    <x v="266"/>
    <s v="FJALLRAVEN"/>
    <n v="23561"/>
    <s v="Kanken Mini"/>
    <s v="021-312"/>
    <s v="Fog-Pink"/>
    <s v="X"/>
    <n v="1"/>
    <x v="8"/>
  </r>
  <r>
    <x v="266"/>
    <s v="FJALLRAVEN"/>
    <n v="23561"/>
    <s v="Kanken Mini"/>
    <s v="021-312"/>
    <s v="Fog-Pink"/>
    <s v="X"/>
    <n v="1"/>
    <x v="8"/>
  </r>
  <r>
    <x v="266"/>
    <s v="FJALLRAVEN"/>
    <n v="23561"/>
    <s v="Kanken Mini"/>
    <s v="021-312"/>
    <s v="Fog-Pink"/>
    <s v="X"/>
    <n v="-1"/>
    <x v="8"/>
  </r>
  <r>
    <x v="205"/>
    <s v="FJALLRAVEN"/>
    <n v="23510"/>
    <s v="Kanken"/>
    <n v="160"/>
    <s v="Ochre"/>
    <s v="X"/>
    <n v="1"/>
    <x v="5"/>
  </r>
  <r>
    <x v="3"/>
    <s v="FJALLRAVEN"/>
    <n v="23225"/>
    <s v="High Coast Totepack"/>
    <n v="424"/>
    <s v="Blackberry"/>
    <s v="X"/>
    <n v="1"/>
    <x v="5"/>
  </r>
  <r>
    <x v="65"/>
    <s v="FJALLRAVEN"/>
    <n v="23349"/>
    <s v="Skule 20"/>
    <n v="550"/>
    <s v="Black"/>
    <s v="X"/>
    <n v="1"/>
    <x v="5"/>
  </r>
  <r>
    <x v="78"/>
    <s v="FJALLRAVEN"/>
    <n v="23797"/>
    <s v="Kanken Sling"/>
    <s v="664-319"/>
    <s v="Frost Green-Peach Pink"/>
    <s v="X"/>
    <n v="1"/>
    <x v="7"/>
  </r>
  <r>
    <x v="152"/>
    <s v="FJALLRAVEN"/>
    <n v="23166"/>
    <s v="Ulvo Hip Pack Large"/>
    <n v="550"/>
    <s v="Black"/>
    <s v="X"/>
    <n v="1"/>
    <x v="3"/>
  </r>
  <r>
    <x v="80"/>
    <s v="FJALLRAVEN"/>
    <n v="23510"/>
    <s v="Kanken"/>
    <n v="302"/>
    <s v="Chalk Rose"/>
    <s v="X"/>
    <n v="1"/>
    <x v="5"/>
  </r>
  <r>
    <x v="386"/>
    <s v="FJALLRAVEN"/>
    <n v="23796"/>
    <s v="Kanken Hip Pack"/>
    <n v="31"/>
    <s v="Graphite"/>
    <s v="X"/>
    <n v="1"/>
    <x v="1"/>
  </r>
  <r>
    <x v="84"/>
    <s v="FJALLRAVEN"/>
    <n v="23200395"/>
    <s v="Kanken Crossbody"/>
    <n v="550"/>
    <s v="Black"/>
    <s v="X"/>
    <n v="1"/>
    <x v="8"/>
  </r>
  <r>
    <x v="65"/>
    <s v="FJALLRAVEN"/>
    <n v="23349"/>
    <s v="Skule 20"/>
    <n v="550"/>
    <s v="Black"/>
    <s v="X"/>
    <n v="1"/>
    <x v="5"/>
  </r>
  <r>
    <x v="99"/>
    <s v="FJALLRAVEN"/>
    <n v="23804"/>
    <s v="Kanken no. 2 Black Laptop 15"/>
    <n v="550"/>
    <s v="Black"/>
    <s v="X"/>
    <n v="1"/>
    <x v="5"/>
  </r>
  <r>
    <x v="40"/>
    <s v="FJALLRAVEN"/>
    <n v="79060"/>
    <s v="Greenland Wax"/>
    <m/>
    <m/>
    <s v="X"/>
    <n v="1"/>
    <x v="5"/>
  </r>
  <r>
    <x v="387"/>
    <s v="FJALLRAVEN"/>
    <n v="12600257"/>
    <s v="Abisko Lite SS M"/>
    <s v="020-999"/>
    <s v="Grey-Melange"/>
    <s v="M"/>
    <n v="1"/>
    <x v="5"/>
  </r>
  <r>
    <x v="283"/>
    <s v="FJALLRAVEN"/>
    <n v="79061"/>
    <s v="Greenland Wax Bag"/>
    <m/>
    <s v="Assorted"/>
    <s v="X"/>
    <n v="1"/>
    <x v="5"/>
  </r>
  <r>
    <x v="388"/>
    <s v="FJALLRAVEN"/>
    <n v="81698"/>
    <s v="SkogsoJacketM"/>
    <n v="118"/>
    <s v="Fossil"/>
    <s v="L"/>
    <n v="1"/>
    <x v="5"/>
  </r>
  <r>
    <x v="179"/>
    <s v="FJALLRAVEN"/>
    <n v="23561"/>
    <s v="Kanken Mini"/>
    <s v="457-916"/>
    <s v="Pastel Lavender-Confetti Pattern"/>
    <s v="X"/>
    <n v="1"/>
    <x v="5"/>
  </r>
  <r>
    <x v="305"/>
    <s v="FJALLRAVEN"/>
    <n v="23561"/>
    <s v="Kanken Mini"/>
    <n v="560"/>
    <s v="Navy"/>
    <s v="X"/>
    <n v="1"/>
    <x v="5"/>
  </r>
  <r>
    <x v="21"/>
    <s v="FJALLRAVEN"/>
    <n v="23565"/>
    <s v="Kanken No.2"/>
    <n v="633"/>
    <s v="Dark Olive"/>
    <s v="X"/>
    <n v="1"/>
    <x v="3"/>
  </r>
  <r>
    <x v="349"/>
    <s v="FJALLRAVEN"/>
    <n v="23505"/>
    <s v="Kanken Shoulder Pads"/>
    <n v="560"/>
    <s v="Navy"/>
    <s v="X"/>
    <n v="1"/>
    <x v="3"/>
  </r>
  <r>
    <x v="78"/>
    <s v="FJALLRAVEN"/>
    <n v="23797"/>
    <s v="Kanken Sling"/>
    <s v="664-319"/>
    <s v="Frost Green-Peach Pink"/>
    <s v="X"/>
    <n v="1"/>
    <x v="3"/>
  </r>
  <r>
    <x v="338"/>
    <s v="FJALLRAVEN"/>
    <n v="23505"/>
    <s v="Kanken Shoulder Pads"/>
    <n v="664"/>
    <s v="Frost Green"/>
    <s v="X"/>
    <n v="1"/>
    <x v="3"/>
  </r>
  <r>
    <x v="67"/>
    <s v="FJALLRAVEN"/>
    <n v="23510"/>
    <s v="Kanken"/>
    <n v="312"/>
    <s v="Pink"/>
    <s v="X"/>
    <n v="1"/>
    <x v="3"/>
  </r>
  <r>
    <x v="80"/>
    <s v="FJALLRAVEN"/>
    <n v="23510"/>
    <s v="Kanken"/>
    <n v="302"/>
    <s v="Chalk Rose"/>
    <s v="X"/>
    <n v="1"/>
    <x v="7"/>
  </r>
  <r>
    <x v="38"/>
    <s v="FJALLRAVEN"/>
    <n v="23510"/>
    <s v="Kanken"/>
    <s v="501-115"/>
    <s v="Sky Blue-Light Oak"/>
    <s v="X"/>
    <n v="1"/>
    <x v="0"/>
  </r>
  <r>
    <x v="155"/>
    <s v="FJALLRAVEN"/>
    <n v="23100177"/>
    <s v="Abisko Bottle Pocket"/>
    <n v="550"/>
    <s v="Black"/>
    <s v="X"/>
    <n v="1"/>
    <x v="1"/>
  </r>
  <r>
    <x v="91"/>
    <s v="FJALLRAVEN"/>
    <n v="23200337"/>
    <s v="Skule Sling 6"/>
    <n v="550"/>
    <s v="Black"/>
    <s v="X"/>
    <n v="1"/>
    <x v="1"/>
  </r>
  <r>
    <x v="80"/>
    <s v="FJALLRAVEN"/>
    <n v="23510"/>
    <s v="Kanken"/>
    <n v="302"/>
    <s v="Chalk Rose"/>
    <s v="X"/>
    <n v="1"/>
    <x v="5"/>
  </r>
  <r>
    <x v="389"/>
    <s v="FJALLRAVEN"/>
    <n v="81188"/>
    <s v="Ruaha Shorts M"/>
    <n v="625"/>
    <s v="Laurel Green"/>
    <n v="46"/>
    <n v="1"/>
    <x v="4"/>
  </r>
  <r>
    <x v="390"/>
    <s v="FJALLRAVEN"/>
    <n v="12600268"/>
    <s v="Multicolor Logo T-shirt M"/>
    <n v="113"/>
    <s v="Chalk White"/>
    <s v="S"/>
    <n v="1"/>
    <x v="5"/>
  </r>
  <r>
    <x v="391"/>
    <s v="FJALLRAVEN"/>
    <n v="12600268"/>
    <s v="Multicolor Logo T-shirt M"/>
    <n v="244"/>
    <s v="Suede Brown"/>
    <s v="S"/>
    <n v="1"/>
    <x v="5"/>
  </r>
  <r>
    <x v="253"/>
    <s v="FJALLRAVEN"/>
    <n v="12600328"/>
    <s v="Archive Logo T-Shirt M"/>
    <n v="111"/>
    <s v="Eggshell"/>
    <s v="S"/>
    <n v="1"/>
    <x v="5"/>
  </r>
  <r>
    <x v="166"/>
    <s v="FJALLRAVEN"/>
    <n v="23510"/>
    <s v="Kanken"/>
    <n v="540"/>
    <s v="Royal Blue"/>
    <s v="X"/>
    <n v="1"/>
    <x v="1"/>
  </r>
  <r>
    <x v="384"/>
    <s v="FJALLRAVEN"/>
    <n v="23510"/>
    <s v="Kanken"/>
    <n v="576"/>
    <s v="Midnight Purple"/>
    <s v="X"/>
    <n v="1"/>
    <x v="1"/>
  </r>
  <r>
    <x v="84"/>
    <s v="FJALLRAVEN"/>
    <n v="23200395"/>
    <s v="Kanken Crossbody"/>
    <n v="550"/>
    <s v="Black"/>
    <s v="X"/>
    <n v="1"/>
    <x v="3"/>
  </r>
  <r>
    <x v="21"/>
    <s v="FJALLRAVEN"/>
    <n v="23565"/>
    <s v="Kanken No.2"/>
    <n v="633"/>
    <s v="Dark Olive"/>
    <s v="X"/>
    <n v="1"/>
    <x v="8"/>
  </r>
  <r>
    <x v="33"/>
    <s v="FJALLRAVEN"/>
    <n v="23785"/>
    <s v="Kanken Keyring"/>
    <n v="299"/>
    <s v="Dark Oak"/>
    <s v="X"/>
    <n v="1"/>
    <x v="4"/>
  </r>
  <r>
    <x v="18"/>
    <s v="FJALLRAVEN"/>
    <n v="23785"/>
    <s v="Kanken Keyring"/>
    <n v="620"/>
    <s v="Green"/>
    <s v="X"/>
    <n v="1"/>
    <x v="4"/>
  </r>
  <r>
    <x v="370"/>
    <s v="FJALLRAVEN"/>
    <n v="14600200"/>
    <s v="ovik Hemp Camp Shirt SS W"/>
    <n v="570"/>
    <s v="Mountain Blue"/>
    <s v="M"/>
    <n v="1"/>
    <x v="0"/>
  </r>
  <r>
    <x v="280"/>
    <s v="FJALLRAVEN"/>
    <n v="23561"/>
    <s v="Kanken Mini"/>
    <n v="326"/>
    <s v="Ox Red"/>
    <s v="X"/>
    <n v="1"/>
    <x v="0"/>
  </r>
  <r>
    <x v="119"/>
    <s v="FJALLRAVEN"/>
    <n v="23780"/>
    <s v="Kanken Card Wallet"/>
    <n v="664"/>
    <s v="Frost Green"/>
    <s v="X"/>
    <n v="1"/>
    <x v="0"/>
  </r>
  <r>
    <x v="84"/>
    <s v="FJALLRAVEN"/>
    <n v="23200395"/>
    <s v="Kanken Crossbody"/>
    <n v="550"/>
    <s v="Black"/>
    <s v="X"/>
    <n v="1"/>
    <x v="5"/>
  </r>
  <r>
    <x v="6"/>
    <s v="FJALLRAVEN"/>
    <n v="23510"/>
    <s v="Kanken"/>
    <n v="126"/>
    <s v="Corn"/>
    <s v="X"/>
    <n v="1"/>
    <x v="0"/>
  </r>
  <r>
    <x v="123"/>
    <s v="FJALLRAVEN"/>
    <n v="23523"/>
    <s v="Kanken Laptop 13"/>
    <n v="31"/>
    <s v="Graphite"/>
    <s v="X"/>
    <n v="1"/>
    <x v="5"/>
  </r>
  <r>
    <x v="79"/>
    <s v="FJALLRAVEN"/>
    <n v="23345"/>
    <s v="Raven 28"/>
    <n v="560"/>
    <s v="Navy"/>
    <s v="X"/>
    <n v="1"/>
    <x v="5"/>
  </r>
  <r>
    <x v="283"/>
    <s v="FJALLRAVEN"/>
    <n v="79061"/>
    <s v="Greenland Wax Bag"/>
    <m/>
    <s v="Assorted"/>
    <s v="X"/>
    <n v="1"/>
    <x v="8"/>
  </r>
  <r>
    <x v="392"/>
    <s v="FJALLRAVEN"/>
    <n v="24221"/>
    <s v="Pocket"/>
    <n v="560"/>
    <s v="Navy"/>
    <s v="X"/>
    <n v="1"/>
    <x v="8"/>
  </r>
  <r>
    <x v="393"/>
    <s v="FJALLRAVEN"/>
    <n v="23344"/>
    <s v="Raven 20"/>
    <n v="633"/>
    <s v="Dark Olive"/>
    <s v="X"/>
    <n v="1"/>
    <x v="8"/>
  </r>
  <r>
    <x v="304"/>
    <s v="FJALLRAVEN"/>
    <n v="23510"/>
    <s v="Kanken"/>
    <n v="600"/>
    <s v="Mint Green"/>
    <s v="X"/>
    <n v="1"/>
    <x v="8"/>
  </r>
  <r>
    <x v="394"/>
    <s v="FJALLRAVEN"/>
    <n v="23200254"/>
    <s v="High Coast Duffel 36"/>
    <n v="614"/>
    <s v="Patina Green"/>
    <s v="X"/>
    <n v="1"/>
    <x v="1"/>
  </r>
  <r>
    <x v="325"/>
    <s v="FJALLRAVEN"/>
    <n v="23154"/>
    <s v="Greenland Shoulder Bag"/>
    <n v="662"/>
    <s v="Deep Forest"/>
    <s v="X"/>
    <n v="1"/>
    <x v="4"/>
  </r>
  <r>
    <x v="395"/>
    <s v="FJALLRAVEN"/>
    <n v="23321"/>
    <s v="Singi 48"/>
    <n v="633"/>
    <s v="Dark Olive"/>
    <s v="X"/>
    <n v="1"/>
    <x v="2"/>
  </r>
  <r>
    <x v="329"/>
    <s v="FJALLRAVEN"/>
    <n v="23323"/>
    <s v="Singi Side Pocket"/>
    <n v="633"/>
    <s v="Dark Olive"/>
    <s v="X"/>
    <n v="1"/>
    <x v="2"/>
  </r>
  <r>
    <x v="321"/>
    <s v="FJALLRAVEN"/>
    <n v="23324"/>
    <s v="Singi Gear Holder"/>
    <n v="633"/>
    <s v="Dark Olive"/>
    <s v="X"/>
    <n v="1"/>
    <x v="2"/>
  </r>
  <r>
    <x v="47"/>
    <s v="FJALLRAVEN"/>
    <n v="24216"/>
    <s v="Zip Wallet"/>
    <n v="633"/>
    <s v="Dark Olive"/>
    <s v="X"/>
    <n v="1"/>
    <x v="2"/>
  </r>
  <r>
    <x v="283"/>
    <s v="FJALLRAVEN"/>
    <n v="79061"/>
    <s v="Greenland Wax Bag"/>
    <m/>
    <s v="Assorted"/>
    <s v="X"/>
    <n v="1"/>
    <x v="2"/>
  </r>
  <r>
    <x v="396"/>
    <s v="FJALLRAVEN"/>
    <n v="77404"/>
    <s v="Bergtagen Cap"/>
    <n v="550"/>
    <s v="Black"/>
    <s v="X"/>
    <n v="1"/>
    <x v="8"/>
  </r>
  <r>
    <x v="397"/>
    <s v="FJALLRAVEN"/>
    <n v="87178"/>
    <s v="Vidda Pro Ventilated Trs M"/>
    <n v="550"/>
    <s v="Black"/>
    <s v="50/R"/>
    <n v="1"/>
    <x v="8"/>
  </r>
  <r>
    <x v="66"/>
    <s v="FJALLRAVEN"/>
    <n v="23510"/>
    <s v="Kanken"/>
    <n v="457"/>
    <s v="Pastel Lavender"/>
    <s v="X"/>
    <n v="1"/>
    <x v="8"/>
  </r>
  <r>
    <x v="80"/>
    <s v="FJALLRAVEN"/>
    <n v="23510"/>
    <s v="Kanken"/>
    <n v="302"/>
    <s v="Chalk Rose"/>
    <s v="X"/>
    <n v="1"/>
    <x v="8"/>
  </r>
  <r>
    <x v="398"/>
    <s v="FJALLRAVEN"/>
    <n v="87310"/>
    <s v="Fjallraven Logo T-shirt M"/>
    <n v="113"/>
    <s v="Chalk White"/>
    <s v="L"/>
    <n v="1"/>
    <x v="5"/>
  </r>
  <r>
    <x v="399"/>
    <s v="FJALLRAVEN"/>
    <n v="24221"/>
    <s v="Pocket"/>
    <n v="46"/>
    <s v="Super grey"/>
    <s v="X"/>
    <n v="1"/>
    <x v="5"/>
  </r>
  <r>
    <x v="67"/>
    <s v="FJALLRAVEN"/>
    <n v="23510"/>
    <s v="Kanken"/>
    <n v="312"/>
    <s v="Pink"/>
    <s v="X"/>
    <n v="1"/>
    <x v="2"/>
  </r>
  <r>
    <x v="400"/>
    <s v="FJALLRAVEN"/>
    <n v="23222"/>
    <s v="High Coast Foldsack 24"/>
    <n v="560"/>
    <s v="Navy"/>
    <s v="X"/>
    <n v="1"/>
    <x v="5"/>
  </r>
  <r>
    <x v="401"/>
    <s v="FJALLRAVEN"/>
    <n v="24218"/>
    <s v="Zip Card Holder"/>
    <n v="30"/>
    <s v="Dark Grey"/>
    <s v="X"/>
    <n v="1"/>
    <x v="2"/>
  </r>
  <r>
    <x v="132"/>
    <s v="FJALLRAVEN"/>
    <n v="23510"/>
    <s v="Kanken"/>
    <n v="326"/>
    <s v="Ox Red"/>
    <s v="X"/>
    <n v="1"/>
    <x v="1"/>
  </r>
  <r>
    <x v="131"/>
    <s v="FJALLRAVEN"/>
    <n v="23505"/>
    <s v="Kanken Shoulder Pads"/>
    <n v="326"/>
    <s v="Ox Red"/>
    <s v="X"/>
    <n v="1"/>
    <x v="8"/>
  </r>
  <r>
    <x v="402"/>
    <s v="FJALLRAVEN"/>
    <n v="23793"/>
    <s v="Kanken Bottle Pocket"/>
    <n v="501"/>
    <s v="Sky Blue"/>
    <s v="X"/>
    <n v="1"/>
    <x v="8"/>
  </r>
  <r>
    <x v="403"/>
    <s v="FJALLRAVEN"/>
    <n v="77406"/>
    <s v="AbiskoSunHat"/>
    <n v="550"/>
    <s v="Black"/>
    <s v="L/XL"/>
    <n v="1"/>
    <x v="8"/>
  </r>
  <r>
    <x v="404"/>
    <s v="FJALLRAVEN"/>
    <n v="23200358"/>
    <s v="Kanken Graphics Hip Pack"/>
    <s v="302-986"/>
    <s v="ChalkRose-Hidden Animals"/>
    <s v="X"/>
    <n v="1"/>
    <x v="2"/>
  </r>
  <r>
    <x v="405"/>
    <s v="FJALLRAVEN"/>
    <n v="23798"/>
    <s v="Kanken Seat Pad Mini"/>
    <n v="30"/>
    <s v="Dark Grey"/>
    <s v="X"/>
    <n v="1"/>
    <x v="2"/>
  </r>
  <r>
    <x v="29"/>
    <s v="FJALLRAVEN"/>
    <n v="23510"/>
    <s v="Kanken"/>
    <s v="021-312"/>
    <s v="Fog-Pink"/>
    <s v="X"/>
    <n v="1"/>
    <x v="2"/>
  </r>
  <r>
    <x v="316"/>
    <s v="FJALLRAVEN"/>
    <n v="23561"/>
    <s v="Kanken Mini"/>
    <n v="600"/>
    <s v="Mint Green"/>
    <s v="X"/>
    <n v="1"/>
    <x v="0"/>
  </r>
  <r>
    <x v="205"/>
    <s v="FJALLRAVEN"/>
    <n v="23510"/>
    <s v="Kanken"/>
    <n v="160"/>
    <s v="Ochre"/>
    <s v="X"/>
    <n v="1"/>
    <x v="0"/>
  </r>
  <r>
    <x v="91"/>
    <s v="FJALLRAVEN"/>
    <n v="23200337"/>
    <s v="Skule Sling 6"/>
    <n v="550"/>
    <s v="Black"/>
    <s v="X"/>
    <n v="1"/>
    <x v="4"/>
  </r>
  <r>
    <x v="92"/>
    <s v="FJALLRAVEN"/>
    <n v="23226"/>
    <s v="High Coast Pocket"/>
    <n v="550"/>
    <s v="Black"/>
    <s v="X"/>
    <n v="1"/>
    <x v="4"/>
  </r>
  <r>
    <x v="406"/>
    <s v="FJALLRAVEN"/>
    <n v="78151"/>
    <s v="Ovik Flat Cap"/>
    <n v="625"/>
    <s v="Laurel Green"/>
    <s v="L/XL"/>
    <n v="1"/>
    <x v="2"/>
  </r>
  <r>
    <x v="407"/>
    <s v="FJALLRAVEN"/>
    <n v="24215"/>
    <s v="Gear Pocket"/>
    <n v="228"/>
    <s v="Khaki Dust"/>
    <s v="X"/>
    <n v="1"/>
    <x v="5"/>
  </r>
  <r>
    <x v="66"/>
    <s v="FJALLRAVEN"/>
    <n v="23510"/>
    <s v="Kanken"/>
    <n v="457"/>
    <s v="Pastel Lavender"/>
    <s v="X"/>
    <n v="1"/>
    <x v="4"/>
  </r>
  <r>
    <x v="58"/>
    <s v="FJALLRAVEN"/>
    <n v="23200303"/>
    <s v="Farden Carry-On Pack"/>
    <n v="37"/>
    <s v="Coal Black"/>
    <s v="X"/>
    <n v="1"/>
    <x v="5"/>
  </r>
  <r>
    <x v="279"/>
    <s v="FJALLRAVEN"/>
    <n v="23345"/>
    <s v="Raven 28"/>
    <s v="550-550"/>
    <s v="Black-Black"/>
    <s v="X"/>
    <n v="1"/>
    <x v="5"/>
  </r>
  <r>
    <x v="99"/>
    <s v="FJALLRAVEN"/>
    <n v="23804"/>
    <s v="Kanken no. 2 Black Laptop 15"/>
    <n v="550"/>
    <s v="Black"/>
    <s v="X"/>
    <n v="1"/>
    <x v="8"/>
  </r>
  <r>
    <x v="408"/>
    <s v="FJALLRAVEN"/>
    <n v="77391"/>
    <s v="Fjallraven Est. 1960 Cap"/>
    <n v="300"/>
    <s v="Dusty Rose"/>
    <s v="S/M"/>
    <n v="1"/>
    <x v="8"/>
  </r>
  <r>
    <x v="65"/>
    <s v="FJALLRAVEN"/>
    <n v="23349"/>
    <s v="Skule 20"/>
    <n v="550"/>
    <s v="Black"/>
    <s v="X"/>
    <n v="1"/>
    <x v="5"/>
  </r>
  <r>
    <x v="6"/>
    <s v="FJALLRAVEN"/>
    <n v="23510"/>
    <s v="Kanken"/>
    <n v="126"/>
    <s v="Corn"/>
    <s v="X"/>
    <n v="1"/>
    <x v="8"/>
  </r>
  <r>
    <x v="316"/>
    <s v="FJALLRAVEN"/>
    <n v="23561"/>
    <s v="Kanken Mini"/>
    <n v="600"/>
    <s v="Mint Green"/>
    <s v="X"/>
    <n v="1"/>
    <x v="8"/>
  </r>
  <r>
    <x v="80"/>
    <s v="FJALLRAVEN"/>
    <n v="23510"/>
    <s v="Kanken"/>
    <n v="302"/>
    <s v="Chalk Rose"/>
    <s v="X"/>
    <n v="1"/>
    <x v="8"/>
  </r>
  <r>
    <x v="67"/>
    <s v="FJALLRAVEN"/>
    <n v="23510"/>
    <s v="Kanken"/>
    <n v="312"/>
    <s v="Pink"/>
    <s v="X"/>
    <n v="1"/>
    <x v="5"/>
  </r>
  <r>
    <x v="206"/>
    <s v="FJALLRAVEN"/>
    <n v="23223"/>
    <s v="High Coast Hip Pack"/>
    <n v="620"/>
    <s v="Green"/>
    <s v="X"/>
    <n v="1"/>
    <x v="8"/>
  </r>
  <r>
    <x v="66"/>
    <s v="FJALLRAVEN"/>
    <n v="23510"/>
    <s v="Kanken"/>
    <n v="457"/>
    <s v="Pastel Lavender"/>
    <s v="X"/>
    <n v="1"/>
    <x v="2"/>
  </r>
  <r>
    <x v="384"/>
    <s v="FJALLRAVEN"/>
    <n v="23510"/>
    <s v="Kanken"/>
    <n v="576"/>
    <s v="Midnight Purple"/>
    <s v="X"/>
    <n v="1"/>
    <x v="8"/>
  </r>
  <r>
    <x v="409"/>
    <s v="FJALLRAVEN"/>
    <n v="23524"/>
    <s v="Kanken Laptop 15"/>
    <n v="326"/>
    <s v="Ox Red"/>
    <s v="X"/>
    <n v="1"/>
    <x v="8"/>
  </r>
  <r>
    <x v="29"/>
    <s v="FJALLRAVEN"/>
    <n v="23510"/>
    <s v="Kanken"/>
    <s v="021-312"/>
    <s v="Fog-Pink"/>
    <s v="X"/>
    <n v="1"/>
    <x v="0"/>
  </r>
  <r>
    <x v="125"/>
    <s v="FJALLRAVEN"/>
    <n v="77273"/>
    <s v="AbiskoSummerHat"/>
    <n v="244"/>
    <s v="Suede Brown"/>
    <s v="L"/>
    <n v="1"/>
    <x v="8"/>
  </r>
  <r>
    <x v="358"/>
    <s v="FJALLRAVEN"/>
    <n v="23510"/>
    <s v="Kanken"/>
    <n v="620"/>
    <s v="Green"/>
    <s v="X"/>
    <n v="1"/>
    <x v="8"/>
  </r>
  <r>
    <x v="166"/>
    <s v="FJALLRAVEN"/>
    <n v="23510"/>
    <s v="Kanken"/>
    <n v="540"/>
    <s v="Royal Blue"/>
    <s v="X"/>
    <n v="1"/>
    <x v="8"/>
  </r>
  <r>
    <x v="88"/>
    <s v="FJALLRAVEN"/>
    <n v="23620"/>
    <s v="Kanken Rainbow"/>
    <s v="550-907"/>
    <s v="Black-Rainbow Pattern"/>
    <s v="X"/>
    <n v="1"/>
    <x v="3"/>
  </r>
  <r>
    <x v="92"/>
    <s v="FJALLRAVEN"/>
    <n v="23226"/>
    <s v="High Coast Pocket"/>
    <n v="550"/>
    <s v="Black"/>
    <s v="X"/>
    <n v="1"/>
    <x v="1"/>
  </r>
  <r>
    <x v="120"/>
    <s v="FJALLRAVEN"/>
    <n v="23797"/>
    <s v="Kanken Sling"/>
    <n v="115"/>
    <s v="Light Oak"/>
    <s v="X"/>
    <n v="1"/>
    <x v="0"/>
  </r>
  <r>
    <x v="304"/>
    <s v="FJALLRAVEN"/>
    <n v="23510"/>
    <s v="Kanken"/>
    <n v="600"/>
    <s v="Mint Green"/>
    <s v="X"/>
    <n v="1"/>
    <x v="7"/>
  </r>
  <r>
    <x v="304"/>
    <s v="FJALLRAVEN"/>
    <n v="23510"/>
    <s v="Kanken"/>
    <n v="600"/>
    <s v="Mint Green"/>
    <s v="X"/>
    <n v="1"/>
    <x v="1"/>
  </r>
  <r>
    <x v="59"/>
    <s v="FJALLRAVEN"/>
    <n v="23346"/>
    <s v="Skule 28"/>
    <n v="50"/>
    <s v="Basalt"/>
    <s v="X"/>
    <n v="1"/>
    <x v="1"/>
  </r>
  <r>
    <x v="109"/>
    <s v="FJALLRAVEN"/>
    <n v="23565"/>
    <s v="Kanken No.2"/>
    <n v="560"/>
    <s v="Navy"/>
    <s v="X"/>
    <n v="1"/>
    <x v="4"/>
  </r>
  <r>
    <x v="5"/>
    <s v="FJALLRAVEN"/>
    <n v="79030"/>
    <s v="Greenland Wax travel pack"/>
    <m/>
    <m/>
    <s v="X"/>
    <n v="1"/>
    <x v="8"/>
  </r>
  <r>
    <x v="36"/>
    <s v="FJALLRAVEN"/>
    <n v="23803"/>
    <s v="Kanken no. 2 Laptop 15"/>
    <n v="633"/>
    <s v="Dark Olive"/>
    <s v="X"/>
    <n v="1"/>
    <x v="8"/>
  </r>
  <r>
    <x v="308"/>
    <s v="FJALLRAVEN"/>
    <n v="23222"/>
    <s v="High Coast Foldsack 24"/>
    <n v="424"/>
    <s v="Blackberry"/>
    <s v="X"/>
    <n v="1"/>
    <x v="3"/>
  </r>
  <r>
    <x v="199"/>
    <s v="FJALLRAVEN"/>
    <n v="23510"/>
    <s v="Kanken"/>
    <n v="550"/>
    <s v="Black"/>
    <s v="X"/>
    <n v="1"/>
    <x v="8"/>
  </r>
  <r>
    <x v="410"/>
    <s v="FJALLRAVEN"/>
    <n v="81511"/>
    <s v="Ovik Polo Shirt M"/>
    <n v="195"/>
    <s v="Sand Stone"/>
    <s v="L"/>
    <n v="1"/>
    <x v="5"/>
  </r>
  <r>
    <x v="411"/>
    <s v="FJALLRAVEN"/>
    <n v="81188"/>
    <s v="Ruaha Shorts M"/>
    <n v="30"/>
    <s v="Dark Grey"/>
    <n v="46"/>
    <n v="1"/>
    <x v="6"/>
  </r>
  <r>
    <x v="43"/>
    <s v="FJALLRAVEN"/>
    <n v="23510"/>
    <s v="Kanken"/>
    <n v="424"/>
    <s v="Blackberry"/>
    <s v="X"/>
    <n v="1"/>
    <x v="8"/>
  </r>
  <r>
    <x v="23"/>
    <s v="FJALLRAVEN"/>
    <n v="23802"/>
    <s v="Kanken Weekender"/>
    <n v="424"/>
    <s v="Blackberry"/>
    <s v="X"/>
    <n v="1"/>
    <x v="8"/>
  </r>
  <r>
    <x v="38"/>
    <s v="FJALLRAVEN"/>
    <n v="23510"/>
    <s v="Kanken"/>
    <s v="501-115"/>
    <s v="Sky Blue-Light Oak"/>
    <s v="X"/>
    <n v="1"/>
    <x v="2"/>
  </r>
  <r>
    <x v="412"/>
    <s v="FJALLRAVEN"/>
    <n v="77297"/>
    <s v="Canvas Brass Belt 4 cm"/>
    <n v="633"/>
    <s v="Dark Olive"/>
    <s v="X"/>
    <n v="1"/>
    <x v="5"/>
  </r>
  <r>
    <x v="413"/>
    <s v="FJALLRAVEN"/>
    <n v="23200337"/>
    <s v="Skule Sling 6"/>
    <n v="662"/>
    <s v="Deep Forest"/>
    <s v="X"/>
    <n v="1"/>
    <x v="8"/>
  </r>
  <r>
    <x v="414"/>
    <s v="FJALLRAVEN"/>
    <n v="81841"/>
    <s v="Smock No. 1"/>
    <n v="633"/>
    <s v="Dark Olive"/>
    <s v="S"/>
    <n v="1"/>
    <x v="8"/>
  </r>
  <r>
    <x v="88"/>
    <s v="FJALLRAVEN"/>
    <n v="23620"/>
    <s v="Kanken Rainbow"/>
    <s v="550-907"/>
    <s v="Black-Rainbow Pattern"/>
    <s v="X"/>
    <n v="1"/>
    <x v="0"/>
  </r>
  <r>
    <x v="259"/>
    <s v="FJALLRAVEN"/>
    <n v="13600016"/>
    <s v="Rainbow T-Shirt"/>
    <n v="113"/>
    <s v="Chalk White"/>
    <s v="S"/>
    <n v="1"/>
    <x v="8"/>
  </r>
  <r>
    <x v="415"/>
    <s v="FJALLRAVEN"/>
    <n v="12500171"/>
    <s v="Bergtagen Windshell Jacket M"/>
    <n v="550"/>
    <s v="Black"/>
    <s v="S"/>
    <n v="1"/>
    <x v="4"/>
  </r>
  <r>
    <x v="416"/>
    <s v="FJALLRAVEN"/>
    <n v="87146"/>
    <s v="Fjallraven Logo Tee W"/>
    <n v="357"/>
    <s v="Port"/>
    <s v="XS"/>
    <n v="1"/>
    <x v="5"/>
  </r>
  <r>
    <x v="121"/>
    <s v="FJALLRAVEN"/>
    <n v="23344"/>
    <s v="Raven 20"/>
    <s v="550-550"/>
    <s v="Black-Black"/>
    <s v="X"/>
    <n v="1"/>
    <x v="8"/>
  </r>
  <r>
    <x v="133"/>
    <s v="FJALLRAVEN"/>
    <n v="23524"/>
    <s v="Kanken Laptop 15"/>
    <n v="501"/>
    <s v="Sky Blue"/>
    <s v="X"/>
    <n v="1"/>
    <x v="8"/>
  </r>
  <r>
    <x v="417"/>
    <s v="FJALLRAVEN"/>
    <n v="23200251"/>
    <s v="Kanken Outlong"/>
    <n v="620"/>
    <s v="Green"/>
    <s v="X"/>
    <n v="1"/>
    <x v="6"/>
  </r>
  <r>
    <x v="208"/>
    <s v="FJALLRAVEN"/>
    <n v="23344"/>
    <s v="Raven 20"/>
    <n v="357"/>
    <s v="Port"/>
    <s v="X"/>
    <n v="1"/>
    <x v="6"/>
  </r>
  <r>
    <x v="19"/>
    <s v="FJALLRAVEN"/>
    <n v="23510"/>
    <s v="Kanken"/>
    <n v="664"/>
    <s v="Frost Green"/>
    <s v="X"/>
    <n v="1"/>
    <x v="6"/>
  </r>
  <r>
    <x v="150"/>
    <s v="FJALLRAVEN"/>
    <n v="23797"/>
    <s v="KankenSling"/>
    <n v="302"/>
    <s v="Chalk Rose"/>
    <s v="X"/>
    <n v="1"/>
    <x v="6"/>
  </r>
  <r>
    <x v="78"/>
    <s v="FJALLRAVEN"/>
    <n v="23797"/>
    <s v="Kanken Sling"/>
    <s v="664-319"/>
    <s v="Frost Green-Peach Pink"/>
    <s v="X"/>
    <n v="1"/>
    <x v="6"/>
  </r>
  <r>
    <x v="47"/>
    <s v="FJALLRAVEN"/>
    <n v="24216"/>
    <s v="Zip Wallet"/>
    <n v="633"/>
    <s v="Dark Olive"/>
    <s v="X"/>
    <n v="1"/>
    <x v="6"/>
  </r>
  <r>
    <x v="274"/>
    <s v="FJALLRAVEN"/>
    <n v="12600249"/>
    <s v="High Coast Pack Shirt SS M"/>
    <n v="555"/>
    <s v="Dark Navy"/>
    <s v="S"/>
    <n v="1"/>
    <x v="4"/>
  </r>
  <r>
    <x v="370"/>
    <s v="FJALLRAVEN"/>
    <n v="14600200"/>
    <s v="ovik Hemp Camp Shirt SS W"/>
    <n v="570"/>
    <s v="Mountain Blue"/>
    <s v="M"/>
    <n v="1"/>
    <x v="4"/>
  </r>
  <r>
    <x v="30"/>
    <s v="FJALLRAVEN"/>
    <n v="23510"/>
    <s v="Kanken"/>
    <n v="501"/>
    <s v="Sky blue"/>
    <s v="X"/>
    <n v="1"/>
    <x v="7"/>
  </r>
  <r>
    <x v="418"/>
    <s v="FJALLRAVEN"/>
    <n v="23803"/>
    <s v="Kanken no. 2 Laptop 15"/>
    <n v="118"/>
    <s v="Fossil"/>
    <s v="X"/>
    <n v="1"/>
    <x v="2"/>
  </r>
  <r>
    <x v="419"/>
    <s v="FJALLRAVEN"/>
    <n v="87039"/>
    <s v="Ovik Travel Shirt SS M"/>
    <n v="113"/>
    <s v="Chalk White"/>
    <s v="L"/>
    <n v="1"/>
    <x v="2"/>
  </r>
  <r>
    <x v="420"/>
    <s v="FJALLRAVEN"/>
    <n v="23524"/>
    <s v="Kanken Laptop 15"/>
    <n v="46"/>
    <s v="Super Grey"/>
    <s v="X"/>
    <n v="1"/>
    <x v="5"/>
  </r>
  <r>
    <x v="421"/>
    <s v="FJALLRAVEN"/>
    <n v="77357"/>
    <s v="Vidda Cap"/>
    <n v="30"/>
    <s v="Dark Grey"/>
    <s v="L/XL"/>
    <n v="1"/>
    <x v="6"/>
  </r>
  <r>
    <x v="422"/>
    <s v="FJALLRAVEN"/>
    <n v="23200339"/>
    <s v="Vardag Pocket Large"/>
    <n v="662"/>
    <s v="Deep Forest"/>
    <s v="X"/>
    <n v="1"/>
    <x v="1"/>
  </r>
  <r>
    <x v="33"/>
    <s v="FJALLRAVEN"/>
    <n v="23785"/>
    <s v="Kanken Keyring"/>
    <n v="299"/>
    <s v="Dark Oak"/>
    <s v="X"/>
    <n v="1"/>
    <x v="2"/>
  </r>
  <r>
    <x v="423"/>
    <s v="FJALLRAVEN"/>
    <n v="79258"/>
    <s v="Hatfield Hat"/>
    <n v="633"/>
    <s v="Dark Olive"/>
    <s v="XL"/>
    <n v="1"/>
    <x v="2"/>
  </r>
  <r>
    <x v="120"/>
    <s v="FJALLRAVEN"/>
    <n v="23797"/>
    <s v="Kanken Sling"/>
    <n v="115"/>
    <s v="Light Oak"/>
    <s v="X"/>
    <n v="1"/>
    <x v="7"/>
  </r>
  <r>
    <x v="129"/>
    <s v="FJALLRAVEN"/>
    <n v="23797"/>
    <s v="Kanken Sling"/>
    <n v="560"/>
    <s v="NAVY"/>
    <s v="X"/>
    <n v="1"/>
    <x v="7"/>
  </r>
  <r>
    <x v="304"/>
    <s v="FJALLRAVEN"/>
    <n v="23510"/>
    <s v="Kanken"/>
    <n v="600"/>
    <s v="Mint Green"/>
    <s v="X"/>
    <n v="1"/>
    <x v="8"/>
  </r>
  <r>
    <x v="20"/>
    <s v="FJALLRAVEN"/>
    <n v="23165"/>
    <s v="Ulvo Hip Pack Medium"/>
    <n v="550"/>
    <s v="Black"/>
    <s v="X"/>
    <n v="1"/>
    <x v="5"/>
  </r>
  <r>
    <x v="424"/>
    <s v="FJALLRAVEN"/>
    <n v="23200334"/>
    <s v="KankenKoncept"/>
    <s v="228-135"/>
    <s v="Khaki Dust-Kantarell"/>
    <s v="X"/>
    <n v="1"/>
    <x v="8"/>
  </r>
  <r>
    <x v="324"/>
    <s v="FJALLRAVEN"/>
    <n v="23505"/>
    <s v="Kanken Shoulder Pads"/>
    <n v="228"/>
    <s v="Khaki Dust"/>
    <s v="X"/>
    <n v="1"/>
    <x v="8"/>
  </r>
  <r>
    <x v="304"/>
    <s v="FJALLRAVEN"/>
    <n v="23510"/>
    <s v="Kanken"/>
    <n v="600"/>
    <s v="Mint Green"/>
    <s v="X"/>
    <n v="1"/>
    <x v="2"/>
  </r>
  <r>
    <x v="425"/>
    <s v="FJALLRAVEN"/>
    <n v="77352"/>
    <s v="G1000 Seat Pad"/>
    <n v="633"/>
    <s v="Dark Olive"/>
    <s v="X"/>
    <n v="1"/>
    <x v="0"/>
  </r>
  <r>
    <x v="271"/>
    <s v="FJALLRAVEN"/>
    <n v="23525"/>
    <s v="Kanken Laptop 17"/>
    <n v="620"/>
    <s v="Green"/>
    <s v="X"/>
    <n v="1"/>
    <x v="5"/>
  </r>
  <r>
    <x v="407"/>
    <s v="FJALLRAVEN"/>
    <n v="24215"/>
    <s v="Gear Pocket"/>
    <n v="228"/>
    <s v="Khaki Dust"/>
    <s v="X"/>
    <n v="1"/>
    <x v="5"/>
  </r>
  <r>
    <x v="166"/>
    <s v="FJALLRAVEN"/>
    <n v="23510"/>
    <s v="Kanken"/>
    <n v="540"/>
    <s v="Royal Blue"/>
    <s v="X"/>
    <n v="1"/>
    <x v="1"/>
  </r>
  <r>
    <x v="172"/>
    <s v="FJALLRAVEN"/>
    <n v="23100160"/>
    <s v="Farden Necessity Bag"/>
    <n v="620"/>
    <s v="Green"/>
    <s v="X"/>
    <n v="1"/>
    <x v="6"/>
  </r>
  <r>
    <x v="372"/>
    <s v="FJALLRAVEN"/>
    <n v="23200341"/>
    <s v="Vardag Totepack 22"/>
    <n v="37"/>
    <s v="Coal Black"/>
    <s v="X"/>
    <n v="1"/>
    <x v="6"/>
  </r>
  <r>
    <x v="38"/>
    <s v="FJALLRAVEN"/>
    <n v="23510"/>
    <s v="Kanken"/>
    <s v="501-115"/>
    <s v="Sky Blue-Light Oak"/>
    <s v="X"/>
    <n v="1"/>
    <x v="7"/>
  </r>
  <r>
    <x v="426"/>
    <s v="FJALLRAVEN"/>
    <n v="23223"/>
    <s v="High Coast Hip Pack"/>
    <n v="207"/>
    <s v="Sunset Orange"/>
    <s v="X"/>
    <n v="1"/>
    <x v="7"/>
  </r>
  <r>
    <x v="76"/>
    <s v="FJALLRAVEN"/>
    <n v="77357"/>
    <s v="Vidda Cap"/>
    <n v="232"/>
    <s v="Buckwheat Brown"/>
    <s v="S/M"/>
    <n v="1"/>
    <x v="5"/>
  </r>
  <r>
    <x v="169"/>
    <s v="FJALLRAVEN"/>
    <n v="23222"/>
    <s v="High Coast Foldsack 24"/>
    <n v="543"/>
    <s v="Dawn Blue"/>
    <s v="X"/>
    <n v="1"/>
    <x v="5"/>
  </r>
  <r>
    <x v="427"/>
    <s v="FJALLRAVEN"/>
    <n v="23510"/>
    <s v="Kanken"/>
    <n v="46"/>
    <s v="Super grey"/>
    <s v="X"/>
    <n v="1"/>
    <x v="0"/>
  </r>
  <r>
    <x v="80"/>
    <s v="FJALLRAVEN"/>
    <n v="23510"/>
    <s v="Kanken"/>
    <n v="302"/>
    <s v="Chalk Rose"/>
    <s v="X"/>
    <n v="1"/>
    <x v="4"/>
  </r>
  <r>
    <x v="207"/>
    <s v="FJALLRAVEN"/>
    <n v="81280"/>
    <s v="ReporterLiteVestM"/>
    <n v="118"/>
    <s v="Fossil"/>
    <s v="S"/>
    <n v="1"/>
    <x v="4"/>
  </r>
  <r>
    <x v="428"/>
    <s v="FJALLRAVEN"/>
    <n v="12100004"/>
    <s v="High Coast Wind Cap"/>
    <n v="550"/>
    <s v="Black"/>
    <s v="L/XL"/>
    <n v="1"/>
    <x v="8"/>
  </r>
  <r>
    <x v="429"/>
    <s v="FJALLRAVEN"/>
    <n v="12600268"/>
    <s v="Multicolor Logo T-shirt M"/>
    <n v="113"/>
    <s v="Chalk White"/>
    <s v="M"/>
    <n v="1"/>
    <x v="8"/>
  </r>
  <r>
    <x v="430"/>
    <s v="FJALLRAVEN"/>
    <n v="87310"/>
    <s v="Fjallraven Logo T-shirt M"/>
    <n v="550"/>
    <s v="Black"/>
    <s v="M"/>
    <n v="1"/>
    <x v="8"/>
  </r>
  <r>
    <x v="130"/>
    <s v="FJALLRAVEN"/>
    <n v="23524"/>
    <s v="Kanken Laptop 15"/>
    <n v="664"/>
    <s v="Frost Green"/>
    <s v="X"/>
    <n v="1"/>
    <x v="4"/>
  </r>
  <r>
    <x v="431"/>
    <s v="FJALLRAVEN"/>
    <n v="23346"/>
    <s v="Skule 28"/>
    <n v="662"/>
    <s v="Deep Forest"/>
    <s v="X"/>
    <n v="1"/>
    <x v="7"/>
  </r>
  <r>
    <x v="432"/>
    <s v="FJALLRAVEN"/>
    <n v="23225"/>
    <s v="High Coast Totepack"/>
    <n v="543"/>
    <s v="Dawn Blue"/>
    <s v="X"/>
    <n v="1"/>
    <x v="3"/>
  </r>
  <r>
    <x v="101"/>
    <s v="FJALLRAVEN"/>
    <n v="23344"/>
    <s v="Raven 20"/>
    <n v="228"/>
    <s v="Khaki Dust"/>
    <s v="X"/>
    <n v="1"/>
    <x v="8"/>
  </r>
  <r>
    <x v="206"/>
    <s v="FJALLRAVEN"/>
    <n v="23223"/>
    <s v="High Coast Hip Pack"/>
    <n v="620"/>
    <s v="Green"/>
    <s v="X"/>
    <n v="1"/>
    <x v="5"/>
  </r>
  <r>
    <x v="21"/>
    <s v="FJALLRAVEN"/>
    <n v="23565"/>
    <s v="Kanken No.2"/>
    <n v="633"/>
    <s v="Dark Olive"/>
    <s v="X"/>
    <n v="1"/>
    <x v="6"/>
  </r>
  <r>
    <x v="433"/>
    <s v="FJALLRAVEN"/>
    <n v="24221"/>
    <s v="Pocket"/>
    <n v="30"/>
    <s v="Dark Grey"/>
    <s v="X"/>
    <n v="1"/>
    <x v="0"/>
  </r>
  <r>
    <x v="434"/>
    <s v="FJALLRAVEN"/>
    <n v="23222"/>
    <s v="High Coast Foldsack 24"/>
    <n v="221"/>
    <s v="Clay"/>
    <s v="X"/>
    <n v="1"/>
    <x v="8"/>
  </r>
  <r>
    <x v="435"/>
    <s v="FJALLRAVEN"/>
    <n v="23200300"/>
    <s v="Vardag Backpack 17"/>
    <n v="37"/>
    <s v="Coal Black"/>
    <s v="X"/>
    <n v="1"/>
    <x v="8"/>
  </r>
  <r>
    <x v="45"/>
    <s v="FJALLRAVEN"/>
    <n v="23561"/>
    <s v="Kanken Mini"/>
    <n v="312"/>
    <s v="Pink"/>
    <s v="X"/>
    <n v="1"/>
    <x v="8"/>
  </r>
  <r>
    <x v="409"/>
    <s v="FJALLRAVEN"/>
    <n v="23524"/>
    <s v="Kanken Laptop 15"/>
    <n v="326"/>
    <s v="Ox Red"/>
    <s v="X"/>
    <n v="1"/>
    <x v="4"/>
  </r>
  <r>
    <x v="80"/>
    <s v="FJALLRAVEN"/>
    <n v="23510"/>
    <s v="Kanken"/>
    <n v="302"/>
    <s v="Chalk Rose"/>
    <s v="X"/>
    <n v="1"/>
    <x v="2"/>
  </r>
  <r>
    <x v="150"/>
    <s v="FJALLRAVEN"/>
    <n v="23797"/>
    <s v="KankenSling"/>
    <n v="302"/>
    <s v="Chalk Rose"/>
    <s v="X"/>
    <n v="1"/>
    <x v="8"/>
  </r>
  <r>
    <x v="436"/>
    <s v="FJALLRAVEN"/>
    <n v="77357"/>
    <s v="Vidda Cap"/>
    <n v="633"/>
    <s v="Dark Olive"/>
    <s v="S/M"/>
    <n v="1"/>
    <x v="8"/>
  </r>
  <r>
    <x v="437"/>
    <s v="FJALLRAVEN"/>
    <n v="87310"/>
    <s v="Fjallraven Logo T-shirt M"/>
    <n v="633"/>
    <s v="Dark Olive"/>
    <s v="M"/>
    <n v="1"/>
    <x v="8"/>
  </r>
  <r>
    <x v="187"/>
    <s v="FJALLRAVEN"/>
    <n v="23200395"/>
    <s v="Kanken Crossbody"/>
    <n v="664"/>
    <s v="Frost Green"/>
    <s v="X"/>
    <n v="1"/>
    <x v="4"/>
  </r>
  <r>
    <x v="438"/>
    <s v="FJALLRAVEN"/>
    <n v="27240"/>
    <s v="Vardag Totepack"/>
    <n v="638"/>
    <s v="Storm"/>
    <s v="X"/>
    <n v="1"/>
    <x v="8"/>
  </r>
  <r>
    <x v="268"/>
    <s v="FJALLRAVEN"/>
    <n v="77410"/>
    <s v="Abisko Midsummer Belt"/>
    <n v="550"/>
    <s v="Black"/>
    <s v="X"/>
    <n v="1"/>
    <x v="8"/>
  </r>
  <r>
    <x v="439"/>
    <s v="FJALLRAVEN"/>
    <n v="23200338"/>
    <s v="Vardag Pocket Small"/>
    <s v="620-221"/>
    <s v="Green-Clay"/>
    <s v="X"/>
    <n v="1"/>
    <x v="4"/>
  </r>
  <r>
    <x v="43"/>
    <s v="FJALLRAVEN"/>
    <n v="23510"/>
    <s v="Kanken"/>
    <n v="424"/>
    <s v="Blackberry"/>
    <s v="X"/>
    <n v="1"/>
    <x v="1"/>
  </r>
  <r>
    <x v="66"/>
    <s v="FJALLRAVEN"/>
    <n v="23510"/>
    <s v="Kanken"/>
    <n v="457"/>
    <s v="Pastel Lavender"/>
    <s v="X"/>
    <n v="1"/>
    <x v="3"/>
  </r>
  <r>
    <x v="133"/>
    <s v="FJALLRAVEN"/>
    <n v="23524"/>
    <s v="Kanken Laptop 15"/>
    <n v="501"/>
    <s v="Sky Blue"/>
    <s v="X"/>
    <n v="1"/>
    <x v="4"/>
  </r>
  <r>
    <x v="433"/>
    <s v="FJALLRAVEN"/>
    <n v="24221"/>
    <s v="Pocket"/>
    <n v="30"/>
    <s v="Dark Grey"/>
    <s v="X"/>
    <n v="1"/>
    <x v="5"/>
  </r>
  <r>
    <x v="91"/>
    <s v="FJALLRAVEN"/>
    <n v="23200337"/>
    <s v="Skule Sling 6"/>
    <n v="550"/>
    <s v="Black"/>
    <s v="X"/>
    <n v="1"/>
    <x v="8"/>
  </r>
  <r>
    <x v="67"/>
    <s v="FJALLRAVEN"/>
    <n v="23510"/>
    <s v="Kanken"/>
    <n v="312"/>
    <s v="Pink"/>
    <s v="X"/>
    <n v="1"/>
    <x v="8"/>
  </r>
  <r>
    <x v="426"/>
    <s v="FJALLRAVEN"/>
    <n v="23223"/>
    <s v="High Coast Hip Pack"/>
    <n v="207"/>
    <s v="Sunset Orange"/>
    <s v="X"/>
    <n v="1"/>
    <x v="5"/>
  </r>
  <r>
    <x v="440"/>
    <s v="FJALLRAVEN"/>
    <n v="77277"/>
    <s v="Kiruna Hat"/>
    <n v="625"/>
    <s v="Laurel Green"/>
    <s v="M"/>
    <n v="1"/>
    <x v="5"/>
  </r>
  <r>
    <x v="267"/>
    <s v="FJALLRAVEN"/>
    <n v="87039"/>
    <s v="Ovik Travel Shirt SS M"/>
    <n v="620"/>
    <s v="Green"/>
    <s v="M"/>
    <n v="1"/>
    <x v="5"/>
  </r>
  <r>
    <x v="38"/>
    <s v="FJALLRAVEN"/>
    <n v="23510"/>
    <s v="Kanken"/>
    <s v="501-115"/>
    <s v="Sky Blue-Light Oak"/>
    <s v="X"/>
    <n v="1"/>
    <x v="8"/>
  </r>
  <r>
    <x v="165"/>
    <s v="FJALLRAVEN"/>
    <n v="23347"/>
    <s v="Skule Kids"/>
    <n v="577"/>
    <s v="Nimbus Blue"/>
    <s v="X"/>
    <n v="1"/>
    <x v="4"/>
  </r>
  <r>
    <x v="415"/>
    <s v="FJALLRAVEN"/>
    <n v="12500171"/>
    <s v="Bergtagen Windshell Jacket M"/>
    <n v="550"/>
    <s v="Black"/>
    <s v="S"/>
    <n v="-1"/>
    <x v="4"/>
  </r>
  <r>
    <x v="415"/>
    <s v="FJALLRAVEN"/>
    <n v="12500171"/>
    <s v="Bergtagen Windshell Jacket M"/>
    <n v="550"/>
    <s v="Black"/>
    <s v="S"/>
    <n v="1"/>
    <x v="4"/>
  </r>
  <r>
    <x v="171"/>
    <s v="FJALLRAVEN"/>
    <n v="24221"/>
    <s v="Pocket"/>
    <n v="550"/>
    <s v="Black"/>
    <s v="X"/>
    <n v="1"/>
    <x v="8"/>
  </r>
  <r>
    <x v="87"/>
    <s v="FJALLRAVEN"/>
    <n v="23505"/>
    <s v="Kanken Shoulder Pads"/>
    <n v="550"/>
    <s v="Black"/>
    <s v="X"/>
    <n v="1"/>
    <x v="5"/>
  </r>
  <r>
    <x v="424"/>
    <s v="FJALLRAVEN"/>
    <n v="23200334"/>
    <s v="KankenKoncept"/>
    <s v="228-135"/>
    <s v="Khaki Dust-Kantarell"/>
    <s v="X"/>
    <n v="1"/>
    <x v="1"/>
  </r>
  <r>
    <x v="42"/>
    <s v="FJALLRAVEN"/>
    <n v="23505"/>
    <s v="Kanken Shoulder Pads"/>
    <n v="160"/>
    <s v="Ochre"/>
    <s v="X"/>
    <n v="1"/>
    <x v="1"/>
  </r>
  <r>
    <x v="191"/>
    <s v="FJALLRAVEN"/>
    <n v="23200248"/>
    <s v="Samlaren Pack Bags"/>
    <n v="0"/>
    <s v="Assorted"/>
    <s v="X"/>
    <n v="1"/>
    <x v="0"/>
  </r>
  <r>
    <x v="441"/>
    <s v="FJALLRAVEN"/>
    <n v="12600268"/>
    <s v="Multicolor Logo T-shirt M"/>
    <n v="244"/>
    <s v="Suede Brown"/>
    <s v="L"/>
    <n v="1"/>
    <x v="5"/>
  </r>
  <r>
    <x v="442"/>
    <s v="FJALLRAVEN"/>
    <n v="23796"/>
    <s v="Kanken Hip Pack"/>
    <n v="221"/>
    <s v="Clay"/>
    <s v="X"/>
    <n v="1"/>
    <x v="5"/>
  </r>
  <r>
    <x v="436"/>
    <s v="FJALLRAVEN"/>
    <n v="77357"/>
    <s v="Vidda Cap"/>
    <n v="633"/>
    <s v="Dark Olive"/>
    <s v="S/M"/>
    <n v="1"/>
    <x v="5"/>
  </r>
  <r>
    <x v="58"/>
    <s v="FJALLRAVEN"/>
    <n v="23200303"/>
    <s v="Farden Carry-On Pack"/>
    <n v="37"/>
    <s v="Coal Black"/>
    <s v="X"/>
    <n v="1"/>
    <x v="1"/>
  </r>
  <r>
    <x v="273"/>
    <s v="FJALLRAVEN"/>
    <n v="23200337"/>
    <s v="Skule Sling 6"/>
    <n v="300"/>
    <s v="Dusty Rose"/>
    <s v="X"/>
    <n v="1"/>
    <x v="7"/>
  </r>
  <r>
    <x v="316"/>
    <s v="FJALLRAVEN"/>
    <n v="23561"/>
    <s v="Kanken Mini"/>
    <n v="600"/>
    <s v="Mint Green"/>
    <s v="X"/>
    <n v="1"/>
    <x v="3"/>
  </r>
  <r>
    <x v="56"/>
    <s v="FJALLRAVEN"/>
    <n v="23200408"/>
    <s v="Samlaren Tote Pack 2A"/>
    <s v="570-260"/>
    <s v="Mountain Blue-Field Orange"/>
    <s v="X"/>
    <n v="1"/>
    <x v="4"/>
  </r>
  <r>
    <x v="266"/>
    <s v="FJALLRAVEN"/>
    <n v="23561"/>
    <s v="Kanken Mini"/>
    <s v="021-312"/>
    <s v="Fog-Pink"/>
    <s v="X"/>
    <n v="1"/>
    <x v="3"/>
  </r>
  <r>
    <x v="443"/>
    <s v="FJALLRAVEN"/>
    <n v="23565"/>
    <s v="Kanken No.2"/>
    <n v="238"/>
    <s v="Hazel Brown"/>
    <s v="X"/>
    <n v="1"/>
    <x v="5"/>
  </r>
  <r>
    <x v="40"/>
    <s v="FJALLRAVEN"/>
    <n v="79060"/>
    <s v="Greenland Wax"/>
    <m/>
    <m/>
    <s v="X"/>
    <n v="1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FJALLRAVEN"/>
    <n v="23561"/>
    <s v="Kanken Mini"/>
    <s v="501-115"/>
    <s v="Sky Blue-Light Oak"/>
    <s v="X"/>
    <n v="12000"/>
    <n v="-1"/>
  </r>
  <r>
    <x v="1"/>
    <s v="FJALLRAVEN"/>
    <n v="23510"/>
    <s v="Kanken"/>
    <n v="457"/>
    <s v="Pastel Lavender"/>
    <s v="X"/>
    <n v="13000"/>
    <n v="1"/>
  </r>
  <r>
    <x v="2"/>
    <s v="FJALLRAVEN"/>
    <n v="23561"/>
    <s v="Kanken Mini"/>
    <s v="021-312"/>
    <s v="Fog-Pink"/>
    <s v="X"/>
    <n v="12000"/>
    <n v="1"/>
  </r>
  <r>
    <x v="3"/>
    <s v="FJALLRAVEN"/>
    <n v="23561"/>
    <s v="Kanken Mini"/>
    <n v="326"/>
    <s v="Ox Red"/>
    <s v="X"/>
    <n v="12000"/>
    <n v="1"/>
  </r>
  <r>
    <x v="4"/>
    <s v="FJALLRAVEN"/>
    <n v="23223"/>
    <s v="High Coast Hip Pack"/>
    <n v="543"/>
    <s v="Dawn Blue"/>
    <s v="X"/>
    <n v="6500"/>
    <n v="1"/>
  </r>
  <r>
    <x v="5"/>
    <s v="FJALLRAVEN"/>
    <n v="23349"/>
    <s v="Skule 20"/>
    <n v="662"/>
    <s v="Deep Forest"/>
    <s v="X"/>
    <n v="12000"/>
    <n v="1"/>
  </r>
  <r>
    <x v="6"/>
    <s v="FJALLRAVEN"/>
    <n v="23200330"/>
    <s v="High Coast Backpack 24"/>
    <n v="16"/>
    <s v="Shark Grey"/>
    <s v="X"/>
    <n v="17000"/>
    <n v="1"/>
  </r>
  <r>
    <x v="2"/>
    <s v="FJALLRAVEN"/>
    <n v="23561"/>
    <s v="Kanken Mini"/>
    <s v="021-312"/>
    <s v="Fog-Pink"/>
    <s v="X"/>
    <n v="12000"/>
    <n v="1"/>
  </r>
  <r>
    <x v="3"/>
    <s v="FJALLRAVEN"/>
    <n v="23561"/>
    <s v="Kanken Mini"/>
    <n v="326"/>
    <s v="Ox Red"/>
    <s v="X"/>
    <n v="12000"/>
    <n v="1"/>
  </r>
  <r>
    <x v="7"/>
    <s v="FJALLRAVEN"/>
    <n v="23223"/>
    <s v="High Coast Hip Pack"/>
    <n v="623"/>
    <s v="Mountain Green"/>
    <s v="X"/>
    <n v="6500"/>
    <n v="1"/>
  </r>
  <r>
    <x v="8"/>
    <s v="FJALLRAVEN"/>
    <n v="23524"/>
    <s v="Kanken Laptop 15"/>
    <n v="31"/>
    <s v="Graphite"/>
    <s v="X"/>
    <n v="18000"/>
    <n v="1"/>
  </r>
  <r>
    <x v="9"/>
    <s v="FJALLRAVEN"/>
    <n v="23344"/>
    <s v="Raven 20"/>
    <s v="550-550"/>
    <s v="Black-Black"/>
    <s v="X"/>
    <n v="16000"/>
    <n v="1"/>
  </r>
  <r>
    <x v="10"/>
    <s v="FJALLRAVEN"/>
    <n v="23804"/>
    <s v="Kanken no. 2 Black Laptop 15"/>
    <n v="550"/>
    <s v="Black"/>
    <s v="X"/>
    <n v="26000"/>
    <n v="1"/>
  </r>
  <r>
    <x v="11"/>
    <s v="TENNEN"/>
    <s v="TNT026"/>
    <s v="天撚Tシャツ /メリノウール"/>
    <n v="164"/>
    <s v="Burgundy"/>
    <s v="L"/>
    <n v="11000"/>
    <n v="1"/>
  </r>
  <r>
    <x v="12"/>
    <s v="FJALLRAVEN"/>
    <n v="23510"/>
    <s v="Kanken"/>
    <n v="160"/>
    <s v="Ochre"/>
    <s v="X"/>
    <n v="13000"/>
    <n v="1"/>
  </r>
  <r>
    <x v="13"/>
    <s v="FJALLRAVEN"/>
    <n v="23510"/>
    <s v="Kanken"/>
    <n v="664"/>
    <s v="Frost Green"/>
    <s v="X"/>
    <n v="13000"/>
    <n v="1"/>
  </r>
  <r>
    <x v="2"/>
    <s v="FJALLRAVEN"/>
    <n v="23561"/>
    <s v="Kanken Mini"/>
    <s v="021-312"/>
    <s v="Fog-Pink"/>
    <s v="X"/>
    <n v="12000"/>
    <n v="1"/>
  </r>
  <r>
    <x v="8"/>
    <s v="FJALLRAVEN"/>
    <n v="23524"/>
    <s v="Kanken Laptop 15"/>
    <n v="31"/>
    <s v="Graphite"/>
    <s v="X"/>
    <n v="18000"/>
    <n v="1"/>
  </r>
  <r>
    <x v="14"/>
    <s v="FJALLRAVEN"/>
    <n v="23344"/>
    <s v="Raven 20"/>
    <n v="550"/>
    <s v="Black"/>
    <s v="X"/>
    <n v="16000"/>
    <n v="1"/>
  </r>
  <r>
    <x v="15"/>
    <s v="FJALLRAVEN"/>
    <n v="23200330"/>
    <s v="High Coast Backpack 24"/>
    <n v="620"/>
    <s v="Green"/>
    <s v="X"/>
    <n v="17000"/>
    <n v="1"/>
  </r>
  <r>
    <x v="2"/>
    <s v="FJALLRAVEN"/>
    <n v="23561"/>
    <s v="Kanken Mini"/>
    <s v="021-312"/>
    <s v="Fog-Pink"/>
    <s v="X"/>
    <n v="12000"/>
    <n v="1"/>
  </r>
  <r>
    <x v="16"/>
    <s v="FJALLRAVEN"/>
    <n v="23200251"/>
    <s v="Kanken Outlong"/>
    <n v="160"/>
    <s v="Ochre"/>
    <s v="X"/>
    <n v="19000"/>
    <n v="1"/>
  </r>
  <r>
    <x v="13"/>
    <s v="FJALLRAVEN"/>
    <n v="23510"/>
    <s v="Kanken"/>
    <n v="664"/>
    <s v="Frost Green"/>
    <s v="X"/>
    <n v="13000"/>
    <n v="-1"/>
  </r>
  <r>
    <x v="17"/>
    <s v="FJALLRAVEN"/>
    <n v="23561"/>
    <s v="Kanken Mini"/>
    <n v="600"/>
    <s v="Mint Green"/>
    <s v="X"/>
    <n v="12000"/>
    <n v="-1"/>
  </r>
  <r>
    <x v="18"/>
    <s v="FJALLRAVEN"/>
    <n v="23510"/>
    <s v="Kanken"/>
    <n v="21"/>
    <s v="Fog"/>
    <s v="X"/>
    <n v="13000"/>
    <n v="1"/>
  </r>
  <r>
    <x v="19"/>
    <s v="FJALLRAVEN"/>
    <n v="23510"/>
    <s v="Kanken"/>
    <n v="501"/>
    <s v="Sky blue"/>
    <s v="X"/>
    <n v="13000"/>
    <n v="1"/>
  </r>
  <r>
    <x v="20"/>
    <s v="FJALLRAVEN"/>
    <n v="23561"/>
    <s v="Kanken Mini"/>
    <s v="457-916"/>
    <s v="Pastel Lavender-Confetti Pattern"/>
    <s v="X"/>
    <n v="12000"/>
    <n v="1"/>
  </r>
  <r>
    <x v="3"/>
    <s v="FJALLRAVEN"/>
    <n v="23561"/>
    <s v="Kanken Mini"/>
    <n v="326"/>
    <s v="Ox Red"/>
    <s v="X"/>
    <n v="12000"/>
    <n v="1"/>
  </r>
  <r>
    <x v="21"/>
    <s v="FJALLRAVEN"/>
    <n v="23710"/>
    <s v="Kanken Totepack"/>
    <n v="31"/>
    <s v="Graphite"/>
    <s v="X"/>
    <n v="15000"/>
    <n v="1"/>
  </r>
  <r>
    <x v="22"/>
    <s v="FJALLRAVEN"/>
    <n v="23796"/>
    <s v="Kanken Hip Pack"/>
    <n v="664"/>
    <s v="Frost Green"/>
    <s v="X"/>
    <n v="8000"/>
    <n v="1"/>
  </r>
  <r>
    <x v="23"/>
    <s v="FJALLRAVEN"/>
    <n v="23796"/>
    <s v="Kanken Hip Pack"/>
    <n v="221"/>
    <s v="Clay"/>
    <s v="X"/>
    <n v="8000"/>
    <n v="1"/>
  </r>
  <r>
    <x v="24"/>
    <s v="FJALLRAVEN"/>
    <n v="23346"/>
    <s v="Skule 28"/>
    <n v="50"/>
    <s v="Basalt"/>
    <s v="X"/>
    <n v="14000"/>
    <n v="1"/>
  </r>
  <r>
    <x v="25"/>
    <s v="FJALLRAVEN"/>
    <n v="23561"/>
    <s v="Kanken Mini"/>
    <n v="501"/>
    <s v="Sky blue"/>
    <s v="X"/>
    <n v="12000"/>
    <n v="-1"/>
  </r>
  <r>
    <x v="26"/>
    <s v="FJALLRAVEN"/>
    <n v="23561"/>
    <s v="Kanken Mini"/>
    <n v="312"/>
    <s v="Pink"/>
    <s v="X"/>
    <n v="12000"/>
    <n v="-1"/>
  </r>
  <r>
    <x v="0"/>
    <s v="FJALLRAVEN"/>
    <n v="23561"/>
    <s v="Kanken Mini"/>
    <s v="501-115"/>
    <s v="Sky Blue-Light Oak"/>
    <s v="X"/>
    <n v="12000"/>
    <n v="1"/>
  </r>
  <r>
    <x v="27"/>
    <s v="FJALLRAVEN"/>
    <n v="23797"/>
    <s v="Kanken Sling"/>
    <n v="31"/>
    <s v="Graphite"/>
    <s v="X"/>
    <n v="10500"/>
    <n v="1"/>
  </r>
  <r>
    <x v="28"/>
    <s v="FJALLRAVEN"/>
    <n v="23796"/>
    <s v="Kanken Hip Pack"/>
    <n v="31"/>
    <s v="Graphite"/>
    <s v="X"/>
    <n v="8000"/>
    <n v="1"/>
  </r>
  <r>
    <x v="14"/>
    <s v="FJALLRAVEN"/>
    <n v="23344"/>
    <s v="Raven 20"/>
    <n v="550"/>
    <s v="Black"/>
    <s v="X"/>
    <n v="16000"/>
    <n v="1"/>
  </r>
  <r>
    <x v="29"/>
    <s v="FJALLRAVEN"/>
    <n v="23561"/>
    <s v="Kanken Mini"/>
    <n v="457"/>
    <s v="Pastel Lavender"/>
    <s v="X"/>
    <n v="12000"/>
    <n v="2"/>
  </r>
  <r>
    <x v="30"/>
    <s v="FJALLRAVEN"/>
    <n v="23620"/>
    <s v="Kanken Rainbow"/>
    <s v="550-907"/>
    <s v="Black-Rainbow Pattern"/>
    <s v="X"/>
    <n v="13500"/>
    <n v="2"/>
  </r>
  <r>
    <x v="13"/>
    <s v="FJALLRAVEN"/>
    <n v="23510"/>
    <s v="Kanken"/>
    <n v="664"/>
    <s v="Frost Green"/>
    <s v="X"/>
    <n v="13000"/>
    <n v="1"/>
  </r>
  <r>
    <x v="31"/>
    <s v="FJALLRAVEN"/>
    <n v="23796"/>
    <s v="Kanken Hip Pack"/>
    <n v="118"/>
    <s v="Fossil"/>
    <s v="X"/>
    <n v="8000"/>
    <n v="1"/>
  </r>
  <r>
    <x v="32"/>
    <s v="FJALLRAVEN"/>
    <n v="23524"/>
    <s v="Kanken Laptop 15"/>
    <n v="160"/>
    <s v="Ochre"/>
    <s v="X"/>
    <n v="18000"/>
    <n v="1"/>
  </r>
  <r>
    <x v="33"/>
    <s v="FJALLRAVEN"/>
    <n v="23510"/>
    <s v="Kanken"/>
    <n v="540"/>
    <s v="Royal Blue"/>
    <s v="X"/>
    <n v="13000"/>
    <n v="1"/>
  </r>
  <r>
    <x v="34"/>
    <s v="FJALLRAVEN"/>
    <n v="23510"/>
    <s v="Kanken"/>
    <n v="560"/>
    <s v="Navy"/>
    <s v="X"/>
    <n v="13000"/>
    <n v="1"/>
  </r>
  <r>
    <x v="35"/>
    <s v="FJALLRAVEN"/>
    <n v="23510"/>
    <s v="Kanken"/>
    <n v="312"/>
    <s v="Pink"/>
    <s v="X"/>
    <n v="13000"/>
    <n v="1"/>
  </r>
  <r>
    <x v="36"/>
    <s v="FJALLRAVEN"/>
    <n v="23510"/>
    <s v="Kanken"/>
    <n v="600"/>
    <s v="Mint Green"/>
    <s v="X"/>
    <n v="13000"/>
    <n v="1"/>
  </r>
  <r>
    <x v="37"/>
    <s v="FJALLRAVEN"/>
    <n v="24213"/>
    <s v="Gear Bag"/>
    <n v="30"/>
    <s v="Dark Grey"/>
    <s v="X"/>
    <n v="4300"/>
    <n v="1"/>
  </r>
  <r>
    <x v="38"/>
    <s v="FJALLRAVEN"/>
    <n v="23796"/>
    <s v="Kanken Hip Pack"/>
    <n v="457"/>
    <s v="Pastel Lavender"/>
    <s v="X"/>
    <n v="8000"/>
    <n v="1"/>
  </r>
  <r>
    <x v="39"/>
    <s v="FJALLRAVEN"/>
    <n v="23796"/>
    <s v="Kanken Hip Pack"/>
    <n v="560"/>
    <s v="Navy"/>
    <s v="X"/>
    <n v="8000"/>
    <n v="1"/>
  </r>
  <r>
    <x v="40"/>
    <s v="FJALLRAVEN"/>
    <n v="23345"/>
    <s v="Raven 28"/>
    <s v="550-550"/>
    <s v="Black-Black"/>
    <s v="X"/>
    <n v="19000"/>
    <n v="1"/>
  </r>
  <r>
    <x v="41"/>
    <s v="FJALLRAVEN"/>
    <n v="23345"/>
    <s v="Raven 28"/>
    <n v="357"/>
    <s v="Port"/>
    <s v="X"/>
    <n v="19000"/>
    <n v="1"/>
  </r>
  <r>
    <x v="42"/>
    <m/>
    <m/>
    <m/>
    <m/>
    <m/>
    <m/>
    <m/>
    <m/>
  </r>
  <r>
    <x v="42"/>
    <m/>
    <m/>
    <m/>
    <m/>
    <m/>
    <m/>
    <m/>
    <m/>
  </r>
  <r>
    <x v="42"/>
    <m/>
    <m/>
    <m/>
    <m/>
    <m/>
    <m/>
    <m/>
    <m/>
  </r>
  <r>
    <x v="42"/>
    <m/>
    <m/>
    <m/>
    <m/>
    <m/>
    <m/>
    <m/>
    <m/>
  </r>
  <r>
    <x v="42"/>
    <m/>
    <m/>
    <m/>
    <m/>
    <m/>
    <m/>
    <m/>
    <m/>
  </r>
  <r>
    <x v="42"/>
    <m/>
    <m/>
    <m/>
    <m/>
    <m/>
    <m/>
    <m/>
    <m/>
  </r>
  <r>
    <x v="42"/>
    <m/>
    <m/>
    <m/>
    <m/>
    <m/>
    <m/>
    <m/>
    <m/>
  </r>
  <r>
    <x v="42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FJALLRAVEN"/>
    <n v="23510"/>
    <s v="Kanken"/>
    <n v="501"/>
    <s v="Sky blue"/>
    <s v="X"/>
    <n v="13000"/>
    <n v="-1"/>
  </r>
  <r>
    <x v="1"/>
    <s v="FJALLRAVEN"/>
    <n v="23505"/>
    <s v="Kanken Shoulder Pads"/>
    <n v="560"/>
    <s v="Navy"/>
    <s v="X"/>
    <n v="3500"/>
    <n v="-1"/>
  </r>
  <r>
    <x v="2"/>
    <s v="FJALLRAVEN"/>
    <n v="23346"/>
    <s v="Skule 28"/>
    <n v="662"/>
    <s v="Deep Forest"/>
    <s v="X"/>
    <n v="14000"/>
    <n v="-1"/>
  </r>
  <r>
    <x v="3"/>
    <s v="FJALLRAVEN"/>
    <n v="23525"/>
    <s v="Kanken Laptop 17"/>
    <n v="160"/>
    <s v="Ochre"/>
    <s v="X"/>
    <n v="19000"/>
    <n v="1"/>
  </r>
  <r>
    <x v="4"/>
    <s v="FJALLRAVEN"/>
    <n v="23510"/>
    <s v="Kanken"/>
    <n v="126"/>
    <s v="Corn"/>
    <s v="X"/>
    <n v="13000"/>
    <n v="1"/>
  </r>
  <r>
    <x v="5"/>
    <s v="FJALLRAVEN"/>
    <n v="23510"/>
    <s v="Kanken"/>
    <n v="312"/>
    <s v="Pink"/>
    <s v="X"/>
    <n v="13000"/>
    <n v="1"/>
  </r>
  <r>
    <x v="6"/>
    <s v="FJALLRAVEN"/>
    <n v="23561"/>
    <s v="Kanken Mini"/>
    <n v="46"/>
    <s v="Super grey"/>
    <s v="X"/>
    <n v="12000"/>
    <n v="1"/>
  </r>
  <r>
    <x v="7"/>
    <s v="FJALLRAVEN"/>
    <n v="23510"/>
    <s v="Kanken"/>
    <n v="664"/>
    <s v="Frost Green"/>
    <s v="X"/>
    <n v="13000"/>
    <n v="1"/>
  </r>
  <r>
    <x v="4"/>
    <s v="FJALLRAVEN"/>
    <n v="23510"/>
    <s v="Kanken"/>
    <n v="126"/>
    <s v="Corn"/>
    <s v="X"/>
    <n v="13000"/>
    <n v="1"/>
  </r>
  <r>
    <x v="8"/>
    <s v="FJALLRAVEN"/>
    <n v="23781"/>
    <s v="Kanken Travel Wallet"/>
    <n v="550"/>
    <s v="Black"/>
    <s v="X"/>
    <n v="9000"/>
    <n v="1"/>
  </r>
  <r>
    <x v="9"/>
    <s v="FJALLRAVEN"/>
    <n v="23165"/>
    <s v="Ulvo Hip Pack Medium"/>
    <n v="550"/>
    <s v="Black"/>
    <s v="X"/>
    <n v="8000"/>
    <n v="1"/>
  </r>
  <r>
    <x v="10"/>
    <s v="FJALLRAVEN"/>
    <n v="79030"/>
    <s v="Greenland Wax travel pack"/>
    <m/>
    <m/>
    <s v="X"/>
    <n v="850"/>
    <n v="1"/>
  </r>
  <r>
    <x v="11"/>
    <s v="FJALLRAVEN"/>
    <n v="23510"/>
    <s v="Kanken"/>
    <n v="540"/>
    <s v="Royal Blue"/>
    <s v="X"/>
    <n v="13000"/>
    <n v="1"/>
  </r>
  <r>
    <x v="12"/>
    <s v="FJALLRAVEN"/>
    <n v="23510"/>
    <s v="Kanken"/>
    <s v="501-115"/>
    <s v="Sky Blue-Light Oak"/>
    <s v="X"/>
    <n v="13000"/>
    <n v="1"/>
  </r>
  <r>
    <x v="13"/>
    <s v="FJALLRAVEN"/>
    <n v="23565"/>
    <s v="Kanken No.2"/>
    <n v="238"/>
    <s v="Hazel Brown"/>
    <s v="X"/>
    <n v="20000"/>
    <n v="1"/>
  </r>
  <r>
    <x v="14"/>
    <s v="FJALLRAVEN"/>
    <n v="23200251"/>
    <s v="Kanken Outlong"/>
    <n v="21"/>
    <s v="Fog"/>
    <s v="X"/>
    <n v="19000"/>
    <n v="1"/>
  </r>
  <r>
    <x v="15"/>
    <s v="FJALLRAVEN"/>
    <n v="23510"/>
    <s v="Kanken"/>
    <n v="424"/>
    <s v="Blackberry"/>
    <s v="X"/>
    <n v="13000"/>
    <n v="1"/>
  </r>
  <r>
    <x v="11"/>
    <s v="FJALLRAVEN"/>
    <n v="23510"/>
    <s v="Kanken"/>
    <n v="540"/>
    <s v="Royal Blue"/>
    <s v="X"/>
    <n v="13000"/>
    <n v="1"/>
  </r>
  <r>
    <x v="12"/>
    <s v="FJALLRAVEN"/>
    <n v="23510"/>
    <s v="Kanken"/>
    <s v="501-115"/>
    <s v="Sky Blue-Light Oak"/>
    <s v="X"/>
    <n v="13000"/>
    <n v="1"/>
  </r>
  <r>
    <x v="16"/>
    <s v="FJALLRAVEN"/>
    <n v="23349"/>
    <s v="Skule 20"/>
    <n v="662"/>
    <s v="Deep Forest"/>
    <s v="X"/>
    <n v="12000"/>
    <n v="1"/>
  </r>
  <r>
    <x v="17"/>
    <s v="FJALLRAVEN"/>
    <n v="23349"/>
    <s v="Skule 20"/>
    <n v="550"/>
    <s v="Black"/>
    <s v="X"/>
    <n v="12000"/>
    <n v="1"/>
  </r>
  <r>
    <x v="18"/>
    <s v="FJALLRAVEN"/>
    <n v="23510"/>
    <s v="Kanken"/>
    <n v="21"/>
    <s v="Fog"/>
    <s v="X"/>
    <n v="13000"/>
    <n v="1"/>
  </r>
  <r>
    <x v="19"/>
    <s v="FJALLRAVEN"/>
    <n v="23565"/>
    <s v="Kanken No.2"/>
    <n v="633"/>
    <s v="Dark Olive"/>
    <s v="X"/>
    <n v="20000"/>
    <n v="1"/>
  </r>
  <r>
    <x v="20"/>
    <s v="FJALLRAVEN"/>
    <n v="23345"/>
    <s v="Raven 28"/>
    <n v="550"/>
    <s v="Black"/>
    <s v="X"/>
    <n v="19000"/>
    <n v="1"/>
  </r>
  <r>
    <x v="21"/>
    <s v="FJALLRAVEN"/>
    <n v="23223"/>
    <s v="High Coast Hip Pack"/>
    <n v="207"/>
    <s v="Sunset Orange"/>
    <s v="X"/>
    <n v="6500"/>
    <n v="1"/>
  </r>
  <r>
    <x v="22"/>
    <s v="FJALLRAVEN"/>
    <n v="23508"/>
    <s v="Kanken Organizer"/>
    <n v="560"/>
    <s v="Navy"/>
    <s v="X"/>
    <n v="5500"/>
    <n v="1"/>
  </r>
  <r>
    <x v="23"/>
    <s v="FJALLRAVEN"/>
    <n v="23322"/>
    <s v="Singi Stubben"/>
    <n v="633"/>
    <s v="Dark Olive"/>
    <s v="X"/>
    <n v="42000"/>
    <n v="1"/>
  </r>
  <r>
    <x v="18"/>
    <s v="FJALLRAVEN"/>
    <n v="23510"/>
    <s v="Kanken"/>
    <n v="21"/>
    <s v="Fog"/>
    <s v="X"/>
    <n v="13000"/>
    <n v="1"/>
  </r>
  <r>
    <x v="24"/>
    <s v="FJALLRAVEN"/>
    <n v="23510"/>
    <s v="Kanken"/>
    <n v="550"/>
    <s v="Black"/>
    <s v="X"/>
    <n v="13000"/>
    <n v="1"/>
  </r>
  <r>
    <x v="2"/>
    <s v="FJALLRAVEN"/>
    <n v="23346"/>
    <s v="Skule 28"/>
    <n v="662"/>
    <s v="Deep Forest"/>
    <s v="X"/>
    <n v="14000"/>
    <n v="1"/>
  </r>
  <r>
    <x v="25"/>
    <s v="FJALLRAVEN"/>
    <n v="23346"/>
    <s v="Skule 28"/>
    <n v="550"/>
    <s v="Black"/>
    <s v="X"/>
    <n v="14000"/>
    <n v="1"/>
  </r>
  <r>
    <x v="26"/>
    <s v="FJALLRAVEN"/>
    <n v="23226"/>
    <s v="High Coast Pocket"/>
    <n v="333"/>
    <s v="Rowan Red"/>
    <s v="X"/>
    <n v="5000"/>
    <n v="1"/>
  </r>
  <r>
    <x v="1"/>
    <s v="FJALLRAVEN"/>
    <n v="23505"/>
    <s v="Kanken Shoulder Pads"/>
    <n v="560"/>
    <s v="Navy"/>
    <s v="X"/>
    <n v="3500"/>
    <n v="1"/>
  </r>
  <r>
    <x v="27"/>
    <s v="FJALLRAVEN"/>
    <n v="23796"/>
    <s v="Kanken Hip Pack"/>
    <n v="424"/>
    <s v="Blackberry"/>
    <s v="X"/>
    <n v="8000"/>
    <n v="1"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  <r>
    <x v="28"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n v="1"/>
    <n v="19800"/>
    <n v="1980"/>
    <s v="000000001143"/>
    <s v="23524"/>
    <x v="0"/>
  </r>
  <r>
    <n v="1"/>
    <n v="12100"/>
    <n v="1210"/>
    <s v="000000001465"/>
    <s v="86977"/>
    <x v="1"/>
  </r>
  <r>
    <n v="1"/>
    <n v="9790"/>
    <n v="979"/>
    <s v="000000001734"/>
    <s v="12600268"/>
    <x v="2"/>
  </r>
  <r>
    <n v="1"/>
    <n v="14300"/>
    <n v="1430"/>
    <s v="000000000897"/>
    <s v="23510"/>
    <x v="3"/>
  </r>
  <r>
    <n v="1"/>
    <n v="16500"/>
    <n v="1650"/>
    <s v="000000000594"/>
    <s v="23710"/>
    <x v="4"/>
  </r>
  <r>
    <n v="1"/>
    <n v="14300"/>
    <n v="1430"/>
    <s v="000000000802"/>
    <s v="23225"/>
    <x v="5"/>
  </r>
  <r>
    <n v="1"/>
    <n v="14300"/>
    <n v="1430"/>
    <s v="000000000802"/>
    <s v="23225"/>
    <x v="5"/>
  </r>
  <r>
    <n v="1"/>
    <n v="14300"/>
    <n v="1430"/>
    <s v="000000000882"/>
    <s v="23510"/>
    <x v="6"/>
  </r>
  <r>
    <n v="1"/>
    <n v="5280"/>
    <n v="528"/>
    <s v="000000000210"/>
    <s v="77316"/>
    <x v="7"/>
  </r>
  <r>
    <n v="1"/>
    <n v="7370"/>
    <n v="737"/>
    <s v="000000001244"/>
    <s v="79339"/>
    <x v="8"/>
  </r>
  <r>
    <n v="1"/>
    <n v="35200"/>
    <n v="3520"/>
    <s v="000000001613"/>
    <s v="86706"/>
    <x v="9"/>
  </r>
  <r>
    <n v="1"/>
    <n v="14300"/>
    <n v="1430"/>
    <s v="000000000872"/>
    <s v="23510"/>
    <x v="10"/>
  </r>
  <r>
    <n v="1"/>
    <n v="4620"/>
    <n v="462"/>
    <s v="000000000416"/>
    <s v="25861"/>
    <x v="11"/>
  </r>
  <r>
    <n v="1"/>
    <n v="14300"/>
    <n v="1430"/>
    <s v="000000001723"/>
    <s v="23510"/>
    <x v="12"/>
  </r>
  <r>
    <n v="1"/>
    <n v="14300"/>
    <n v="1430"/>
    <s v="000000001723"/>
    <s v="23510"/>
    <x v="12"/>
  </r>
  <r>
    <n v="1"/>
    <n v="3520"/>
    <n v="10"/>
    <s v="000000000296"/>
    <s v="79061"/>
    <x v="13"/>
  </r>
  <r>
    <n v="1"/>
    <n v="30250"/>
    <n v="3025"/>
    <s v="000000001531"/>
    <s v="82606"/>
    <x v="14"/>
  </r>
  <r>
    <n v="1"/>
    <n v="14300"/>
    <n v="1430"/>
    <s v="000000000872"/>
    <s v="23510"/>
    <x v="10"/>
  </r>
  <r>
    <n v="1"/>
    <n v="550"/>
    <n v="55"/>
    <s v="000000000584"/>
    <s v="GIFT500"/>
    <x v="15"/>
  </r>
  <r>
    <n v="1"/>
    <n v="14300"/>
    <n v="1430"/>
    <s v="000000000851"/>
    <s v="23510"/>
    <x v="16"/>
  </r>
  <r>
    <n v="1"/>
    <n v="550"/>
    <n v="55"/>
    <s v="000000000584"/>
    <s v="GIFT500"/>
    <x v="15"/>
  </r>
  <r>
    <n v="1"/>
    <n v="14300"/>
    <n v="1430"/>
    <s v="000000000851"/>
    <s v="23510"/>
    <x v="16"/>
  </r>
  <r>
    <n v="1"/>
    <n v="19800"/>
    <n v="1980"/>
    <s v="000000001143"/>
    <s v="23524"/>
    <x v="17"/>
  </r>
  <r>
    <n v="1"/>
    <n v="550"/>
    <n v="55"/>
    <s v="000000000584"/>
    <s v="GIFT500"/>
    <x v="15"/>
  </r>
  <r>
    <n v="1"/>
    <n v="14300"/>
    <n v="1430"/>
    <s v="000000001481"/>
    <s v="23510"/>
    <x v="18"/>
  </r>
  <r>
    <n v="1"/>
    <n v="14300"/>
    <n v="10"/>
    <s v="000000001723"/>
    <s v="23510"/>
    <x v="12"/>
  </r>
  <r>
    <n v="1"/>
    <n v="550"/>
    <n v="55"/>
    <s v="000000000584"/>
    <s v="GIFT500"/>
    <x v="15"/>
  </r>
  <r>
    <n v="1"/>
    <n v="14300"/>
    <n v="1430"/>
    <s v="000000000881"/>
    <s v="23510"/>
    <x v="19"/>
  </r>
  <r>
    <n v="1"/>
    <n v="14300"/>
    <n v="1430"/>
    <s v="000000000882"/>
    <s v="23510"/>
    <x v="6"/>
  </r>
  <r>
    <n v="1"/>
    <n v="8800"/>
    <n v="880"/>
    <s v="000000000596"/>
    <s v="23796"/>
    <x v="20"/>
  </r>
  <r>
    <n v="1"/>
    <n v="440"/>
    <n v="44"/>
    <s v="000000001472"/>
    <s v="GIFT400"/>
    <x v="21"/>
  </r>
  <r>
    <n v="1"/>
    <n v="13200"/>
    <n v="1320"/>
    <s v="000000001740"/>
    <s v="23561"/>
    <x v="22"/>
  </r>
  <r>
    <n v="1"/>
    <n v="14300"/>
    <n v="1430"/>
    <s v="000000001723"/>
    <s v="23510"/>
    <x v="12"/>
  </r>
  <r>
    <n v="1"/>
    <n v="14300"/>
    <n v="1430"/>
    <s v="000000001723"/>
    <s v="23510"/>
    <x v="12"/>
  </r>
  <r>
    <n v="1"/>
    <n v="17050"/>
    <n v="1705"/>
    <s v="000000001624"/>
    <s v="23200300"/>
    <x v="23"/>
  </r>
  <r>
    <n v="1"/>
    <n v="14300"/>
    <n v="1430"/>
    <s v="000000000897"/>
    <s v="23510"/>
    <x v="3"/>
  </r>
  <r>
    <n v="1"/>
    <n v="19800"/>
    <n v="1980"/>
    <s v="000000001662"/>
    <s v="87105"/>
    <x v="24"/>
  </r>
  <r>
    <n v="1"/>
    <n v="8800"/>
    <n v="880"/>
    <s v="000000000596"/>
    <s v="23796"/>
    <x v="25"/>
  </r>
  <r>
    <n v="1"/>
    <n v="14300"/>
    <n v="1430"/>
    <s v="000000000872"/>
    <s v="23510"/>
    <x v="10"/>
  </r>
  <r>
    <n v="1"/>
    <n v="14300"/>
    <n v="1430"/>
    <s v="000000001723"/>
    <s v="23510"/>
    <x v="12"/>
  </r>
  <r>
    <n v="1"/>
    <n v="14300"/>
    <n v="1430"/>
    <s v="000000001723"/>
    <s v="23510"/>
    <x v="12"/>
  </r>
  <r>
    <n v="1"/>
    <n v="6050"/>
    <n v="605"/>
    <s v="000000000712"/>
    <s v="23508"/>
    <x v="26"/>
  </r>
  <r>
    <n v="1"/>
    <n v="20900"/>
    <n v="2090"/>
    <s v="000000001495"/>
    <s v="23200251"/>
    <x v="27"/>
  </r>
  <r>
    <n v="1"/>
    <n v="14300"/>
    <n v="1430"/>
    <s v="000000001723"/>
    <s v="23510"/>
    <x v="12"/>
  </r>
  <r>
    <n v="1"/>
    <n v="14300"/>
    <n v="1430"/>
    <s v="000000000870"/>
    <s v="23510"/>
    <x v="28"/>
  </r>
  <r>
    <n v="1"/>
    <n v="8800"/>
    <n v="880"/>
    <s v="000000000596"/>
    <s v="23796"/>
    <x v="29"/>
  </r>
  <r>
    <n v="1"/>
    <n v="440"/>
    <n v="44"/>
    <s v="000000001472"/>
    <s v="GIFT400"/>
    <x v="21"/>
  </r>
  <r>
    <n v="1"/>
    <n v="14300"/>
    <n v="1430"/>
    <s v="000000001739"/>
    <s v="23510"/>
    <x v="30"/>
  </r>
  <r>
    <n v="1"/>
    <n v="8800"/>
    <n v="880"/>
    <s v="000000000596"/>
    <s v="23796"/>
    <x v="31"/>
  </r>
  <r>
    <n v="1"/>
    <n v="8800"/>
    <n v="880"/>
    <s v="000000000596"/>
    <s v="23796"/>
    <x v="32"/>
  </r>
  <r>
    <n v="1"/>
    <n v="14300"/>
    <n v="1430"/>
    <s v="000000000872"/>
    <s v="23510"/>
    <x v="10"/>
  </r>
  <r>
    <n v="1"/>
    <n v="19800"/>
    <n v="1980"/>
    <s v="000000001143"/>
    <s v="23524"/>
    <x v="33"/>
  </r>
  <r>
    <n v="1"/>
    <n v="440"/>
    <n v="44"/>
    <s v="000000001472"/>
    <s v="GIFT400"/>
    <x v="21"/>
  </r>
  <r>
    <n v="1"/>
    <n v="7150"/>
    <n v="715"/>
    <s v="000000001503"/>
    <s v="12600216"/>
    <x v="34"/>
  </r>
  <r>
    <n v="1"/>
    <n v="14300"/>
    <n v="1430"/>
    <s v="000000000870"/>
    <s v="23510"/>
    <x v="28"/>
  </r>
  <r>
    <n v="1"/>
    <n v="14300"/>
    <n v="1430"/>
    <s v="000000001481"/>
    <s v="23510"/>
    <x v="18"/>
  </r>
  <r>
    <n v="1"/>
    <n v="14300"/>
    <n v="1430"/>
    <s v="000000000897"/>
    <s v="23510"/>
    <x v="3"/>
  </r>
  <r>
    <n v="1"/>
    <n v="14300"/>
    <n v="1430"/>
    <s v="000000001550"/>
    <s v="23510"/>
    <x v="35"/>
  </r>
  <r>
    <n v="1"/>
    <n v="15400"/>
    <n v="1540"/>
    <s v="000000000595"/>
    <s v="23711"/>
    <x v="36"/>
  </r>
  <r>
    <n v="1"/>
    <n v="14300"/>
    <n v="1430"/>
    <s v="000000001723"/>
    <s v="23510"/>
    <x v="12"/>
  </r>
  <r>
    <n v="1"/>
    <n v="440"/>
    <n v="44"/>
    <s v="000000001472"/>
    <s v="GIFT400"/>
    <x v="21"/>
  </r>
  <r>
    <n v="1"/>
    <n v="13200"/>
    <n v="1320"/>
    <s v="000000001740"/>
    <s v="23561"/>
    <x v="22"/>
  </r>
  <r>
    <n v="1"/>
    <n v="6600"/>
    <n v="660"/>
    <s v="000000000170"/>
    <s v="24221"/>
    <x v="37"/>
  </r>
  <r>
    <n v="1"/>
    <n v="16500"/>
    <n v="1650"/>
    <s v="000000000594"/>
    <s v="23710"/>
    <x v="38"/>
  </r>
  <r>
    <n v="1"/>
    <n v="22000"/>
    <n v="2200"/>
    <s v="000000000292"/>
    <s v="23154"/>
    <x v="39"/>
  </r>
  <r>
    <n v="1"/>
    <n v="16500"/>
    <n v="1650"/>
    <s v="000000001649"/>
    <s v="14600167"/>
    <x v="40"/>
  </r>
  <r>
    <n v="1"/>
    <n v="8250"/>
    <n v="825"/>
    <s v="000000001242"/>
    <s v="77404"/>
    <x v="41"/>
  </r>
  <r>
    <n v="1"/>
    <n v="12100"/>
    <n v="1210"/>
    <s v="000000000355"/>
    <s v="77363"/>
    <x v="42"/>
  </r>
  <r>
    <n v="1"/>
    <n v="4400"/>
    <n v="440"/>
    <s v="000000000723"/>
    <s v="25863"/>
    <x v="43"/>
  </r>
  <r>
    <n v="1"/>
    <n v="6050"/>
    <n v="605"/>
    <s v="000000000943"/>
    <s v="25862"/>
    <x v="44"/>
  </r>
  <r>
    <n v="1"/>
    <n v="1650"/>
    <n v="165"/>
    <s v="000000000290"/>
    <s v="23785"/>
    <x v="45"/>
  </r>
  <r>
    <n v="1"/>
    <n v="4400"/>
    <n v="440"/>
    <s v="000000000298"/>
    <s v="77308"/>
    <x v="46"/>
  </r>
  <r>
    <n v="1"/>
    <n v="4730"/>
    <n v="473"/>
    <s v="000000000051"/>
    <s v="24213"/>
    <x v="47"/>
  </r>
  <r>
    <n v="1"/>
    <n v="6380"/>
    <n v="638"/>
    <s v="000000000089"/>
    <s v="24214"/>
    <x v="48"/>
  </r>
  <r>
    <n v="1"/>
    <n v="4400"/>
    <n v="440"/>
    <s v="000000001489"/>
    <s v="23200247"/>
    <x v="49"/>
  </r>
  <r>
    <n v="1"/>
    <n v="20900"/>
    <n v="2090"/>
    <s v="000000001144"/>
    <s v="23525"/>
    <x v="50"/>
  </r>
  <r>
    <n v="1"/>
    <n v="14300"/>
    <n v="1430"/>
    <s v="000000001619"/>
    <s v="23510"/>
    <x v="51"/>
  </r>
  <r>
    <n v="1"/>
    <n v="14300"/>
    <n v="1430"/>
    <s v="000000000870"/>
    <s v="23510"/>
    <x v="28"/>
  </r>
  <r>
    <n v="1"/>
    <n v="3850"/>
    <n v="385"/>
    <s v="000000000489"/>
    <s v="23505"/>
    <x v="52"/>
  </r>
  <r>
    <n v="1"/>
    <n v="2200"/>
    <n v="220"/>
    <s v="000000000491"/>
    <s v="23507"/>
    <x v="53"/>
  </r>
  <r>
    <n v="1"/>
    <n v="14300"/>
    <n v="1430"/>
    <s v="000000000851"/>
    <s v="23510"/>
    <x v="16"/>
  </r>
  <r>
    <n v="1"/>
    <n v="6050"/>
    <n v="605"/>
    <s v="000000000943"/>
    <s v="25862"/>
    <x v="54"/>
  </r>
  <r>
    <n v="1"/>
    <n v="14300"/>
    <n v="1430"/>
    <s v="000000000872"/>
    <s v="23510"/>
    <x v="10"/>
  </r>
  <r>
    <n v="1"/>
    <n v="22000"/>
    <n v="2200"/>
    <s v="000000000068"/>
    <s v="23565"/>
    <x v="55"/>
  </r>
  <r>
    <n v="1"/>
    <n v="9900"/>
    <n v="10"/>
    <s v="000000001608"/>
    <s v="13100179"/>
    <x v="56"/>
  </r>
  <r>
    <n v="1"/>
    <n v="14300"/>
    <n v="1430"/>
    <s v="000000000880"/>
    <s v="23510"/>
    <x v="57"/>
  </r>
  <r>
    <n v="1"/>
    <n v="14300"/>
    <n v="1430"/>
    <s v="000000000872"/>
    <s v="23510"/>
    <x v="10"/>
  </r>
  <r>
    <n v="1"/>
    <n v="14300"/>
    <n v="1430"/>
    <s v="000000001619"/>
    <s v="23510"/>
    <x v="51"/>
  </r>
  <r>
    <n v="1"/>
    <n v="11000"/>
    <n v="1100"/>
    <s v="000000001383"/>
    <s v="23227"/>
    <x v="58"/>
  </r>
  <r>
    <n v="1"/>
    <n v="440"/>
    <n v="44"/>
    <s v="000000001472"/>
    <s v="GIFT400"/>
    <x v="21"/>
  </r>
  <r>
    <n v="1"/>
    <n v="14300"/>
    <n v="1430"/>
    <s v="000000000870"/>
    <s v="23510"/>
    <x v="28"/>
  </r>
  <r>
    <n v="1"/>
    <n v="935"/>
    <n v="93"/>
    <s v="000000000031"/>
    <s v="79030"/>
    <x v="59"/>
  </r>
  <r>
    <n v="1"/>
    <n v="11000"/>
    <n v="1100"/>
    <s v="000000001383"/>
    <s v="23227"/>
    <x v="60"/>
  </r>
  <r>
    <n v="1"/>
    <n v="27500"/>
    <n v="2750"/>
    <s v="000000001622"/>
    <s v="23200302"/>
    <x v="61"/>
  </r>
  <r>
    <n v="1"/>
    <n v="935"/>
    <n v="93"/>
    <s v="000000000031"/>
    <s v="79030"/>
    <x v="59"/>
  </r>
  <r>
    <n v="1"/>
    <n v="7150"/>
    <n v="715"/>
    <s v="000000001746"/>
    <s v="23200338"/>
    <x v="62"/>
  </r>
  <r>
    <n v="1"/>
    <n v="20900"/>
    <n v="2090"/>
    <s v="000000001133"/>
    <s v="23345"/>
    <x v="63"/>
  </r>
  <r>
    <n v="1"/>
    <n v="14850"/>
    <n v="1485"/>
    <s v="000000001132"/>
    <s v="84108"/>
    <x v="64"/>
  </r>
  <r>
    <n v="1"/>
    <n v="14300"/>
    <n v="1430"/>
    <s v="000000000872"/>
    <s v="23510"/>
    <x v="10"/>
  </r>
  <r>
    <n v="1"/>
    <n v="14300"/>
    <n v="1430"/>
    <s v="000000000872"/>
    <s v="23510"/>
    <x v="10"/>
  </r>
  <r>
    <n v="1"/>
    <n v="14300"/>
    <n v="1430"/>
    <s v="000000000882"/>
    <s v="23510"/>
    <x v="6"/>
  </r>
  <r>
    <n v="1"/>
    <n v="7370"/>
    <n v="737"/>
    <s v="000000001486"/>
    <s v="12100003"/>
    <x v="65"/>
  </r>
  <r>
    <n v="1"/>
    <n v="19800"/>
    <n v="1980"/>
    <s v="000000001143"/>
    <s v="23524"/>
    <x v="66"/>
  </r>
  <r>
    <n v="1"/>
    <n v="1650"/>
    <n v="165"/>
    <s v="000000000290"/>
    <s v="23785"/>
    <x v="67"/>
  </r>
  <r>
    <n v="1"/>
    <n v="15400"/>
    <n v="1540"/>
    <s v="000000001137"/>
    <s v="23346"/>
    <x v="68"/>
  </r>
  <r>
    <n v="1"/>
    <n v="14300"/>
    <n v="1430"/>
    <s v="000000001481"/>
    <s v="23510"/>
    <x v="18"/>
  </r>
  <r>
    <n v="1"/>
    <n v="19800"/>
    <n v="1980"/>
    <s v="000000001143"/>
    <s v="23524"/>
    <x v="69"/>
  </r>
  <r>
    <n v="1"/>
    <n v="14300"/>
    <n v="1430"/>
    <s v="000000000895"/>
    <s v="23510"/>
    <x v="70"/>
  </r>
  <r>
    <n v="1"/>
    <n v="14300"/>
    <n v="1430"/>
    <s v="000000000852"/>
    <s v="23510"/>
    <x v="71"/>
  </r>
  <r>
    <n v="1"/>
    <n v="13200"/>
    <n v="1320"/>
    <s v="000000000973"/>
    <s v="23561"/>
    <x v="72"/>
  </r>
  <r>
    <n v="1"/>
    <n v="14300"/>
    <n v="1430"/>
    <s v="000000000880"/>
    <s v="23510"/>
    <x v="57"/>
  </r>
  <r>
    <n v="1"/>
    <n v="14300"/>
    <n v="1430"/>
    <s v="000000000880"/>
    <s v="23510"/>
    <x v="57"/>
  </r>
  <r>
    <n v="1"/>
    <n v="13200"/>
    <n v="1320"/>
    <s v="000000001724"/>
    <s v="23561"/>
    <x v="73"/>
  </r>
  <r>
    <n v="1"/>
    <n v="31900"/>
    <n v="3190"/>
    <s v="000000001627"/>
    <s v="23200303"/>
    <x v="74"/>
  </r>
  <r>
    <n v="1"/>
    <n v="11550"/>
    <n v="1155"/>
    <s v="000000000466"/>
    <s v="23797"/>
    <x v="75"/>
  </r>
  <r>
    <n v="1"/>
    <n v="14300"/>
    <n v="1430"/>
    <s v="000000001020"/>
    <s v="23510"/>
    <x v="76"/>
  </r>
  <r>
    <n v="1"/>
    <n v="14300"/>
    <n v="1430"/>
    <s v="000000000872"/>
    <s v="23510"/>
    <x v="10"/>
  </r>
  <r>
    <n v="1"/>
    <n v="13750"/>
    <n v="1375"/>
    <s v="000000000487"/>
    <s v="27240"/>
    <x v="77"/>
  </r>
  <r>
    <n v="3"/>
    <n v="660"/>
    <n v="66"/>
    <s v="000000001606"/>
    <s v="SPHokkosai1200X"/>
    <x v="78"/>
  </r>
  <r>
    <n v="1"/>
    <n v="7150"/>
    <n v="715"/>
    <s v="000000001746"/>
    <s v="23200338"/>
    <x v="79"/>
  </r>
  <r>
    <n v="1"/>
    <n v="19800"/>
    <n v="1980"/>
    <s v="000000001749"/>
    <s v="23200300"/>
    <x v="80"/>
  </r>
  <r>
    <n v="1"/>
    <n v="8800"/>
    <n v="880"/>
    <s v="000000000596"/>
    <s v="23796"/>
    <x v="81"/>
  </r>
  <r>
    <n v="1"/>
    <n v="41800"/>
    <n v="4180"/>
    <s v="000000001596"/>
    <s v="12500157"/>
    <x v="82"/>
  </r>
  <r>
    <n v="1"/>
    <n v="14300"/>
    <n v="1430"/>
    <s v="000000000872"/>
    <s v="23510"/>
    <x v="10"/>
  </r>
  <r>
    <n v="1"/>
    <n v="14300"/>
    <n v="1430"/>
    <s v="000000001678"/>
    <s v="23510"/>
    <x v="83"/>
  </r>
  <r>
    <n v="1"/>
    <n v="34100"/>
    <n v="3410"/>
    <s v="000000001104"/>
    <s v="86411"/>
    <x v="84"/>
  </r>
  <r>
    <n v="1"/>
    <n v="14300"/>
    <n v="1430"/>
    <s v="000000001678"/>
    <s v="23510"/>
    <x v="83"/>
  </r>
  <r>
    <n v="1"/>
    <n v="35200"/>
    <n v="3520"/>
    <s v="000000001260"/>
    <s v="81679"/>
    <x v="85"/>
  </r>
  <r>
    <n v="1"/>
    <n v="13200"/>
    <n v="1320"/>
    <s v="000000000950"/>
    <s v="23561"/>
    <x v="86"/>
  </r>
  <r>
    <n v="1"/>
    <n v="23100"/>
    <n v="2310"/>
    <s v="000000001319"/>
    <s v="87098"/>
    <x v="87"/>
  </r>
  <r>
    <n v="1"/>
    <n v="8800"/>
    <n v="880"/>
    <s v="000000001552"/>
    <s v="12600215"/>
    <x v="88"/>
  </r>
  <r>
    <n v="1"/>
    <n v="13750"/>
    <n v="1375"/>
    <s v="000000001140"/>
    <s v="77292"/>
    <x v="89"/>
  </r>
  <r>
    <n v="1"/>
    <n v="11550"/>
    <n v="1155"/>
    <s v="000000000466"/>
    <s v="23797"/>
    <x v="90"/>
  </r>
  <r>
    <n v="1"/>
    <n v="14300"/>
    <n v="1430"/>
    <s v="000000000872"/>
    <s v="23510"/>
    <x v="10"/>
  </r>
  <r>
    <n v="1"/>
    <n v="14300"/>
    <n v="1430"/>
    <s v="000000000880"/>
    <s v="23510"/>
    <x v="57"/>
  </r>
  <r>
    <n v="1"/>
    <n v="13200"/>
    <n v="1320"/>
    <s v="000000000938"/>
    <s v="23561"/>
    <x v="91"/>
  </r>
  <r>
    <n v="1"/>
    <n v="14300"/>
    <n v="1430"/>
    <s v="000000001020"/>
    <s v="23510"/>
    <x v="76"/>
  </r>
  <r>
    <n v="1"/>
    <n v="42900"/>
    <n v="4290"/>
    <s v="000000001602"/>
    <s v="23200279"/>
    <x v="92"/>
  </r>
  <r>
    <n v="1"/>
    <n v="23100"/>
    <n v="2310"/>
    <s v="000000001737"/>
    <s v="23200359"/>
    <x v="93"/>
  </r>
  <r>
    <n v="1"/>
    <n v="14300"/>
    <n v="1430"/>
    <s v="000000001020"/>
    <s v="23510"/>
    <x v="76"/>
  </r>
  <r>
    <n v="1"/>
    <n v="3850"/>
    <n v="385"/>
    <s v="000000000489"/>
    <s v="23505"/>
    <x v="94"/>
  </r>
  <r>
    <n v="1"/>
    <n v="4950"/>
    <n v="495"/>
    <s v="000000000804"/>
    <s v="27248"/>
    <x v="95"/>
  </r>
  <r>
    <n v="1"/>
    <n v="14300"/>
    <n v="1430"/>
    <s v="000000001020"/>
    <s v="23510"/>
    <x v="76"/>
  </r>
  <r>
    <n v="1"/>
    <n v="6600"/>
    <n v="660"/>
    <s v="000000001630"/>
    <s v="23100177"/>
    <x v="96"/>
  </r>
  <r>
    <n v="1"/>
    <n v="1650"/>
    <n v="165"/>
    <s v="000000000290"/>
    <s v="23785"/>
    <x v="97"/>
  </r>
  <r>
    <n v="2"/>
    <n v="660"/>
    <n v="66"/>
    <s v="000000001606"/>
    <s v="SPHokkosai1200X"/>
    <x v="78"/>
  </r>
  <r>
    <n v="1"/>
    <n v="7150"/>
    <n v="715"/>
    <s v="000000001274"/>
    <s v="87146"/>
    <x v="98"/>
  </r>
  <r>
    <n v="1"/>
    <n v="9900"/>
    <n v="990"/>
    <s v="000000001745"/>
    <s v="23200337"/>
    <x v="99"/>
  </r>
  <r>
    <n v="1"/>
    <n v="23100"/>
    <n v="2310"/>
    <s v="000000001262"/>
    <s v="87142"/>
    <x v="100"/>
  </r>
  <r>
    <n v="1"/>
    <n v="30250"/>
    <n v="3025"/>
    <s v="000000001532"/>
    <s v="83516"/>
    <x v="101"/>
  </r>
  <r>
    <n v="1"/>
    <n v="6600"/>
    <n v="660"/>
    <s v="000000001457"/>
    <s v="87313"/>
    <x v="102"/>
  </r>
  <r>
    <n v="1"/>
    <n v="660"/>
    <n v="66"/>
    <s v="000000001606"/>
    <s v="SPHokkosai1200X"/>
    <x v="78"/>
  </r>
  <r>
    <n v="1"/>
    <n v="7150"/>
    <n v="715"/>
    <s v="000000000637"/>
    <s v="87310"/>
    <x v="103"/>
  </r>
  <r>
    <n v="1"/>
    <n v="59400"/>
    <n v="5940"/>
    <s v="000000001330"/>
    <s v="H200900"/>
    <x v="104"/>
  </r>
  <r>
    <n v="1"/>
    <n v="14300"/>
    <n v="1430"/>
    <s v="000000000895"/>
    <s v="23510"/>
    <x v="70"/>
  </r>
  <r>
    <n v="1"/>
    <n v="6600"/>
    <n v="660"/>
    <s v="000000000170"/>
    <s v="24221"/>
    <x v="105"/>
  </r>
  <r>
    <n v="1"/>
    <n v="14300"/>
    <n v="1430"/>
    <s v="000000001481"/>
    <s v="23510"/>
    <x v="18"/>
  </r>
  <r>
    <n v="2"/>
    <n v="660"/>
    <n v="66"/>
    <s v="000000001606"/>
    <s v="SPHokkosai1200X"/>
    <x v="78"/>
  </r>
  <r>
    <n v="1"/>
    <n v="12100"/>
    <n v="1210"/>
    <s v="000000001755"/>
    <s v="13600016"/>
    <x v="106"/>
  </r>
  <r>
    <n v="1"/>
    <n v="13200"/>
    <n v="1320"/>
    <s v="000000001384"/>
    <s v="23349"/>
    <x v="107"/>
  </r>
  <r>
    <n v="1"/>
    <n v="8800"/>
    <n v="880"/>
    <s v="000000000596"/>
    <s v="23796"/>
    <x v="108"/>
  </r>
  <r>
    <n v="1"/>
    <n v="440"/>
    <n v="44"/>
    <s v="000000001472"/>
    <s v="GIFT400"/>
    <x v="21"/>
  </r>
  <r>
    <n v="1"/>
    <n v="14300"/>
    <n v="1430"/>
    <s v="000000001678"/>
    <s v="23510"/>
    <x v="83"/>
  </r>
  <r>
    <n v="1"/>
    <n v="14300"/>
    <n v="1430"/>
    <s v="000000001678"/>
    <s v="23510"/>
    <x v="83"/>
  </r>
  <r>
    <n v="1"/>
    <n v="660"/>
    <n v="66"/>
    <s v="000000001606"/>
    <s v="SPHokkosai1200X"/>
    <x v="78"/>
  </r>
  <r>
    <n v="1"/>
    <n v="70400"/>
    <n v="7040"/>
    <s v="000000000032"/>
    <s v="80637"/>
    <x v="109"/>
  </r>
  <r>
    <n v="1"/>
    <n v="550"/>
    <n v="55"/>
    <s v="000000000584"/>
    <s v="GIFT500"/>
    <x v="15"/>
  </r>
  <r>
    <n v="1"/>
    <n v="330"/>
    <n v="33"/>
    <s v="000000000585"/>
    <s v="GIFT300"/>
    <x v="110"/>
  </r>
  <r>
    <n v="2"/>
    <n v="660"/>
    <n v="66"/>
    <s v="000000001606"/>
    <s v="SPHokkosai1200X"/>
    <x v="78"/>
  </r>
  <r>
    <n v="1"/>
    <n v="14300"/>
    <n v="1430"/>
    <s v="000000001678"/>
    <s v="23510"/>
    <x v="83"/>
  </r>
  <r>
    <n v="1"/>
    <n v="8030"/>
    <n v="803"/>
    <s v="000000001539"/>
    <s v="89849"/>
    <x v="111"/>
  </r>
  <r>
    <n v="1"/>
    <n v="4730"/>
    <n v="473"/>
    <s v="000000000051"/>
    <s v="24213"/>
    <x v="112"/>
  </r>
  <r>
    <n v="1"/>
    <n v="27500"/>
    <n v="2750"/>
    <s v="000000001464"/>
    <s v="86868"/>
    <x v="113"/>
  </r>
  <r>
    <n v="1"/>
    <n v="1320"/>
    <n v="132"/>
    <s v="000000001612"/>
    <s v="Hokkosai1200X"/>
    <x v="114"/>
  </r>
  <r>
    <n v="1"/>
    <n v="21450"/>
    <n v="2145"/>
    <s v="000000001725"/>
    <s v="12600317"/>
    <x v="115"/>
  </r>
  <r>
    <n v="1"/>
    <n v="14300"/>
    <n v="1430"/>
    <s v="000000000870"/>
    <s v="23510"/>
    <x v="28"/>
  </r>
  <r>
    <n v="1"/>
    <n v="3850"/>
    <n v="385"/>
    <s v="000000000489"/>
    <s v="23505"/>
    <x v="116"/>
  </r>
  <r>
    <n v="1"/>
    <n v="14300"/>
    <n v="1430"/>
    <s v="000000001365"/>
    <s v="23510"/>
    <x v="117"/>
  </r>
  <r>
    <n v="1"/>
    <n v="660"/>
    <n v="66"/>
    <s v="000000001606"/>
    <s v="SPHokkosai1200X"/>
    <x v="78"/>
  </r>
  <r>
    <n v="1"/>
    <n v="14300"/>
    <n v="1430"/>
    <s v="000000001678"/>
    <s v="23510"/>
    <x v="83"/>
  </r>
  <r>
    <n v="1"/>
    <n v="12100"/>
    <n v="1210"/>
    <s v="000000001138"/>
    <s v="23800"/>
    <x v="118"/>
  </r>
  <r>
    <n v="1"/>
    <n v="58300"/>
    <n v="5830"/>
    <s v="000000001714"/>
    <s v="14500170"/>
    <x v="119"/>
  </r>
  <r>
    <n v="2"/>
    <n v="660"/>
    <n v="66"/>
    <s v="000000001606"/>
    <s v="SPHokkosai1200X"/>
    <x v="78"/>
  </r>
  <r>
    <n v="1"/>
    <n v="14300"/>
    <n v="1430"/>
    <s v="000000001020"/>
    <s v="23510"/>
    <x v="76"/>
  </r>
  <r>
    <n v="1"/>
    <n v="14300"/>
    <n v="1430"/>
    <s v="000000000880"/>
    <s v="23510"/>
    <x v="57"/>
  </r>
  <r>
    <n v="1"/>
    <n v="7150"/>
    <n v="715"/>
    <s v="000000001274"/>
    <s v="87146"/>
    <x v="120"/>
  </r>
  <r>
    <n v="1"/>
    <n v="7150"/>
    <n v="715"/>
    <s v="000000001275"/>
    <s v="87153"/>
    <x v="121"/>
  </r>
  <r>
    <n v="1"/>
    <n v="8030"/>
    <n v="803"/>
    <s v="000000001539"/>
    <s v="89849"/>
    <x v="122"/>
  </r>
  <r>
    <n v="1"/>
    <n v="9790"/>
    <n v="979"/>
    <s v="000000001660"/>
    <s v="14600215"/>
    <x v="123"/>
  </r>
  <r>
    <n v="1"/>
    <n v="21450"/>
    <n v="2145"/>
    <s v="000000001733"/>
    <s v="14600265"/>
    <x v="124"/>
  </r>
  <r>
    <n v="1"/>
    <n v="7920"/>
    <n v="792"/>
    <s v="000000001511"/>
    <s v="87053"/>
    <x v="125"/>
  </r>
  <r>
    <n v="1"/>
    <n v="660"/>
    <n v="66"/>
    <s v="000000001606"/>
    <s v="SPHokkosai1200X"/>
    <x v="78"/>
  </r>
  <r>
    <n v="1"/>
    <n v="24200"/>
    <n v="2420"/>
    <s v="000000001094"/>
    <s v="84775"/>
    <x v="126"/>
  </r>
  <r>
    <n v="1"/>
    <n v="7150"/>
    <n v="715"/>
    <s v="000000001274"/>
    <s v="87146"/>
    <x v="127"/>
  </r>
  <r>
    <n v="1"/>
    <n v="7150"/>
    <n v="715"/>
    <s v="000000001275"/>
    <s v="87153"/>
    <x v="128"/>
  </r>
  <r>
    <n v="1"/>
    <n v="11000"/>
    <n v="1100"/>
    <s v="000000001383"/>
    <s v="23227"/>
    <x v="129"/>
  </r>
  <r>
    <n v="1"/>
    <n v="34100"/>
    <n v="3410"/>
    <s v="000000001104"/>
    <s v="86411"/>
    <x v="130"/>
  </r>
  <r>
    <n v="2"/>
    <n v="660"/>
    <n v="66"/>
    <s v="000000001606"/>
    <s v="SPHokkosai1200X"/>
    <x v="78"/>
  </r>
  <r>
    <n v="1"/>
    <n v="5830"/>
    <n v="583"/>
    <s v="000000001490"/>
    <s v="23200248"/>
    <x v="131"/>
  </r>
  <r>
    <n v="1"/>
    <n v="660"/>
    <n v="66"/>
    <s v="000000001606"/>
    <s v="SPHokkosai1200X"/>
    <x v="78"/>
  </r>
  <r>
    <n v="1"/>
    <n v="14300"/>
    <n v="715"/>
    <s v="000000000881"/>
    <s v="23510"/>
    <x v="19"/>
  </r>
  <r>
    <n v="1"/>
    <n v="14300"/>
    <n v="715"/>
    <s v="000000001678"/>
    <s v="23510"/>
    <x v="83"/>
  </r>
  <r>
    <n v="1"/>
    <n v="4950"/>
    <n v="247"/>
    <s v="000000000527"/>
    <s v="23323"/>
    <x v="132"/>
  </r>
  <r>
    <n v="1"/>
    <n v="4400"/>
    <n v="220"/>
    <s v="000000000528"/>
    <s v="23324"/>
    <x v="133"/>
  </r>
  <r>
    <n v="1"/>
    <n v="3850"/>
    <n v="192"/>
    <s v="000000000489"/>
    <s v="23505"/>
    <x v="134"/>
  </r>
  <r>
    <n v="1"/>
    <n v="550"/>
    <n v="27"/>
    <s v="000000000584"/>
    <s v="GIFT500"/>
    <x v="15"/>
  </r>
  <r>
    <n v="1"/>
    <n v="14300"/>
    <n v="715"/>
    <s v="000000001020"/>
    <s v="23510"/>
    <x v="76"/>
  </r>
  <r>
    <n v="1"/>
    <n v="14300"/>
    <n v="715"/>
    <s v="000000001069"/>
    <s v="23510"/>
    <x v="135"/>
  </r>
  <r>
    <n v="1"/>
    <n v="8800"/>
    <n v="440"/>
    <s v="000000000596"/>
    <s v="23796"/>
    <x v="108"/>
  </r>
  <r>
    <n v="1"/>
    <n v="14300"/>
    <n v="715"/>
    <s v="000000001678"/>
    <s v="23510"/>
    <x v="83"/>
  </r>
  <r>
    <n v="1"/>
    <n v="14300"/>
    <n v="715"/>
    <s v="000000000872"/>
    <s v="23510"/>
    <x v="10"/>
  </r>
  <r>
    <n v="1"/>
    <n v="14300"/>
    <n v="715"/>
    <s v="000000001069"/>
    <s v="23510"/>
    <x v="135"/>
  </r>
  <r>
    <n v="1"/>
    <n v="14300"/>
    <n v="715"/>
    <s v="000000000872"/>
    <s v="23510"/>
    <x v="10"/>
  </r>
  <r>
    <n v="1"/>
    <n v="14300"/>
    <n v="715"/>
    <s v="000000001678"/>
    <s v="23510"/>
    <x v="83"/>
  </r>
  <r>
    <n v="1"/>
    <n v="14300"/>
    <n v="715"/>
    <s v="000000001069"/>
    <s v="23510"/>
    <x v="135"/>
  </r>
  <r>
    <n v="1"/>
    <n v="14300"/>
    <n v="715"/>
    <s v="000000001020"/>
    <s v="23510"/>
    <x v="76"/>
  </r>
  <r>
    <n v="1"/>
    <n v="14300"/>
    <n v="715"/>
    <s v="000000000852"/>
    <s v="23510"/>
    <x v="71"/>
  </r>
  <r>
    <n v="1"/>
    <n v="14300"/>
    <n v="715"/>
    <s v="000000000854"/>
    <s v="23510"/>
    <x v="136"/>
  </r>
  <r>
    <n v="1"/>
    <n v="6050"/>
    <n v="5"/>
    <s v="000000001726"/>
    <s v="13100193"/>
    <x v="137"/>
  </r>
  <r>
    <n v="1"/>
    <n v="19800"/>
    <n v="990"/>
    <s v="000000001265"/>
    <s v="81838"/>
    <x v="138"/>
  </r>
  <r>
    <n v="1"/>
    <n v="13200"/>
    <n v="660"/>
    <s v="000000001071"/>
    <s v="23561"/>
    <x v="139"/>
  </r>
  <r>
    <n v="1"/>
    <n v="13200"/>
    <n v="660"/>
    <s v="000000000929"/>
    <s v="23561"/>
    <x v="140"/>
  </r>
  <r>
    <n v="1"/>
    <n v="14300"/>
    <n v="715"/>
    <s v="000000001678"/>
    <s v="23510"/>
    <x v="83"/>
  </r>
  <r>
    <n v="1"/>
    <n v="6820"/>
    <n v="341"/>
    <s v="000000000610"/>
    <s v="77279"/>
    <x v="141"/>
  </r>
  <r>
    <n v="1"/>
    <n v="20900"/>
    <n v="1045"/>
    <s v="000000001144"/>
    <s v="23525"/>
    <x v="142"/>
  </r>
  <r>
    <n v="1"/>
    <n v="14300"/>
    <n v="715"/>
    <s v="000000001069"/>
    <s v="23510"/>
    <x v="135"/>
  </r>
  <r>
    <n v="1"/>
    <n v="22000"/>
    <n v="1100"/>
    <s v="000000000068"/>
    <s v="23565"/>
    <x v="55"/>
  </r>
  <r>
    <n v="1"/>
    <n v="14300"/>
    <n v="715"/>
    <s v="000000000852"/>
    <s v="23510"/>
    <x v="71"/>
  </r>
  <r>
    <n v="1"/>
    <n v="14300"/>
    <n v="715"/>
    <s v="000000000851"/>
    <s v="23510"/>
    <x v="16"/>
  </r>
  <r>
    <n v="1"/>
    <n v="14300"/>
    <n v="715"/>
    <s v="000000001069"/>
    <s v="23510"/>
    <x v="135"/>
  </r>
  <r>
    <n v="1"/>
    <n v="14300"/>
    <n v="715"/>
    <s v="000000000854"/>
    <s v="23510"/>
    <x v="136"/>
  </r>
  <r>
    <n v="1"/>
    <n v="14300"/>
    <n v="715"/>
    <s v="000000000854"/>
    <s v="23510"/>
    <x v="136"/>
  </r>
  <r>
    <n v="1"/>
    <n v="18700"/>
    <n v="935"/>
    <s v="000000001754"/>
    <s v="23200408"/>
    <x v="143"/>
  </r>
  <r>
    <n v="1"/>
    <n v="7150"/>
    <n v="357"/>
    <s v="000000000599"/>
    <s v="23223"/>
    <x v="144"/>
  </r>
  <r>
    <n v="1"/>
    <n v="14300"/>
    <n v="715"/>
    <s v="000000001723"/>
    <s v="23510"/>
    <x v="12"/>
  </r>
  <r>
    <n v="1"/>
    <n v="14300"/>
    <n v="715"/>
    <s v="000000000880"/>
    <s v="23510"/>
    <x v="57"/>
  </r>
  <r>
    <n v="1"/>
    <n v="13200"/>
    <n v="660"/>
    <s v="000000000967"/>
    <s v="23561"/>
    <x v="145"/>
  </r>
  <r>
    <n v="1"/>
    <n v="2200"/>
    <n v="110"/>
    <s v="000000001005"/>
    <s v="23513"/>
    <x v="146"/>
  </r>
  <r>
    <n v="1"/>
    <n v="14300"/>
    <n v="715"/>
    <s v="000000000872"/>
    <s v="23510"/>
    <x v="10"/>
  </r>
  <r>
    <n v="1"/>
    <n v="13200"/>
    <n v="660"/>
    <s v="000000000938"/>
    <s v="23561"/>
    <x v="91"/>
  </r>
  <r>
    <n v="1"/>
    <n v="12100"/>
    <n v="605"/>
    <s v="000000000829"/>
    <s v="87039"/>
    <x v="147"/>
  </r>
  <r>
    <n v="1"/>
    <n v="18700"/>
    <n v="935"/>
    <s v="000000001142"/>
    <s v="23523"/>
    <x v="148"/>
  </r>
  <r>
    <n v="1"/>
    <n v="14300"/>
    <n v="715"/>
    <s v="000000001678"/>
    <s v="23510"/>
    <x v="83"/>
  </r>
  <r>
    <n v="1"/>
    <n v="15400"/>
    <n v="770"/>
    <s v="000000001137"/>
    <s v="23346"/>
    <x v="149"/>
  </r>
  <r>
    <n v="1"/>
    <n v="550"/>
    <n v="27"/>
    <s v="000000000584"/>
    <s v="GIFT500"/>
    <x v="15"/>
  </r>
  <r>
    <n v="1"/>
    <n v="14300"/>
    <n v="715"/>
    <s v="000000001678"/>
    <s v="23510"/>
    <x v="83"/>
  </r>
  <r>
    <n v="1"/>
    <n v="14300"/>
    <n v="715"/>
    <s v="000000000851"/>
    <s v="23510"/>
    <x v="16"/>
  </r>
  <r>
    <n v="1"/>
    <n v="14300"/>
    <n v="715"/>
    <s v="000000001723"/>
    <s v="23510"/>
    <x v="12"/>
  </r>
  <r>
    <n v="1"/>
    <n v="14300"/>
    <n v="715"/>
    <s v="000000000897"/>
    <s v="23510"/>
    <x v="3"/>
  </r>
  <r>
    <n v="1"/>
    <n v="8140"/>
    <n v="407"/>
    <s v="000000000249"/>
    <s v="79258"/>
    <x v="150"/>
  </r>
  <r>
    <n v="1"/>
    <n v="6050"/>
    <n v="302"/>
    <s v="000000000589"/>
    <s v="77403"/>
    <x v="151"/>
  </r>
  <r>
    <n v="1"/>
    <n v="12100"/>
    <n v="605"/>
    <s v="000000000829"/>
    <s v="87039"/>
    <x v="152"/>
  </r>
  <r>
    <n v="1"/>
    <n v="14300"/>
    <n v="715"/>
    <s v="000000001020"/>
    <s v="23510"/>
    <x v="76"/>
  </r>
  <r>
    <n v="1"/>
    <n v="14300"/>
    <n v="715"/>
    <s v="000000001723"/>
    <s v="23510"/>
    <x v="12"/>
  </r>
  <r>
    <n v="1"/>
    <n v="15400"/>
    <n v="770"/>
    <s v="000000001137"/>
    <s v="23346"/>
    <x v="68"/>
  </r>
  <r>
    <n v="1"/>
    <n v="14300"/>
    <n v="715"/>
    <s v="000000001723"/>
    <s v="23510"/>
    <x v="12"/>
  </r>
  <r>
    <n v="1"/>
    <n v="5500"/>
    <n v="275"/>
    <s v="000000000803"/>
    <s v="23226"/>
    <x v="153"/>
  </r>
  <r>
    <n v="1"/>
    <n v="14300"/>
    <n v="715"/>
    <s v="000000000851"/>
    <s v="23510"/>
    <x v="16"/>
  </r>
  <r>
    <n v="1"/>
    <n v="14300"/>
    <n v="715"/>
    <s v="000000000852"/>
    <s v="23510"/>
    <x v="71"/>
  </r>
  <r>
    <n v="1"/>
    <n v="14300"/>
    <n v="715"/>
    <s v="000000001723"/>
    <s v="23510"/>
    <x v="12"/>
  </r>
  <r>
    <n v="1"/>
    <n v="14300"/>
    <n v="715"/>
    <s v="000000001550"/>
    <s v="23510"/>
    <x v="35"/>
  </r>
  <r>
    <n v="1"/>
    <n v="28600"/>
    <n v="1430"/>
    <s v="000000001373"/>
    <s v="23804"/>
    <x v="154"/>
  </r>
  <r>
    <n v="1"/>
    <n v="14300"/>
    <n v="715"/>
    <s v="000000001723"/>
    <s v="23510"/>
    <x v="12"/>
  </r>
  <r>
    <n v="1"/>
    <n v="31900"/>
    <n v="1595"/>
    <s v="000000001627"/>
    <s v="23200303"/>
    <x v="155"/>
  </r>
  <r>
    <n v="1"/>
    <n v="14300"/>
    <n v="715"/>
    <s v="000000000872"/>
    <s v="23510"/>
    <x v="10"/>
  </r>
  <r>
    <n v="1"/>
    <n v="14300"/>
    <n v="715"/>
    <s v="000000001723"/>
    <s v="23510"/>
    <x v="12"/>
  </r>
  <r>
    <n v="1"/>
    <n v="14300"/>
    <n v="715"/>
    <s v="000000001723"/>
    <s v="23510"/>
    <x v="12"/>
  </r>
  <r>
    <n v="1"/>
    <n v="34100"/>
    <n v="1705"/>
    <s v="000000001590"/>
    <s v="23200282"/>
    <x v="156"/>
  </r>
  <r>
    <n v="1"/>
    <n v="3850"/>
    <n v="192"/>
    <s v="000000000489"/>
    <s v="23505"/>
    <x v="116"/>
  </r>
  <r>
    <n v="1"/>
    <n v="13200"/>
    <n v="660"/>
    <s v="000000000929"/>
    <s v="23561"/>
    <x v="140"/>
  </r>
  <r>
    <n v="1"/>
    <n v="440"/>
    <n v="22"/>
    <s v="000000001472"/>
    <s v="GIFT400"/>
    <x v="21"/>
  </r>
  <r>
    <n v="1"/>
    <n v="14300"/>
    <n v="715"/>
    <s v="000000000897"/>
    <s v="23510"/>
    <x v="3"/>
  </r>
  <r>
    <n v="1"/>
    <n v="20900"/>
    <n v="1045"/>
    <s v="000000001144"/>
    <s v="23525"/>
    <x v="157"/>
  </r>
  <r>
    <n v="1"/>
    <n v="17600"/>
    <n v="880"/>
    <s v="000000001709"/>
    <s v="86999"/>
    <x v="158"/>
  </r>
  <r>
    <n v="1"/>
    <n v="14300"/>
    <n v="715"/>
    <s v="000000001723"/>
    <s v="23510"/>
    <x v="12"/>
  </r>
  <r>
    <n v="1"/>
    <n v="27500"/>
    <n v="1375"/>
    <s v="000000001542"/>
    <s v="90222"/>
    <x v="159"/>
  </r>
  <r>
    <n v="1"/>
    <n v="14300"/>
    <n v="715"/>
    <s v="000000001723"/>
    <s v="23510"/>
    <x v="12"/>
  </r>
  <r>
    <m/>
    <m/>
    <m/>
    <m/>
    <m/>
    <x v="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080C2-905B-4DE1-AC6A-075CB53CC9CE}" name="ﾋﾟﾎﾞｯﾄﾃｰﾌﾞﾙ2" cacheId="12" applyNumberFormats="0" applyBorderFormats="0" applyFontFormats="0" applyPatternFormats="0" applyAlignmentFormats="0" applyWidthHeightFormats="1" dataCaption="値" updatedVersion="8" minRefreshableVersion="3" useAutoFormatting="1" colGrandTotals="0" itemPrintTitles="1" createdVersion="4" indent="0" outline="1" outlineData="1" multipleFieldFilters="0">
  <location ref="A5:J451" firstHeaderRow="1" firstDataRow="2" firstDataCol="1"/>
  <pivotFields count="9">
    <pivotField axis="axisRow" showAll="0">
      <items count="445">
        <item x="96"/>
        <item x="80"/>
        <item x="88"/>
        <item x="184"/>
        <item x="278"/>
        <item x="99"/>
        <item x="79"/>
        <item x="163"/>
        <item x="19"/>
        <item x="50"/>
        <item x="152"/>
        <item x="31"/>
        <item x="53"/>
        <item x="304"/>
        <item x="10"/>
        <item x="29"/>
        <item x="38"/>
        <item x="266"/>
        <item x="42"/>
        <item x="150"/>
        <item x="67"/>
        <item x="9"/>
        <item x="63"/>
        <item x="57"/>
        <item x="65"/>
        <item x="359"/>
        <item x="8"/>
        <item x="182"/>
        <item x="84"/>
        <item x="375"/>
        <item x="166"/>
        <item x="374"/>
        <item x="132"/>
        <item x="112"/>
        <item x="43"/>
        <item x="177"/>
        <item x="357"/>
        <item x="40"/>
        <item x="7"/>
        <item x="338"/>
        <item x="431"/>
        <item x="265"/>
        <item x="26"/>
        <item x="344"/>
        <item x="124"/>
        <item x="85"/>
        <item x="106"/>
        <item x="159"/>
        <item x="280"/>
        <item x="119"/>
        <item x="400"/>
        <item x="69"/>
        <item x="324"/>
        <item x="92"/>
        <item x="306"/>
        <item x="171"/>
        <item x="229"/>
        <item x="131"/>
        <item x="146"/>
        <item x="424"/>
        <item x="325"/>
        <item x="47"/>
        <item x="205"/>
        <item x="25"/>
        <item x="78"/>
        <item x="313"/>
        <item x="192"/>
        <item x="443"/>
        <item x="302"/>
        <item x="315"/>
        <item x="178"/>
        <item x="33"/>
        <item x="121"/>
        <item x="433"/>
        <item x="309"/>
        <item x="189"/>
        <item x="157"/>
        <item x="90"/>
        <item x="364"/>
        <item x="335"/>
        <item x="6"/>
        <item x="199"/>
        <item x="126"/>
        <item x="426"/>
        <item x="56"/>
        <item x="342"/>
        <item x="198"/>
        <item x="64"/>
        <item x="241"/>
        <item x="46"/>
        <item x="401"/>
        <item x="54"/>
        <item x="98"/>
        <item x="298"/>
        <item x="4"/>
        <item x="190"/>
        <item x="418"/>
        <item x="130"/>
        <item x="169"/>
        <item x="160"/>
        <item x="196"/>
        <item x="404"/>
        <item x="91"/>
        <item x="36"/>
        <item x="5"/>
        <item x="133"/>
        <item x="413"/>
        <item x="358"/>
        <item x="218"/>
        <item x="134"/>
        <item x="343"/>
        <item x="272"/>
        <item x="21"/>
        <item x="206"/>
        <item x="129"/>
        <item x="392"/>
        <item x="339"/>
        <item x="173"/>
        <item x="437"/>
        <item x="58"/>
        <item x="322"/>
        <item x="154"/>
        <item x="240"/>
        <item x="223"/>
        <item x="269"/>
        <item x="87"/>
        <item x="422"/>
        <item x="120"/>
        <item x="349"/>
        <item x="195"/>
        <item x="142"/>
        <item x="23"/>
        <item x="396"/>
        <item x="369"/>
        <item x="122"/>
        <item x="76"/>
        <item x="372"/>
        <item x="109"/>
        <item x="239"/>
        <item x="379"/>
        <item x="301"/>
        <item x="183"/>
        <item x="94"/>
        <item x="314"/>
        <item x="310"/>
        <item x="102"/>
        <item x="435"/>
        <item x="403"/>
        <item x="439"/>
        <item x="107"/>
        <item x="66"/>
        <item x="3"/>
        <item x="83"/>
        <item x="417"/>
        <item x="75"/>
        <item x="115"/>
        <item x="136"/>
        <item x="39"/>
        <item x="384"/>
        <item x="317"/>
        <item x="399"/>
        <item x="137"/>
        <item x="35"/>
        <item x="185"/>
        <item x="427"/>
        <item x="408"/>
        <item x="352"/>
        <item x="95"/>
        <item x="281"/>
        <item x="127"/>
        <item x="238"/>
        <item x="289"/>
        <item x="30"/>
        <item x="118"/>
        <item x="308"/>
        <item x="81"/>
        <item x="44"/>
        <item x="393"/>
        <item x="305"/>
        <item x="442"/>
        <item x="363"/>
        <item x="409"/>
        <item x="202"/>
        <item x="45"/>
        <item x="2"/>
        <item x="247"/>
        <item x="71"/>
        <item x="114"/>
        <item x="430"/>
        <item x="303"/>
        <item x="20"/>
        <item x="365"/>
        <item x="172"/>
        <item x="398"/>
        <item x="186"/>
        <item x="233"/>
        <item x="256"/>
        <item x="367"/>
        <item x="1"/>
        <item x="158"/>
        <item x="55"/>
        <item x="103"/>
        <item x="187"/>
        <item x="0"/>
        <item x="11"/>
        <item x="13"/>
        <item x="14"/>
        <item x="12"/>
        <item x="15"/>
        <item x="16"/>
        <item x="17"/>
        <item x="18"/>
        <item x="22"/>
        <item x="24"/>
        <item x="28"/>
        <item x="27"/>
        <item x="32"/>
        <item x="34"/>
        <item x="37"/>
        <item x="41"/>
        <item x="49"/>
        <item x="48"/>
        <item x="51"/>
        <item x="52"/>
        <item x="59"/>
        <item x="60"/>
        <item x="61"/>
        <item x="62"/>
        <item x="68"/>
        <item x="70"/>
        <item x="72"/>
        <item x="73"/>
        <item x="74"/>
        <item x="77"/>
        <item x="82"/>
        <item x="86"/>
        <item x="89"/>
        <item x="93"/>
        <item x="97"/>
        <item x="100"/>
        <item x="101"/>
        <item x="104"/>
        <item x="105"/>
        <item x="108"/>
        <item x="110"/>
        <item x="111"/>
        <item x="113"/>
        <item x="116"/>
        <item x="117"/>
        <item x="123"/>
        <item x="125"/>
        <item x="128"/>
        <item x="135"/>
        <item x="138"/>
        <item x="139"/>
        <item x="140"/>
        <item x="141"/>
        <item x="143"/>
        <item x="144"/>
        <item x="145"/>
        <item x="147"/>
        <item x="149"/>
        <item x="148"/>
        <item x="151"/>
        <item x="153"/>
        <item x="155"/>
        <item x="156"/>
        <item x="161"/>
        <item x="162"/>
        <item x="165"/>
        <item x="164"/>
        <item x="167"/>
        <item x="168"/>
        <item x="170"/>
        <item x="175"/>
        <item x="174"/>
        <item x="176"/>
        <item x="179"/>
        <item x="180"/>
        <item x="181"/>
        <item x="188"/>
        <item x="191"/>
        <item x="193"/>
        <item x="194"/>
        <item x="197"/>
        <item x="200"/>
        <item x="201"/>
        <item x="203"/>
        <item x="204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9"/>
        <item x="220"/>
        <item x="222"/>
        <item x="221"/>
        <item x="224"/>
        <item x="225"/>
        <item x="226"/>
        <item x="227"/>
        <item x="228"/>
        <item x="230"/>
        <item x="231"/>
        <item x="232"/>
        <item x="236"/>
        <item x="235"/>
        <item x="234"/>
        <item x="237"/>
        <item x="242"/>
        <item x="244"/>
        <item x="243"/>
        <item x="245"/>
        <item x="246"/>
        <item x="248"/>
        <item x="249"/>
        <item x="251"/>
        <item x="253"/>
        <item x="252"/>
        <item x="254"/>
        <item x="250"/>
        <item x="255"/>
        <item x="257"/>
        <item x="260"/>
        <item x="259"/>
        <item x="258"/>
        <item x="261"/>
        <item x="262"/>
        <item x="264"/>
        <item x="263"/>
        <item x="267"/>
        <item x="268"/>
        <item x="270"/>
        <item x="271"/>
        <item x="273"/>
        <item x="275"/>
        <item x="274"/>
        <item x="276"/>
        <item x="277"/>
        <item x="279"/>
        <item x="282"/>
        <item x="285"/>
        <item x="283"/>
        <item x="284"/>
        <item x="286"/>
        <item x="288"/>
        <item x="287"/>
        <item x="290"/>
        <item x="291"/>
        <item x="292"/>
        <item x="293"/>
        <item x="294"/>
        <item x="295"/>
        <item x="296"/>
        <item x="297"/>
        <item x="300"/>
        <item x="299"/>
        <item x="307"/>
        <item x="312"/>
        <item x="311"/>
        <item x="316"/>
        <item x="318"/>
        <item x="319"/>
        <item x="320"/>
        <item x="321"/>
        <item x="323"/>
        <item x="326"/>
        <item x="327"/>
        <item x="328"/>
        <item x="330"/>
        <item x="329"/>
        <item x="331"/>
        <item x="332"/>
        <item x="334"/>
        <item x="333"/>
        <item x="336"/>
        <item x="337"/>
        <item x="340"/>
        <item x="341"/>
        <item x="347"/>
        <item x="345"/>
        <item x="348"/>
        <item x="346"/>
        <item x="351"/>
        <item x="350"/>
        <item x="355"/>
        <item x="356"/>
        <item x="354"/>
        <item x="353"/>
        <item x="360"/>
        <item x="361"/>
        <item x="362"/>
        <item x="366"/>
        <item x="368"/>
        <item x="370"/>
        <item x="371"/>
        <item x="373"/>
        <item x="376"/>
        <item x="377"/>
        <item x="378"/>
        <item x="380"/>
        <item x="382"/>
        <item x="381"/>
        <item x="383"/>
        <item x="385"/>
        <item x="386"/>
        <item x="388"/>
        <item x="387"/>
        <item x="389"/>
        <item x="391"/>
        <item x="390"/>
        <item x="394"/>
        <item x="395"/>
        <item x="397"/>
        <item x="402"/>
        <item x="405"/>
        <item x="406"/>
        <item x="407"/>
        <item x="410"/>
        <item x="411"/>
        <item x="412"/>
        <item x="414"/>
        <item x="415"/>
        <item x="416"/>
        <item x="419"/>
        <item x="420"/>
        <item x="421"/>
        <item x="423"/>
        <item x="425"/>
        <item x="428"/>
        <item x="429"/>
        <item x="432"/>
        <item x="434"/>
        <item x="436"/>
        <item x="438"/>
        <item x="440"/>
        <item x="44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 defaultSubtotal="0"/>
    <pivotField axis="axisCol" showAll="0" sortType="ascending" defaultSubtotal="0">
      <items count="9">
        <item x="0"/>
        <item x="8"/>
        <item x="5"/>
        <item x="2"/>
        <item x="7"/>
        <item x="1"/>
        <item x="6"/>
        <item x="4"/>
        <item x="3"/>
      </items>
    </pivotField>
  </pivotFields>
  <rowFields count="1">
    <field x="0"/>
  </rowFields>
  <rowItems count="4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合計 / 数量" fld="7" baseField="0" baseItem="0"/>
  </dataFields>
  <formats count="4">
    <format dxfId="6">
      <pivotArea outline="0" collapsedLevelsAreSubtotals="1" fieldPosition="0"/>
    </format>
    <format dxfId="5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8" count="0"/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9665A-D91C-4C34-A30B-43DA9FDCB4B7}" name="ピボットテーブル3" cacheId="2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Z1:AA31" firstHeaderRow="1" firstDataRow="1" firstDataCol="1"/>
  <pivotFields count="9">
    <pivotField axis="axisRow" showAll="0">
      <items count="80">
        <item x="1"/>
        <item x="5"/>
        <item m="1" x="32"/>
        <item x="0"/>
        <item x="11"/>
        <item x="24"/>
        <item m="1" x="67"/>
        <item m="1" x="68"/>
        <item m="1" x="69"/>
        <item m="1" x="74"/>
        <item m="1" x="58"/>
        <item m="1" x="30"/>
        <item m="1" x="34"/>
        <item m="1" x="43"/>
        <item x="18"/>
        <item m="1" x="70"/>
        <item x="9"/>
        <item m="1" x="71"/>
        <item m="1" x="72"/>
        <item m="1" x="73"/>
        <item m="1" x="75"/>
        <item x="10"/>
        <item x="6"/>
        <item m="1" x="76"/>
        <item m="1" x="77"/>
        <item m="1" x="78"/>
        <item x="28"/>
        <item m="1" x="53"/>
        <item m="1" x="54"/>
        <item m="1" x="47"/>
        <item m="1" x="55"/>
        <item x="4"/>
        <item m="1" x="56"/>
        <item x="27"/>
        <item m="1" x="57"/>
        <item x="12"/>
        <item m="1" x="59"/>
        <item m="1" x="33"/>
        <item m="1" x="60"/>
        <item m="1" x="35"/>
        <item m="1" x="61"/>
        <item m="1" x="62"/>
        <item x="3"/>
        <item x="15"/>
        <item x="7"/>
        <item m="1" x="37"/>
        <item m="1" x="63"/>
        <item m="1" x="64"/>
        <item m="1" x="65"/>
        <item m="1" x="66"/>
        <item m="1" x="36"/>
        <item m="1" x="38"/>
        <item m="1" x="39"/>
        <item m="1" x="40"/>
        <item m="1" x="41"/>
        <item m="1" x="42"/>
        <item m="1" x="44"/>
        <item m="1" x="45"/>
        <item m="1" x="46"/>
        <item m="1" x="48"/>
        <item m="1" x="49"/>
        <item m="1" x="50"/>
        <item m="1" x="51"/>
        <item x="25"/>
        <item m="1" x="52"/>
        <item x="16"/>
        <item x="17"/>
        <item x="19"/>
        <item x="20"/>
        <item x="21"/>
        <item x="22"/>
        <item x="23"/>
        <item x="2"/>
        <item x="26"/>
        <item m="1" x="29"/>
        <item m="1" x="31"/>
        <item x="8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0">
    <i>
      <x/>
    </i>
    <i>
      <x v="1"/>
    </i>
    <i>
      <x v="3"/>
    </i>
    <i>
      <x v="4"/>
    </i>
    <i>
      <x v="5"/>
    </i>
    <i>
      <x v="14"/>
    </i>
    <i>
      <x v="16"/>
    </i>
    <i>
      <x v="21"/>
    </i>
    <i>
      <x v="22"/>
    </i>
    <i>
      <x v="26"/>
    </i>
    <i>
      <x v="31"/>
    </i>
    <i>
      <x v="33"/>
    </i>
    <i>
      <x v="35"/>
    </i>
    <i>
      <x v="42"/>
    </i>
    <i>
      <x v="43"/>
    </i>
    <i>
      <x v="44"/>
    </i>
    <i>
      <x v="63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6"/>
    </i>
    <i>
      <x v="77"/>
    </i>
    <i>
      <x v="78"/>
    </i>
    <i t="grand">
      <x/>
    </i>
  </rowItems>
  <colItems count="1">
    <i/>
  </colItems>
  <dataFields count="1">
    <dataField name="合計 / 販売数量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BF3F7-4606-499F-976B-6C952060A7C3}" name="ピボットテーブル2" cacheId="1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L1:M45" firstHeaderRow="1" firstDataRow="1" firstDataCol="1"/>
  <pivotFields count="9">
    <pivotField axis="axisRow" showAll="0">
      <items count="127">
        <item m="1" x="51"/>
        <item m="1" x="117"/>
        <item m="1" x="115"/>
        <item m="1" x="98"/>
        <item m="1" x="120"/>
        <item m="1" x="125"/>
        <item m="1" x="116"/>
        <item m="1" x="123"/>
        <item m="1" x="122"/>
        <item m="1" x="113"/>
        <item x="14"/>
        <item m="1" x="112"/>
        <item m="1" x="124"/>
        <item m="1" x="118"/>
        <item m="1" x="119"/>
        <item m="1" x="47"/>
        <item m="1" x="58"/>
        <item m="1" x="59"/>
        <item x="35"/>
        <item m="1" x="86"/>
        <item x="1"/>
        <item x="19"/>
        <item x="33"/>
        <item m="1" x="43"/>
        <item x="36"/>
        <item m="1" x="88"/>
        <item m="1" x="95"/>
        <item x="2"/>
        <item m="1" x="67"/>
        <item x="26"/>
        <item x="30"/>
        <item m="1" x="114"/>
        <item m="1" x="93"/>
        <item x="31"/>
        <item m="1" x="50"/>
        <item m="1" x="110"/>
        <item m="1" x="111"/>
        <item m="1" x="121"/>
        <item m="1" x="63"/>
        <item x="37"/>
        <item x="42"/>
        <item m="1" x="94"/>
        <item m="1" x="52"/>
        <item m="1" x="46"/>
        <item m="1" x="96"/>
        <item x="27"/>
        <item x="38"/>
        <item m="1" x="97"/>
        <item m="1" x="99"/>
        <item m="1" x="100"/>
        <item m="1" x="101"/>
        <item m="1" x="102"/>
        <item x="13"/>
        <item m="1" x="103"/>
        <item m="1" x="104"/>
        <item m="1" x="49"/>
        <item x="34"/>
        <item m="1" x="105"/>
        <item m="1" x="106"/>
        <item m="1" x="75"/>
        <item x="24"/>
        <item m="1" x="107"/>
        <item m="1" x="108"/>
        <item m="1" x="109"/>
        <item x="17"/>
        <item m="1" x="48"/>
        <item x="10"/>
        <item m="1" x="53"/>
        <item m="1" x="54"/>
        <item m="1" x="55"/>
        <item m="1" x="56"/>
        <item m="1" x="57"/>
        <item m="1" x="60"/>
        <item m="1" x="61"/>
        <item m="1" x="62"/>
        <item m="1" x="64"/>
        <item m="1" x="65"/>
        <item m="1" x="66"/>
        <item m="1" x="68"/>
        <item m="1" x="69"/>
        <item m="1" x="70"/>
        <item m="1" x="71"/>
        <item m="1" x="72"/>
        <item m="1" x="73"/>
        <item m="1" x="74"/>
        <item m="1" x="4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7"/>
        <item m="1" x="89"/>
        <item m="1" x="90"/>
        <item m="1" x="91"/>
        <item m="1" x="92"/>
        <item x="16"/>
        <item x="18"/>
        <item x="20"/>
        <item x="3"/>
        <item x="21"/>
        <item x="22"/>
        <item x="23"/>
        <item x="25"/>
        <item x="0"/>
        <item x="28"/>
        <item x="29"/>
        <item x="32"/>
        <item x="39"/>
        <item x="40"/>
        <item x="41"/>
        <item x="12"/>
        <item m="1" x="44"/>
        <item x="4"/>
        <item x="5"/>
        <item x="6"/>
        <item x="7"/>
        <item x="8"/>
        <item x="9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4">
    <i>
      <x v="10"/>
    </i>
    <i>
      <x v="18"/>
    </i>
    <i>
      <x v="20"/>
    </i>
    <i>
      <x v="21"/>
    </i>
    <i>
      <x v="22"/>
    </i>
    <i>
      <x v="24"/>
    </i>
    <i>
      <x v="27"/>
    </i>
    <i>
      <x v="29"/>
    </i>
    <i>
      <x v="30"/>
    </i>
    <i>
      <x v="33"/>
    </i>
    <i>
      <x v="39"/>
    </i>
    <i>
      <x v="40"/>
    </i>
    <i>
      <x v="45"/>
    </i>
    <i>
      <x v="46"/>
    </i>
    <i>
      <x v="52"/>
    </i>
    <i>
      <x v="56"/>
    </i>
    <i>
      <x v="60"/>
    </i>
    <i>
      <x v="64"/>
    </i>
    <i>
      <x v="66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Items count="1">
    <i/>
  </colItems>
  <dataFields count="1">
    <dataField name="合計 / 販売数量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1600C-A59F-4E29-8D16-BC6265601E53}" name="ピボットテーブル1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2:B164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165">
        <item x="16"/>
        <item x="71"/>
        <item x="70"/>
        <item x="117"/>
        <item x="83"/>
        <item x="18"/>
        <item x="28"/>
        <item x="135"/>
        <item x="10"/>
        <item x="57"/>
        <item x="19"/>
        <item x="6"/>
        <item x="160"/>
        <item x="136"/>
        <item x="12"/>
        <item m="1" x="162"/>
        <item x="143"/>
        <item m="1" x="163"/>
        <item x="76"/>
        <item x="60"/>
        <item x="139"/>
        <item x="146"/>
        <item m="1" x="161"/>
        <item x="73"/>
        <item x="132"/>
        <item x="116"/>
        <item x="51"/>
        <item x="68"/>
        <item x="52"/>
        <item x="75"/>
        <item x="81"/>
        <item x="45"/>
        <item x="46"/>
        <item x="47"/>
        <item x="48"/>
        <item x="49"/>
        <item x="50"/>
        <item x="53"/>
        <item x="54"/>
        <item x="55"/>
        <item x="56"/>
        <item x="58"/>
        <item x="59"/>
        <item x="61"/>
        <item x="62"/>
        <item x="63"/>
        <item x="64"/>
        <item x="65"/>
        <item x="66"/>
        <item x="67"/>
        <item x="69"/>
        <item x="72"/>
        <item x="74"/>
        <item x="77"/>
        <item x="79"/>
        <item x="80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1"/>
        <item x="112"/>
        <item x="113"/>
        <item x="115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7"/>
        <item x="138"/>
        <item x="140"/>
        <item x="141"/>
        <item x="142"/>
        <item x="144"/>
        <item x="145"/>
        <item x="147"/>
        <item x="148"/>
        <item x="149"/>
        <item x="3"/>
        <item x="150"/>
        <item x="151"/>
        <item x="152"/>
        <item x="153"/>
        <item x="35"/>
        <item x="154"/>
        <item x="155"/>
        <item x="156"/>
        <item x="157"/>
        <item x="158"/>
        <item x="159"/>
        <item x="1"/>
        <item x="2"/>
        <item x="4"/>
        <item x="5"/>
        <item x="7"/>
        <item x="8"/>
        <item x="9"/>
        <item x="11"/>
        <item x="13"/>
        <item x="14"/>
        <item x="15"/>
        <item x="17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78"/>
        <item x="104"/>
        <item x="110"/>
        <item x="114"/>
        <item x="0"/>
        <item t="default"/>
      </items>
    </pivotField>
  </pivotFields>
  <rowFields count="1">
    <field x="5"/>
  </rowFields>
  <rowItems count="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 t="grand">
      <x/>
    </i>
  </rowItems>
  <colItems count="1">
    <i/>
  </colItems>
  <dataFields count="1">
    <dataField name="合計 / 個数" fld="0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B29"/>
  <sheetViews>
    <sheetView topLeftCell="A22" workbookViewId="0">
      <selection activeCell="F28" sqref="F28"/>
    </sheetView>
  </sheetViews>
  <sheetFormatPr defaultRowHeight="12"/>
  <cols>
    <col min="1" max="1" width="43.88671875" bestFit="1" customWidth="1"/>
  </cols>
  <sheetData>
    <row r="2" spans="1:2">
      <c r="A2" t="s">
        <v>2643</v>
      </c>
    </row>
    <row r="3" spans="1:2">
      <c r="A3" t="s">
        <v>1856</v>
      </c>
      <c r="B3" t="s">
        <v>2951</v>
      </c>
    </row>
    <row r="4" spans="1:2">
      <c r="A4" t="s">
        <v>1854</v>
      </c>
      <c r="B4" t="s">
        <v>2951</v>
      </c>
    </row>
    <row r="5" spans="1:2">
      <c r="A5" t="s">
        <v>1844</v>
      </c>
      <c r="B5" t="s">
        <v>2951</v>
      </c>
    </row>
    <row r="6" spans="1:2">
      <c r="A6" t="s">
        <v>1847</v>
      </c>
      <c r="B6" t="s">
        <v>2940</v>
      </c>
    </row>
    <row r="7" spans="1:2">
      <c r="A7" t="s">
        <v>1855</v>
      </c>
      <c r="B7" t="s">
        <v>2951</v>
      </c>
    </row>
    <row r="8" spans="1:2">
      <c r="A8" t="s">
        <v>1846</v>
      </c>
      <c r="B8" t="s">
        <v>2947</v>
      </c>
    </row>
    <row r="9" spans="1:2">
      <c r="A9" t="s">
        <v>1845</v>
      </c>
      <c r="B9" s="7" t="s">
        <v>2951</v>
      </c>
    </row>
    <row r="10" spans="1:2">
      <c r="A10" t="s">
        <v>2936</v>
      </c>
      <c r="B10" t="s">
        <v>2951</v>
      </c>
    </row>
    <row r="11" spans="1:2">
      <c r="A11" t="s">
        <v>2939</v>
      </c>
      <c r="B11" t="s">
        <v>2951</v>
      </c>
    </row>
    <row r="12" spans="1:2">
      <c r="A12" t="s">
        <v>2937</v>
      </c>
      <c r="B12" t="s">
        <v>2948</v>
      </c>
    </row>
    <row r="13" spans="1:2">
      <c r="A13" t="s">
        <v>2941</v>
      </c>
      <c r="B13" t="s">
        <v>2951</v>
      </c>
    </row>
    <row r="14" spans="1:2">
      <c r="A14" t="s">
        <v>2942</v>
      </c>
      <c r="B14" t="s">
        <v>2948</v>
      </c>
    </row>
    <row r="15" spans="1:2">
      <c r="A15" t="s">
        <v>2943</v>
      </c>
      <c r="B15" t="s">
        <v>2951</v>
      </c>
    </row>
    <row r="16" spans="1:2">
      <c r="A16" t="s">
        <v>2944</v>
      </c>
      <c r="B16" t="s">
        <v>2950</v>
      </c>
    </row>
    <row r="17" spans="1:2">
      <c r="A17" t="s">
        <v>2953</v>
      </c>
      <c r="B17" t="s">
        <v>2940</v>
      </c>
    </row>
    <row r="18" spans="1:2">
      <c r="A18" t="s">
        <v>2954</v>
      </c>
      <c r="B18" t="s">
        <v>2951</v>
      </c>
    </row>
    <row r="19" spans="1:2">
      <c r="A19" s="4" t="s">
        <v>2955</v>
      </c>
      <c r="B19" t="s">
        <v>2956</v>
      </c>
    </row>
    <row r="20" spans="1:2">
      <c r="A20" t="s">
        <v>2957</v>
      </c>
      <c r="B20" t="s">
        <v>2956</v>
      </c>
    </row>
    <row r="21" spans="1:2">
      <c r="A21" t="s">
        <v>2960</v>
      </c>
      <c r="B21" t="s">
        <v>2959</v>
      </c>
    </row>
    <row r="22" spans="1:2">
      <c r="A22" t="s">
        <v>2961</v>
      </c>
      <c r="B22" t="s">
        <v>2951</v>
      </c>
    </row>
    <row r="23" spans="1:2">
      <c r="A23" s="4">
        <v>6142</v>
      </c>
      <c r="B23" t="s">
        <v>2967</v>
      </c>
    </row>
    <row r="24" spans="1:2">
      <c r="A24" t="s">
        <v>2980</v>
      </c>
      <c r="B24" t="s">
        <v>2981</v>
      </c>
    </row>
    <row r="25" spans="1:2">
      <c r="A25" t="s">
        <v>2982</v>
      </c>
      <c r="B25" t="s">
        <v>2951</v>
      </c>
    </row>
    <row r="26" spans="1:2">
      <c r="A26" t="s">
        <v>2958</v>
      </c>
      <c r="B26" t="s">
        <v>5162</v>
      </c>
    </row>
    <row r="27" spans="1:2">
      <c r="A27" t="s">
        <v>2993</v>
      </c>
      <c r="B27" t="s">
        <v>2994</v>
      </c>
    </row>
    <row r="28" spans="1:2">
      <c r="A28" t="s">
        <v>3140</v>
      </c>
      <c r="B28" t="s">
        <v>3047</v>
      </c>
    </row>
    <row r="29" spans="1:2">
      <c r="A29" t="s">
        <v>5163</v>
      </c>
      <c r="B29" t="s">
        <v>5162</v>
      </c>
    </row>
  </sheetData>
  <autoFilter ref="A2:B2" xr:uid="{00000000-0001-0000-0100-000000000000}"/>
  <sortState xmlns:xlrd2="http://schemas.microsoft.com/office/spreadsheetml/2017/richdata2" ref="A3:B9">
    <sortCondition ref="B3:B9"/>
  </sortState>
  <phoneticPr fontId="22"/>
  <conditionalFormatting sqref="A1:A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</sheetPr>
  <dimension ref="A1:O1182"/>
  <sheetViews>
    <sheetView zoomScale="85" zoomScaleNormal="85" workbookViewId="0">
      <pane ySplit="1" topLeftCell="A861" activePane="bottomLeft" state="frozen"/>
      <selection activeCell="E11" sqref="E11"/>
      <selection pane="bottomLeft" activeCell="I1" sqref="I1:I1048576"/>
    </sheetView>
  </sheetViews>
  <sheetFormatPr defaultRowHeight="12"/>
  <cols>
    <col min="2" max="2" width="23.44140625" style="4" customWidth="1"/>
    <col min="4" max="4" width="15.5546875" customWidth="1"/>
    <col min="6" max="6" width="5.6640625" customWidth="1"/>
    <col min="8" max="8" width="9.109375" style="1"/>
    <col min="15" max="15" width="16.44140625" bestFit="1" customWidth="1"/>
  </cols>
  <sheetData>
    <row r="1" spans="1:15">
      <c r="A1" t="s">
        <v>2643</v>
      </c>
      <c r="B1" s="4" t="s">
        <v>2644</v>
      </c>
      <c r="C1" t="s">
        <v>2987</v>
      </c>
      <c r="D1" t="s">
        <v>2988</v>
      </c>
      <c r="E1" t="s">
        <v>1</v>
      </c>
      <c r="F1" t="s">
        <v>2989</v>
      </c>
      <c r="G1" t="s">
        <v>2990</v>
      </c>
      <c r="H1" t="s">
        <v>2991</v>
      </c>
      <c r="I1" t="s">
        <v>1848</v>
      </c>
      <c r="J1" t="s">
        <v>1849</v>
      </c>
    </row>
    <row r="2" spans="1:15">
      <c r="A2" t="s">
        <v>2953</v>
      </c>
      <c r="B2" s="4" t="s">
        <v>3735</v>
      </c>
      <c r="C2" t="s">
        <v>3001</v>
      </c>
      <c r="D2">
        <v>77292</v>
      </c>
      <c r="E2" t="s">
        <v>3717</v>
      </c>
      <c r="F2">
        <v>633</v>
      </c>
      <c r="G2" t="s">
        <v>3347</v>
      </c>
      <c r="H2" t="s">
        <v>3190</v>
      </c>
      <c r="I2">
        <v>1</v>
      </c>
      <c r="J2" t="str">
        <f>VLOOKUP(A2,店舗コード!A:B,2,FALSE)</f>
        <v>04 名古屋</v>
      </c>
      <c r="O2" s="2"/>
    </row>
    <row r="3" spans="1:15">
      <c r="A3" t="s">
        <v>2993</v>
      </c>
      <c r="B3" s="4" t="s">
        <v>3529</v>
      </c>
      <c r="C3" t="s">
        <v>3001</v>
      </c>
      <c r="D3">
        <v>23225</v>
      </c>
      <c r="E3" t="s">
        <v>3330</v>
      </c>
      <c r="F3">
        <v>550</v>
      </c>
      <c r="G3" t="s">
        <v>2998</v>
      </c>
      <c r="H3" t="s">
        <v>3002</v>
      </c>
      <c r="I3">
        <v>1</v>
      </c>
      <c r="J3" t="str">
        <f>VLOOKUP(A3,店舗コード!A:B,2,FALSE)</f>
        <v>15 大丸心斎橋</v>
      </c>
      <c r="O3" s="2"/>
    </row>
    <row r="4" spans="1:15">
      <c r="A4" t="s">
        <v>2993</v>
      </c>
      <c r="B4" s="4" t="s">
        <v>3529</v>
      </c>
      <c r="C4" t="s">
        <v>3001</v>
      </c>
      <c r="D4">
        <v>23225</v>
      </c>
      <c r="E4" t="s">
        <v>3330</v>
      </c>
      <c r="F4">
        <v>550</v>
      </c>
      <c r="G4" t="s">
        <v>2998</v>
      </c>
      <c r="H4" t="s">
        <v>3002</v>
      </c>
      <c r="I4">
        <v>-1</v>
      </c>
      <c r="J4" t="str">
        <f>VLOOKUP(A4,店舗コード!A:B,2,FALSE)</f>
        <v>15 大丸心斎橋</v>
      </c>
      <c r="O4" s="2"/>
    </row>
    <row r="5" spans="1:15">
      <c r="A5" t="s">
        <v>2993</v>
      </c>
      <c r="B5" s="4" t="s">
        <v>3529</v>
      </c>
      <c r="C5" t="s">
        <v>3001</v>
      </c>
      <c r="D5">
        <v>23225</v>
      </c>
      <c r="E5" t="s">
        <v>3330</v>
      </c>
      <c r="F5">
        <v>550</v>
      </c>
      <c r="G5" t="s">
        <v>2998</v>
      </c>
      <c r="H5" t="s">
        <v>3002</v>
      </c>
      <c r="I5">
        <v>1</v>
      </c>
      <c r="J5" t="str">
        <f>VLOOKUP(A5,店舗コード!A:B,2,FALSE)</f>
        <v>15 大丸心斎橋</v>
      </c>
      <c r="O5" s="2"/>
    </row>
    <row r="6" spans="1:15">
      <c r="A6" t="s">
        <v>2944</v>
      </c>
      <c r="B6" s="4" t="s">
        <v>3514</v>
      </c>
      <c r="C6" t="s">
        <v>3001</v>
      </c>
      <c r="D6">
        <v>77357</v>
      </c>
      <c r="E6" t="s">
        <v>3036</v>
      </c>
      <c r="F6">
        <v>520</v>
      </c>
      <c r="G6" t="s">
        <v>3515</v>
      </c>
      <c r="H6" t="s">
        <v>3270</v>
      </c>
      <c r="I6">
        <v>1</v>
      </c>
      <c r="J6" t="str">
        <f>VLOOKUP(A6,店舗コード!A:B,2,FALSE)</f>
        <v>10 ヒュッテ</v>
      </c>
      <c r="O6" s="2"/>
    </row>
    <row r="7" spans="1:15">
      <c r="A7" t="s">
        <v>2944</v>
      </c>
      <c r="B7" s="4" t="s">
        <v>3514</v>
      </c>
      <c r="C7" t="s">
        <v>3001</v>
      </c>
      <c r="D7">
        <v>77357</v>
      </c>
      <c r="E7" t="s">
        <v>3036</v>
      </c>
      <c r="F7">
        <v>520</v>
      </c>
      <c r="G7" t="s">
        <v>3515</v>
      </c>
      <c r="H7" t="s">
        <v>3270</v>
      </c>
      <c r="I7">
        <v>-1</v>
      </c>
      <c r="J7" t="str">
        <f>VLOOKUP(A7,店舗コード!A:B,2,FALSE)</f>
        <v>10 ヒュッテ</v>
      </c>
      <c r="O7" s="2"/>
    </row>
    <row r="8" spans="1:15">
      <c r="A8" t="s">
        <v>3140</v>
      </c>
      <c r="B8" s="4" t="s">
        <v>3474</v>
      </c>
      <c r="C8" t="s">
        <v>3001</v>
      </c>
      <c r="D8">
        <v>23225</v>
      </c>
      <c r="E8" t="s">
        <v>3330</v>
      </c>
      <c r="F8">
        <v>424</v>
      </c>
      <c r="G8" t="s">
        <v>3017</v>
      </c>
      <c r="H8" t="s">
        <v>3002</v>
      </c>
      <c r="I8">
        <v>1</v>
      </c>
      <c r="J8" t="str">
        <f>VLOOKUP(A8,店舗コード!A:B,2,FALSE)</f>
        <v>20 NARITA</v>
      </c>
      <c r="O8" s="2"/>
    </row>
    <row r="9" spans="1:15">
      <c r="A9" t="s">
        <v>3140</v>
      </c>
      <c r="B9" s="4" t="s">
        <v>3396</v>
      </c>
      <c r="C9" t="s">
        <v>3001</v>
      </c>
      <c r="D9">
        <v>23226</v>
      </c>
      <c r="E9" t="s">
        <v>3020</v>
      </c>
      <c r="F9">
        <v>424</v>
      </c>
      <c r="G9" t="s">
        <v>3017</v>
      </c>
      <c r="H9" t="s">
        <v>3002</v>
      </c>
      <c r="I9">
        <v>1</v>
      </c>
      <c r="J9" t="str">
        <f>VLOOKUP(A9,店舗コード!A:B,2,FALSE)</f>
        <v>20 NARITA</v>
      </c>
      <c r="O9" s="2"/>
    </row>
    <row r="10" spans="1:15">
      <c r="A10" t="s">
        <v>2944</v>
      </c>
      <c r="B10" s="4" t="s">
        <v>3514</v>
      </c>
      <c r="C10" t="s">
        <v>3001</v>
      </c>
      <c r="D10">
        <v>77357</v>
      </c>
      <c r="E10" t="s">
        <v>3036</v>
      </c>
      <c r="F10">
        <v>520</v>
      </c>
      <c r="G10" t="s">
        <v>3515</v>
      </c>
      <c r="H10" t="s">
        <v>3270</v>
      </c>
      <c r="I10">
        <v>1</v>
      </c>
      <c r="J10" t="str">
        <f>VLOOKUP(A10,店舗コード!A:B,2,FALSE)</f>
        <v>10 ヒュッテ</v>
      </c>
      <c r="O10" s="2"/>
    </row>
    <row r="11" spans="1:15">
      <c r="A11" t="s">
        <v>2944</v>
      </c>
      <c r="B11" s="4" t="s">
        <v>731</v>
      </c>
      <c r="C11" t="s">
        <v>3001</v>
      </c>
      <c r="D11">
        <v>79030</v>
      </c>
      <c r="E11" t="s">
        <v>732</v>
      </c>
      <c r="H11" t="s">
        <v>3002</v>
      </c>
      <c r="I11">
        <v>1</v>
      </c>
      <c r="J11" t="str">
        <f>VLOOKUP(A11,店舗コード!A:B,2,FALSE)</f>
        <v>10 ヒュッテ</v>
      </c>
      <c r="O11" s="2"/>
    </row>
    <row r="12" spans="1:15">
      <c r="A12" t="s">
        <v>2980</v>
      </c>
      <c r="B12" s="4" t="s">
        <v>2969</v>
      </c>
      <c r="C12" t="s">
        <v>3001</v>
      </c>
      <c r="D12">
        <v>23510</v>
      </c>
      <c r="E12" t="s">
        <v>86</v>
      </c>
      <c r="F12">
        <v>126</v>
      </c>
      <c r="G12" t="s">
        <v>3043</v>
      </c>
      <c r="H12" t="s">
        <v>3002</v>
      </c>
      <c r="I12">
        <v>1</v>
      </c>
      <c r="J12" t="str">
        <f>VLOOKUP(A12,店舗コード!A:B,2,FALSE)</f>
        <v>17 玉川高島屋</v>
      </c>
      <c r="O12" s="2"/>
    </row>
    <row r="13" spans="1:15">
      <c r="A13" t="s">
        <v>3140</v>
      </c>
      <c r="B13" s="4" t="s">
        <v>3315</v>
      </c>
      <c r="C13" t="s">
        <v>3001</v>
      </c>
      <c r="D13">
        <v>23561</v>
      </c>
      <c r="E13" t="s">
        <v>172</v>
      </c>
      <c r="F13">
        <v>126</v>
      </c>
      <c r="G13" t="s">
        <v>3043</v>
      </c>
      <c r="H13" t="s">
        <v>3002</v>
      </c>
      <c r="I13">
        <v>1</v>
      </c>
      <c r="J13" t="str">
        <f>VLOOKUP(A13,店舗コード!A:B,2,FALSE)</f>
        <v>20 NARITA</v>
      </c>
      <c r="O13" s="2"/>
    </row>
    <row r="14" spans="1:15">
      <c r="A14" t="s">
        <v>3140</v>
      </c>
      <c r="B14" s="4" t="s">
        <v>3299</v>
      </c>
      <c r="C14" t="s">
        <v>3001</v>
      </c>
      <c r="D14">
        <v>23561</v>
      </c>
      <c r="E14" t="s">
        <v>172</v>
      </c>
      <c r="F14">
        <v>457</v>
      </c>
      <c r="G14" t="s">
        <v>3019</v>
      </c>
      <c r="H14" t="s">
        <v>3002</v>
      </c>
      <c r="I14">
        <v>1</v>
      </c>
      <c r="J14" t="str">
        <f>VLOOKUP(A14,店舗コード!A:B,2,FALSE)</f>
        <v>20 NARITA</v>
      </c>
      <c r="O14" s="2"/>
    </row>
    <row r="15" spans="1:15">
      <c r="A15" t="s">
        <v>2953</v>
      </c>
      <c r="B15" s="4" t="s">
        <v>3189</v>
      </c>
      <c r="C15" t="s">
        <v>3001</v>
      </c>
      <c r="D15">
        <v>23524</v>
      </c>
      <c r="E15" t="s">
        <v>3009</v>
      </c>
      <c r="F15">
        <v>560</v>
      </c>
      <c r="G15" t="s">
        <v>3025</v>
      </c>
      <c r="H15" t="s">
        <v>3002</v>
      </c>
      <c r="I15">
        <v>1</v>
      </c>
      <c r="J15" t="str">
        <f>VLOOKUP(A15,店舗コード!A:B,2,FALSE)</f>
        <v>04 名古屋</v>
      </c>
      <c r="O15" s="2"/>
    </row>
    <row r="16" spans="1:15">
      <c r="A16" t="s">
        <v>3140</v>
      </c>
      <c r="B16" s="4" t="s">
        <v>3283</v>
      </c>
      <c r="C16" t="s">
        <v>3001</v>
      </c>
      <c r="D16">
        <v>23803</v>
      </c>
      <c r="E16" t="s">
        <v>3284</v>
      </c>
      <c r="F16">
        <v>560</v>
      </c>
      <c r="G16" t="s">
        <v>3025</v>
      </c>
      <c r="H16" t="s">
        <v>3002</v>
      </c>
      <c r="I16">
        <v>1</v>
      </c>
      <c r="J16" t="str">
        <f>VLOOKUP(A16,店舗コード!A:B,2,FALSE)</f>
        <v>20 NARITA</v>
      </c>
      <c r="O16" s="2"/>
    </row>
    <row r="17" spans="1:15">
      <c r="A17" t="s">
        <v>2942</v>
      </c>
      <c r="B17" s="4" t="s">
        <v>331</v>
      </c>
      <c r="C17" t="s">
        <v>3001</v>
      </c>
      <c r="D17">
        <v>24215</v>
      </c>
      <c r="E17" t="s">
        <v>326</v>
      </c>
      <c r="F17">
        <v>560</v>
      </c>
      <c r="G17" t="s">
        <v>3025</v>
      </c>
      <c r="H17" t="s">
        <v>3002</v>
      </c>
      <c r="I17">
        <v>1</v>
      </c>
      <c r="J17" t="str">
        <f>VLOOKUP(A17,店舗コード!A:B,2,FALSE)</f>
        <v>08 ルクア大阪</v>
      </c>
      <c r="O17" s="2"/>
    </row>
    <row r="18" spans="1:15">
      <c r="A18" t="s">
        <v>2953</v>
      </c>
      <c r="B18" s="4" t="s">
        <v>3738</v>
      </c>
      <c r="C18" t="s">
        <v>3001</v>
      </c>
      <c r="D18">
        <v>23349</v>
      </c>
      <c r="E18" t="s">
        <v>3292</v>
      </c>
      <c r="F18">
        <v>577</v>
      </c>
      <c r="G18" t="s">
        <v>3199</v>
      </c>
      <c r="H18" t="s">
        <v>3002</v>
      </c>
      <c r="I18">
        <v>1</v>
      </c>
      <c r="J18" t="str">
        <f>VLOOKUP(A18,店舗コード!A:B,2,FALSE)</f>
        <v>04 名古屋</v>
      </c>
      <c r="O18" s="2"/>
    </row>
    <row r="19" spans="1:15">
      <c r="A19" t="s">
        <v>2953</v>
      </c>
      <c r="B19" s="4" t="s">
        <v>307</v>
      </c>
      <c r="C19" t="s">
        <v>3001</v>
      </c>
      <c r="D19">
        <v>24213</v>
      </c>
      <c r="E19" t="s">
        <v>308</v>
      </c>
      <c r="F19">
        <v>30</v>
      </c>
      <c r="G19" t="s">
        <v>3310</v>
      </c>
      <c r="H19" t="s">
        <v>3002</v>
      </c>
      <c r="I19">
        <v>1</v>
      </c>
      <c r="J19" t="str">
        <f>VLOOKUP(A19,店舗コード!A:B,2,FALSE)</f>
        <v>04 名古屋</v>
      </c>
      <c r="O19" s="2"/>
    </row>
    <row r="20" spans="1:15">
      <c r="A20" t="s">
        <v>2953</v>
      </c>
      <c r="B20" s="4" t="s">
        <v>3736</v>
      </c>
      <c r="C20" t="s">
        <v>3001</v>
      </c>
      <c r="D20">
        <v>25862</v>
      </c>
      <c r="E20" t="s">
        <v>3737</v>
      </c>
      <c r="F20">
        <v>664</v>
      </c>
      <c r="G20" t="s">
        <v>3015</v>
      </c>
      <c r="H20" t="s">
        <v>3002</v>
      </c>
      <c r="I20">
        <v>1</v>
      </c>
      <c r="J20" t="str">
        <f>VLOOKUP(A20,店舗コード!A:B,2,FALSE)</f>
        <v>04 名古屋</v>
      </c>
      <c r="O20" s="2"/>
    </row>
    <row r="21" spans="1:15">
      <c r="A21">
        <v>6142</v>
      </c>
      <c r="B21" s="4" t="s">
        <v>3739</v>
      </c>
      <c r="C21" t="s">
        <v>3001</v>
      </c>
      <c r="D21">
        <v>23200330</v>
      </c>
      <c r="E21" t="s">
        <v>3331</v>
      </c>
      <c r="F21">
        <v>620</v>
      </c>
      <c r="G21" t="s">
        <v>3026</v>
      </c>
      <c r="H21" t="s">
        <v>3002</v>
      </c>
      <c r="I21">
        <v>1</v>
      </c>
      <c r="J21" t="str">
        <f>VLOOKUP(A21,店舗コード!A:B,2,FALSE)</f>
        <v>16 6142</v>
      </c>
      <c r="O21" s="2"/>
    </row>
    <row r="22" spans="1:15">
      <c r="A22">
        <v>6142</v>
      </c>
      <c r="B22" s="4" t="s">
        <v>3740</v>
      </c>
      <c r="C22" t="s">
        <v>3001</v>
      </c>
      <c r="D22">
        <v>23226</v>
      </c>
      <c r="E22" t="s">
        <v>3020</v>
      </c>
      <c r="F22">
        <v>623</v>
      </c>
      <c r="G22" t="s">
        <v>3044</v>
      </c>
      <c r="H22" t="s">
        <v>3002</v>
      </c>
      <c r="I22">
        <v>1</v>
      </c>
      <c r="J22" t="str">
        <f>VLOOKUP(A22,店舗コード!A:B,2,FALSE)</f>
        <v>16 6142</v>
      </c>
      <c r="O22" s="2"/>
    </row>
    <row r="23" spans="1:15">
      <c r="A23" t="s">
        <v>2953</v>
      </c>
      <c r="B23" s="4" t="s">
        <v>3741</v>
      </c>
      <c r="C23" t="s">
        <v>3001</v>
      </c>
      <c r="D23">
        <v>86984</v>
      </c>
      <c r="E23" t="s">
        <v>3742</v>
      </c>
      <c r="F23">
        <v>550</v>
      </c>
      <c r="G23" t="s">
        <v>2998</v>
      </c>
      <c r="H23" t="s">
        <v>2999</v>
      </c>
      <c r="I23">
        <v>1</v>
      </c>
      <c r="J23" t="str">
        <f>VLOOKUP(A23,店舗コード!A:B,2,FALSE)</f>
        <v>04 名古屋</v>
      </c>
      <c r="O23" s="2"/>
    </row>
    <row r="24" spans="1:15">
      <c r="A24" t="s">
        <v>3140</v>
      </c>
      <c r="B24" s="4" t="s">
        <v>2016</v>
      </c>
      <c r="C24" t="s">
        <v>3001</v>
      </c>
      <c r="D24">
        <v>23785</v>
      </c>
      <c r="E24" t="s">
        <v>2007</v>
      </c>
      <c r="F24">
        <v>620</v>
      </c>
      <c r="G24" t="s">
        <v>3026</v>
      </c>
      <c r="H24" t="s">
        <v>3002</v>
      </c>
      <c r="I24">
        <v>1</v>
      </c>
      <c r="J24" t="str">
        <f>VLOOKUP(A24,店舗コード!A:B,2,FALSE)</f>
        <v>20 NARITA</v>
      </c>
      <c r="O24" s="2"/>
    </row>
    <row r="25" spans="1:15">
      <c r="A25" t="s">
        <v>2993</v>
      </c>
      <c r="B25" s="4" t="s">
        <v>133</v>
      </c>
      <c r="C25" t="s">
        <v>3001</v>
      </c>
      <c r="D25">
        <v>23510</v>
      </c>
      <c r="E25" t="s">
        <v>86</v>
      </c>
      <c r="F25">
        <v>664</v>
      </c>
      <c r="G25" t="s">
        <v>3015</v>
      </c>
      <c r="H25" t="s">
        <v>3002</v>
      </c>
      <c r="I25">
        <v>1</v>
      </c>
      <c r="J25" t="str">
        <f>VLOOKUP(A25,店舗コード!A:B,2,FALSE)</f>
        <v>15 大丸心斎橋</v>
      </c>
      <c r="O25" s="2"/>
    </row>
    <row r="26" spans="1:15">
      <c r="A26" t="s">
        <v>2960</v>
      </c>
      <c r="B26" s="4" t="s">
        <v>1891</v>
      </c>
      <c r="C26" t="s">
        <v>3001</v>
      </c>
      <c r="D26">
        <v>23165</v>
      </c>
      <c r="E26" t="s">
        <v>1890</v>
      </c>
      <c r="F26">
        <v>550</v>
      </c>
      <c r="G26" t="s">
        <v>2998</v>
      </c>
      <c r="H26" t="s">
        <v>3002</v>
      </c>
      <c r="I26">
        <v>1</v>
      </c>
      <c r="J26" t="str">
        <f>VLOOKUP(A26,店舗コード!A:B,2,FALSE)</f>
        <v>13 京王新宿</v>
      </c>
      <c r="O26" s="2"/>
    </row>
    <row r="27" spans="1:15">
      <c r="A27" t="s">
        <v>1846</v>
      </c>
      <c r="B27" s="4" t="s">
        <v>232</v>
      </c>
      <c r="C27" t="s">
        <v>3001</v>
      </c>
      <c r="D27">
        <v>23565</v>
      </c>
      <c r="E27" t="s">
        <v>220</v>
      </c>
      <c r="F27">
        <v>633</v>
      </c>
      <c r="G27" t="s">
        <v>3347</v>
      </c>
      <c r="H27" t="s">
        <v>3002</v>
      </c>
      <c r="I27">
        <v>1</v>
      </c>
      <c r="J27" t="str">
        <f>VLOOKUP(A27,店舗コード!A:B,2,FALSE)</f>
        <v>07 TOKYO</v>
      </c>
      <c r="O27" s="2"/>
    </row>
    <row r="28" spans="1:15">
      <c r="A28">
        <v>6142</v>
      </c>
      <c r="B28" s="4" t="s">
        <v>3743</v>
      </c>
      <c r="C28" t="s">
        <v>3001</v>
      </c>
      <c r="D28">
        <v>23222</v>
      </c>
      <c r="E28" t="s">
        <v>3193</v>
      </c>
      <c r="F28">
        <v>620</v>
      </c>
      <c r="G28" t="s">
        <v>3026</v>
      </c>
      <c r="H28" t="s">
        <v>3002</v>
      </c>
      <c r="I28">
        <v>1</v>
      </c>
      <c r="J28" t="str">
        <f>VLOOKUP(A28,店舗コード!A:B,2,FALSE)</f>
        <v>16 6142</v>
      </c>
      <c r="O28" s="2"/>
    </row>
    <row r="29" spans="1:15">
      <c r="A29" t="s">
        <v>3140</v>
      </c>
      <c r="B29" s="4" t="s">
        <v>3443</v>
      </c>
      <c r="C29" t="s">
        <v>3001</v>
      </c>
      <c r="D29">
        <v>23802</v>
      </c>
      <c r="E29" t="s">
        <v>3444</v>
      </c>
      <c r="F29">
        <v>424</v>
      </c>
      <c r="G29" t="s">
        <v>3017</v>
      </c>
      <c r="H29" t="s">
        <v>3002</v>
      </c>
      <c r="I29">
        <v>1</v>
      </c>
      <c r="J29" t="str">
        <f>VLOOKUP(A29,店舗コード!A:B,2,FALSE)</f>
        <v>20 NARITA</v>
      </c>
      <c r="O29" s="2"/>
    </row>
    <row r="30" spans="1:15">
      <c r="A30" t="s">
        <v>2942</v>
      </c>
      <c r="B30" s="4" t="s">
        <v>3744</v>
      </c>
      <c r="C30" t="s">
        <v>3001</v>
      </c>
      <c r="D30">
        <v>23796</v>
      </c>
      <c r="E30" t="s">
        <v>3034</v>
      </c>
      <c r="F30">
        <v>600</v>
      </c>
      <c r="G30" t="s">
        <v>3282</v>
      </c>
      <c r="H30" t="s">
        <v>3002</v>
      </c>
      <c r="I30">
        <v>1</v>
      </c>
      <c r="J30" t="str">
        <f>VLOOKUP(A30,店舗コード!A:B,2,FALSE)</f>
        <v>08 ルクア大阪</v>
      </c>
      <c r="O30" s="2"/>
    </row>
    <row r="31" spans="1:15">
      <c r="A31" t="s">
        <v>3140</v>
      </c>
      <c r="B31" s="4" t="s">
        <v>3350</v>
      </c>
      <c r="C31" t="s">
        <v>3001</v>
      </c>
      <c r="D31">
        <v>23227</v>
      </c>
      <c r="E31" t="s">
        <v>3014</v>
      </c>
      <c r="F31">
        <v>550</v>
      </c>
      <c r="G31" t="s">
        <v>2998</v>
      </c>
      <c r="H31" t="s">
        <v>3002</v>
      </c>
      <c r="I31">
        <v>1</v>
      </c>
      <c r="J31" t="str">
        <f>VLOOKUP(A31,店舗コード!A:B,2,FALSE)</f>
        <v>20 NARITA</v>
      </c>
      <c r="O31" s="2"/>
    </row>
    <row r="32" spans="1:15">
      <c r="A32" t="s">
        <v>3140</v>
      </c>
      <c r="B32" s="4" t="s">
        <v>3322</v>
      </c>
      <c r="C32" t="s">
        <v>3001</v>
      </c>
      <c r="D32">
        <v>77357</v>
      </c>
      <c r="E32" t="s">
        <v>3036</v>
      </c>
      <c r="F32" t="s">
        <v>3323</v>
      </c>
      <c r="G32" t="s">
        <v>3324</v>
      </c>
      <c r="H32" t="s">
        <v>3270</v>
      </c>
      <c r="I32">
        <v>1</v>
      </c>
      <c r="J32" t="str">
        <f>VLOOKUP(A32,店舗コード!A:B,2,FALSE)</f>
        <v>20 NARITA</v>
      </c>
      <c r="O32" s="2"/>
    </row>
    <row r="33" spans="1:15">
      <c r="A33" t="s">
        <v>2942</v>
      </c>
      <c r="B33" s="4" t="s">
        <v>3746</v>
      </c>
      <c r="C33" t="s">
        <v>3001</v>
      </c>
      <c r="D33">
        <v>25863</v>
      </c>
      <c r="E33" t="s">
        <v>3298</v>
      </c>
      <c r="F33">
        <v>550</v>
      </c>
      <c r="G33" t="s">
        <v>2998</v>
      </c>
      <c r="H33" t="s">
        <v>3002</v>
      </c>
      <c r="I33">
        <v>1</v>
      </c>
      <c r="J33" t="str">
        <f>VLOOKUP(A33,店舗コード!A:B,2,FALSE)</f>
        <v>08 ルクア大阪</v>
      </c>
      <c r="O33" s="2"/>
    </row>
    <row r="34" spans="1:15">
      <c r="A34" t="s">
        <v>2942</v>
      </c>
      <c r="B34" s="4" t="s">
        <v>3745</v>
      </c>
      <c r="C34" t="s">
        <v>3001</v>
      </c>
      <c r="D34">
        <v>25863</v>
      </c>
      <c r="E34" t="s">
        <v>3298</v>
      </c>
      <c r="F34">
        <v>560</v>
      </c>
      <c r="G34" t="s">
        <v>3025</v>
      </c>
      <c r="H34" t="s">
        <v>3002</v>
      </c>
      <c r="I34">
        <v>1</v>
      </c>
      <c r="J34" t="str">
        <f>VLOOKUP(A34,店舗コード!A:B,2,FALSE)</f>
        <v>08 ルクア大阪</v>
      </c>
      <c r="O34" s="2"/>
    </row>
    <row r="35" spans="1:15">
      <c r="A35">
        <v>6142</v>
      </c>
      <c r="B35" s="4" t="s">
        <v>3004</v>
      </c>
      <c r="C35" t="s">
        <v>3001</v>
      </c>
      <c r="D35">
        <v>23510</v>
      </c>
      <c r="E35" t="s">
        <v>86</v>
      </c>
      <c r="F35" t="s">
        <v>3005</v>
      </c>
      <c r="G35" t="s">
        <v>3006</v>
      </c>
      <c r="H35" t="s">
        <v>3002</v>
      </c>
      <c r="I35">
        <v>1</v>
      </c>
      <c r="J35" t="str">
        <f>VLOOKUP(A35,店舗コード!A:B,2,FALSE)</f>
        <v>16 6142</v>
      </c>
      <c r="O35" s="2"/>
    </row>
    <row r="36" spans="1:15">
      <c r="A36" t="s">
        <v>2993</v>
      </c>
      <c r="B36" s="4" t="s">
        <v>107</v>
      </c>
      <c r="C36" t="s">
        <v>3001</v>
      </c>
      <c r="D36">
        <v>23510</v>
      </c>
      <c r="E36" t="s">
        <v>86</v>
      </c>
      <c r="F36">
        <v>501</v>
      </c>
      <c r="G36" t="s">
        <v>3023</v>
      </c>
      <c r="H36" t="s">
        <v>3002</v>
      </c>
      <c r="I36">
        <v>1</v>
      </c>
      <c r="J36" t="str">
        <f>VLOOKUP(A36,店舗コード!A:B,2,FALSE)</f>
        <v>15 大丸心斎橋</v>
      </c>
      <c r="O36" s="2"/>
    </row>
    <row r="37" spans="1:15">
      <c r="A37" t="s">
        <v>2993</v>
      </c>
      <c r="B37" s="4" t="s">
        <v>2975</v>
      </c>
      <c r="C37" t="s">
        <v>3001</v>
      </c>
      <c r="D37">
        <v>23346</v>
      </c>
      <c r="E37" t="s">
        <v>3041</v>
      </c>
      <c r="F37">
        <v>550</v>
      </c>
      <c r="G37" t="s">
        <v>2998</v>
      </c>
      <c r="H37" t="s">
        <v>3002</v>
      </c>
      <c r="I37">
        <v>1</v>
      </c>
      <c r="J37" t="str">
        <f>VLOOKUP(A37,店舗コード!A:B,2,FALSE)</f>
        <v>15 大丸心斎橋</v>
      </c>
      <c r="O37" s="2"/>
    </row>
    <row r="38" spans="1:15">
      <c r="A38" t="s">
        <v>2942</v>
      </c>
      <c r="B38" s="4" t="s">
        <v>2975</v>
      </c>
      <c r="C38" t="s">
        <v>3001</v>
      </c>
      <c r="D38">
        <v>23346</v>
      </c>
      <c r="E38" t="s">
        <v>3041</v>
      </c>
      <c r="F38">
        <v>550</v>
      </c>
      <c r="G38" t="s">
        <v>2998</v>
      </c>
      <c r="H38" t="s">
        <v>3002</v>
      </c>
      <c r="I38">
        <v>1</v>
      </c>
      <c r="J38" t="str">
        <f>VLOOKUP(A38,店舗コード!A:B,2,FALSE)</f>
        <v>08 ルクア大阪</v>
      </c>
      <c r="O38" s="2"/>
    </row>
    <row r="39" spans="1:15">
      <c r="A39" t="s">
        <v>2942</v>
      </c>
      <c r="B39" s="4" t="s">
        <v>3220</v>
      </c>
      <c r="C39" t="s">
        <v>3001</v>
      </c>
      <c r="D39">
        <v>23346</v>
      </c>
      <c r="E39" t="s">
        <v>3041</v>
      </c>
      <c r="F39">
        <v>577</v>
      </c>
      <c r="G39" t="s">
        <v>3199</v>
      </c>
      <c r="H39" t="s">
        <v>3002</v>
      </c>
      <c r="I39">
        <v>1</v>
      </c>
      <c r="J39" t="str">
        <f>VLOOKUP(A39,店舗コード!A:B,2,FALSE)</f>
        <v>08 ルクア大阪</v>
      </c>
      <c r="O39" s="2"/>
    </row>
    <row r="40" spans="1:15">
      <c r="A40" t="s">
        <v>2942</v>
      </c>
      <c r="B40" s="4" t="s">
        <v>3360</v>
      </c>
      <c r="C40" t="s">
        <v>3001</v>
      </c>
      <c r="D40">
        <v>23785</v>
      </c>
      <c r="E40" t="s">
        <v>2007</v>
      </c>
      <c r="F40">
        <v>299</v>
      </c>
      <c r="G40" t="s">
        <v>3361</v>
      </c>
      <c r="H40" t="s">
        <v>3002</v>
      </c>
      <c r="I40">
        <v>1</v>
      </c>
      <c r="J40" t="str">
        <f>VLOOKUP(A40,店舗コード!A:B,2,FALSE)</f>
        <v>08 ルクア大阪</v>
      </c>
      <c r="O40" s="2"/>
    </row>
    <row r="41" spans="1:15">
      <c r="A41" t="s">
        <v>1846</v>
      </c>
      <c r="B41" s="4" t="s">
        <v>3747</v>
      </c>
      <c r="C41" t="s">
        <v>3001</v>
      </c>
      <c r="D41">
        <v>23200300</v>
      </c>
      <c r="E41" t="s">
        <v>3748</v>
      </c>
      <c r="F41" t="s">
        <v>3333</v>
      </c>
      <c r="G41" t="s">
        <v>3334</v>
      </c>
      <c r="H41" t="s">
        <v>3002</v>
      </c>
      <c r="I41">
        <v>1</v>
      </c>
      <c r="J41" t="str">
        <f>VLOOKUP(A41,店舗コード!A:B,2,FALSE)</f>
        <v>07 TOKYO</v>
      </c>
      <c r="O41" s="2"/>
    </row>
    <row r="42" spans="1:15">
      <c r="A42" t="s">
        <v>2942</v>
      </c>
      <c r="B42" s="4" t="s">
        <v>3492</v>
      </c>
      <c r="C42" t="s">
        <v>3001</v>
      </c>
      <c r="D42">
        <v>23222</v>
      </c>
      <c r="E42" t="s">
        <v>3193</v>
      </c>
      <c r="F42">
        <v>16</v>
      </c>
      <c r="G42" t="s">
        <v>3008</v>
      </c>
      <c r="H42" t="s">
        <v>3002</v>
      </c>
      <c r="I42">
        <v>1</v>
      </c>
      <c r="J42" t="str">
        <f>VLOOKUP(A42,店舗コード!A:B,2,FALSE)</f>
        <v>08 ルクア大阪</v>
      </c>
      <c r="O42" s="2"/>
    </row>
    <row r="43" spans="1:15">
      <c r="A43" t="s">
        <v>3140</v>
      </c>
      <c r="B43" s="4" t="s">
        <v>3413</v>
      </c>
      <c r="C43" t="s">
        <v>3001</v>
      </c>
      <c r="D43">
        <v>23803</v>
      </c>
      <c r="E43" t="s">
        <v>3284</v>
      </c>
      <c r="F43">
        <v>633</v>
      </c>
      <c r="G43" t="s">
        <v>3347</v>
      </c>
      <c r="H43" t="s">
        <v>3002</v>
      </c>
      <c r="I43">
        <v>1</v>
      </c>
      <c r="J43" t="str">
        <f>VLOOKUP(A43,店舗コード!A:B,2,FALSE)</f>
        <v>20 NARITA</v>
      </c>
      <c r="O43" s="2"/>
    </row>
    <row r="44" spans="1:15">
      <c r="A44" t="s">
        <v>2942</v>
      </c>
      <c r="B44" s="4" t="s">
        <v>2973</v>
      </c>
      <c r="C44" t="s">
        <v>3001</v>
      </c>
      <c r="D44">
        <v>23525</v>
      </c>
      <c r="E44" t="s">
        <v>3012</v>
      </c>
      <c r="F44">
        <v>160</v>
      </c>
      <c r="G44" t="s">
        <v>3010</v>
      </c>
      <c r="H44" t="s">
        <v>3002</v>
      </c>
      <c r="I44">
        <v>1</v>
      </c>
      <c r="J44" t="str">
        <f>VLOOKUP(A44,店舗コード!A:B,2,FALSE)</f>
        <v>08 ルクア大阪</v>
      </c>
      <c r="O44" s="2"/>
    </row>
    <row r="45" spans="1:15">
      <c r="A45" t="s">
        <v>3140</v>
      </c>
      <c r="B45" s="4" t="s">
        <v>2976</v>
      </c>
      <c r="C45" t="s">
        <v>3001</v>
      </c>
      <c r="D45">
        <v>23510</v>
      </c>
      <c r="E45" t="s">
        <v>86</v>
      </c>
      <c r="F45" t="s">
        <v>3021</v>
      </c>
      <c r="G45" t="s">
        <v>3022</v>
      </c>
      <c r="H45" t="s">
        <v>3002</v>
      </c>
      <c r="I45">
        <v>1</v>
      </c>
      <c r="J45" t="str">
        <f>VLOOKUP(A45,店舗コード!A:B,2,FALSE)</f>
        <v>20 NARITA</v>
      </c>
      <c r="O45" s="2"/>
    </row>
    <row r="46" spans="1:15">
      <c r="A46" t="s">
        <v>2942</v>
      </c>
      <c r="B46" s="4" t="s">
        <v>3486</v>
      </c>
      <c r="C46" t="s">
        <v>3001</v>
      </c>
      <c r="D46">
        <v>23710</v>
      </c>
      <c r="E46" t="s">
        <v>3424</v>
      </c>
      <c r="F46">
        <v>312</v>
      </c>
      <c r="G46" t="s">
        <v>3003</v>
      </c>
      <c r="H46" t="s">
        <v>3002</v>
      </c>
      <c r="I46">
        <v>1</v>
      </c>
      <c r="J46" t="str">
        <f>VLOOKUP(A46,店舗コード!A:B,2,FALSE)</f>
        <v>08 ルクア大阪</v>
      </c>
      <c r="O46" s="2"/>
    </row>
    <row r="47" spans="1:15">
      <c r="A47" t="s">
        <v>2942</v>
      </c>
      <c r="B47" s="4" t="s">
        <v>733</v>
      </c>
      <c r="C47" t="s">
        <v>3001</v>
      </c>
      <c r="D47">
        <v>79060</v>
      </c>
      <c r="E47" t="s">
        <v>734</v>
      </c>
      <c r="H47" t="s">
        <v>3002</v>
      </c>
      <c r="I47">
        <v>1</v>
      </c>
      <c r="J47" t="str">
        <f>VLOOKUP(A47,店舗コード!A:B,2,FALSE)</f>
        <v>08 ルクア大阪</v>
      </c>
      <c r="O47" s="2"/>
    </row>
    <row r="48" spans="1:15">
      <c r="A48" t="s">
        <v>1846</v>
      </c>
      <c r="B48" s="4" t="s">
        <v>3268</v>
      </c>
      <c r="C48" t="s">
        <v>3001</v>
      </c>
      <c r="D48">
        <v>23796</v>
      </c>
      <c r="E48" t="s">
        <v>3034</v>
      </c>
      <c r="F48">
        <v>560</v>
      </c>
      <c r="G48" t="s">
        <v>3025</v>
      </c>
      <c r="H48" t="s">
        <v>3002</v>
      </c>
      <c r="I48">
        <v>1</v>
      </c>
      <c r="J48" t="str">
        <f>VLOOKUP(A48,店舗コード!A:B,2,FALSE)</f>
        <v>07 TOKYO</v>
      </c>
      <c r="O48" s="2"/>
    </row>
    <row r="49" spans="1:15">
      <c r="A49" t="s">
        <v>1846</v>
      </c>
      <c r="B49" s="4" t="s">
        <v>2984</v>
      </c>
      <c r="C49" t="s">
        <v>3001</v>
      </c>
      <c r="D49">
        <v>23505</v>
      </c>
      <c r="E49" t="s">
        <v>73</v>
      </c>
      <c r="F49">
        <v>160</v>
      </c>
      <c r="G49" t="s">
        <v>3010</v>
      </c>
      <c r="H49" t="s">
        <v>3002</v>
      </c>
      <c r="I49">
        <v>1</v>
      </c>
      <c r="J49" t="str">
        <f>VLOOKUP(A49,店舗コード!A:B,2,FALSE)</f>
        <v>07 TOKYO</v>
      </c>
      <c r="O49" s="2"/>
    </row>
    <row r="50" spans="1:15">
      <c r="A50" t="s">
        <v>1846</v>
      </c>
      <c r="B50" s="4" t="s">
        <v>2965</v>
      </c>
      <c r="C50" t="s">
        <v>3001</v>
      </c>
      <c r="D50">
        <v>23510</v>
      </c>
      <c r="E50" t="s">
        <v>86</v>
      </c>
      <c r="F50">
        <v>424</v>
      </c>
      <c r="G50" t="s">
        <v>3017</v>
      </c>
      <c r="H50" t="s">
        <v>3002</v>
      </c>
      <c r="I50">
        <v>1</v>
      </c>
      <c r="J50" t="str">
        <f>VLOOKUP(A50,店舗コード!A:B,2,FALSE)</f>
        <v>07 TOKYO</v>
      </c>
      <c r="O50" s="2"/>
    </row>
    <row r="51" spans="1:15">
      <c r="A51" t="s">
        <v>1846</v>
      </c>
      <c r="B51" s="4" t="s">
        <v>3504</v>
      </c>
      <c r="C51" t="s">
        <v>3001</v>
      </c>
      <c r="D51">
        <v>23621</v>
      </c>
      <c r="E51" t="s">
        <v>1860</v>
      </c>
      <c r="F51" t="s">
        <v>3275</v>
      </c>
      <c r="G51" t="s">
        <v>3276</v>
      </c>
      <c r="H51" t="s">
        <v>3002</v>
      </c>
      <c r="I51">
        <v>1</v>
      </c>
      <c r="J51" t="str">
        <f>VLOOKUP(A51,店舗コード!A:B,2,FALSE)</f>
        <v>07 TOKYO</v>
      </c>
      <c r="O51" s="2"/>
    </row>
    <row r="52" spans="1:15">
      <c r="A52" t="s">
        <v>1846</v>
      </c>
      <c r="B52" s="4" t="s">
        <v>182</v>
      </c>
      <c r="C52" t="s">
        <v>3001</v>
      </c>
      <c r="D52">
        <v>23561</v>
      </c>
      <c r="E52" t="s">
        <v>172</v>
      </c>
      <c r="F52">
        <v>312</v>
      </c>
      <c r="G52" t="s">
        <v>3003</v>
      </c>
      <c r="H52" t="s">
        <v>3002</v>
      </c>
      <c r="I52">
        <v>1</v>
      </c>
      <c r="J52" t="str">
        <f>VLOOKUP(A52,店舗コード!A:B,2,FALSE)</f>
        <v>07 TOKYO</v>
      </c>
      <c r="O52" s="2"/>
    </row>
    <row r="53" spans="1:15">
      <c r="A53" t="s">
        <v>1846</v>
      </c>
      <c r="B53" s="4" t="s">
        <v>3283</v>
      </c>
      <c r="C53" t="s">
        <v>3001</v>
      </c>
      <c r="D53">
        <v>23803</v>
      </c>
      <c r="E53" t="s">
        <v>3284</v>
      </c>
      <c r="F53">
        <v>560</v>
      </c>
      <c r="G53" t="s">
        <v>3025</v>
      </c>
      <c r="H53" t="s">
        <v>3002</v>
      </c>
      <c r="I53">
        <v>1</v>
      </c>
      <c r="J53" t="str">
        <f>VLOOKUP(A53,店舗コード!A:B,2,FALSE)</f>
        <v>07 TOKYO</v>
      </c>
      <c r="O53" s="2"/>
    </row>
    <row r="54" spans="1:15">
      <c r="A54" t="s">
        <v>2942</v>
      </c>
      <c r="B54" s="4" t="s">
        <v>3390</v>
      </c>
      <c r="C54" t="s">
        <v>3001</v>
      </c>
      <c r="D54">
        <v>24213</v>
      </c>
      <c r="E54" t="s">
        <v>308</v>
      </c>
      <c r="F54">
        <v>633</v>
      </c>
      <c r="G54" t="s">
        <v>3347</v>
      </c>
      <c r="H54" t="s">
        <v>3002</v>
      </c>
      <c r="I54">
        <v>1</v>
      </c>
      <c r="J54" t="str">
        <f>VLOOKUP(A54,店舗コード!A:B,2,FALSE)</f>
        <v>08 ルクア大阪</v>
      </c>
      <c r="O54" s="2"/>
    </row>
    <row r="55" spans="1:15">
      <c r="A55" t="s">
        <v>2942</v>
      </c>
      <c r="B55" s="4" t="s">
        <v>3196</v>
      </c>
      <c r="C55" t="s">
        <v>3001</v>
      </c>
      <c r="D55">
        <v>24216</v>
      </c>
      <c r="E55" t="s">
        <v>334</v>
      </c>
      <c r="F55">
        <v>633</v>
      </c>
      <c r="G55" t="s">
        <v>3347</v>
      </c>
      <c r="H55" t="s">
        <v>3002</v>
      </c>
      <c r="I55">
        <v>1</v>
      </c>
      <c r="J55" t="str">
        <f>VLOOKUP(A55,店舗コード!A:B,2,FALSE)</f>
        <v>08 ルクア大阪</v>
      </c>
      <c r="O55" s="2"/>
    </row>
    <row r="56" spans="1:15">
      <c r="A56" t="s">
        <v>2993</v>
      </c>
      <c r="B56" s="4" t="s">
        <v>3751</v>
      </c>
      <c r="C56" t="s">
        <v>3001</v>
      </c>
      <c r="D56">
        <v>86977</v>
      </c>
      <c r="E56" t="s">
        <v>3752</v>
      </c>
      <c r="F56">
        <v>543</v>
      </c>
      <c r="G56" t="s">
        <v>3188</v>
      </c>
      <c r="H56" t="s">
        <v>2999</v>
      </c>
      <c r="I56">
        <v>1</v>
      </c>
      <c r="J56" t="str">
        <f>VLOOKUP(A56,店舗コード!A:B,2,FALSE)</f>
        <v>15 大丸心斎橋</v>
      </c>
      <c r="O56" s="2"/>
    </row>
    <row r="57" spans="1:15">
      <c r="A57" t="s">
        <v>2993</v>
      </c>
      <c r="B57" s="4" t="s">
        <v>3749</v>
      </c>
      <c r="C57" t="s">
        <v>3001</v>
      </c>
      <c r="D57">
        <v>87153</v>
      </c>
      <c r="E57" t="s">
        <v>3750</v>
      </c>
      <c r="F57">
        <v>452</v>
      </c>
      <c r="G57" t="s">
        <v>3317</v>
      </c>
      <c r="H57" t="s">
        <v>2999</v>
      </c>
      <c r="I57">
        <v>1</v>
      </c>
      <c r="J57" t="str">
        <f>VLOOKUP(A57,店舗コード!A:B,2,FALSE)</f>
        <v>15 大丸心斎橋</v>
      </c>
      <c r="O57" s="2"/>
    </row>
    <row r="58" spans="1:15">
      <c r="A58">
        <v>6142</v>
      </c>
      <c r="B58" s="4" t="s">
        <v>3187</v>
      </c>
      <c r="C58" t="s">
        <v>3001</v>
      </c>
      <c r="D58">
        <v>23227</v>
      </c>
      <c r="E58" t="s">
        <v>3014</v>
      </c>
      <c r="F58">
        <v>543</v>
      </c>
      <c r="G58" t="s">
        <v>3188</v>
      </c>
      <c r="H58" t="s">
        <v>3002</v>
      </c>
      <c r="I58">
        <v>1</v>
      </c>
      <c r="J58" t="str">
        <f>VLOOKUP(A58,店舗コード!A:B,2,FALSE)</f>
        <v>16 6142</v>
      </c>
      <c r="O58" s="2"/>
    </row>
    <row r="59" spans="1:15">
      <c r="A59">
        <v>6142</v>
      </c>
      <c r="B59" s="4" t="s">
        <v>3245</v>
      </c>
      <c r="C59" t="s">
        <v>3001</v>
      </c>
      <c r="D59">
        <v>23200307</v>
      </c>
      <c r="E59" t="s">
        <v>3207</v>
      </c>
      <c r="F59">
        <v>550</v>
      </c>
      <c r="G59" t="s">
        <v>2998</v>
      </c>
      <c r="H59" t="s">
        <v>3002</v>
      </c>
      <c r="I59">
        <v>1</v>
      </c>
      <c r="J59" t="str">
        <f>VLOOKUP(A59,店舗コード!A:B,2,FALSE)</f>
        <v>16 6142</v>
      </c>
      <c r="O59" s="2"/>
    </row>
    <row r="60" spans="1:15">
      <c r="A60" t="s">
        <v>1846</v>
      </c>
      <c r="B60" s="4" t="s">
        <v>3753</v>
      </c>
      <c r="C60" t="s">
        <v>3001</v>
      </c>
      <c r="D60">
        <v>23565</v>
      </c>
      <c r="E60" t="s">
        <v>3483</v>
      </c>
      <c r="F60">
        <v>577</v>
      </c>
      <c r="G60" t="s">
        <v>3199</v>
      </c>
      <c r="H60" t="s">
        <v>3002</v>
      </c>
      <c r="I60">
        <v>1</v>
      </c>
      <c r="J60" t="str">
        <f>VLOOKUP(A60,店舗コード!A:B,2,FALSE)</f>
        <v>07 TOKYO</v>
      </c>
      <c r="O60" s="2"/>
    </row>
    <row r="61" spans="1:15">
      <c r="A61" t="s">
        <v>2960</v>
      </c>
      <c r="B61" s="4" t="s">
        <v>2976</v>
      </c>
      <c r="C61" t="s">
        <v>3001</v>
      </c>
      <c r="D61">
        <v>23510</v>
      </c>
      <c r="E61" t="s">
        <v>86</v>
      </c>
      <c r="F61" t="s">
        <v>3021</v>
      </c>
      <c r="G61" t="s">
        <v>3022</v>
      </c>
      <c r="H61" t="s">
        <v>3002</v>
      </c>
      <c r="I61">
        <v>1</v>
      </c>
      <c r="J61" t="str">
        <f>VLOOKUP(A61,店舗コード!A:B,2,FALSE)</f>
        <v>13 京王新宿</v>
      </c>
      <c r="O61" s="2"/>
    </row>
    <row r="62" spans="1:15">
      <c r="A62" t="s">
        <v>1846</v>
      </c>
      <c r="B62" s="4" t="s">
        <v>3281</v>
      </c>
      <c r="C62" t="s">
        <v>3001</v>
      </c>
      <c r="D62">
        <v>23223</v>
      </c>
      <c r="E62" t="s">
        <v>3016</v>
      </c>
      <c r="F62">
        <v>550</v>
      </c>
      <c r="G62" t="s">
        <v>2998</v>
      </c>
      <c r="H62" t="s">
        <v>3002</v>
      </c>
      <c r="I62">
        <v>1</v>
      </c>
      <c r="J62" t="str">
        <f>VLOOKUP(A62,店舗コード!A:B,2,FALSE)</f>
        <v>07 TOKYO</v>
      </c>
      <c r="O62" s="2"/>
    </row>
    <row r="63" spans="1:15">
      <c r="A63" t="s">
        <v>1846</v>
      </c>
      <c r="B63" s="4" t="s">
        <v>3394</v>
      </c>
      <c r="C63" t="s">
        <v>3001</v>
      </c>
      <c r="D63">
        <v>87310</v>
      </c>
      <c r="E63" t="s">
        <v>3201</v>
      </c>
      <c r="F63">
        <v>550</v>
      </c>
      <c r="G63" t="s">
        <v>2998</v>
      </c>
      <c r="H63" t="s">
        <v>3029</v>
      </c>
      <c r="I63">
        <v>1</v>
      </c>
      <c r="J63" t="str">
        <f>VLOOKUP(A63,店舗コード!A:B,2,FALSE)</f>
        <v>07 TOKYO</v>
      </c>
      <c r="O63" s="2"/>
    </row>
    <row r="64" spans="1:15">
      <c r="A64" t="s">
        <v>1846</v>
      </c>
      <c r="B64" s="4" t="s">
        <v>3532</v>
      </c>
      <c r="C64" t="s">
        <v>3001</v>
      </c>
      <c r="D64">
        <v>23200340</v>
      </c>
      <c r="E64" t="s">
        <v>3372</v>
      </c>
      <c r="F64">
        <v>37</v>
      </c>
      <c r="G64" t="s">
        <v>3302</v>
      </c>
      <c r="H64" t="s">
        <v>3002</v>
      </c>
      <c r="I64">
        <v>1</v>
      </c>
      <c r="J64" t="str">
        <f>VLOOKUP(A64,店舗コード!A:B,2,FALSE)</f>
        <v>07 TOKYO</v>
      </c>
      <c r="O64" s="2"/>
    </row>
    <row r="65" spans="1:15">
      <c r="A65" t="s">
        <v>1846</v>
      </c>
      <c r="B65" s="4" t="s">
        <v>3048</v>
      </c>
      <c r="C65" t="s">
        <v>3001</v>
      </c>
      <c r="D65">
        <v>23200408</v>
      </c>
      <c r="E65" t="s">
        <v>3377</v>
      </c>
      <c r="F65" t="s">
        <v>3378</v>
      </c>
      <c r="G65" t="s">
        <v>3379</v>
      </c>
      <c r="H65" t="s">
        <v>3002</v>
      </c>
      <c r="I65">
        <v>1</v>
      </c>
      <c r="J65" t="str">
        <f>VLOOKUP(A65,店舗コード!A:B,2,FALSE)</f>
        <v>07 TOKYO</v>
      </c>
      <c r="O65" s="2"/>
    </row>
    <row r="66" spans="1:15">
      <c r="A66" t="s">
        <v>1846</v>
      </c>
      <c r="B66" s="4" t="s">
        <v>3289</v>
      </c>
      <c r="C66" t="s">
        <v>3001</v>
      </c>
      <c r="D66">
        <v>23227</v>
      </c>
      <c r="E66" t="s">
        <v>3014</v>
      </c>
      <c r="F66">
        <v>221</v>
      </c>
      <c r="G66" t="s">
        <v>3290</v>
      </c>
      <c r="H66" t="s">
        <v>3002</v>
      </c>
      <c r="I66">
        <v>1</v>
      </c>
      <c r="J66" t="str">
        <f>VLOOKUP(A66,店舗コード!A:B,2,FALSE)</f>
        <v>07 TOKYO</v>
      </c>
      <c r="O66" s="2"/>
    </row>
    <row r="67" spans="1:15">
      <c r="A67" t="s">
        <v>2993</v>
      </c>
      <c r="B67" s="4" t="s">
        <v>3425</v>
      </c>
      <c r="C67" t="s">
        <v>3001</v>
      </c>
      <c r="D67">
        <v>23200303</v>
      </c>
      <c r="E67" t="s">
        <v>3387</v>
      </c>
      <c r="F67">
        <v>37</v>
      </c>
      <c r="G67" t="s">
        <v>3302</v>
      </c>
      <c r="H67" t="s">
        <v>3002</v>
      </c>
      <c r="I67">
        <v>1</v>
      </c>
      <c r="J67" t="str">
        <f>VLOOKUP(A67,店舗コード!A:B,2,FALSE)</f>
        <v>15 大丸心斎橋</v>
      </c>
      <c r="O67" s="2"/>
    </row>
    <row r="68" spans="1:15">
      <c r="A68" t="s">
        <v>2942</v>
      </c>
      <c r="B68" s="4" t="s">
        <v>3754</v>
      </c>
      <c r="C68" t="s">
        <v>3001</v>
      </c>
      <c r="D68">
        <v>23346</v>
      </c>
      <c r="E68" t="s">
        <v>3041</v>
      </c>
      <c r="F68">
        <v>50</v>
      </c>
      <c r="G68" t="s">
        <v>3037</v>
      </c>
      <c r="H68" t="s">
        <v>3002</v>
      </c>
      <c r="I68">
        <v>1</v>
      </c>
      <c r="J68" t="str">
        <f>VLOOKUP(A68,店舗コード!A:B,2,FALSE)</f>
        <v>08 ルクア大阪</v>
      </c>
      <c r="O68" s="2"/>
    </row>
    <row r="69" spans="1:15">
      <c r="A69" t="s">
        <v>2993</v>
      </c>
      <c r="B69" s="4" t="s">
        <v>3755</v>
      </c>
      <c r="C69" t="s">
        <v>3001</v>
      </c>
      <c r="D69">
        <v>24221</v>
      </c>
      <c r="E69" t="s">
        <v>361</v>
      </c>
      <c r="F69">
        <v>679</v>
      </c>
      <c r="G69" t="s">
        <v>3756</v>
      </c>
      <c r="H69" t="s">
        <v>3002</v>
      </c>
      <c r="I69">
        <v>1</v>
      </c>
      <c r="J69" t="str">
        <f>VLOOKUP(A69,店舗コード!A:B,2,FALSE)</f>
        <v>15 大丸心斎橋</v>
      </c>
      <c r="O69" s="2"/>
    </row>
    <row r="70" spans="1:15">
      <c r="A70" t="s">
        <v>3140</v>
      </c>
      <c r="B70" s="4" t="s">
        <v>3757</v>
      </c>
      <c r="C70" t="s">
        <v>3001</v>
      </c>
      <c r="D70">
        <v>87313</v>
      </c>
      <c r="E70" t="s">
        <v>3758</v>
      </c>
      <c r="F70">
        <v>534</v>
      </c>
      <c r="G70" t="s">
        <v>3759</v>
      </c>
      <c r="H70" t="s">
        <v>3030</v>
      </c>
      <c r="I70">
        <v>1</v>
      </c>
      <c r="J70" t="str">
        <f>VLOOKUP(A70,店舗コード!A:B,2,FALSE)</f>
        <v>20 NARITA</v>
      </c>
      <c r="O70" s="2"/>
    </row>
    <row r="71" spans="1:15">
      <c r="A71" t="s">
        <v>1846</v>
      </c>
      <c r="B71" s="4" t="s">
        <v>2976</v>
      </c>
      <c r="C71" t="s">
        <v>3001</v>
      </c>
      <c r="D71">
        <v>23510</v>
      </c>
      <c r="E71" t="s">
        <v>86</v>
      </c>
      <c r="F71" t="s">
        <v>3021</v>
      </c>
      <c r="G71" t="s">
        <v>3022</v>
      </c>
      <c r="H71" t="s">
        <v>3002</v>
      </c>
      <c r="I71">
        <v>1</v>
      </c>
      <c r="J71" t="str">
        <f>VLOOKUP(A71,店舗コード!A:B,2,FALSE)</f>
        <v>07 TOKYO</v>
      </c>
      <c r="O71" s="2"/>
    </row>
    <row r="72" spans="1:15">
      <c r="A72" t="s">
        <v>1846</v>
      </c>
      <c r="B72" s="4" t="s">
        <v>3539</v>
      </c>
      <c r="C72" t="s">
        <v>3001</v>
      </c>
      <c r="D72">
        <v>23561</v>
      </c>
      <c r="E72" t="s">
        <v>172</v>
      </c>
      <c r="F72">
        <v>221</v>
      </c>
      <c r="G72" t="s">
        <v>3290</v>
      </c>
      <c r="H72" t="s">
        <v>3002</v>
      </c>
      <c r="I72">
        <v>1</v>
      </c>
      <c r="J72" t="str">
        <f>VLOOKUP(A72,店舗コード!A:B,2,FALSE)</f>
        <v>07 TOKYO</v>
      </c>
      <c r="O72" s="2"/>
    </row>
    <row r="73" spans="1:15">
      <c r="A73" t="s">
        <v>2953</v>
      </c>
      <c r="B73" s="4" t="s">
        <v>120</v>
      </c>
      <c r="C73" t="s">
        <v>3001</v>
      </c>
      <c r="D73">
        <v>23510</v>
      </c>
      <c r="E73" t="s">
        <v>86</v>
      </c>
      <c r="F73">
        <v>560</v>
      </c>
      <c r="G73" t="s">
        <v>3025</v>
      </c>
      <c r="H73" t="s">
        <v>3002</v>
      </c>
      <c r="I73">
        <v>1</v>
      </c>
      <c r="J73" t="str">
        <f>VLOOKUP(A73,店舗コード!A:B,2,FALSE)</f>
        <v>04 名古屋</v>
      </c>
      <c r="O73" s="2"/>
    </row>
    <row r="74" spans="1:15">
      <c r="A74" t="s">
        <v>2993</v>
      </c>
      <c r="B74" s="4" t="s">
        <v>3385</v>
      </c>
      <c r="C74" t="s">
        <v>3001</v>
      </c>
      <c r="D74">
        <v>23200335</v>
      </c>
      <c r="E74" t="s">
        <v>3007</v>
      </c>
      <c r="F74">
        <v>577</v>
      </c>
      <c r="G74" t="s">
        <v>3199</v>
      </c>
      <c r="H74" t="s">
        <v>3002</v>
      </c>
      <c r="I74">
        <v>1</v>
      </c>
      <c r="J74" t="str">
        <f>VLOOKUP(A74,店舗コード!A:B,2,FALSE)</f>
        <v>15 大丸心斎橋</v>
      </c>
      <c r="O74" s="2"/>
    </row>
    <row r="75" spans="1:15">
      <c r="A75">
        <v>6142</v>
      </c>
      <c r="B75" s="4" t="s">
        <v>3291</v>
      </c>
      <c r="C75" t="s">
        <v>3001</v>
      </c>
      <c r="D75">
        <v>23349</v>
      </c>
      <c r="E75" t="s">
        <v>3292</v>
      </c>
      <c r="F75">
        <v>550</v>
      </c>
      <c r="G75" t="s">
        <v>2998</v>
      </c>
      <c r="H75" t="s">
        <v>3002</v>
      </c>
      <c r="I75">
        <v>1</v>
      </c>
      <c r="J75" t="str">
        <f>VLOOKUP(A75,店舗コード!A:B,2,FALSE)</f>
        <v>16 6142</v>
      </c>
      <c r="O75" s="2"/>
    </row>
    <row r="76" spans="1:15">
      <c r="A76" t="s">
        <v>1846</v>
      </c>
      <c r="B76" s="4" t="s">
        <v>3443</v>
      </c>
      <c r="C76" t="s">
        <v>3001</v>
      </c>
      <c r="D76">
        <v>23802</v>
      </c>
      <c r="E76" t="s">
        <v>3444</v>
      </c>
      <c r="F76">
        <v>424</v>
      </c>
      <c r="G76" t="s">
        <v>3017</v>
      </c>
      <c r="H76" t="s">
        <v>3002</v>
      </c>
      <c r="I76">
        <v>1</v>
      </c>
      <c r="J76" t="str">
        <f>VLOOKUP(A76,店舗コード!A:B,2,FALSE)</f>
        <v>07 TOKYO</v>
      </c>
      <c r="O76" s="2"/>
    </row>
    <row r="77" spans="1:15">
      <c r="A77" t="s">
        <v>1846</v>
      </c>
      <c r="B77" t="s">
        <v>2963</v>
      </c>
      <c r="C77" t="s">
        <v>3001</v>
      </c>
      <c r="D77">
        <v>23510</v>
      </c>
      <c r="E77" t="s">
        <v>86</v>
      </c>
      <c r="F77">
        <v>457</v>
      </c>
      <c r="G77" t="s">
        <v>3019</v>
      </c>
      <c r="H77" t="s">
        <v>3002</v>
      </c>
      <c r="I77">
        <v>1</v>
      </c>
      <c r="J77" t="str">
        <f>VLOOKUP(A77,店舗コード!A:B,2,FALSE)</f>
        <v>07 TOKYO</v>
      </c>
      <c r="O77" s="2"/>
    </row>
    <row r="78" spans="1:15">
      <c r="A78" t="s">
        <v>1846</v>
      </c>
      <c r="B78" t="s">
        <v>99</v>
      </c>
      <c r="C78" t="s">
        <v>3001</v>
      </c>
      <c r="D78">
        <v>23510</v>
      </c>
      <c r="E78" t="s">
        <v>86</v>
      </c>
      <c r="F78">
        <v>312</v>
      </c>
      <c r="G78" t="s">
        <v>3003</v>
      </c>
      <c r="H78" t="s">
        <v>3002</v>
      </c>
      <c r="I78">
        <v>1</v>
      </c>
      <c r="J78" t="str">
        <f>VLOOKUP(A78,店舗コード!A:B,2,FALSE)</f>
        <v>07 TOKYO</v>
      </c>
      <c r="O78" s="2"/>
    </row>
    <row r="79" spans="1:15">
      <c r="A79" t="s">
        <v>2953</v>
      </c>
      <c r="B79" t="s">
        <v>3760</v>
      </c>
      <c r="C79" t="s">
        <v>3001</v>
      </c>
      <c r="D79">
        <v>79258</v>
      </c>
      <c r="E79" t="s">
        <v>737</v>
      </c>
      <c r="F79">
        <v>195</v>
      </c>
      <c r="G79" t="s">
        <v>3274</v>
      </c>
      <c r="H79" t="s">
        <v>3030</v>
      </c>
      <c r="I79">
        <v>1</v>
      </c>
      <c r="J79" t="str">
        <f>VLOOKUP(A79,店舗コード!A:B,2,FALSE)</f>
        <v>04 名古屋</v>
      </c>
      <c r="O79" s="2"/>
    </row>
    <row r="80" spans="1:15">
      <c r="A80" t="s">
        <v>2980</v>
      </c>
      <c r="B80" t="s">
        <v>228</v>
      </c>
      <c r="C80" t="s">
        <v>3001</v>
      </c>
      <c r="D80">
        <v>23565</v>
      </c>
      <c r="E80" t="s">
        <v>220</v>
      </c>
      <c r="F80">
        <v>550</v>
      </c>
      <c r="G80" t="s">
        <v>2998</v>
      </c>
      <c r="H80" t="s">
        <v>3002</v>
      </c>
      <c r="I80">
        <v>1</v>
      </c>
      <c r="J80" t="str">
        <f>VLOOKUP(A80,店舗コード!A:B,2,FALSE)</f>
        <v>17 玉川高島屋</v>
      </c>
      <c r="O80" s="2"/>
    </row>
    <row r="81" spans="1:15">
      <c r="A81" t="s">
        <v>1846</v>
      </c>
      <c r="B81" t="s">
        <v>2033</v>
      </c>
      <c r="C81" t="s">
        <v>3001</v>
      </c>
      <c r="D81">
        <v>23791</v>
      </c>
      <c r="E81" t="s">
        <v>2032</v>
      </c>
      <c r="F81">
        <v>525</v>
      </c>
      <c r="G81" t="s">
        <v>3761</v>
      </c>
      <c r="H81" t="s">
        <v>3002</v>
      </c>
      <c r="I81">
        <v>1</v>
      </c>
      <c r="J81" t="str">
        <f>VLOOKUP(A81,店舗コード!A:B,2,FALSE)</f>
        <v>07 TOKYO</v>
      </c>
      <c r="O81" s="2"/>
    </row>
    <row r="82" spans="1:15">
      <c r="A82" t="s">
        <v>3140</v>
      </c>
      <c r="B82" t="s">
        <v>3517</v>
      </c>
      <c r="C82" t="s">
        <v>3001</v>
      </c>
      <c r="D82">
        <v>23803</v>
      </c>
      <c r="E82" t="s">
        <v>3284</v>
      </c>
      <c r="F82">
        <v>577</v>
      </c>
      <c r="G82" t="s">
        <v>3199</v>
      </c>
      <c r="H82" t="s">
        <v>3002</v>
      </c>
      <c r="I82">
        <v>1</v>
      </c>
      <c r="J82" t="str">
        <f>VLOOKUP(A82,店舗コード!A:B,2,FALSE)</f>
        <v>20 NARITA</v>
      </c>
      <c r="O82" s="2"/>
    </row>
    <row r="83" spans="1:15">
      <c r="A83" t="s">
        <v>1846</v>
      </c>
      <c r="B83" t="s">
        <v>3540</v>
      </c>
      <c r="C83" t="s">
        <v>3001</v>
      </c>
      <c r="D83">
        <v>23797</v>
      </c>
      <c r="E83" t="s">
        <v>2735</v>
      </c>
      <c r="F83">
        <v>424</v>
      </c>
      <c r="G83" t="s">
        <v>3017</v>
      </c>
      <c r="H83" t="s">
        <v>3002</v>
      </c>
      <c r="I83">
        <v>1</v>
      </c>
      <c r="J83" t="str">
        <f>VLOOKUP(A83,店舗コード!A:B,2,FALSE)</f>
        <v>07 TOKYO</v>
      </c>
      <c r="O83" s="2"/>
    </row>
    <row r="84" spans="1:15">
      <c r="A84" t="s">
        <v>2942</v>
      </c>
      <c r="B84" t="s">
        <v>3762</v>
      </c>
      <c r="C84" t="s">
        <v>3001</v>
      </c>
      <c r="D84">
        <v>23200331</v>
      </c>
      <c r="E84" t="s">
        <v>3280</v>
      </c>
      <c r="F84">
        <v>560</v>
      </c>
      <c r="G84" t="s">
        <v>3025</v>
      </c>
      <c r="H84" t="s">
        <v>3002</v>
      </c>
      <c r="I84">
        <v>1</v>
      </c>
      <c r="J84" t="str">
        <f>VLOOKUP(A84,店舗コード!A:B,2,FALSE)</f>
        <v>08 ルクア大阪</v>
      </c>
      <c r="O84" s="2"/>
    </row>
    <row r="85" spans="1:15">
      <c r="A85">
        <v>6142</v>
      </c>
      <c r="B85" t="s">
        <v>1881</v>
      </c>
      <c r="C85" t="s">
        <v>3001</v>
      </c>
      <c r="D85">
        <v>23156</v>
      </c>
      <c r="E85" t="s">
        <v>1878</v>
      </c>
      <c r="F85">
        <v>550</v>
      </c>
      <c r="G85" t="s">
        <v>2998</v>
      </c>
      <c r="H85" t="s">
        <v>3002</v>
      </c>
      <c r="I85">
        <v>1</v>
      </c>
      <c r="J85" t="str">
        <f>VLOOKUP(A85,店舗コード!A:B,2,FALSE)</f>
        <v>16 6142</v>
      </c>
      <c r="O85" s="2"/>
    </row>
    <row r="86" spans="1:15">
      <c r="A86">
        <v>6142</v>
      </c>
      <c r="B86" t="s">
        <v>3479</v>
      </c>
      <c r="C86" t="s">
        <v>3001</v>
      </c>
      <c r="D86">
        <v>23200339</v>
      </c>
      <c r="E86" t="s">
        <v>3301</v>
      </c>
      <c r="F86" t="s">
        <v>3471</v>
      </c>
      <c r="G86" t="s">
        <v>3472</v>
      </c>
      <c r="H86" t="s">
        <v>3002</v>
      </c>
      <c r="I86">
        <v>1</v>
      </c>
      <c r="J86" t="str">
        <f>VLOOKUP(A86,店舗コード!A:B,2,FALSE)</f>
        <v>16 6142</v>
      </c>
      <c r="O86" s="2"/>
    </row>
    <row r="87" spans="1:15">
      <c r="A87">
        <v>6142</v>
      </c>
      <c r="B87" t="s">
        <v>3447</v>
      </c>
      <c r="C87" t="s">
        <v>3001</v>
      </c>
      <c r="D87">
        <v>77357</v>
      </c>
      <c r="E87" t="s">
        <v>3036</v>
      </c>
      <c r="F87">
        <v>232</v>
      </c>
      <c r="G87" t="s">
        <v>3366</v>
      </c>
      <c r="H87" t="s">
        <v>3190</v>
      </c>
      <c r="I87">
        <v>1</v>
      </c>
      <c r="J87" t="str">
        <f>VLOOKUP(A87,店舗コード!A:B,2,FALSE)</f>
        <v>16 6142</v>
      </c>
      <c r="O87" s="2"/>
    </row>
    <row r="88" spans="1:15">
      <c r="A88">
        <v>6142</v>
      </c>
      <c r="B88" s="4">
        <v>8118811848</v>
      </c>
      <c r="C88" t="s">
        <v>3001</v>
      </c>
      <c r="D88">
        <v>81188</v>
      </c>
      <c r="E88" t="s">
        <v>3388</v>
      </c>
      <c r="F88">
        <v>118</v>
      </c>
      <c r="G88" t="s">
        <v>3035</v>
      </c>
      <c r="H88">
        <v>48</v>
      </c>
      <c r="I88">
        <v>1</v>
      </c>
      <c r="J88" t="str">
        <f>VLOOKUP(A88,店舗コード!A:B,2,FALSE)</f>
        <v>16 6142</v>
      </c>
      <c r="O88" s="2"/>
    </row>
    <row r="89" spans="1:15">
      <c r="A89" t="s">
        <v>1846</v>
      </c>
      <c r="B89" s="4" t="s">
        <v>3351</v>
      </c>
      <c r="C89" t="s">
        <v>3001</v>
      </c>
      <c r="D89">
        <v>23797</v>
      </c>
      <c r="E89" t="s">
        <v>2735</v>
      </c>
      <c r="F89" t="s">
        <v>3352</v>
      </c>
      <c r="G89" t="s">
        <v>3353</v>
      </c>
      <c r="H89" t="s">
        <v>3002</v>
      </c>
      <c r="I89">
        <v>1</v>
      </c>
      <c r="J89" t="str">
        <f>VLOOKUP(A89,店舗コード!A:B,2,FALSE)</f>
        <v>07 TOKYO</v>
      </c>
      <c r="O89" s="2"/>
    </row>
    <row r="90" spans="1:15">
      <c r="A90" t="s">
        <v>2942</v>
      </c>
      <c r="B90" s="4" t="s">
        <v>3279</v>
      </c>
      <c r="C90" t="s">
        <v>3001</v>
      </c>
      <c r="D90">
        <v>23345</v>
      </c>
      <c r="E90" t="s">
        <v>3031</v>
      </c>
      <c r="F90">
        <v>560</v>
      </c>
      <c r="G90" t="s">
        <v>3025</v>
      </c>
      <c r="H90" t="s">
        <v>3002</v>
      </c>
      <c r="I90">
        <v>1</v>
      </c>
      <c r="J90" t="str">
        <f>VLOOKUP(A90,店舗コード!A:B,2,FALSE)</f>
        <v>08 ルクア大阪</v>
      </c>
      <c r="O90" s="2"/>
    </row>
    <row r="91" spans="1:15">
      <c r="A91" t="s">
        <v>2980</v>
      </c>
      <c r="B91" s="4" t="s">
        <v>3011</v>
      </c>
      <c r="C91" t="s">
        <v>3001</v>
      </c>
      <c r="D91">
        <v>23510</v>
      </c>
      <c r="E91" t="s">
        <v>86</v>
      </c>
      <c r="F91">
        <v>302</v>
      </c>
      <c r="G91" t="s">
        <v>3273</v>
      </c>
      <c r="H91" t="s">
        <v>3002</v>
      </c>
      <c r="I91">
        <v>1</v>
      </c>
      <c r="J91" t="str">
        <f>VLOOKUP(A91,店舗コード!A:B,2,FALSE)</f>
        <v>17 玉川高島屋</v>
      </c>
      <c r="O91" s="2"/>
    </row>
    <row r="92" spans="1:15">
      <c r="A92" t="s">
        <v>2993</v>
      </c>
      <c r="B92" s="4" t="s">
        <v>2601</v>
      </c>
      <c r="C92" t="s">
        <v>3001</v>
      </c>
      <c r="D92">
        <v>24221</v>
      </c>
      <c r="E92" t="s">
        <v>361</v>
      </c>
      <c r="F92">
        <v>633</v>
      </c>
      <c r="G92" t="s">
        <v>3347</v>
      </c>
      <c r="H92" t="s">
        <v>3002</v>
      </c>
      <c r="I92">
        <v>1</v>
      </c>
      <c r="J92" t="str">
        <f>VLOOKUP(A92,店舗コード!A:B,2,FALSE)</f>
        <v>15 大丸心斎橋</v>
      </c>
      <c r="O92" s="2"/>
    </row>
    <row r="93" spans="1:15">
      <c r="A93" t="s">
        <v>2960</v>
      </c>
      <c r="B93" s="4" t="s">
        <v>3214</v>
      </c>
      <c r="C93" t="s">
        <v>3001</v>
      </c>
      <c r="D93">
        <v>23227</v>
      </c>
      <c r="E93" t="s">
        <v>3014</v>
      </c>
      <c r="F93">
        <v>614</v>
      </c>
      <c r="G93" t="s">
        <v>3033</v>
      </c>
      <c r="H93" t="s">
        <v>3002</v>
      </c>
      <c r="I93">
        <v>1</v>
      </c>
      <c r="J93" t="str">
        <f>VLOOKUP(A93,店舗コード!A:B,2,FALSE)</f>
        <v>13 京王新宿</v>
      </c>
      <c r="O93" s="2"/>
    </row>
    <row r="94" spans="1:15">
      <c r="A94" t="s">
        <v>3140</v>
      </c>
      <c r="B94" s="4" t="s">
        <v>3475</v>
      </c>
      <c r="C94" t="s">
        <v>3001</v>
      </c>
      <c r="D94">
        <v>23349</v>
      </c>
      <c r="E94" t="s">
        <v>3292</v>
      </c>
      <c r="F94">
        <v>662</v>
      </c>
      <c r="G94" t="s">
        <v>3320</v>
      </c>
      <c r="H94" t="s">
        <v>3002</v>
      </c>
      <c r="I94">
        <v>1</v>
      </c>
      <c r="J94" t="str">
        <f>VLOOKUP(A94,店舗コード!A:B,2,FALSE)</f>
        <v>20 NARITA</v>
      </c>
      <c r="O94" s="2"/>
    </row>
    <row r="95" spans="1:15">
      <c r="A95" t="s">
        <v>3140</v>
      </c>
      <c r="B95" s="4" t="s">
        <v>3303</v>
      </c>
      <c r="C95" t="s">
        <v>3001</v>
      </c>
      <c r="D95">
        <v>23200395</v>
      </c>
      <c r="E95" t="s">
        <v>3304</v>
      </c>
      <c r="F95">
        <v>550</v>
      </c>
      <c r="G95" t="s">
        <v>2998</v>
      </c>
      <c r="H95" t="s">
        <v>3002</v>
      </c>
      <c r="I95">
        <v>1</v>
      </c>
      <c r="J95" t="str">
        <f>VLOOKUP(A95,店舗コード!A:B,2,FALSE)</f>
        <v>20 NARITA</v>
      </c>
      <c r="O95" s="2"/>
    </row>
    <row r="96" spans="1:15">
      <c r="A96" t="s">
        <v>3140</v>
      </c>
      <c r="B96" s="4" t="s">
        <v>3351</v>
      </c>
      <c r="C96" t="s">
        <v>3001</v>
      </c>
      <c r="D96">
        <v>23797</v>
      </c>
      <c r="E96" t="s">
        <v>2735</v>
      </c>
      <c r="F96" t="s">
        <v>3352</v>
      </c>
      <c r="G96" t="s">
        <v>3353</v>
      </c>
      <c r="H96" t="s">
        <v>3002</v>
      </c>
      <c r="I96">
        <v>1</v>
      </c>
      <c r="J96" t="str">
        <f>VLOOKUP(A96,店舗コード!A:B,2,FALSE)</f>
        <v>20 NARITA</v>
      </c>
      <c r="O96" s="2"/>
    </row>
    <row r="97" spans="1:15">
      <c r="A97" t="s">
        <v>3140</v>
      </c>
      <c r="B97" s="4" t="s">
        <v>3326</v>
      </c>
      <c r="C97" t="s">
        <v>3001</v>
      </c>
      <c r="D97">
        <v>23227</v>
      </c>
      <c r="E97" t="s">
        <v>3327</v>
      </c>
      <c r="F97">
        <v>452</v>
      </c>
      <c r="G97" t="s">
        <v>3317</v>
      </c>
      <c r="H97" t="s">
        <v>3002</v>
      </c>
      <c r="I97">
        <v>1</v>
      </c>
      <c r="J97" t="str">
        <f>VLOOKUP(A97,店舗コード!A:B,2,FALSE)</f>
        <v>20 NARITA</v>
      </c>
      <c r="O97" s="2"/>
    </row>
    <row r="98" spans="1:15">
      <c r="A98" t="s">
        <v>3140</v>
      </c>
      <c r="B98" s="4" t="s">
        <v>2652</v>
      </c>
      <c r="C98" t="s">
        <v>3001</v>
      </c>
      <c r="D98">
        <v>23797</v>
      </c>
      <c r="E98" t="s">
        <v>2735</v>
      </c>
      <c r="F98">
        <v>664</v>
      </c>
      <c r="G98" t="s">
        <v>3763</v>
      </c>
      <c r="H98" t="s">
        <v>3002</v>
      </c>
      <c r="I98">
        <v>1</v>
      </c>
      <c r="J98" t="str">
        <f>VLOOKUP(A98,店舗コード!A:B,2,FALSE)</f>
        <v>20 NARITA</v>
      </c>
      <c r="O98" s="2"/>
    </row>
    <row r="99" spans="1:15">
      <c r="A99" t="s">
        <v>2993</v>
      </c>
      <c r="B99" s="4" t="s">
        <v>731</v>
      </c>
      <c r="C99" t="s">
        <v>3001</v>
      </c>
      <c r="D99">
        <v>79030</v>
      </c>
      <c r="E99" t="s">
        <v>732</v>
      </c>
      <c r="H99" t="s">
        <v>3002</v>
      </c>
      <c r="I99">
        <v>1</v>
      </c>
      <c r="J99" t="str">
        <f>VLOOKUP(A99,店舗コード!A:B,2,FALSE)</f>
        <v>15 大丸心斎橋</v>
      </c>
      <c r="O99" s="2"/>
    </row>
    <row r="100" spans="1:15">
      <c r="A100" t="s">
        <v>2942</v>
      </c>
      <c r="B100" s="4" t="s">
        <v>2623</v>
      </c>
      <c r="C100" t="s">
        <v>3001</v>
      </c>
      <c r="D100">
        <v>23505</v>
      </c>
      <c r="E100" t="s">
        <v>73</v>
      </c>
      <c r="F100">
        <v>550</v>
      </c>
      <c r="G100" t="s">
        <v>2998</v>
      </c>
      <c r="H100" t="s">
        <v>3002</v>
      </c>
      <c r="I100">
        <v>1</v>
      </c>
      <c r="J100" t="str">
        <f>VLOOKUP(A100,店舗コード!A:B,2,FALSE)</f>
        <v>08 ルクア大阪</v>
      </c>
      <c r="O100" s="2"/>
    </row>
    <row r="101" spans="1:15">
      <c r="A101" t="s">
        <v>2942</v>
      </c>
      <c r="B101" s="4" t="s">
        <v>2970</v>
      </c>
      <c r="C101" t="s">
        <v>3001</v>
      </c>
      <c r="D101">
        <v>23620</v>
      </c>
      <c r="E101" t="s">
        <v>1857</v>
      </c>
      <c r="F101" t="s">
        <v>3275</v>
      </c>
      <c r="G101" t="s">
        <v>3276</v>
      </c>
      <c r="H101" t="s">
        <v>3002</v>
      </c>
      <c r="I101">
        <v>1</v>
      </c>
      <c r="J101" t="str">
        <f>VLOOKUP(A101,店舗コード!A:B,2,FALSE)</f>
        <v>08 ルクア大阪</v>
      </c>
      <c r="O101" s="2"/>
    </row>
    <row r="102" spans="1:15">
      <c r="A102" t="s">
        <v>2960</v>
      </c>
      <c r="B102" s="4" t="s">
        <v>3764</v>
      </c>
      <c r="C102" t="s">
        <v>3001</v>
      </c>
      <c r="D102">
        <v>12600219</v>
      </c>
      <c r="E102" t="s">
        <v>3765</v>
      </c>
      <c r="F102">
        <v>625</v>
      </c>
      <c r="G102" t="s">
        <v>3450</v>
      </c>
      <c r="H102" t="s">
        <v>2999</v>
      </c>
      <c r="I102">
        <v>1</v>
      </c>
      <c r="J102" t="str">
        <f>VLOOKUP(A102,店舗コード!A:B,2,FALSE)</f>
        <v>13 京王新宿</v>
      </c>
      <c r="O102" s="2"/>
    </row>
    <row r="103" spans="1:15">
      <c r="A103" t="s">
        <v>2942</v>
      </c>
      <c r="B103" s="4" t="s">
        <v>3289</v>
      </c>
      <c r="C103" t="s">
        <v>3001</v>
      </c>
      <c r="D103">
        <v>23227</v>
      </c>
      <c r="E103" t="s">
        <v>3014</v>
      </c>
      <c r="F103">
        <v>221</v>
      </c>
      <c r="G103" t="s">
        <v>3290</v>
      </c>
      <c r="H103" t="s">
        <v>3002</v>
      </c>
      <c r="I103">
        <v>2</v>
      </c>
      <c r="J103" t="str">
        <f>VLOOKUP(A103,店舗コード!A:B,2,FALSE)</f>
        <v>08 ルクア大阪</v>
      </c>
      <c r="O103" s="2"/>
    </row>
    <row r="104" spans="1:15">
      <c r="A104" t="s">
        <v>2942</v>
      </c>
      <c r="B104" s="4" t="s">
        <v>3371</v>
      </c>
      <c r="C104" t="s">
        <v>3001</v>
      </c>
      <c r="D104">
        <v>23227</v>
      </c>
      <c r="E104" t="s">
        <v>3014</v>
      </c>
      <c r="F104">
        <v>424</v>
      </c>
      <c r="G104" t="s">
        <v>3017</v>
      </c>
      <c r="H104" t="s">
        <v>3002</v>
      </c>
      <c r="I104">
        <v>2</v>
      </c>
      <c r="J104" t="str">
        <f>VLOOKUP(A104,店舗コード!A:B,2,FALSE)</f>
        <v>08 ルクア大阪</v>
      </c>
      <c r="O104" s="2"/>
    </row>
    <row r="105" spans="1:15">
      <c r="A105" t="s">
        <v>2980</v>
      </c>
      <c r="B105" s="4" t="s">
        <v>3412</v>
      </c>
      <c r="C105" t="s">
        <v>3001</v>
      </c>
      <c r="D105">
        <v>23200337</v>
      </c>
      <c r="E105" t="s">
        <v>3042</v>
      </c>
      <c r="F105">
        <v>550</v>
      </c>
      <c r="G105" t="s">
        <v>2998</v>
      </c>
      <c r="H105" t="s">
        <v>3002</v>
      </c>
      <c r="I105">
        <v>2</v>
      </c>
      <c r="J105" t="str">
        <f>VLOOKUP(A105,店舗コード!A:B,2,FALSE)</f>
        <v>17 玉川高島屋</v>
      </c>
      <c r="O105" s="2"/>
    </row>
    <row r="106" spans="1:15">
      <c r="A106" t="s">
        <v>2980</v>
      </c>
      <c r="B106" s="4" t="s">
        <v>3339</v>
      </c>
      <c r="C106" t="s">
        <v>3001</v>
      </c>
      <c r="D106">
        <v>23226</v>
      </c>
      <c r="E106" t="s">
        <v>3020</v>
      </c>
      <c r="F106">
        <v>550</v>
      </c>
      <c r="G106" t="s">
        <v>2998</v>
      </c>
      <c r="H106" t="s">
        <v>3002</v>
      </c>
      <c r="I106">
        <v>1</v>
      </c>
      <c r="J106" t="str">
        <f>VLOOKUP(A106,店舗コード!A:B,2,FALSE)</f>
        <v>17 玉川高島屋</v>
      </c>
      <c r="O106" s="2"/>
    </row>
    <row r="107" spans="1:15">
      <c r="A107" t="s">
        <v>2944</v>
      </c>
      <c r="B107" s="4" t="s">
        <v>3766</v>
      </c>
      <c r="C107" t="s">
        <v>3001</v>
      </c>
      <c r="D107">
        <v>13100182</v>
      </c>
      <c r="E107" t="s">
        <v>3767</v>
      </c>
      <c r="F107">
        <v>452</v>
      </c>
      <c r="G107" t="s">
        <v>3317</v>
      </c>
      <c r="H107" t="s">
        <v>3270</v>
      </c>
      <c r="I107">
        <v>1</v>
      </c>
      <c r="J107" t="str">
        <f>VLOOKUP(A107,店舗コード!A:B,2,FALSE)</f>
        <v>10 ヒュッテ</v>
      </c>
      <c r="O107" s="2"/>
    </row>
    <row r="108" spans="1:15">
      <c r="A108" t="s">
        <v>3140</v>
      </c>
      <c r="B108" s="4" t="s">
        <v>3456</v>
      </c>
      <c r="C108" t="s">
        <v>3001</v>
      </c>
      <c r="D108">
        <v>77357</v>
      </c>
      <c r="E108" t="s">
        <v>3036</v>
      </c>
      <c r="F108">
        <v>622</v>
      </c>
      <c r="G108" t="s">
        <v>3319</v>
      </c>
      <c r="H108" t="s">
        <v>3190</v>
      </c>
      <c r="I108">
        <v>1</v>
      </c>
      <c r="J108" t="str">
        <f>VLOOKUP(A108,店舗コード!A:B,2,FALSE)</f>
        <v>20 NARITA</v>
      </c>
      <c r="O108" s="2"/>
    </row>
    <row r="109" spans="1:15">
      <c r="A109" t="s">
        <v>2942</v>
      </c>
      <c r="B109" s="4" t="s">
        <v>3498</v>
      </c>
      <c r="C109" t="s">
        <v>3001</v>
      </c>
      <c r="D109">
        <v>23200359</v>
      </c>
      <c r="E109" t="s">
        <v>3499</v>
      </c>
      <c r="F109" t="s">
        <v>3460</v>
      </c>
      <c r="G109" t="s">
        <v>3461</v>
      </c>
      <c r="H109" t="s">
        <v>3002</v>
      </c>
      <c r="I109">
        <v>1</v>
      </c>
      <c r="J109" t="str">
        <f>VLOOKUP(A109,店舗コード!A:B,2,FALSE)</f>
        <v>08 ルクア大阪</v>
      </c>
      <c r="O109" s="2"/>
    </row>
    <row r="110" spans="1:15">
      <c r="A110" t="s">
        <v>2960</v>
      </c>
      <c r="B110" s="4" t="s">
        <v>3271</v>
      </c>
      <c r="C110" t="s">
        <v>3001</v>
      </c>
      <c r="D110">
        <v>23524</v>
      </c>
      <c r="E110" t="s">
        <v>3009</v>
      </c>
      <c r="F110">
        <v>31</v>
      </c>
      <c r="G110" t="s">
        <v>3272</v>
      </c>
      <c r="H110" t="s">
        <v>3002</v>
      </c>
      <c r="I110">
        <v>1</v>
      </c>
      <c r="J110" t="str">
        <f>VLOOKUP(A110,店舗コード!A:B,2,FALSE)</f>
        <v>13 京王新宿</v>
      </c>
      <c r="O110" s="2"/>
    </row>
    <row r="111" spans="1:15">
      <c r="A111">
        <v>6142</v>
      </c>
      <c r="B111" s="4" t="s">
        <v>3255</v>
      </c>
      <c r="C111" t="s">
        <v>3001</v>
      </c>
      <c r="D111">
        <v>13100182</v>
      </c>
      <c r="E111" t="s">
        <v>3767</v>
      </c>
      <c r="F111">
        <v>118</v>
      </c>
      <c r="G111" t="s">
        <v>3035</v>
      </c>
      <c r="H111" t="s">
        <v>3190</v>
      </c>
      <c r="I111">
        <v>1</v>
      </c>
      <c r="J111" t="str">
        <f>VLOOKUP(A111,店舗コード!A:B,2,FALSE)</f>
        <v>16 6142</v>
      </c>
      <c r="O111" s="2"/>
    </row>
    <row r="112" spans="1:15">
      <c r="A112" t="s">
        <v>1846</v>
      </c>
      <c r="B112" s="4" t="s">
        <v>2977</v>
      </c>
      <c r="C112" t="s">
        <v>3001</v>
      </c>
      <c r="D112">
        <v>23524</v>
      </c>
      <c r="E112" t="s">
        <v>3009</v>
      </c>
      <c r="F112">
        <v>424</v>
      </c>
      <c r="G112" t="s">
        <v>3017</v>
      </c>
      <c r="H112" t="s">
        <v>3002</v>
      </c>
      <c r="I112">
        <v>1</v>
      </c>
      <c r="J112" t="str">
        <f>VLOOKUP(A112,店舗コード!A:B,2,FALSE)</f>
        <v>07 TOKYO</v>
      </c>
      <c r="O112" s="2"/>
    </row>
    <row r="113" spans="1:15">
      <c r="A113" t="s">
        <v>3140</v>
      </c>
      <c r="B113" s="4" t="s">
        <v>3277</v>
      </c>
      <c r="C113" t="s">
        <v>3001</v>
      </c>
      <c r="D113">
        <v>23804</v>
      </c>
      <c r="E113" t="s">
        <v>3278</v>
      </c>
      <c r="F113">
        <v>550</v>
      </c>
      <c r="G113" t="s">
        <v>2998</v>
      </c>
      <c r="H113" t="s">
        <v>3002</v>
      </c>
      <c r="I113">
        <v>1</v>
      </c>
      <c r="J113" t="str">
        <f>VLOOKUP(A113,店舗コード!A:B,2,FALSE)</f>
        <v>20 NARITA</v>
      </c>
      <c r="O113" s="2"/>
    </row>
    <row r="114" spans="1:15">
      <c r="A114" t="s">
        <v>3140</v>
      </c>
      <c r="B114" s="4" t="s">
        <v>228</v>
      </c>
      <c r="C114" t="s">
        <v>3001</v>
      </c>
      <c r="D114">
        <v>23565</v>
      </c>
      <c r="E114" t="s">
        <v>220</v>
      </c>
      <c r="F114">
        <v>550</v>
      </c>
      <c r="G114" t="s">
        <v>2998</v>
      </c>
      <c r="H114" t="s">
        <v>3002</v>
      </c>
      <c r="I114">
        <v>1</v>
      </c>
      <c r="J114" t="str">
        <f>VLOOKUP(A114,店舗コード!A:B,2,FALSE)</f>
        <v>20 NARITA</v>
      </c>
      <c r="O114" s="2"/>
    </row>
    <row r="115" spans="1:15">
      <c r="A115" t="s">
        <v>1846</v>
      </c>
      <c r="B115" s="4" t="s">
        <v>2711</v>
      </c>
      <c r="C115" t="s">
        <v>3001</v>
      </c>
      <c r="D115">
        <v>23320</v>
      </c>
      <c r="E115" t="s">
        <v>2608</v>
      </c>
      <c r="F115">
        <v>633</v>
      </c>
      <c r="G115" t="s">
        <v>3347</v>
      </c>
      <c r="H115" t="s">
        <v>3002</v>
      </c>
      <c r="I115">
        <v>1</v>
      </c>
      <c r="J115" t="str">
        <f>VLOOKUP(A115,店舗コード!A:B,2,FALSE)</f>
        <v>07 TOKYO</v>
      </c>
      <c r="O115" s="2"/>
    </row>
    <row r="116" spans="1:15">
      <c r="A116" t="s">
        <v>3140</v>
      </c>
      <c r="B116" s="4" t="s">
        <v>3768</v>
      </c>
      <c r="C116" t="s">
        <v>3001</v>
      </c>
      <c r="D116">
        <v>23344</v>
      </c>
      <c r="E116" t="s">
        <v>3018</v>
      </c>
      <c r="F116">
        <v>228</v>
      </c>
      <c r="G116" t="s">
        <v>3329</v>
      </c>
      <c r="H116" t="s">
        <v>3002</v>
      </c>
      <c r="I116">
        <v>1</v>
      </c>
      <c r="J116" t="str">
        <f>VLOOKUP(A116,店舗コード!A:B,2,FALSE)</f>
        <v>20 NARITA</v>
      </c>
      <c r="O116" s="2"/>
    </row>
    <row r="117" spans="1:15">
      <c r="A117" t="s">
        <v>2980</v>
      </c>
      <c r="B117" s="4" t="s">
        <v>3011</v>
      </c>
      <c r="C117" t="s">
        <v>3001</v>
      </c>
      <c r="D117">
        <v>23510</v>
      </c>
      <c r="E117" t="s">
        <v>86</v>
      </c>
      <c r="F117">
        <v>302</v>
      </c>
      <c r="G117" t="s">
        <v>3273</v>
      </c>
      <c r="H117" t="s">
        <v>3002</v>
      </c>
      <c r="I117">
        <v>1</v>
      </c>
      <c r="J117" t="str">
        <f>VLOOKUP(A117,店舗コード!A:B,2,FALSE)</f>
        <v>17 玉川高島屋</v>
      </c>
      <c r="O117" s="2"/>
    </row>
    <row r="118" spans="1:15">
      <c r="A118" t="s">
        <v>3140</v>
      </c>
      <c r="B118" s="4" t="s">
        <v>3462</v>
      </c>
      <c r="C118" t="s">
        <v>3001</v>
      </c>
      <c r="D118">
        <v>23523</v>
      </c>
      <c r="E118" t="s">
        <v>3028</v>
      </c>
      <c r="F118">
        <v>550</v>
      </c>
      <c r="G118" t="s">
        <v>2998</v>
      </c>
      <c r="H118" t="s">
        <v>3002</v>
      </c>
      <c r="I118">
        <v>1</v>
      </c>
      <c r="J118" t="str">
        <f>VLOOKUP(A118,店舗コード!A:B,2,FALSE)</f>
        <v>20 NARITA</v>
      </c>
      <c r="O118" s="2"/>
    </row>
    <row r="119" spans="1:15">
      <c r="A119" t="s">
        <v>1846</v>
      </c>
      <c r="B119" s="4" t="s">
        <v>3210</v>
      </c>
      <c r="C119" t="s">
        <v>3001</v>
      </c>
      <c r="D119">
        <v>23200337</v>
      </c>
      <c r="E119" t="s">
        <v>3042</v>
      </c>
      <c r="F119">
        <v>171</v>
      </c>
      <c r="G119" t="s">
        <v>3464</v>
      </c>
      <c r="H119" t="s">
        <v>3002</v>
      </c>
      <c r="I119">
        <v>1</v>
      </c>
      <c r="J119" t="str">
        <f>VLOOKUP(A119,店舗コード!A:B,2,FALSE)</f>
        <v>07 TOKYO</v>
      </c>
      <c r="O119" s="2"/>
    </row>
    <row r="120" spans="1:15">
      <c r="A120" t="s">
        <v>2960</v>
      </c>
      <c r="B120" s="4" t="s">
        <v>2037</v>
      </c>
      <c r="C120" t="s">
        <v>3001</v>
      </c>
      <c r="D120">
        <v>23795</v>
      </c>
      <c r="E120" t="s">
        <v>2035</v>
      </c>
      <c r="F120">
        <v>550</v>
      </c>
      <c r="G120" t="s">
        <v>2998</v>
      </c>
      <c r="H120" t="s">
        <v>3002</v>
      </c>
      <c r="I120">
        <v>-1</v>
      </c>
      <c r="J120" t="str">
        <f>VLOOKUP(A120,店舗コード!A:B,2,FALSE)</f>
        <v>13 京王新宿</v>
      </c>
      <c r="O120" s="2"/>
    </row>
    <row r="121" spans="1:15">
      <c r="A121" t="s">
        <v>2942</v>
      </c>
      <c r="B121" s="4" t="s">
        <v>3769</v>
      </c>
      <c r="C121" t="s">
        <v>3001</v>
      </c>
      <c r="D121">
        <v>27222</v>
      </c>
      <c r="E121" t="s">
        <v>3770</v>
      </c>
      <c r="F121">
        <v>614</v>
      </c>
      <c r="G121" t="s">
        <v>3033</v>
      </c>
      <c r="H121" t="s">
        <v>3002</v>
      </c>
      <c r="I121">
        <v>1</v>
      </c>
      <c r="J121" t="str">
        <f>VLOOKUP(A121,店舗コード!A:B,2,FALSE)</f>
        <v>08 ルクア大阪</v>
      </c>
      <c r="O121" s="2"/>
    </row>
    <row r="122" spans="1:15">
      <c r="A122" t="s">
        <v>2953</v>
      </c>
      <c r="B122" s="4" t="s">
        <v>3328</v>
      </c>
      <c r="C122" t="s">
        <v>3001</v>
      </c>
      <c r="D122">
        <v>23561</v>
      </c>
      <c r="E122" t="s">
        <v>172</v>
      </c>
      <c r="F122">
        <v>228</v>
      </c>
      <c r="G122" t="s">
        <v>3329</v>
      </c>
      <c r="H122" t="s">
        <v>3002</v>
      </c>
      <c r="I122">
        <v>1</v>
      </c>
      <c r="J122" t="str">
        <f>VLOOKUP(A122,店舗コード!A:B,2,FALSE)</f>
        <v>04 名古屋</v>
      </c>
      <c r="O122" s="2"/>
    </row>
    <row r="123" spans="1:15">
      <c r="A123" t="s">
        <v>1846</v>
      </c>
      <c r="B123" s="4" t="s">
        <v>3473</v>
      </c>
      <c r="C123" t="s">
        <v>3001</v>
      </c>
      <c r="D123">
        <v>23200338</v>
      </c>
      <c r="E123" t="s">
        <v>3370</v>
      </c>
      <c r="F123" t="s">
        <v>3333</v>
      </c>
      <c r="G123" t="s">
        <v>3334</v>
      </c>
      <c r="H123" t="s">
        <v>3002</v>
      </c>
      <c r="I123">
        <v>1</v>
      </c>
      <c r="J123" t="str">
        <f>VLOOKUP(A123,店舗コード!A:B,2,FALSE)</f>
        <v>07 TOKYO</v>
      </c>
      <c r="O123" s="2"/>
    </row>
    <row r="124" spans="1:15">
      <c r="A124" t="s">
        <v>2960</v>
      </c>
      <c r="B124" s="4" t="s">
        <v>2033</v>
      </c>
      <c r="C124" t="s">
        <v>3001</v>
      </c>
      <c r="D124">
        <v>23791</v>
      </c>
      <c r="E124" t="s">
        <v>2032</v>
      </c>
      <c r="F124">
        <v>525</v>
      </c>
      <c r="G124" t="s">
        <v>3761</v>
      </c>
      <c r="H124" t="s">
        <v>3002</v>
      </c>
      <c r="I124">
        <v>1</v>
      </c>
      <c r="J124" t="str">
        <f>VLOOKUP(A124,店舗コード!A:B,2,FALSE)</f>
        <v>13 京王新宿</v>
      </c>
      <c r="O124" s="2"/>
    </row>
    <row r="125" spans="1:15">
      <c r="A125" t="s">
        <v>2942</v>
      </c>
      <c r="B125" s="4" t="s">
        <v>3537</v>
      </c>
      <c r="C125" t="s">
        <v>3001</v>
      </c>
      <c r="D125">
        <v>23200284</v>
      </c>
      <c r="E125" t="s">
        <v>3538</v>
      </c>
      <c r="F125">
        <v>238</v>
      </c>
      <c r="G125" t="s">
        <v>3288</v>
      </c>
      <c r="H125" t="s">
        <v>3002</v>
      </c>
      <c r="I125">
        <v>1</v>
      </c>
      <c r="J125" t="str">
        <f>VLOOKUP(A125,店舗コード!A:B,2,FALSE)</f>
        <v>08 ルクア大阪</v>
      </c>
      <c r="O125" s="2"/>
    </row>
    <row r="126" spans="1:15">
      <c r="A126" t="s">
        <v>2960</v>
      </c>
      <c r="B126" s="4" t="s">
        <v>3011</v>
      </c>
      <c r="C126" t="s">
        <v>3001</v>
      </c>
      <c r="D126">
        <v>23510</v>
      </c>
      <c r="E126" t="s">
        <v>86</v>
      </c>
      <c r="F126">
        <v>302</v>
      </c>
      <c r="G126" t="s">
        <v>3273</v>
      </c>
      <c r="H126" t="s">
        <v>3002</v>
      </c>
      <c r="I126">
        <v>1</v>
      </c>
      <c r="J126" t="str">
        <f>VLOOKUP(A126,店舗コード!A:B,2,FALSE)</f>
        <v>13 京王新宿</v>
      </c>
      <c r="O126" s="2"/>
    </row>
    <row r="127" spans="1:15">
      <c r="A127" t="s">
        <v>1846</v>
      </c>
      <c r="B127" s="4" t="s">
        <v>229</v>
      </c>
      <c r="C127" t="s">
        <v>3001</v>
      </c>
      <c r="D127">
        <v>23565</v>
      </c>
      <c r="E127" t="s">
        <v>220</v>
      </c>
      <c r="F127">
        <v>560</v>
      </c>
      <c r="G127" t="s">
        <v>3025</v>
      </c>
      <c r="H127" t="s">
        <v>3002</v>
      </c>
      <c r="I127">
        <v>1</v>
      </c>
      <c r="J127" t="str">
        <f>VLOOKUP(A127,店舗コード!A:B,2,FALSE)</f>
        <v>07 TOKYO</v>
      </c>
      <c r="O127" s="2"/>
    </row>
    <row r="128" spans="1:15">
      <c r="A128" t="s">
        <v>2960</v>
      </c>
      <c r="B128" s="4" t="s">
        <v>3771</v>
      </c>
      <c r="C128" t="s">
        <v>3001</v>
      </c>
      <c r="D128">
        <v>23225</v>
      </c>
      <c r="E128" t="s">
        <v>3330</v>
      </c>
      <c r="F128">
        <v>623</v>
      </c>
      <c r="G128" t="s">
        <v>3044</v>
      </c>
      <c r="H128" t="s">
        <v>3002</v>
      </c>
      <c r="I128">
        <v>1</v>
      </c>
      <c r="J128" t="str">
        <f>VLOOKUP(A128,店舗コード!A:B,2,FALSE)</f>
        <v>13 京王新宿</v>
      </c>
      <c r="O128" s="2"/>
    </row>
    <row r="129" spans="1:15">
      <c r="A129" t="s">
        <v>2960</v>
      </c>
      <c r="B129" s="4" t="s">
        <v>3772</v>
      </c>
      <c r="C129" t="s">
        <v>3001</v>
      </c>
      <c r="D129">
        <v>77277</v>
      </c>
      <c r="E129" t="s">
        <v>3480</v>
      </c>
      <c r="F129">
        <v>300</v>
      </c>
      <c r="G129" t="s">
        <v>3314</v>
      </c>
      <c r="H129" t="s">
        <v>3029</v>
      </c>
      <c r="I129">
        <v>1</v>
      </c>
      <c r="J129" t="str">
        <f>VLOOKUP(A129,店舗コード!A:B,2,FALSE)</f>
        <v>13 京王新宿</v>
      </c>
      <c r="O129" s="2"/>
    </row>
    <row r="130" spans="1:15">
      <c r="A130" t="s">
        <v>3140</v>
      </c>
      <c r="B130" s="4" t="s">
        <v>3309</v>
      </c>
      <c r="C130" t="s">
        <v>3001</v>
      </c>
      <c r="D130">
        <v>77357</v>
      </c>
      <c r="E130" t="s">
        <v>3036</v>
      </c>
      <c r="F130">
        <v>30</v>
      </c>
      <c r="G130" t="s">
        <v>3310</v>
      </c>
      <c r="H130" t="s">
        <v>3190</v>
      </c>
      <c r="I130">
        <v>1</v>
      </c>
      <c r="J130" t="str">
        <f>VLOOKUP(A130,店舗コード!A:B,2,FALSE)</f>
        <v>20 NARITA</v>
      </c>
      <c r="O130" s="2"/>
    </row>
    <row r="131" spans="1:15">
      <c r="A131" t="s">
        <v>2993</v>
      </c>
      <c r="B131" s="4" t="s">
        <v>3773</v>
      </c>
      <c r="C131" t="s">
        <v>3001</v>
      </c>
      <c r="D131">
        <v>87101</v>
      </c>
      <c r="E131" t="s">
        <v>3774</v>
      </c>
      <c r="F131">
        <v>550</v>
      </c>
      <c r="G131" t="s">
        <v>2998</v>
      </c>
      <c r="H131" t="s">
        <v>3497</v>
      </c>
      <c r="I131">
        <v>1</v>
      </c>
      <c r="J131" t="str">
        <f>VLOOKUP(A131,店舗コード!A:B,2,FALSE)</f>
        <v>15 大丸心斎橋</v>
      </c>
      <c r="O131" s="2"/>
    </row>
    <row r="132" spans="1:15">
      <c r="A132" t="s">
        <v>1846</v>
      </c>
      <c r="B132" s="4" t="s">
        <v>2978</v>
      </c>
      <c r="C132" t="s">
        <v>3001</v>
      </c>
      <c r="D132">
        <v>23525</v>
      </c>
      <c r="E132" t="s">
        <v>3012</v>
      </c>
      <c r="F132">
        <v>424</v>
      </c>
      <c r="G132" t="s">
        <v>3017</v>
      </c>
      <c r="H132" t="s">
        <v>3002</v>
      </c>
      <c r="I132">
        <v>1</v>
      </c>
      <c r="J132" t="str">
        <f>VLOOKUP(A132,店舗コード!A:B,2,FALSE)</f>
        <v>07 TOKYO</v>
      </c>
      <c r="O132" s="2"/>
    </row>
    <row r="133" spans="1:15">
      <c r="A133" t="s">
        <v>3140</v>
      </c>
      <c r="B133" s="4" t="s">
        <v>3474</v>
      </c>
      <c r="C133" t="s">
        <v>3001</v>
      </c>
      <c r="D133">
        <v>23225</v>
      </c>
      <c r="E133" t="s">
        <v>3330</v>
      </c>
      <c r="F133">
        <v>424</v>
      </c>
      <c r="G133" t="s">
        <v>3017</v>
      </c>
      <c r="H133" t="s">
        <v>3002</v>
      </c>
      <c r="I133">
        <v>1</v>
      </c>
      <c r="J133" t="str">
        <f>VLOOKUP(A133,店舗コード!A:B,2,FALSE)</f>
        <v>20 NARITA</v>
      </c>
      <c r="O133" s="2"/>
    </row>
    <row r="134" spans="1:15">
      <c r="A134" t="s">
        <v>2942</v>
      </c>
      <c r="B134" s="4" t="s">
        <v>3412</v>
      </c>
      <c r="C134" t="s">
        <v>3001</v>
      </c>
      <c r="D134">
        <v>23200337</v>
      </c>
      <c r="E134" t="s">
        <v>3042</v>
      </c>
      <c r="F134">
        <v>550</v>
      </c>
      <c r="G134" t="s">
        <v>2998</v>
      </c>
      <c r="H134" t="s">
        <v>3002</v>
      </c>
      <c r="I134">
        <v>1</v>
      </c>
      <c r="J134" t="str">
        <f>VLOOKUP(A134,店舗コード!A:B,2,FALSE)</f>
        <v>08 ルクア大阪</v>
      </c>
      <c r="O134" s="2"/>
    </row>
    <row r="135" spans="1:15">
      <c r="A135" t="s">
        <v>3140</v>
      </c>
      <c r="B135" s="4" t="s">
        <v>3011</v>
      </c>
      <c r="C135" t="s">
        <v>3001</v>
      </c>
      <c r="D135">
        <v>23510</v>
      </c>
      <c r="E135" t="s">
        <v>86</v>
      </c>
      <c r="F135">
        <v>302</v>
      </c>
      <c r="G135" t="s">
        <v>3273</v>
      </c>
      <c r="H135" t="s">
        <v>3002</v>
      </c>
      <c r="I135">
        <v>1</v>
      </c>
      <c r="J135" t="str">
        <f>VLOOKUP(A135,店舗コード!A:B,2,FALSE)</f>
        <v>20 NARITA</v>
      </c>
      <c r="O135" s="2"/>
    </row>
    <row r="136" spans="1:15">
      <c r="A136" t="s">
        <v>3140</v>
      </c>
      <c r="B136" s="4" t="s">
        <v>3484</v>
      </c>
      <c r="C136" t="s">
        <v>3001</v>
      </c>
      <c r="D136">
        <v>23623</v>
      </c>
      <c r="E136" t="s">
        <v>3485</v>
      </c>
      <c r="F136" t="s">
        <v>3426</v>
      </c>
      <c r="G136" t="s">
        <v>3427</v>
      </c>
      <c r="H136" t="s">
        <v>3002</v>
      </c>
      <c r="I136">
        <v>1</v>
      </c>
      <c r="J136" t="str">
        <f>VLOOKUP(A136,店舗コード!A:B,2,FALSE)</f>
        <v>20 NARITA</v>
      </c>
      <c r="O136" s="2"/>
    </row>
    <row r="137" spans="1:15">
      <c r="A137" t="s">
        <v>1846</v>
      </c>
      <c r="B137" s="4" t="s">
        <v>3425</v>
      </c>
      <c r="C137" t="s">
        <v>3001</v>
      </c>
      <c r="D137">
        <v>23200303</v>
      </c>
      <c r="E137" t="s">
        <v>3387</v>
      </c>
      <c r="F137">
        <v>37</v>
      </c>
      <c r="G137" t="s">
        <v>3302</v>
      </c>
      <c r="H137" t="s">
        <v>3002</v>
      </c>
      <c r="I137">
        <v>1</v>
      </c>
      <c r="J137" t="str">
        <f>VLOOKUP(A137,店舗コード!A:B,2,FALSE)</f>
        <v>07 TOKYO</v>
      </c>
      <c r="O137" s="2"/>
    </row>
    <row r="138" spans="1:15">
      <c r="A138" t="s">
        <v>3140</v>
      </c>
      <c r="B138" s="4" t="s">
        <v>3775</v>
      </c>
      <c r="C138" t="s">
        <v>3001</v>
      </c>
      <c r="D138">
        <v>13100239</v>
      </c>
      <c r="E138" t="s">
        <v>3776</v>
      </c>
      <c r="F138">
        <v>514</v>
      </c>
      <c r="G138" t="s">
        <v>3777</v>
      </c>
      <c r="H138" t="s">
        <v>3190</v>
      </c>
      <c r="I138">
        <v>1</v>
      </c>
      <c r="J138" t="str">
        <f>VLOOKUP(A138,店舗コード!A:B,2,FALSE)</f>
        <v>20 NARITA</v>
      </c>
      <c r="O138" s="2"/>
    </row>
    <row r="139" spans="1:15">
      <c r="A139" t="s">
        <v>3140</v>
      </c>
      <c r="B139" s="4" t="s">
        <v>3778</v>
      </c>
      <c r="C139" t="s">
        <v>3001</v>
      </c>
      <c r="D139">
        <v>23797</v>
      </c>
      <c r="E139" t="s">
        <v>2735</v>
      </c>
      <c r="F139">
        <v>501</v>
      </c>
      <c r="G139" t="s">
        <v>2992</v>
      </c>
      <c r="H139" t="s">
        <v>3002</v>
      </c>
      <c r="I139">
        <v>1</v>
      </c>
      <c r="J139" t="str">
        <f>VLOOKUP(A139,店舗コード!A:B,2,FALSE)</f>
        <v>20 NARITA</v>
      </c>
      <c r="O139" s="2"/>
    </row>
    <row r="140" spans="1:15">
      <c r="A140" t="s">
        <v>2993</v>
      </c>
      <c r="B140" s="4" t="s">
        <v>3339</v>
      </c>
      <c r="C140" t="s">
        <v>3001</v>
      </c>
      <c r="D140">
        <v>23226</v>
      </c>
      <c r="E140" t="s">
        <v>3020</v>
      </c>
      <c r="F140">
        <v>550</v>
      </c>
      <c r="G140" t="s">
        <v>2998</v>
      </c>
      <c r="H140" t="s">
        <v>3002</v>
      </c>
      <c r="I140">
        <v>1</v>
      </c>
      <c r="J140" t="str">
        <f>VLOOKUP(A140,店舗コード!A:B,2,FALSE)</f>
        <v>15 大丸心斎橋</v>
      </c>
      <c r="O140" s="2"/>
    </row>
    <row r="141" spans="1:15">
      <c r="A141" t="s">
        <v>1846</v>
      </c>
      <c r="B141" s="4" t="s">
        <v>3502</v>
      </c>
      <c r="C141" t="s">
        <v>3001</v>
      </c>
      <c r="D141">
        <v>23200335</v>
      </c>
      <c r="E141" t="s">
        <v>3007</v>
      </c>
      <c r="F141">
        <v>300</v>
      </c>
      <c r="G141" t="s">
        <v>3314</v>
      </c>
      <c r="H141" t="s">
        <v>3002</v>
      </c>
      <c r="I141">
        <v>1</v>
      </c>
      <c r="J141" t="str">
        <f>VLOOKUP(A141,店舗コード!A:B,2,FALSE)</f>
        <v>07 TOKYO</v>
      </c>
      <c r="O141" s="2"/>
    </row>
    <row r="142" spans="1:15">
      <c r="A142" t="s">
        <v>1846</v>
      </c>
      <c r="B142" s="4" t="s">
        <v>1972</v>
      </c>
      <c r="C142" t="s">
        <v>3001</v>
      </c>
      <c r="D142">
        <v>23780</v>
      </c>
      <c r="E142" t="s">
        <v>1964</v>
      </c>
      <c r="F142">
        <v>664</v>
      </c>
      <c r="G142" t="s">
        <v>3015</v>
      </c>
      <c r="H142" t="s">
        <v>3002</v>
      </c>
      <c r="I142">
        <v>1</v>
      </c>
      <c r="J142" t="str">
        <f>VLOOKUP(A142,店舗コード!A:B,2,FALSE)</f>
        <v>07 TOKYO</v>
      </c>
      <c r="O142" s="2"/>
    </row>
    <row r="143" spans="1:15">
      <c r="A143" t="s">
        <v>1846</v>
      </c>
      <c r="B143" s="4" t="s">
        <v>133</v>
      </c>
      <c r="C143" t="s">
        <v>3001</v>
      </c>
      <c r="D143">
        <v>23510</v>
      </c>
      <c r="E143" t="s">
        <v>86</v>
      </c>
      <c r="F143">
        <v>664</v>
      </c>
      <c r="G143" t="s">
        <v>3015</v>
      </c>
      <c r="H143" t="s">
        <v>3002</v>
      </c>
      <c r="I143">
        <v>1</v>
      </c>
      <c r="J143" t="str">
        <f>VLOOKUP(A143,店舗コード!A:B,2,FALSE)</f>
        <v>07 TOKYO</v>
      </c>
      <c r="O143" s="2"/>
    </row>
    <row r="144" spans="1:15">
      <c r="A144" t="s">
        <v>1846</v>
      </c>
      <c r="B144" s="4" t="s">
        <v>3438</v>
      </c>
      <c r="C144" t="s">
        <v>3001</v>
      </c>
      <c r="D144">
        <v>23797</v>
      </c>
      <c r="E144" t="s">
        <v>2735</v>
      </c>
      <c r="F144">
        <v>115</v>
      </c>
      <c r="G144" t="s">
        <v>3375</v>
      </c>
      <c r="H144" t="s">
        <v>3002</v>
      </c>
      <c r="I144">
        <v>1</v>
      </c>
      <c r="J144" t="str">
        <f>VLOOKUP(A144,店舗コード!A:B,2,FALSE)</f>
        <v>07 TOKYO</v>
      </c>
      <c r="O144" s="2"/>
    </row>
    <row r="145" spans="1:15">
      <c r="A145">
        <v>6142</v>
      </c>
      <c r="B145" s="4" t="s">
        <v>3539</v>
      </c>
      <c r="C145" t="s">
        <v>3001</v>
      </c>
      <c r="D145">
        <v>23561</v>
      </c>
      <c r="E145" t="s">
        <v>172</v>
      </c>
      <c r="F145">
        <v>221</v>
      </c>
      <c r="G145" t="s">
        <v>3290</v>
      </c>
      <c r="H145" t="s">
        <v>3002</v>
      </c>
      <c r="I145">
        <v>1</v>
      </c>
      <c r="J145" t="str">
        <f>VLOOKUP(A145,店舗コード!A:B,2,FALSE)</f>
        <v>16 6142</v>
      </c>
      <c r="O145" s="2"/>
    </row>
    <row r="146" spans="1:15">
      <c r="A146">
        <v>6142</v>
      </c>
      <c r="B146" s="4" t="s">
        <v>3438</v>
      </c>
      <c r="C146" t="s">
        <v>3001</v>
      </c>
      <c r="D146">
        <v>23797</v>
      </c>
      <c r="E146" t="s">
        <v>2735</v>
      </c>
      <c r="F146">
        <v>115</v>
      </c>
      <c r="G146" t="s">
        <v>3375</v>
      </c>
      <c r="H146" t="s">
        <v>3002</v>
      </c>
      <c r="I146">
        <v>1</v>
      </c>
      <c r="J146" t="str">
        <f>VLOOKUP(A146,店舗コード!A:B,2,FALSE)</f>
        <v>16 6142</v>
      </c>
      <c r="O146" s="2"/>
    </row>
    <row r="147" spans="1:15">
      <c r="A147" t="s">
        <v>1846</v>
      </c>
      <c r="B147" s="4" t="s">
        <v>3339</v>
      </c>
      <c r="C147" t="s">
        <v>3001</v>
      </c>
      <c r="D147">
        <v>23226</v>
      </c>
      <c r="E147" t="s">
        <v>3020</v>
      </c>
      <c r="F147">
        <v>550</v>
      </c>
      <c r="G147" t="s">
        <v>2998</v>
      </c>
      <c r="H147" t="s">
        <v>3002</v>
      </c>
      <c r="I147">
        <v>1</v>
      </c>
      <c r="J147" t="str">
        <f>VLOOKUP(A147,店舗コード!A:B,2,FALSE)</f>
        <v>07 TOKYO</v>
      </c>
      <c r="O147" s="2"/>
    </row>
    <row r="148" spans="1:15">
      <c r="A148" t="s">
        <v>1846</v>
      </c>
      <c r="B148" s="4" t="s">
        <v>3289</v>
      </c>
      <c r="C148" t="s">
        <v>3001</v>
      </c>
      <c r="D148">
        <v>23227</v>
      </c>
      <c r="E148" t="s">
        <v>3014</v>
      </c>
      <c r="F148">
        <v>221</v>
      </c>
      <c r="G148" t="s">
        <v>3290</v>
      </c>
      <c r="H148" t="s">
        <v>3002</v>
      </c>
      <c r="I148">
        <v>1</v>
      </c>
      <c r="J148" t="str">
        <f>VLOOKUP(A148,店舗コード!A:B,2,FALSE)</f>
        <v>07 TOKYO</v>
      </c>
      <c r="O148" s="2"/>
    </row>
    <row r="149" spans="1:15">
      <c r="A149" t="s">
        <v>1846</v>
      </c>
      <c r="B149" s="4" t="s">
        <v>3049</v>
      </c>
      <c r="C149" t="s">
        <v>3001</v>
      </c>
      <c r="D149">
        <v>23344</v>
      </c>
      <c r="E149" t="s">
        <v>3018</v>
      </c>
      <c r="F149" t="s">
        <v>3038</v>
      </c>
      <c r="G149" t="s">
        <v>3039</v>
      </c>
      <c r="H149" t="s">
        <v>3002</v>
      </c>
      <c r="I149">
        <v>1</v>
      </c>
      <c r="J149" t="str">
        <f>VLOOKUP(A149,店舗コード!A:B,2,FALSE)</f>
        <v>07 TOKYO</v>
      </c>
      <c r="O149" s="2"/>
    </row>
    <row r="150" spans="1:15">
      <c r="A150" t="s">
        <v>1846</v>
      </c>
      <c r="B150" s="4" t="s">
        <v>2983</v>
      </c>
      <c r="C150" t="s">
        <v>3001</v>
      </c>
      <c r="D150">
        <v>23510</v>
      </c>
      <c r="E150" t="s">
        <v>86</v>
      </c>
      <c r="F150">
        <v>228</v>
      </c>
      <c r="G150" t="s">
        <v>3329</v>
      </c>
      <c r="H150" t="s">
        <v>3002</v>
      </c>
      <c r="I150">
        <v>1</v>
      </c>
      <c r="J150" t="str">
        <f>VLOOKUP(A150,店舗コード!A:B,2,FALSE)</f>
        <v>07 TOKYO</v>
      </c>
      <c r="O150" s="2"/>
    </row>
    <row r="151" spans="1:15">
      <c r="A151" t="s">
        <v>2960</v>
      </c>
      <c r="B151" s="4" t="s">
        <v>3779</v>
      </c>
      <c r="C151" t="s">
        <v>3001</v>
      </c>
      <c r="D151">
        <v>23523</v>
      </c>
      <c r="E151" t="s">
        <v>3028</v>
      </c>
      <c r="F151">
        <v>31</v>
      </c>
      <c r="G151" t="s">
        <v>3272</v>
      </c>
      <c r="H151" t="s">
        <v>3002</v>
      </c>
      <c r="I151">
        <v>1</v>
      </c>
      <c r="J151" t="str">
        <f>VLOOKUP(A151,店舗コード!A:B,2,FALSE)</f>
        <v>13 京王新宿</v>
      </c>
      <c r="O151" s="2"/>
    </row>
    <row r="152" spans="1:15">
      <c r="A152" t="s">
        <v>2942</v>
      </c>
      <c r="B152" s="4" t="s">
        <v>3192</v>
      </c>
      <c r="C152" t="s">
        <v>3001</v>
      </c>
      <c r="D152">
        <v>23226</v>
      </c>
      <c r="E152" t="s">
        <v>3020</v>
      </c>
      <c r="F152">
        <v>221</v>
      </c>
      <c r="G152" t="s">
        <v>3290</v>
      </c>
      <c r="H152" t="s">
        <v>3002</v>
      </c>
      <c r="I152">
        <v>1</v>
      </c>
      <c r="J152" t="str">
        <f>VLOOKUP(A152,店舗コード!A:B,2,FALSE)</f>
        <v>08 ルクア大阪</v>
      </c>
      <c r="O152" s="2"/>
    </row>
    <row r="153" spans="1:15">
      <c r="A153" t="s">
        <v>2942</v>
      </c>
      <c r="B153" s="4" t="s">
        <v>3740</v>
      </c>
      <c r="C153" t="s">
        <v>3001</v>
      </c>
      <c r="D153">
        <v>23226</v>
      </c>
      <c r="E153" t="s">
        <v>3020</v>
      </c>
      <c r="F153">
        <v>623</v>
      </c>
      <c r="G153" t="s">
        <v>3044</v>
      </c>
      <c r="H153" t="s">
        <v>3002</v>
      </c>
      <c r="I153">
        <v>1</v>
      </c>
      <c r="J153" t="str">
        <f>VLOOKUP(A153,店舗コード!A:B,2,FALSE)</f>
        <v>08 ルクア大阪</v>
      </c>
      <c r="O153" s="2"/>
    </row>
    <row r="154" spans="1:15">
      <c r="A154" t="s">
        <v>3140</v>
      </c>
      <c r="B154" s="4" t="s">
        <v>99</v>
      </c>
      <c r="C154" t="s">
        <v>3001</v>
      </c>
      <c r="D154">
        <v>23510</v>
      </c>
      <c r="E154" t="s">
        <v>86</v>
      </c>
      <c r="F154">
        <v>312</v>
      </c>
      <c r="G154" t="s">
        <v>3003</v>
      </c>
      <c r="H154" t="s">
        <v>3002</v>
      </c>
      <c r="I154">
        <v>1</v>
      </c>
      <c r="J154" t="str">
        <f>VLOOKUP(A154,店舗コード!A:B,2,FALSE)</f>
        <v>20 NARITA</v>
      </c>
      <c r="O154" s="2"/>
    </row>
    <row r="155" spans="1:15">
      <c r="A155" t="s">
        <v>2944</v>
      </c>
      <c r="B155" s="4" t="s">
        <v>3780</v>
      </c>
      <c r="C155" t="s">
        <v>3001</v>
      </c>
      <c r="D155">
        <v>77273</v>
      </c>
      <c r="E155" t="s">
        <v>3781</v>
      </c>
      <c r="F155">
        <v>244</v>
      </c>
      <c r="G155" t="s">
        <v>3295</v>
      </c>
      <c r="H155" t="s">
        <v>3029</v>
      </c>
      <c r="I155">
        <v>1</v>
      </c>
      <c r="J155" t="str">
        <f>VLOOKUP(A155,店舗コード!A:B,2,FALSE)</f>
        <v>10 ヒュッテ</v>
      </c>
      <c r="O155" s="2"/>
    </row>
    <row r="156" spans="1:15">
      <c r="A156" t="s">
        <v>2944</v>
      </c>
      <c r="B156" s="4" t="s">
        <v>3374</v>
      </c>
      <c r="C156" t="s">
        <v>3001</v>
      </c>
      <c r="D156">
        <v>23227</v>
      </c>
      <c r="E156" t="s">
        <v>3014</v>
      </c>
      <c r="F156">
        <v>623</v>
      </c>
      <c r="G156" t="s">
        <v>3044</v>
      </c>
      <c r="H156" t="s">
        <v>3002</v>
      </c>
      <c r="I156">
        <v>1</v>
      </c>
      <c r="J156" t="str">
        <f>VLOOKUP(A156,店舗コード!A:B,2,FALSE)</f>
        <v>10 ヒュッテ</v>
      </c>
      <c r="O156" s="2"/>
    </row>
    <row r="157" spans="1:15">
      <c r="A157" t="s">
        <v>2993</v>
      </c>
      <c r="B157" s="4" t="s">
        <v>107</v>
      </c>
      <c r="C157" t="s">
        <v>3001</v>
      </c>
      <c r="D157">
        <v>23510</v>
      </c>
      <c r="E157" t="s">
        <v>86</v>
      </c>
      <c r="F157">
        <v>501</v>
      </c>
      <c r="G157" t="s">
        <v>3023</v>
      </c>
      <c r="H157" t="s">
        <v>3002</v>
      </c>
      <c r="I157">
        <v>1</v>
      </c>
      <c r="J157" t="str">
        <f>VLOOKUP(A157,店舗コード!A:B,2,FALSE)</f>
        <v>15 大丸心斎橋</v>
      </c>
      <c r="O157" s="2"/>
    </row>
    <row r="158" spans="1:15">
      <c r="A158" t="s">
        <v>2942</v>
      </c>
      <c r="B158" s="4" t="s">
        <v>3500</v>
      </c>
      <c r="C158" t="s">
        <v>3001</v>
      </c>
      <c r="D158">
        <v>23796</v>
      </c>
      <c r="E158" t="s">
        <v>3034</v>
      </c>
      <c r="F158">
        <v>664</v>
      </c>
      <c r="G158" t="s">
        <v>3015</v>
      </c>
      <c r="H158" t="s">
        <v>3002</v>
      </c>
      <c r="I158">
        <v>1</v>
      </c>
      <c r="J158" t="str">
        <f>VLOOKUP(A158,店舗コード!A:B,2,FALSE)</f>
        <v>08 ルクア大阪</v>
      </c>
      <c r="O158" s="2"/>
    </row>
    <row r="159" spans="1:15">
      <c r="A159" t="s">
        <v>3140</v>
      </c>
      <c r="B159" s="4" t="s">
        <v>3291</v>
      </c>
      <c r="C159" t="s">
        <v>3001</v>
      </c>
      <c r="D159">
        <v>23349</v>
      </c>
      <c r="E159" t="s">
        <v>3292</v>
      </c>
      <c r="F159">
        <v>550</v>
      </c>
      <c r="G159" t="s">
        <v>2998</v>
      </c>
      <c r="H159" t="s">
        <v>3002</v>
      </c>
      <c r="I159">
        <v>1</v>
      </c>
      <c r="J159" t="str">
        <f>VLOOKUP(A159,店舗コード!A:B,2,FALSE)</f>
        <v>20 NARITA</v>
      </c>
      <c r="O159" s="2"/>
    </row>
    <row r="160" spans="1:15">
      <c r="A160" t="s">
        <v>2960</v>
      </c>
      <c r="B160" s="4" t="s">
        <v>3211</v>
      </c>
      <c r="C160" t="s">
        <v>3001</v>
      </c>
      <c r="D160">
        <v>23561</v>
      </c>
      <c r="E160" t="s">
        <v>172</v>
      </c>
      <c r="F160" t="s">
        <v>3021</v>
      </c>
      <c r="G160" t="s">
        <v>3022</v>
      </c>
      <c r="H160" t="s">
        <v>3002</v>
      </c>
      <c r="I160">
        <v>1</v>
      </c>
      <c r="J160" t="str">
        <f>VLOOKUP(A160,店舗コード!A:B,2,FALSE)</f>
        <v>13 京王新宿</v>
      </c>
      <c r="O160" s="2"/>
    </row>
    <row r="161" spans="1:15">
      <c r="A161" t="s">
        <v>1846</v>
      </c>
      <c r="B161" s="4" t="s">
        <v>2970</v>
      </c>
      <c r="C161" t="s">
        <v>3001</v>
      </c>
      <c r="D161">
        <v>23620</v>
      </c>
      <c r="E161" t="s">
        <v>1857</v>
      </c>
      <c r="F161" t="s">
        <v>3275</v>
      </c>
      <c r="G161" t="s">
        <v>3276</v>
      </c>
      <c r="H161" t="s">
        <v>3002</v>
      </c>
      <c r="I161">
        <v>1</v>
      </c>
      <c r="J161" t="str">
        <f>VLOOKUP(A161,店舗コード!A:B,2,FALSE)</f>
        <v>07 TOKYO</v>
      </c>
      <c r="O161" s="2"/>
    </row>
    <row r="162" spans="1:15">
      <c r="A162" t="s">
        <v>3140</v>
      </c>
      <c r="B162" s="4" t="s">
        <v>2657</v>
      </c>
      <c r="C162" t="s">
        <v>3001</v>
      </c>
      <c r="D162">
        <v>23797</v>
      </c>
      <c r="E162" t="s">
        <v>2735</v>
      </c>
      <c r="F162">
        <v>560</v>
      </c>
      <c r="G162" t="s">
        <v>3421</v>
      </c>
      <c r="H162" t="s">
        <v>3002</v>
      </c>
      <c r="I162">
        <v>1</v>
      </c>
      <c r="J162" t="str">
        <f>VLOOKUP(A162,店舗コード!A:B,2,FALSE)</f>
        <v>20 NARITA</v>
      </c>
      <c r="O162" s="2"/>
    </row>
    <row r="163" spans="1:15">
      <c r="A163" t="s">
        <v>1846</v>
      </c>
      <c r="B163" s="4" t="s">
        <v>3401</v>
      </c>
      <c r="C163" t="s">
        <v>3001</v>
      </c>
      <c r="D163">
        <v>23524</v>
      </c>
      <c r="E163" t="s">
        <v>3009</v>
      </c>
      <c r="F163">
        <v>664</v>
      </c>
      <c r="G163" t="s">
        <v>3015</v>
      </c>
      <c r="H163" t="s">
        <v>3002</v>
      </c>
      <c r="I163">
        <v>1</v>
      </c>
      <c r="J163" t="str">
        <f>VLOOKUP(A163,店舗コード!A:B,2,FALSE)</f>
        <v>07 TOKYO</v>
      </c>
      <c r="O163" s="2"/>
    </row>
    <row r="164" spans="1:15">
      <c r="A164" t="s">
        <v>2993</v>
      </c>
      <c r="B164" s="4" t="s">
        <v>2611</v>
      </c>
      <c r="C164" t="s">
        <v>3001</v>
      </c>
      <c r="D164">
        <v>23505</v>
      </c>
      <c r="E164" t="s">
        <v>73</v>
      </c>
      <c r="F164">
        <v>326</v>
      </c>
      <c r="G164" t="s">
        <v>3013</v>
      </c>
      <c r="H164" t="s">
        <v>3002</v>
      </c>
      <c r="I164">
        <v>1</v>
      </c>
      <c r="J164" t="str">
        <f>VLOOKUP(A164,店舗コード!A:B,2,FALSE)</f>
        <v>15 大丸心斎橋</v>
      </c>
      <c r="O164" s="2"/>
    </row>
    <row r="165" spans="1:15">
      <c r="A165" t="s">
        <v>2993</v>
      </c>
      <c r="B165" s="4" t="s">
        <v>104</v>
      </c>
      <c r="C165" t="s">
        <v>3001</v>
      </c>
      <c r="D165">
        <v>23510</v>
      </c>
      <c r="E165" t="s">
        <v>86</v>
      </c>
      <c r="F165">
        <v>326</v>
      </c>
      <c r="G165" t="s">
        <v>3013</v>
      </c>
      <c r="H165" t="s">
        <v>3002</v>
      </c>
      <c r="I165">
        <v>1</v>
      </c>
      <c r="J165" t="str">
        <f>VLOOKUP(A165,店舗コード!A:B,2,FALSE)</f>
        <v>15 大丸心斎橋</v>
      </c>
      <c r="O165" s="2"/>
    </row>
    <row r="166" spans="1:15">
      <c r="A166" t="s">
        <v>3140</v>
      </c>
      <c r="B166" s="4" t="s">
        <v>3187</v>
      </c>
      <c r="C166" t="s">
        <v>3001</v>
      </c>
      <c r="D166">
        <v>23227</v>
      </c>
      <c r="E166" t="s">
        <v>3014</v>
      </c>
      <c r="F166">
        <v>543</v>
      </c>
      <c r="G166" t="s">
        <v>3188</v>
      </c>
      <c r="H166" t="s">
        <v>3002</v>
      </c>
      <c r="I166">
        <v>1</v>
      </c>
      <c r="J166" t="str">
        <f>VLOOKUP(A166,店舗コード!A:B,2,FALSE)</f>
        <v>20 NARITA</v>
      </c>
      <c r="O166" s="2"/>
    </row>
    <row r="167" spans="1:15">
      <c r="A167" t="s">
        <v>2942</v>
      </c>
      <c r="B167" s="4" t="s">
        <v>2971</v>
      </c>
      <c r="C167" t="s">
        <v>3001</v>
      </c>
      <c r="D167">
        <v>23524</v>
      </c>
      <c r="E167" t="s">
        <v>3009</v>
      </c>
      <c r="F167">
        <v>501</v>
      </c>
      <c r="G167" t="s">
        <v>2992</v>
      </c>
      <c r="H167" t="s">
        <v>3002</v>
      </c>
      <c r="I167">
        <v>1</v>
      </c>
      <c r="J167" t="str">
        <f>VLOOKUP(A167,店舗コード!A:B,2,FALSE)</f>
        <v>08 ルクア大阪</v>
      </c>
      <c r="O167" s="2"/>
    </row>
    <row r="168" spans="1:15">
      <c r="A168" t="s">
        <v>2960</v>
      </c>
      <c r="B168" s="4" t="s">
        <v>3214</v>
      </c>
      <c r="C168" t="s">
        <v>3001</v>
      </c>
      <c r="D168">
        <v>23227</v>
      </c>
      <c r="E168" t="s">
        <v>3014</v>
      </c>
      <c r="F168">
        <v>614</v>
      </c>
      <c r="G168" t="s">
        <v>3033</v>
      </c>
      <c r="H168" t="s">
        <v>3002</v>
      </c>
      <c r="I168">
        <v>-1</v>
      </c>
      <c r="J168" t="str">
        <f>VLOOKUP(A168,店舗コード!A:B,2,FALSE)</f>
        <v>13 京王新宿</v>
      </c>
      <c r="O168" s="2"/>
    </row>
    <row r="169" spans="1:15">
      <c r="A169" t="s">
        <v>1846</v>
      </c>
      <c r="B169" s="4" t="s">
        <v>3417</v>
      </c>
      <c r="C169" t="s">
        <v>3001</v>
      </c>
      <c r="D169">
        <v>77357</v>
      </c>
      <c r="E169" t="s">
        <v>3036</v>
      </c>
      <c r="F169">
        <v>300</v>
      </c>
      <c r="G169" t="s">
        <v>3314</v>
      </c>
      <c r="H169" t="s">
        <v>3270</v>
      </c>
      <c r="I169">
        <v>1</v>
      </c>
      <c r="J169" t="str">
        <f>VLOOKUP(A169,店舗コード!A:B,2,FALSE)</f>
        <v>07 TOKYO</v>
      </c>
      <c r="O169" s="2"/>
    </row>
    <row r="170" spans="1:15">
      <c r="A170" t="s">
        <v>1846</v>
      </c>
      <c r="B170" s="4" t="s">
        <v>3339</v>
      </c>
      <c r="C170" t="s">
        <v>3001</v>
      </c>
      <c r="D170">
        <v>23226</v>
      </c>
      <c r="E170" t="s">
        <v>3020</v>
      </c>
      <c r="F170">
        <v>550</v>
      </c>
      <c r="G170" t="s">
        <v>2998</v>
      </c>
      <c r="H170" t="s">
        <v>3002</v>
      </c>
      <c r="I170">
        <v>1</v>
      </c>
      <c r="J170" t="str">
        <f>VLOOKUP(A170,店舗コード!A:B,2,FALSE)</f>
        <v>07 TOKYO</v>
      </c>
      <c r="O170" s="2"/>
    </row>
    <row r="171" spans="1:15">
      <c r="A171" t="s">
        <v>1846</v>
      </c>
      <c r="B171" s="4" t="s">
        <v>120</v>
      </c>
      <c r="C171" t="s">
        <v>3001</v>
      </c>
      <c r="D171">
        <v>23510</v>
      </c>
      <c r="E171" t="s">
        <v>86</v>
      </c>
      <c r="F171">
        <v>560</v>
      </c>
      <c r="G171" t="s">
        <v>3025</v>
      </c>
      <c r="H171" t="s">
        <v>3002</v>
      </c>
      <c r="I171">
        <v>1</v>
      </c>
      <c r="J171" t="str">
        <f>VLOOKUP(A171,店舗コード!A:B,2,FALSE)</f>
        <v>07 TOKYO</v>
      </c>
      <c r="O171" s="2"/>
    </row>
    <row r="172" spans="1:15">
      <c r="A172" t="s">
        <v>1846</v>
      </c>
      <c r="B172" s="4" t="s">
        <v>3011</v>
      </c>
      <c r="C172" t="s">
        <v>3001</v>
      </c>
      <c r="D172">
        <v>23510</v>
      </c>
      <c r="E172" t="s">
        <v>86</v>
      </c>
      <c r="F172">
        <v>302</v>
      </c>
      <c r="G172" t="s">
        <v>3273</v>
      </c>
      <c r="H172" t="s">
        <v>3002</v>
      </c>
      <c r="I172">
        <v>1</v>
      </c>
      <c r="J172" t="str">
        <f>VLOOKUP(A172,店舗コード!A:B,2,FALSE)</f>
        <v>07 TOKYO</v>
      </c>
      <c r="O172" s="2"/>
    </row>
    <row r="173" spans="1:15">
      <c r="A173" t="s">
        <v>1846</v>
      </c>
      <c r="B173" s="4" t="s">
        <v>3782</v>
      </c>
      <c r="C173" t="s">
        <v>3001</v>
      </c>
      <c r="D173">
        <v>86984</v>
      </c>
      <c r="E173" t="s">
        <v>3742</v>
      </c>
      <c r="F173">
        <v>550</v>
      </c>
      <c r="G173" t="s">
        <v>2998</v>
      </c>
      <c r="H173" t="s">
        <v>3030</v>
      </c>
      <c r="I173">
        <v>1</v>
      </c>
      <c r="J173" t="str">
        <f>VLOOKUP(A173,店舗コード!A:B,2,FALSE)</f>
        <v>07 TOKYO</v>
      </c>
      <c r="O173" s="2"/>
    </row>
    <row r="174" spans="1:15">
      <c r="A174" t="s">
        <v>2960</v>
      </c>
      <c r="B174" s="4" t="s">
        <v>210</v>
      </c>
      <c r="C174" t="s">
        <v>3001</v>
      </c>
      <c r="D174">
        <v>23561</v>
      </c>
      <c r="E174" t="s">
        <v>172</v>
      </c>
      <c r="F174">
        <v>620</v>
      </c>
      <c r="G174" t="s">
        <v>3026</v>
      </c>
      <c r="H174" t="s">
        <v>3002</v>
      </c>
      <c r="I174">
        <v>1</v>
      </c>
      <c r="J174" t="str">
        <f>VLOOKUP(A174,店舗コード!A:B,2,FALSE)</f>
        <v>13 京王新宿</v>
      </c>
      <c r="O174" s="2"/>
    </row>
    <row r="175" spans="1:15">
      <c r="A175" t="s">
        <v>2980</v>
      </c>
      <c r="B175" s="4" t="s">
        <v>2963</v>
      </c>
      <c r="C175" t="s">
        <v>3001</v>
      </c>
      <c r="D175">
        <v>23510</v>
      </c>
      <c r="E175" t="s">
        <v>86</v>
      </c>
      <c r="F175">
        <v>457</v>
      </c>
      <c r="G175" t="s">
        <v>3019</v>
      </c>
      <c r="H175" t="s">
        <v>3002</v>
      </c>
      <c r="I175">
        <v>1</v>
      </c>
      <c r="J175" t="str">
        <f>VLOOKUP(A175,店舗コード!A:B,2,FALSE)</f>
        <v>17 玉川高島屋</v>
      </c>
      <c r="O175" s="2"/>
    </row>
    <row r="176" spans="1:15">
      <c r="A176" t="s">
        <v>2942</v>
      </c>
      <c r="B176" s="4" t="s">
        <v>3011</v>
      </c>
      <c r="C176" t="s">
        <v>3001</v>
      </c>
      <c r="D176">
        <v>23510</v>
      </c>
      <c r="E176" t="s">
        <v>86</v>
      </c>
      <c r="F176">
        <v>302</v>
      </c>
      <c r="G176" t="s">
        <v>3273</v>
      </c>
      <c r="H176" t="s">
        <v>3002</v>
      </c>
      <c r="I176">
        <v>1</v>
      </c>
      <c r="J176" t="str">
        <f>VLOOKUP(A176,店舗コード!A:B,2,FALSE)</f>
        <v>08 ルクア大阪</v>
      </c>
      <c r="O176" s="2"/>
    </row>
    <row r="177" spans="1:15">
      <c r="A177" t="s">
        <v>2980</v>
      </c>
      <c r="B177" s="4" t="s">
        <v>325</v>
      </c>
      <c r="C177" t="s">
        <v>3001</v>
      </c>
      <c r="D177">
        <v>24215</v>
      </c>
      <c r="E177" t="s">
        <v>326</v>
      </c>
      <c r="F177">
        <v>30</v>
      </c>
      <c r="G177" t="s">
        <v>3310</v>
      </c>
      <c r="H177" t="s">
        <v>3002</v>
      </c>
      <c r="I177">
        <v>1</v>
      </c>
      <c r="J177" t="str">
        <f>VLOOKUP(A177,店舗コード!A:B,2,FALSE)</f>
        <v>17 玉川高島屋</v>
      </c>
      <c r="O177" s="2"/>
    </row>
    <row r="178" spans="1:15">
      <c r="A178" t="s">
        <v>2980</v>
      </c>
      <c r="B178" s="4" t="s">
        <v>333</v>
      </c>
      <c r="C178" t="s">
        <v>3001</v>
      </c>
      <c r="D178">
        <v>24215</v>
      </c>
      <c r="E178" t="s">
        <v>326</v>
      </c>
      <c r="F178">
        <v>633</v>
      </c>
      <c r="G178" t="s">
        <v>3347</v>
      </c>
      <c r="H178" t="s">
        <v>3002</v>
      </c>
      <c r="I178">
        <v>1</v>
      </c>
      <c r="J178" t="str">
        <f>VLOOKUP(A178,店舗コード!A:B,2,FALSE)</f>
        <v>17 玉川高島屋</v>
      </c>
      <c r="O178" s="2"/>
    </row>
    <row r="179" spans="1:15">
      <c r="A179" t="s">
        <v>2993</v>
      </c>
      <c r="B179" s="4" t="s">
        <v>232</v>
      </c>
      <c r="C179" t="s">
        <v>3001</v>
      </c>
      <c r="D179">
        <v>23565</v>
      </c>
      <c r="E179" t="s">
        <v>220</v>
      </c>
      <c r="F179">
        <v>633</v>
      </c>
      <c r="G179" t="s">
        <v>3347</v>
      </c>
      <c r="H179" t="s">
        <v>3002</v>
      </c>
      <c r="I179">
        <v>1</v>
      </c>
      <c r="J179" t="str">
        <f>VLOOKUP(A179,店舗コード!A:B,2,FALSE)</f>
        <v>15 大丸心斎橋</v>
      </c>
      <c r="O179" s="2"/>
    </row>
    <row r="180" spans="1:15">
      <c r="A180" t="s">
        <v>2993</v>
      </c>
      <c r="B180" s="4" t="s">
        <v>3783</v>
      </c>
      <c r="C180" t="s">
        <v>3001</v>
      </c>
      <c r="D180">
        <v>23200339</v>
      </c>
      <c r="E180" t="s">
        <v>3301</v>
      </c>
      <c r="F180" t="s">
        <v>3333</v>
      </c>
      <c r="G180" t="s">
        <v>3334</v>
      </c>
      <c r="H180" t="s">
        <v>3002</v>
      </c>
      <c r="I180">
        <v>1</v>
      </c>
      <c r="J180" t="str">
        <f>VLOOKUP(A180,店舗コード!A:B,2,FALSE)</f>
        <v>15 大丸心斎橋</v>
      </c>
      <c r="O180" s="2"/>
    </row>
    <row r="181" spans="1:15">
      <c r="A181" t="s">
        <v>2960</v>
      </c>
      <c r="B181" s="4" t="s">
        <v>99</v>
      </c>
      <c r="C181" t="s">
        <v>3001</v>
      </c>
      <c r="D181">
        <v>23510</v>
      </c>
      <c r="E181" t="s">
        <v>86</v>
      </c>
      <c r="F181">
        <v>312</v>
      </c>
      <c r="G181" t="s">
        <v>3003</v>
      </c>
      <c r="H181" t="s">
        <v>3002</v>
      </c>
      <c r="I181">
        <v>1</v>
      </c>
      <c r="J181" t="str">
        <f>VLOOKUP(A181,店舗コード!A:B,2,FALSE)</f>
        <v>13 京王新宿</v>
      </c>
      <c r="O181" s="2"/>
    </row>
    <row r="182" spans="1:15">
      <c r="A182" t="s">
        <v>2942</v>
      </c>
      <c r="B182" s="4" t="s">
        <v>3350</v>
      </c>
      <c r="C182" t="s">
        <v>3001</v>
      </c>
      <c r="D182">
        <v>23227</v>
      </c>
      <c r="E182" t="s">
        <v>3014</v>
      </c>
      <c r="F182">
        <v>550</v>
      </c>
      <c r="G182" t="s">
        <v>2998</v>
      </c>
      <c r="H182" t="s">
        <v>3002</v>
      </c>
      <c r="I182">
        <v>1</v>
      </c>
      <c r="J182" t="str">
        <f>VLOOKUP(A182,店舗コード!A:B,2,FALSE)</f>
        <v>08 ルクア大阪</v>
      </c>
      <c r="O182" s="2"/>
    </row>
    <row r="183" spans="1:15">
      <c r="A183" t="s">
        <v>3140</v>
      </c>
      <c r="B183" s="4" t="s">
        <v>3784</v>
      </c>
      <c r="C183" t="s">
        <v>3001</v>
      </c>
      <c r="D183">
        <v>23200251</v>
      </c>
      <c r="E183" t="s">
        <v>3293</v>
      </c>
      <c r="F183">
        <v>664</v>
      </c>
      <c r="G183" t="s">
        <v>3015</v>
      </c>
      <c r="H183" t="s">
        <v>3002</v>
      </c>
      <c r="I183">
        <v>1</v>
      </c>
      <c r="J183" t="str">
        <f>VLOOKUP(A183,店舗コード!A:B,2,FALSE)</f>
        <v>20 NARITA</v>
      </c>
      <c r="O183" s="2"/>
    </row>
    <row r="184" spans="1:15">
      <c r="A184" t="s">
        <v>2942</v>
      </c>
      <c r="B184" s="4" t="s">
        <v>3473</v>
      </c>
      <c r="C184" t="s">
        <v>3001</v>
      </c>
      <c r="D184">
        <v>23200338</v>
      </c>
      <c r="E184" t="s">
        <v>3370</v>
      </c>
      <c r="F184" t="s">
        <v>3333</v>
      </c>
      <c r="G184" t="s">
        <v>3334</v>
      </c>
      <c r="H184" t="s">
        <v>3002</v>
      </c>
      <c r="I184">
        <v>1</v>
      </c>
      <c r="J184" t="str">
        <f>VLOOKUP(A184,店舗コード!A:B,2,FALSE)</f>
        <v>08 ルクア大阪</v>
      </c>
      <c r="O184" s="2"/>
    </row>
    <row r="185" spans="1:15">
      <c r="A185" t="s">
        <v>2953</v>
      </c>
      <c r="B185" s="4" t="s">
        <v>3785</v>
      </c>
      <c r="C185" t="s">
        <v>3001</v>
      </c>
      <c r="D185">
        <v>23227</v>
      </c>
      <c r="E185" t="s">
        <v>3014</v>
      </c>
      <c r="F185">
        <v>16</v>
      </c>
      <c r="G185" t="s">
        <v>3008</v>
      </c>
      <c r="H185" t="s">
        <v>3002</v>
      </c>
      <c r="I185">
        <v>1</v>
      </c>
      <c r="J185" t="str">
        <f>VLOOKUP(A185,店舗コード!A:B,2,FALSE)</f>
        <v>04 名古屋</v>
      </c>
      <c r="O185" s="2"/>
    </row>
    <row r="186" spans="1:15">
      <c r="A186" t="s">
        <v>2993</v>
      </c>
      <c r="B186" s="4" t="s">
        <v>3502</v>
      </c>
      <c r="C186" t="s">
        <v>3001</v>
      </c>
      <c r="D186">
        <v>23200335</v>
      </c>
      <c r="E186" t="s">
        <v>3007</v>
      </c>
      <c r="F186">
        <v>300</v>
      </c>
      <c r="G186" t="s">
        <v>3314</v>
      </c>
      <c r="H186" t="s">
        <v>3002</v>
      </c>
      <c r="I186">
        <v>1</v>
      </c>
      <c r="J186" t="str">
        <f>VLOOKUP(A186,店舗コード!A:B,2,FALSE)</f>
        <v>15 大丸心斎橋</v>
      </c>
      <c r="O186" s="2"/>
    </row>
    <row r="187" spans="1:15">
      <c r="A187" t="s">
        <v>2993</v>
      </c>
      <c r="B187" s="4" t="s">
        <v>3441</v>
      </c>
      <c r="C187" t="s">
        <v>3001</v>
      </c>
      <c r="D187">
        <v>13100181</v>
      </c>
      <c r="E187" t="s">
        <v>3442</v>
      </c>
      <c r="F187">
        <v>232</v>
      </c>
      <c r="G187" t="s">
        <v>3366</v>
      </c>
      <c r="H187" t="s">
        <v>3270</v>
      </c>
      <c r="I187">
        <v>1</v>
      </c>
      <c r="J187" t="str">
        <f>VLOOKUP(A187,店舗コード!A:B,2,FALSE)</f>
        <v>15 大丸心斎橋</v>
      </c>
      <c r="O187" s="2"/>
    </row>
    <row r="188" spans="1:15">
      <c r="A188">
        <v>6142</v>
      </c>
      <c r="B188" s="4" t="s">
        <v>3786</v>
      </c>
      <c r="C188" t="s">
        <v>3001</v>
      </c>
      <c r="D188">
        <v>23347</v>
      </c>
      <c r="E188" t="s">
        <v>3787</v>
      </c>
      <c r="F188">
        <v>550</v>
      </c>
      <c r="G188" t="s">
        <v>2998</v>
      </c>
      <c r="H188" t="s">
        <v>3002</v>
      </c>
      <c r="I188">
        <v>1</v>
      </c>
      <c r="J188" t="str">
        <f>VLOOKUP(A188,店舗コード!A:B,2,FALSE)</f>
        <v>16 6142</v>
      </c>
      <c r="O188" s="2"/>
    </row>
    <row r="189" spans="1:15">
      <c r="A189" t="s">
        <v>2993</v>
      </c>
      <c r="B189" s="4" t="s">
        <v>3788</v>
      </c>
      <c r="C189" t="s">
        <v>3001</v>
      </c>
      <c r="D189">
        <v>13100181</v>
      </c>
      <c r="E189" t="s">
        <v>3442</v>
      </c>
      <c r="F189">
        <v>30</v>
      </c>
      <c r="G189" t="s">
        <v>3310</v>
      </c>
      <c r="H189" t="s">
        <v>3270</v>
      </c>
      <c r="I189">
        <v>1</v>
      </c>
      <c r="J189" t="str">
        <f>VLOOKUP(A189,店舗コード!A:B,2,FALSE)</f>
        <v>15 大丸心斎橋</v>
      </c>
      <c r="O189" s="2"/>
    </row>
    <row r="190" spans="1:15">
      <c r="A190" t="s">
        <v>1846</v>
      </c>
      <c r="B190" s="4" t="s">
        <v>3425</v>
      </c>
      <c r="C190" t="s">
        <v>3001</v>
      </c>
      <c r="D190">
        <v>23200303</v>
      </c>
      <c r="E190" t="s">
        <v>3387</v>
      </c>
      <c r="F190">
        <v>37</v>
      </c>
      <c r="G190" t="s">
        <v>3302</v>
      </c>
      <c r="H190" t="s">
        <v>3002</v>
      </c>
      <c r="I190">
        <v>1</v>
      </c>
      <c r="J190" t="str">
        <f>VLOOKUP(A190,店舗コード!A:B,2,FALSE)</f>
        <v>07 TOKYO</v>
      </c>
      <c r="O190" s="2"/>
    </row>
    <row r="191" spans="1:15">
      <c r="A191" t="s">
        <v>2993</v>
      </c>
      <c r="B191" s="4" t="s">
        <v>3219</v>
      </c>
      <c r="C191" t="s">
        <v>3001</v>
      </c>
      <c r="D191">
        <v>23510</v>
      </c>
      <c r="E191" t="s">
        <v>86</v>
      </c>
      <c r="F191">
        <v>221</v>
      </c>
      <c r="G191" t="s">
        <v>3290</v>
      </c>
      <c r="H191" t="s">
        <v>3002</v>
      </c>
      <c r="I191">
        <v>1</v>
      </c>
      <c r="J191" t="str">
        <f>VLOOKUP(A191,店舗コード!A:B,2,FALSE)</f>
        <v>15 大丸心斎橋</v>
      </c>
      <c r="O191" s="2"/>
    </row>
    <row r="192" spans="1:15">
      <c r="A192" t="s">
        <v>2993</v>
      </c>
      <c r="B192" s="4" t="s">
        <v>3441</v>
      </c>
      <c r="C192" t="s">
        <v>3001</v>
      </c>
      <c r="D192">
        <v>13100181</v>
      </c>
      <c r="E192" t="s">
        <v>3442</v>
      </c>
      <c r="F192">
        <v>232</v>
      </c>
      <c r="G192" t="s">
        <v>3366</v>
      </c>
      <c r="H192" t="s">
        <v>3270</v>
      </c>
      <c r="I192">
        <v>-1</v>
      </c>
      <c r="J192" t="str">
        <f>VLOOKUP(A192,店舗コード!A:B,2,FALSE)</f>
        <v>15 大丸心斎橋</v>
      </c>
      <c r="O192" s="2"/>
    </row>
    <row r="193" spans="1:15">
      <c r="A193" t="s">
        <v>2993</v>
      </c>
      <c r="B193" s="4" t="s">
        <v>3341</v>
      </c>
      <c r="C193" t="s">
        <v>3001</v>
      </c>
      <c r="D193">
        <v>23226</v>
      </c>
      <c r="E193" t="s">
        <v>3020</v>
      </c>
      <c r="F193">
        <v>560</v>
      </c>
      <c r="G193" t="s">
        <v>3025</v>
      </c>
      <c r="H193" t="s">
        <v>3002</v>
      </c>
      <c r="I193">
        <v>1</v>
      </c>
      <c r="J193" t="str">
        <f>VLOOKUP(A193,店舗コード!A:B,2,FALSE)</f>
        <v>15 大丸心斎橋</v>
      </c>
      <c r="O193" s="2"/>
    </row>
    <row r="194" spans="1:15">
      <c r="A194" t="s">
        <v>2993</v>
      </c>
      <c r="B194" s="4" t="s">
        <v>2142</v>
      </c>
      <c r="C194" t="s">
        <v>3001</v>
      </c>
      <c r="D194">
        <v>77357</v>
      </c>
      <c r="E194" t="s">
        <v>3036</v>
      </c>
      <c r="F194">
        <v>520</v>
      </c>
      <c r="G194" t="s">
        <v>3515</v>
      </c>
      <c r="H194" t="s">
        <v>3190</v>
      </c>
      <c r="I194">
        <v>1</v>
      </c>
      <c r="J194" t="str">
        <f>VLOOKUP(A194,店舗コード!A:B,2,FALSE)</f>
        <v>15 大丸心斎橋</v>
      </c>
      <c r="O194" s="2"/>
    </row>
    <row r="195" spans="1:15">
      <c r="A195" t="s">
        <v>2942</v>
      </c>
      <c r="B195" s="4" t="s">
        <v>3791</v>
      </c>
      <c r="C195" t="s">
        <v>3001</v>
      </c>
      <c r="D195">
        <v>12600215</v>
      </c>
      <c r="E195" t="s">
        <v>3467</v>
      </c>
      <c r="F195">
        <v>543</v>
      </c>
      <c r="G195" t="s">
        <v>3188</v>
      </c>
      <c r="H195" t="s">
        <v>2999</v>
      </c>
      <c r="I195">
        <v>1</v>
      </c>
      <c r="J195" t="str">
        <f>VLOOKUP(A195,店舗コード!A:B,2,FALSE)</f>
        <v>08 ルクア大阪</v>
      </c>
      <c r="O195" s="2"/>
    </row>
    <row r="196" spans="1:15">
      <c r="A196" t="s">
        <v>2942</v>
      </c>
      <c r="B196" s="4" t="s">
        <v>3789</v>
      </c>
      <c r="C196" t="s">
        <v>3001</v>
      </c>
      <c r="D196">
        <v>87146</v>
      </c>
      <c r="E196" t="s">
        <v>3790</v>
      </c>
      <c r="F196">
        <v>514</v>
      </c>
      <c r="G196" t="s">
        <v>3777</v>
      </c>
      <c r="H196" t="s">
        <v>3030</v>
      </c>
      <c r="I196">
        <v>1</v>
      </c>
      <c r="J196" t="str">
        <f>VLOOKUP(A196,店舗コード!A:B,2,FALSE)</f>
        <v>08 ルクア大阪</v>
      </c>
      <c r="O196" s="2"/>
    </row>
    <row r="197" spans="1:15">
      <c r="A197">
        <v>6142</v>
      </c>
      <c r="B197" s="4" t="s">
        <v>3286</v>
      </c>
      <c r="C197" t="s">
        <v>3001</v>
      </c>
      <c r="D197">
        <v>23797</v>
      </c>
      <c r="E197" t="s">
        <v>3287</v>
      </c>
      <c r="F197">
        <v>302</v>
      </c>
      <c r="G197" t="s">
        <v>3273</v>
      </c>
      <c r="H197" t="s">
        <v>3002</v>
      </c>
      <c r="I197">
        <v>1</v>
      </c>
      <c r="J197" t="str">
        <f>VLOOKUP(A197,店舗コード!A:B,2,FALSE)</f>
        <v>16 6142</v>
      </c>
      <c r="O197" s="2"/>
    </row>
    <row r="198" spans="1:15">
      <c r="A198">
        <v>6142</v>
      </c>
      <c r="B198" s="4" t="s">
        <v>3792</v>
      </c>
      <c r="C198" t="s">
        <v>3001</v>
      </c>
      <c r="D198">
        <v>23797</v>
      </c>
      <c r="E198" t="s">
        <v>2735</v>
      </c>
      <c r="F198">
        <v>600</v>
      </c>
      <c r="G198" t="s">
        <v>3282</v>
      </c>
      <c r="H198" t="s">
        <v>3002</v>
      </c>
      <c r="I198">
        <v>1</v>
      </c>
      <c r="J198" t="str">
        <f>VLOOKUP(A198,店舗コード!A:B,2,FALSE)</f>
        <v>16 6142</v>
      </c>
      <c r="O198" s="2"/>
    </row>
    <row r="199" spans="1:15">
      <c r="A199" t="s">
        <v>2942</v>
      </c>
      <c r="B199" s="4" t="s">
        <v>1893</v>
      </c>
      <c r="C199" t="s">
        <v>3001</v>
      </c>
      <c r="D199">
        <v>23166</v>
      </c>
      <c r="E199" t="s">
        <v>1894</v>
      </c>
      <c r="F199">
        <v>550</v>
      </c>
      <c r="G199" t="s">
        <v>2998</v>
      </c>
      <c r="H199" t="s">
        <v>3002</v>
      </c>
      <c r="I199">
        <v>1</v>
      </c>
      <c r="J199" t="str">
        <f>VLOOKUP(A199,店舗コード!A:B,2,FALSE)</f>
        <v>08 ルクア大阪</v>
      </c>
      <c r="O199" s="2"/>
    </row>
    <row r="200" spans="1:15">
      <c r="A200" t="s">
        <v>2993</v>
      </c>
      <c r="B200" s="4" t="s">
        <v>3309</v>
      </c>
      <c r="C200" t="s">
        <v>3001</v>
      </c>
      <c r="D200">
        <v>77357</v>
      </c>
      <c r="E200" t="s">
        <v>3036</v>
      </c>
      <c r="F200">
        <v>30</v>
      </c>
      <c r="G200" t="s">
        <v>3310</v>
      </c>
      <c r="H200" t="s">
        <v>3190</v>
      </c>
      <c r="I200">
        <v>1</v>
      </c>
      <c r="J200" t="str">
        <f>VLOOKUP(A200,店舗コード!A:B,2,FALSE)</f>
        <v>15 大丸心斎橋</v>
      </c>
      <c r="O200" s="2"/>
    </row>
    <row r="201" spans="1:15">
      <c r="A201" t="s">
        <v>2953</v>
      </c>
      <c r="B201" s="4" t="s">
        <v>3793</v>
      </c>
      <c r="C201" t="s">
        <v>3001</v>
      </c>
      <c r="D201">
        <v>79258</v>
      </c>
      <c r="E201" t="s">
        <v>3794</v>
      </c>
      <c r="F201">
        <v>244</v>
      </c>
      <c r="G201" t="s">
        <v>3295</v>
      </c>
      <c r="H201" t="s">
        <v>3029</v>
      </c>
      <c r="I201">
        <v>1</v>
      </c>
      <c r="J201" t="str">
        <f>VLOOKUP(A201,店舗コード!A:B,2,FALSE)</f>
        <v>04 名古屋</v>
      </c>
      <c r="O201" s="2"/>
    </row>
    <row r="202" spans="1:15">
      <c r="A202" t="s">
        <v>2980</v>
      </c>
      <c r="B202" s="4" t="s">
        <v>3211</v>
      </c>
      <c r="C202" t="s">
        <v>3001</v>
      </c>
      <c r="D202">
        <v>23561</v>
      </c>
      <c r="E202" t="s">
        <v>172</v>
      </c>
      <c r="F202" t="s">
        <v>3021</v>
      </c>
      <c r="G202" t="s">
        <v>3022</v>
      </c>
      <c r="H202" t="s">
        <v>3002</v>
      </c>
      <c r="I202">
        <v>1</v>
      </c>
      <c r="J202" t="str">
        <f>VLOOKUP(A202,店舗コード!A:B,2,FALSE)</f>
        <v>17 玉川高島屋</v>
      </c>
      <c r="O202" s="2"/>
    </row>
    <row r="203" spans="1:15">
      <c r="A203" t="s">
        <v>2980</v>
      </c>
      <c r="B203" s="4" t="s">
        <v>2648</v>
      </c>
      <c r="C203" t="s">
        <v>3001</v>
      </c>
      <c r="D203">
        <v>23797</v>
      </c>
      <c r="E203" t="s">
        <v>2735</v>
      </c>
      <c r="F203">
        <v>21</v>
      </c>
      <c r="G203" t="s">
        <v>3428</v>
      </c>
      <c r="H203" t="s">
        <v>3002</v>
      </c>
      <c r="I203">
        <v>1</v>
      </c>
      <c r="J203" t="str">
        <f>VLOOKUP(A203,店舗コード!A:B,2,FALSE)</f>
        <v>17 玉川高島屋</v>
      </c>
      <c r="O203" s="2"/>
    </row>
    <row r="204" spans="1:15">
      <c r="A204" t="s">
        <v>2980</v>
      </c>
      <c r="B204" s="4" t="s">
        <v>3795</v>
      </c>
      <c r="C204" t="s">
        <v>3001</v>
      </c>
      <c r="D204">
        <v>23100177</v>
      </c>
      <c r="E204" t="s">
        <v>3796</v>
      </c>
      <c r="F204">
        <v>550</v>
      </c>
      <c r="G204" t="s">
        <v>2998</v>
      </c>
      <c r="H204" t="s">
        <v>3002</v>
      </c>
      <c r="I204">
        <v>1</v>
      </c>
      <c r="J204" t="str">
        <f>VLOOKUP(A204,店舗コード!A:B,2,FALSE)</f>
        <v>17 玉川高島屋</v>
      </c>
      <c r="O204" s="2"/>
    </row>
    <row r="205" spans="1:15">
      <c r="A205" t="s">
        <v>2942</v>
      </c>
      <c r="B205" s="4" t="s">
        <v>3189</v>
      </c>
      <c r="C205" t="s">
        <v>3001</v>
      </c>
      <c r="D205">
        <v>23524</v>
      </c>
      <c r="E205" t="s">
        <v>3009</v>
      </c>
      <c r="F205">
        <v>560</v>
      </c>
      <c r="G205" t="s">
        <v>3025</v>
      </c>
      <c r="H205" t="s">
        <v>3002</v>
      </c>
      <c r="I205">
        <v>1</v>
      </c>
      <c r="J205" t="str">
        <f>VLOOKUP(A205,店舗コード!A:B,2,FALSE)</f>
        <v>08 ルクア大阪</v>
      </c>
      <c r="O205" s="2"/>
    </row>
    <row r="206" spans="1:15">
      <c r="A206" t="s">
        <v>3140</v>
      </c>
      <c r="B206" s="4" t="s">
        <v>3797</v>
      </c>
      <c r="C206" t="s">
        <v>3001</v>
      </c>
      <c r="D206">
        <v>78150</v>
      </c>
      <c r="E206" t="s">
        <v>3798</v>
      </c>
      <c r="F206">
        <v>620</v>
      </c>
      <c r="G206" t="s">
        <v>3026</v>
      </c>
      <c r="H206" t="s">
        <v>3270</v>
      </c>
      <c r="I206">
        <v>1</v>
      </c>
      <c r="J206" t="str">
        <f>VLOOKUP(A206,店舗コード!A:B,2,FALSE)</f>
        <v>20 NARITA</v>
      </c>
      <c r="O206" s="2"/>
    </row>
    <row r="207" spans="1:15">
      <c r="A207" t="s">
        <v>2960</v>
      </c>
      <c r="B207" s="4" t="s">
        <v>3289</v>
      </c>
      <c r="C207" t="s">
        <v>3001</v>
      </c>
      <c r="D207">
        <v>23227</v>
      </c>
      <c r="E207" t="s">
        <v>3014</v>
      </c>
      <c r="F207">
        <v>221</v>
      </c>
      <c r="G207" t="s">
        <v>3290</v>
      </c>
      <c r="H207" t="s">
        <v>3002</v>
      </c>
      <c r="I207">
        <v>1</v>
      </c>
      <c r="J207" t="str">
        <f>VLOOKUP(A207,店舗コード!A:B,2,FALSE)</f>
        <v>13 京王新宿</v>
      </c>
      <c r="O207" s="2"/>
    </row>
    <row r="208" spans="1:15">
      <c r="A208" t="s">
        <v>2960</v>
      </c>
      <c r="B208" s="4" t="s">
        <v>3369</v>
      </c>
      <c r="C208" t="s">
        <v>3001</v>
      </c>
      <c r="D208">
        <v>23200338</v>
      </c>
      <c r="E208" t="s">
        <v>3370</v>
      </c>
      <c r="F208">
        <v>37</v>
      </c>
      <c r="G208" t="s">
        <v>3302</v>
      </c>
      <c r="H208" t="s">
        <v>3002</v>
      </c>
      <c r="I208">
        <v>1</v>
      </c>
      <c r="J208" t="str">
        <f>VLOOKUP(A208,店舗コード!A:B,2,FALSE)</f>
        <v>13 京王新宿</v>
      </c>
      <c r="O208" s="2"/>
    </row>
    <row r="209" spans="1:15">
      <c r="A209" t="s">
        <v>2980</v>
      </c>
      <c r="B209" s="4" t="s">
        <v>3531</v>
      </c>
      <c r="C209" t="s">
        <v>3001</v>
      </c>
      <c r="D209">
        <v>81511</v>
      </c>
      <c r="E209" t="s">
        <v>2192</v>
      </c>
      <c r="F209">
        <v>560</v>
      </c>
      <c r="G209" t="s">
        <v>3025</v>
      </c>
      <c r="H209" t="s">
        <v>3029</v>
      </c>
      <c r="I209">
        <v>1</v>
      </c>
      <c r="J209" t="str">
        <f>VLOOKUP(A209,店舗コード!A:B,2,FALSE)</f>
        <v>17 玉川高島屋</v>
      </c>
      <c r="O209" s="2"/>
    </row>
    <row r="210" spans="1:15">
      <c r="A210" t="s">
        <v>3140</v>
      </c>
      <c r="B210" s="4" t="s">
        <v>3778</v>
      </c>
      <c r="C210" t="s">
        <v>3001</v>
      </c>
      <c r="D210">
        <v>23797</v>
      </c>
      <c r="E210" t="s">
        <v>2735</v>
      </c>
      <c r="F210">
        <v>501</v>
      </c>
      <c r="G210" t="s">
        <v>2992</v>
      </c>
      <c r="H210" t="s">
        <v>3002</v>
      </c>
      <c r="I210">
        <v>1</v>
      </c>
      <c r="J210" t="str">
        <f>VLOOKUP(A210,店舗コード!A:B,2,FALSE)</f>
        <v>20 NARITA</v>
      </c>
      <c r="O210" s="2"/>
    </row>
    <row r="211" spans="1:15">
      <c r="A211" t="s">
        <v>2993</v>
      </c>
      <c r="B211" s="4" t="s">
        <v>88</v>
      </c>
      <c r="C211" t="s">
        <v>3001</v>
      </c>
      <c r="D211">
        <v>23510</v>
      </c>
      <c r="E211" t="s">
        <v>86</v>
      </c>
      <c r="F211">
        <v>31</v>
      </c>
      <c r="G211" t="s">
        <v>3272</v>
      </c>
      <c r="H211" t="s">
        <v>3002</v>
      </c>
      <c r="I211">
        <v>1</v>
      </c>
      <c r="J211" t="str">
        <f>VLOOKUP(A211,店舗コード!A:B,2,FALSE)</f>
        <v>15 大丸心斎橋</v>
      </c>
      <c r="O211" s="2"/>
    </row>
    <row r="212" spans="1:15">
      <c r="A212" t="s">
        <v>2980</v>
      </c>
      <c r="B212" s="4" t="s">
        <v>120</v>
      </c>
      <c r="C212" t="s">
        <v>3001</v>
      </c>
      <c r="D212">
        <v>23510</v>
      </c>
      <c r="E212" t="s">
        <v>86</v>
      </c>
      <c r="F212">
        <v>560</v>
      </c>
      <c r="G212" t="s">
        <v>3025</v>
      </c>
      <c r="H212" t="s">
        <v>3002</v>
      </c>
      <c r="I212">
        <v>1</v>
      </c>
      <c r="J212" t="str">
        <f>VLOOKUP(A212,店舗コード!A:B,2,FALSE)</f>
        <v>17 玉川高島屋</v>
      </c>
      <c r="O212" s="2"/>
    </row>
    <row r="213" spans="1:15">
      <c r="A213" t="s">
        <v>2980</v>
      </c>
      <c r="B213" s="4" t="s">
        <v>120</v>
      </c>
      <c r="C213" t="s">
        <v>3001</v>
      </c>
      <c r="D213">
        <v>23510</v>
      </c>
      <c r="E213" t="s">
        <v>86</v>
      </c>
      <c r="F213">
        <v>560</v>
      </c>
      <c r="G213" t="s">
        <v>3025</v>
      </c>
      <c r="H213" t="s">
        <v>3002</v>
      </c>
      <c r="I213">
        <v>-1</v>
      </c>
      <c r="J213" t="str">
        <f>VLOOKUP(A213,店舗コード!A:B,2,FALSE)</f>
        <v>17 玉川高島屋</v>
      </c>
      <c r="O213" s="2"/>
    </row>
    <row r="214" spans="1:15">
      <c r="A214" t="s">
        <v>2980</v>
      </c>
      <c r="B214" s="4" t="s">
        <v>120</v>
      </c>
      <c r="C214" t="s">
        <v>3001</v>
      </c>
      <c r="D214">
        <v>23510</v>
      </c>
      <c r="E214" t="s">
        <v>86</v>
      </c>
      <c r="F214">
        <v>560</v>
      </c>
      <c r="G214" t="s">
        <v>3025</v>
      </c>
      <c r="H214" t="s">
        <v>3002</v>
      </c>
      <c r="I214">
        <v>1</v>
      </c>
      <c r="J214" t="str">
        <f>VLOOKUP(A214,店舗コード!A:B,2,FALSE)</f>
        <v>17 玉川高島屋</v>
      </c>
      <c r="O214" s="2"/>
    </row>
    <row r="215" spans="1:15">
      <c r="A215" t="s">
        <v>2980</v>
      </c>
      <c r="B215" s="4" t="s">
        <v>3402</v>
      </c>
      <c r="C215" t="s">
        <v>3001</v>
      </c>
      <c r="D215">
        <v>84783</v>
      </c>
      <c r="E215" t="s">
        <v>3403</v>
      </c>
      <c r="F215" t="s">
        <v>3404</v>
      </c>
      <c r="G215" t="s">
        <v>3405</v>
      </c>
      <c r="H215" t="s">
        <v>3270</v>
      </c>
      <c r="I215">
        <v>-1</v>
      </c>
      <c r="J215" t="str">
        <f>VLOOKUP(A215,店舗コード!A:B,2,FALSE)</f>
        <v>17 玉川高島屋</v>
      </c>
      <c r="O215" s="2"/>
    </row>
    <row r="216" spans="1:15">
      <c r="A216" t="s">
        <v>2980</v>
      </c>
      <c r="B216" s="4" t="s">
        <v>3799</v>
      </c>
      <c r="C216" t="s">
        <v>3001</v>
      </c>
      <c r="D216">
        <v>84783</v>
      </c>
      <c r="E216" t="s">
        <v>3403</v>
      </c>
      <c r="F216" t="s">
        <v>3404</v>
      </c>
      <c r="G216" t="s">
        <v>3405</v>
      </c>
      <c r="H216" t="s">
        <v>3190</v>
      </c>
      <c r="I216">
        <v>1</v>
      </c>
      <c r="J216" t="str">
        <f>VLOOKUP(A216,店舗コード!A:B,2,FALSE)</f>
        <v>17 玉川高島屋</v>
      </c>
      <c r="O216" s="2"/>
    </row>
    <row r="217" spans="1:15">
      <c r="A217" t="s">
        <v>1846</v>
      </c>
      <c r="B217" s="4" t="s">
        <v>3800</v>
      </c>
      <c r="C217" t="s">
        <v>3001</v>
      </c>
      <c r="D217">
        <v>22005</v>
      </c>
      <c r="E217" t="s">
        <v>3801</v>
      </c>
      <c r="F217">
        <v>620</v>
      </c>
      <c r="G217" t="s">
        <v>3026</v>
      </c>
      <c r="H217" t="s">
        <v>3190</v>
      </c>
      <c r="I217">
        <v>1</v>
      </c>
      <c r="J217" t="str">
        <f>VLOOKUP(A217,店舗コード!A:B,2,FALSE)</f>
        <v>07 TOKYO</v>
      </c>
      <c r="O217" s="2"/>
    </row>
    <row r="218" spans="1:15">
      <c r="A218" t="s">
        <v>1846</v>
      </c>
      <c r="B218" s="4" t="s">
        <v>3339</v>
      </c>
      <c r="C218" t="s">
        <v>3001</v>
      </c>
      <c r="D218">
        <v>23226</v>
      </c>
      <c r="E218" t="s">
        <v>3020</v>
      </c>
      <c r="F218">
        <v>550</v>
      </c>
      <c r="G218" t="s">
        <v>2998</v>
      </c>
      <c r="H218" t="s">
        <v>3002</v>
      </c>
      <c r="I218">
        <v>1</v>
      </c>
      <c r="J218" t="str">
        <f>VLOOKUP(A218,店舗コード!A:B,2,FALSE)</f>
        <v>07 TOKYO</v>
      </c>
      <c r="O218" s="2"/>
    </row>
    <row r="219" spans="1:15">
      <c r="A219" t="s">
        <v>2960</v>
      </c>
      <c r="B219" s="4" t="s">
        <v>104</v>
      </c>
      <c r="C219" t="s">
        <v>3001</v>
      </c>
      <c r="D219">
        <v>23510</v>
      </c>
      <c r="E219" t="s">
        <v>86</v>
      </c>
      <c r="F219">
        <v>326</v>
      </c>
      <c r="G219" t="s">
        <v>3013</v>
      </c>
      <c r="H219" t="s">
        <v>3002</v>
      </c>
      <c r="I219">
        <v>1</v>
      </c>
      <c r="J219" t="str">
        <f>VLOOKUP(A219,店舗コード!A:B,2,FALSE)</f>
        <v>13 京王新宿</v>
      </c>
      <c r="O219" s="2"/>
    </row>
    <row r="220" spans="1:15">
      <c r="A220" t="s">
        <v>2960</v>
      </c>
      <c r="B220" s="4" t="s">
        <v>3186</v>
      </c>
      <c r="C220" t="s">
        <v>3001</v>
      </c>
      <c r="D220">
        <v>23510</v>
      </c>
      <c r="E220" t="s">
        <v>86</v>
      </c>
      <c r="F220">
        <v>118</v>
      </c>
      <c r="G220" t="s">
        <v>3035</v>
      </c>
      <c r="H220" t="s">
        <v>3002</v>
      </c>
      <c r="I220">
        <v>1</v>
      </c>
      <c r="J220" t="str">
        <f>VLOOKUP(A220,店舗コード!A:B,2,FALSE)</f>
        <v>13 京王新宿</v>
      </c>
      <c r="O220" s="2"/>
    </row>
    <row r="221" spans="1:15">
      <c r="A221">
        <v>6142</v>
      </c>
      <c r="B221" s="4" t="s">
        <v>3788</v>
      </c>
      <c r="C221" t="s">
        <v>3001</v>
      </c>
      <c r="D221">
        <v>13100181</v>
      </c>
      <c r="E221" t="s">
        <v>3442</v>
      </c>
      <c r="F221">
        <v>30</v>
      </c>
      <c r="G221" t="s">
        <v>3310</v>
      </c>
      <c r="H221" t="s">
        <v>3270</v>
      </c>
      <c r="I221">
        <v>1</v>
      </c>
      <c r="J221" t="str">
        <f>VLOOKUP(A221,店舗コード!A:B,2,FALSE)</f>
        <v>16 6142</v>
      </c>
      <c r="O221" s="2"/>
    </row>
    <row r="222" spans="1:15">
      <c r="A222" t="s">
        <v>3140</v>
      </c>
      <c r="B222" s="4" t="s">
        <v>3004</v>
      </c>
      <c r="C222" t="s">
        <v>3001</v>
      </c>
      <c r="D222">
        <v>23510</v>
      </c>
      <c r="E222" t="s">
        <v>86</v>
      </c>
      <c r="F222" t="s">
        <v>3005</v>
      </c>
      <c r="G222" t="s">
        <v>3006</v>
      </c>
      <c r="H222" t="s">
        <v>3002</v>
      </c>
      <c r="I222">
        <v>1</v>
      </c>
      <c r="J222" t="str">
        <f>VLOOKUP(A222,店舗コード!A:B,2,FALSE)</f>
        <v>20 NARITA</v>
      </c>
      <c r="O222" s="2"/>
    </row>
    <row r="223" spans="1:15">
      <c r="A223">
        <v>6142</v>
      </c>
      <c r="B223" s="4" t="s">
        <v>3803</v>
      </c>
      <c r="C223" t="s">
        <v>3001</v>
      </c>
      <c r="D223">
        <v>23347</v>
      </c>
      <c r="E223" t="s">
        <v>3787</v>
      </c>
      <c r="F223">
        <v>300</v>
      </c>
      <c r="G223" t="s">
        <v>3314</v>
      </c>
      <c r="H223" t="s">
        <v>3002</v>
      </c>
      <c r="I223">
        <v>1</v>
      </c>
      <c r="J223" t="str">
        <f>VLOOKUP(A223,店舗コード!A:B,2,FALSE)</f>
        <v>16 6142</v>
      </c>
      <c r="O223" s="2"/>
    </row>
    <row r="224" spans="1:15">
      <c r="A224">
        <v>6142</v>
      </c>
      <c r="B224" s="4" t="s">
        <v>3802</v>
      </c>
      <c r="C224" t="s">
        <v>3001</v>
      </c>
      <c r="D224">
        <v>23347</v>
      </c>
      <c r="E224" t="s">
        <v>3787</v>
      </c>
      <c r="F224">
        <v>577</v>
      </c>
      <c r="G224" t="s">
        <v>3199</v>
      </c>
      <c r="H224" t="s">
        <v>3002</v>
      </c>
      <c r="I224">
        <v>1</v>
      </c>
      <c r="J224" t="str">
        <f>VLOOKUP(A224,店舗コード!A:B,2,FALSE)</f>
        <v>16 6142</v>
      </c>
      <c r="O224" s="2"/>
    </row>
    <row r="225" spans="1:15">
      <c r="A225" t="s">
        <v>2980</v>
      </c>
      <c r="B225" s="4" t="s">
        <v>116</v>
      </c>
      <c r="C225" t="s">
        <v>3001</v>
      </c>
      <c r="D225">
        <v>23510</v>
      </c>
      <c r="E225" t="s">
        <v>86</v>
      </c>
      <c r="F225">
        <v>540</v>
      </c>
      <c r="G225" t="s">
        <v>3024</v>
      </c>
      <c r="H225" t="s">
        <v>3002</v>
      </c>
      <c r="I225">
        <v>1</v>
      </c>
      <c r="J225" t="str">
        <f>VLOOKUP(A225,店舗コード!A:B,2,FALSE)</f>
        <v>17 玉川高島屋</v>
      </c>
      <c r="O225" s="2"/>
    </row>
    <row r="226" spans="1:15">
      <c r="A226" t="s">
        <v>1846</v>
      </c>
      <c r="B226" s="4" t="s">
        <v>3804</v>
      </c>
      <c r="C226" t="s">
        <v>3001</v>
      </c>
      <c r="D226">
        <v>23796</v>
      </c>
      <c r="E226" t="s">
        <v>3034</v>
      </c>
      <c r="F226">
        <v>21</v>
      </c>
      <c r="G226" t="s">
        <v>3439</v>
      </c>
      <c r="H226" t="s">
        <v>3002</v>
      </c>
      <c r="I226">
        <v>1</v>
      </c>
      <c r="J226" t="str">
        <f>VLOOKUP(A226,店舗コード!A:B,2,FALSE)</f>
        <v>07 TOKYO</v>
      </c>
      <c r="O226" s="2"/>
    </row>
    <row r="227" spans="1:15">
      <c r="A227" t="s">
        <v>1846</v>
      </c>
      <c r="B227" s="4" t="s">
        <v>3805</v>
      </c>
      <c r="C227" t="s">
        <v>3001</v>
      </c>
      <c r="D227">
        <v>79258</v>
      </c>
      <c r="E227" t="s">
        <v>3794</v>
      </c>
      <c r="F227">
        <v>244</v>
      </c>
      <c r="G227" t="s">
        <v>3295</v>
      </c>
      <c r="H227" t="s">
        <v>3040</v>
      </c>
      <c r="I227">
        <v>1</v>
      </c>
      <c r="J227" t="str">
        <f>VLOOKUP(A227,店舗コード!A:B,2,FALSE)</f>
        <v>07 TOKYO</v>
      </c>
      <c r="O227" s="2"/>
    </row>
    <row r="228" spans="1:15">
      <c r="A228" t="s">
        <v>2953</v>
      </c>
      <c r="B228" s="4" t="s">
        <v>3326</v>
      </c>
      <c r="C228" t="s">
        <v>3001</v>
      </c>
      <c r="D228">
        <v>23227</v>
      </c>
      <c r="E228" t="s">
        <v>3327</v>
      </c>
      <c r="F228">
        <v>452</v>
      </c>
      <c r="G228" t="s">
        <v>3317</v>
      </c>
      <c r="H228" t="s">
        <v>3002</v>
      </c>
      <c r="I228">
        <v>1</v>
      </c>
      <c r="J228" t="str">
        <f>VLOOKUP(A228,店舗コード!A:B,2,FALSE)</f>
        <v>04 名古屋</v>
      </c>
      <c r="O228" s="2"/>
    </row>
    <row r="229" spans="1:15">
      <c r="A229" t="s">
        <v>2942</v>
      </c>
      <c r="B229" s="4" t="s">
        <v>3203</v>
      </c>
      <c r="C229" t="s">
        <v>3001</v>
      </c>
      <c r="D229">
        <v>23222</v>
      </c>
      <c r="E229" t="s">
        <v>3193</v>
      </c>
      <c r="F229">
        <v>543</v>
      </c>
      <c r="G229" t="s">
        <v>3188</v>
      </c>
      <c r="H229" t="s">
        <v>3002</v>
      </c>
      <c r="I229">
        <v>1</v>
      </c>
      <c r="J229" t="str">
        <f>VLOOKUP(A229,店舗コード!A:B,2,FALSE)</f>
        <v>08 ルクア大阪</v>
      </c>
      <c r="O229" s="2"/>
    </row>
    <row r="230" spans="1:15">
      <c r="A230" t="s">
        <v>3140</v>
      </c>
      <c r="B230" s="4" t="s">
        <v>3753</v>
      </c>
      <c r="C230" t="s">
        <v>3001</v>
      </c>
      <c r="D230">
        <v>23565</v>
      </c>
      <c r="E230" t="s">
        <v>3483</v>
      </c>
      <c r="F230">
        <v>577</v>
      </c>
      <c r="G230" t="s">
        <v>3199</v>
      </c>
      <c r="H230" t="s">
        <v>3002</v>
      </c>
      <c r="I230">
        <v>1</v>
      </c>
      <c r="J230" t="str">
        <f>VLOOKUP(A230,店舗コード!A:B,2,FALSE)</f>
        <v>20 NARITA</v>
      </c>
      <c r="O230" s="2"/>
    </row>
    <row r="231" spans="1:15">
      <c r="A231" t="s">
        <v>3140</v>
      </c>
      <c r="B231" s="4" t="s">
        <v>3806</v>
      </c>
      <c r="C231" t="s">
        <v>3001</v>
      </c>
      <c r="D231">
        <v>77357</v>
      </c>
      <c r="E231" t="s">
        <v>3036</v>
      </c>
      <c r="F231" t="s">
        <v>3323</v>
      </c>
      <c r="G231" t="s">
        <v>3324</v>
      </c>
      <c r="H231" t="s">
        <v>3190</v>
      </c>
      <c r="I231">
        <v>1</v>
      </c>
      <c r="J231" t="str">
        <f>VLOOKUP(A231,店舗コード!A:B,2,FALSE)</f>
        <v>20 NARITA</v>
      </c>
      <c r="O231" s="2"/>
    </row>
    <row r="232" spans="1:15">
      <c r="A232" t="s">
        <v>2960</v>
      </c>
      <c r="B232" s="4" t="s">
        <v>371</v>
      </c>
      <c r="C232" t="s">
        <v>3001</v>
      </c>
      <c r="D232">
        <v>24221</v>
      </c>
      <c r="E232" t="s">
        <v>361</v>
      </c>
      <c r="F232">
        <v>550</v>
      </c>
      <c r="G232" t="s">
        <v>2998</v>
      </c>
      <c r="H232" t="s">
        <v>3002</v>
      </c>
      <c r="I232">
        <v>1</v>
      </c>
      <c r="J232" t="str">
        <f>VLOOKUP(A232,店舗コード!A:B,2,FALSE)</f>
        <v>13 京王新宿</v>
      </c>
      <c r="O232" s="2"/>
    </row>
    <row r="233" spans="1:15">
      <c r="A233" t="s">
        <v>2960</v>
      </c>
      <c r="B233" s="4" t="s">
        <v>3521</v>
      </c>
      <c r="C233" t="s">
        <v>3001</v>
      </c>
      <c r="D233">
        <v>23100160</v>
      </c>
      <c r="E233" t="s">
        <v>3522</v>
      </c>
      <c r="F233">
        <v>620</v>
      </c>
      <c r="G233" t="s">
        <v>3026</v>
      </c>
      <c r="H233" t="s">
        <v>3002</v>
      </c>
      <c r="I233">
        <v>1</v>
      </c>
      <c r="J233" t="str">
        <f>VLOOKUP(A233,店舗コード!A:B,2,FALSE)</f>
        <v>13 京王新宿</v>
      </c>
      <c r="O233" s="2"/>
    </row>
    <row r="234" spans="1:15">
      <c r="A234" t="s">
        <v>1846</v>
      </c>
      <c r="B234" s="4" t="s">
        <v>2014</v>
      </c>
      <c r="C234" t="s">
        <v>3001</v>
      </c>
      <c r="D234">
        <v>23785</v>
      </c>
      <c r="E234" t="s">
        <v>2007</v>
      </c>
      <c r="F234">
        <v>560</v>
      </c>
      <c r="G234" t="s">
        <v>3025</v>
      </c>
      <c r="H234" t="s">
        <v>3002</v>
      </c>
      <c r="I234">
        <v>1</v>
      </c>
      <c r="J234" t="str">
        <f>VLOOKUP(A234,店舗コード!A:B,2,FALSE)</f>
        <v>07 TOKYO</v>
      </c>
      <c r="O234" s="2"/>
    </row>
    <row r="235" spans="1:15">
      <c r="A235" t="s">
        <v>2980</v>
      </c>
      <c r="B235" s="4" t="s">
        <v>2975</v>
      </c>
      <c r="C235" t="s">
        <v>3001</v>
      </c>
      <c r="D235">
        <v>23346</v>
      </c>
      <c r="E235" t="s">
        <v>3041</v>
      </c>
      <c r="F235">
        <v>550</v>
      </c>
      <c r="G235" t="s">
        <v>2998</v>
      </c>
      <c r="H235" t="s">
        <v>3002</v>
      </c>
      <c r="I235">
        <v>1</v>
      </c>
      <c r="J235" t="str">
        <f>VLOOKUP(A235,店舗コード!A:B,2,FALSE)</f>
        <v>17 玉川高島屋</v>
      </c>
      <c r="O235" s="2"/>
    </row>
    <row r="236" spans="1:15">
      <c r="A236" t="s">
        <v>1846</v>
      </c>
      <c r="B236" s="4" t="s">
        <v>3807</v>
      </c>
      <c r="C236" t="s">
        <v>3001</v>
      </c>
      <c r="D236">
        <v>12500170</v>
      </c>
      <c r="E236" t="s">
        <v>3808</v>
      </c>
      <c r="F236">
        <v>118</v>
      </c>
      <c r="G236" t="s">
        <v>3035</v>
      </c>
      <c r="H236" t="s">
        <v>3029</v>
      </c>
      <c r="I236">
        <v>1</v>
      </c>
      <c r="J236" t="str">
        <f>VLOOKUP(A236,店舗コード!A:B,2,FALSE)</f>
        <v>07 TOKYO</v>
      </c>
      <c r="O236" s="2"/>
    </row>
    <row r="237" spans="1:15">
      <c r="A237" t="s">
        <v>1846</v>
      </c>
      <c r="B237" s="4">
        <v>8689203052</v>
      </c>
      <c r="C237" t="s">
        <v>3001</v>
      </c>
      <c r="D237">
        <v>86892</v>
      </c>
      <c r="E237" t="s">
        <v>3524</v>
      </c>
      <c r="F237">
        <v>30</v>
      </c>
      <c r="G237" t="s">
        <v>3310</v>
      </c>
      <c r="H237">
        <v>52</v>
      </c>
      <c r="I237">
        <v>1</v>
      </c>
      <c r="J237" t="str">
        <f>VLOOKUP(A237,店舗コード!A:B,2,FALSE)</f>
        <v>07 TOKYO</v>
      </c>
      <c r="O237" s="2"/>
    </row>
    <row r="238" spans="1:15">
      <c r="A238" t="s">
        <v>1846</v>
      </c>
      <c r="B238" s="4" t="s">
        <v>3809</v>
      </c>
      <c r="C238" t="s">
        <v>3001</v>
      </c>
      <c r="D238">
        <v>87146</v>
      </c>
      <c r="E238" t="s">
        <v>3790</v>
      </c>
      <c r="F238">
        <v>514</v>
      </c>
      <c r="G238" t="s">
        <v>3777</v>
      </c>
      <c r="H238" t="s">
        <v>2999</v>
      </c>
      <c r="I238">
        <v>1</v>
      </c>
      <c r="J238" t="str">
        <f>VLOOKUP(A238,店舗コード!A:B,2,FALSE)</f>
        <v>07 TOKYO</v>
      </c>
      <c r="O238" s="2"/>
    </row>
    <row r="239" spans="1:15">
      <c r="A239" t="s">
        <v>3140</v>
      </c>
      <c r="B239" s="4" t="s">
        <v>3312</v>
      </c>
      <c r="C239" t="s">
        <v>3001</v>
      </c>
      <c r="D239">
        <v>87153</v>
      </c>
      <c r="E239" t="s">
        <v>3313</v>
      </c>
      <c r="F239">
        <v>300</v>
      </c>
      <c r="G239" t="s">
        <v>3314</v>
      </c>
      <c r="H239" t="s">
        <v>3191</v>
      </c>
      <c r="I239">
        <v>1</v>
      </c>
      <c r="J239" t="str">
        <f>VLOOKUP(A239,店舗コード!A:B,2,FALSE)</f>
        <v>20 NARITA</v>
      </c>
      <c r="O239" s="2"/>
    </row>
    <row r="240" spans="1:15">
      <c r="A240" t="s">
        <v>2980</v>
      </c>
      <c r="B240" s="4" t="s">
        <v>3357</v>
      </c>
      <c r="C240" t="s">
        <v>3001</v>
      </c>
      <c r="D240">
        <v>23200334</v>
      </c>
      <c r="E240" t="s">
        <v>3343</v>
      </c>
      <c r="F240" t="s">
        <v>3358</v>
      </c>
      <c r="G240" t="s">
        <v>3359</v>
      </c>
      <c r="H240" t="s">
        <v>3002</v>
      </c>
      <c r="I240">
        <v>1</v>
      </c>
      <c r="J240" t="str">
        <f>VLOOKUP(A240,店舗コード!A:B,2,FALSE)</f>
        <v>17 玉川高島屋</v>
      </c>
      <c r="O240" s="2"/>
    </row>
    <row r="241" spans="1:15">
      <c r="A241" t="s">
        <v>2942</v>
      </c>
      <c r="B241" s="4" t="s">
        <v>182</v>
      </c>
      <c r="C241" t="s">
        <v>3001</v>
      </c>
      <c r="D241">
        <v>23561</v>
      </c>
      <c r="E241" t="s">
        <v>172</v>
      </c>
      <c r="F241">
        <v>312</v>
      </c>
      <c r="G241" t="s">
        <v>3003</v>
      </c>
      <c r="H241" t="s">
        <v>3002</v>
      </c>
      <c r="I241">
        <v>1</v>
      </c>
      <c r="J241" t="str">
        <f>VLOOKUP(A241,店舗コード!A:B,2,FALSE)</f>
        <v>08 ルクア大阪</v>
      </c>
      <c r="O241" s="2"/>
    </row>
    <row r="242" spans="1:15">
      <c r="A242" t="s">
        <v>1846</v>
      </c>
      <c r="B242" s="4" t="s">
        <v>3011</v>
      </c>
      <c r="C242" t="s">
        <v>3001</v>
      </c>
      <c r="D242">
        <v>23510</v>
      </c>
      <c r="E242" t="s">
        <v>86</v>
      </c>
      <c r="F242">
        <v>302</v>
      </c>
      <c r="G242" t="s">
        <v>3273</v>
      </c>
      <c r="H242" t="s">
        <v>3002</v>
      </c>
      <c r="I242">
        <v>1</v>
      </c>
      <c r="J242" t="str">
        <f>VLOOKUP(A242,店舗コード!A:B,2,FALSE)</f>
        <v>07 TOKYO</v>
      </c>
      <c r="O242" s="2"/>
    </row>
    <row r="243" spans="1:15">
      <c r="A243" t="s">
        <v>1846</v>
      </c>
      <c r="B243" s="4" t="s">
        <v>2976</v>
      </c>
      <c r="C243" t="s">
        <v>3001</v>
      </c>
      <c r="D243">
        <v>23510</v>
      </c>
      <c r="E243" t="s">
        <v>86</v>
      </c>
      <c r="F243" t="s">
        <v>3021</v>
      </c>
      <c r="G243" t="s">
        <v>3022</v>
      </c>
      <c r="H243" t="s">
        <v>3002</v>
      </c>
      <c r="I243">
        <v>1</v>
      </c>
      <c r="J243" t="str">
        <f>VLOOKUP(A243,店舗コード!A:B,2,FALSE)</f>
        <v>07 TOKYO</v>
      </c>
      <c r="O243" s="2"/>
    </row>
    <row r="244" spans="1:15">
      <c r="A244" t="s">
        <v>1846</v>
      </c>
      <c r="B244" s="4" t="s">
        <v>3231</v>
      </c>
      <c r="C244" t="s">
        <v>3001</v>
      </c>
      <c r="D244">
        <v>23561</v>
      </c>
      <c r="E244" t="s">
        <v>172</v>
      </c>
      <c r="F244" t="s">
        <v>3398</v>
      </c>
      <c r="G244" t="s">
        <v>3399</v>
      </c>
      <c r="H244" t="s">
        <v>3002</v>
      </c>
      <c r="I244">
        <v>1</v>
      </c>
      <c r="J244" t="str">
        <f>VLOOKUP(A244,店舗コード!A:B,2,FALSE)</f>
        <v>07 TOKYO</v>
      </c>
      <c r="O244" s="2"/>
    </row>
    <row r="245" spans="1:15">
      <c r="A245" t="s">
        <v>1846</v>
      </c>
      <c r="B245" s="4" t="s">
        <v>85</v>
      </c>
      <c r="C245" t="s">
        <v>3001</v>
      </c>
      <c r="D245">
        <v>23510</v>
      </c>
      <c r="E245" t="s">
        <v>86</v>
      </c>
      <c r="F245">
        <v>21</v>
      </c>
      <c r="G245" t="s">
        <v>3439</v>
      </c>
      <c r="H245" t="s">
        <v>3002</v>
      </c>
      <c r="I245">
        <v>1</v>
      </c>
      <c r="J245" t="str">
        <f>VLOOKUP(A245,店舗コード!A:B,2,FALSE)</f>
        <v>07 TOKYO</v>
      </c>
      <c r="O245" s="2"/>
    </row>
    <row r="246" spans="1:15">
      <c r="A246" t="s">
        <v>2960</v>
      </c>
      <c r="B246" s="4" t="s">
        <v>99</v>
      </c>
      <c r="C246" t="s">
        <v>3001</v>
      </c>
      <c r="D246">
        <v>23510</v>
      </c>
      <c r="E246" t="s">
        <v>86</v>
      </c>
      <c r="F246">
        <v>312</v>
      </c>
      <c r="G246" t="s">
        <v>3003</v>
      </c>
      <c r="H246" t="s">
        <v>3002</v>
      </c>
      <c r="I246">
        <v>1</v>
      </c>
      <c r="J246" t="str">
        <f>VLOOKUP(A246,店舗コード!A:B,2,FALSE)</f>
        <v>13 京王新宿</v>
      </c>
      <c r="O246" s="2"/>
    </row>
    <row r="247" spans="1:15">
      <c r="A247" t="s">
        <v>1846</v>
      </c>
      <c r="B247" s="4" t="s">
        <v>3810</v>
      </c>
      <c r="C247" t="s">
        <v>3001</v>
      </c>
      <c r="D247">
        <v>23785</v>
      </c>
      <c r="E247" t="s">
        <v>2007</v>
      </c>
      <c r="F247">
        <v>334</v>
      </c>
      <c r="G247" t="s">
        <v>3811</v>
      </c>
      <c r="H247" t="s">
        <v>3002</v>
      </c>
      <c r="I247">
        <v>1</v>
      </c>
      <c r="J247" t="str">
        <f>VLOOKUP(A247,店舗コード!A:B,2,FALSE)</f>
        <v>07 TOKYO</v>
      </c>
      <c r="O247" s="2"/>
    </row>
    <row r="248" spans="1:15">
      <c r="A248" t="s">
        <v>2960</v>
      </c>
      <c r="B248" s="4" t="s">
        <v>104</v>
      </c>
      <c r="C248" t="s">
        <v>3001</v>
      </c>
      <c r="D248">
        <v>23510</v>
      </c>
      <c r="E248" t="s">
        <v>86</v>
      </c>
      <c r="F248">
        <v>326</v>
      </c>
      <c r="G248" t="s">
        <v>3013</v>
      </c>
      <c r="H248" t="s">
        <v>3002</v>
      </c>
      <c r="I248">
        <v>1</v>
      </c>
      <c r="J248" t="str">
        <f>VLOOKUP(A248,店舗コード!A:B,2,FALSE)</f>
        <v>13 京王新宿</v>
      </c>
      <c r="O248" s="2"/>
    </row>
    <row r="249" spans="1:15">
      <c r="A249" t="s">
        <v>2942</v>
      </c>
      <c r="B249" s="4" t="s">
        <v>3300</v>
      </c>
      <c r="C249" t="s">
        <v>3001</v>
      </c>
      <c r="D249">
        <v>23200339</v>
      </c>
      <c r="E249" t="s">
        <v>3301</v>
      </c>
      <c r="F249">
        <v>37</v>
      </c>
      <c r="G249" t="s">
        <v>3302</v>
      </c>
      <c r="H249" t="s">
        <v>3002</v>
      </c>
      <c r="I249">
        <v>1</v>
      </c>
      <c r="J249" t="str">
        <f>VLOOKUP(A249,店舗コード!A:B,2,FALSE)</f>
        <v>08 ルクア大阪</v>
      </c>
      <c r="O249" s="2"/>
    </row>
    <row r="250" spans="1:15">
      <c r="A250" t="s">
        <v>2993</v>
      </c>
      <c r="B250" s="4" t="s">
        <v>3455</v>
      </c>
      <c r="C250" t="s">
        <v>3001</v>
      </c>
      <c r="D250">
        <v>23200395</v>
      </c>
      <c r="E250" t="s">
        <v>3304</v>
      </c>
      <c r="F250">
        <v>118</v>
      </c>
      <c r="G250" t="s">
        <v>3035</v>
      </c>
      <c r="H250" t="s">
        <v>3002</v>
      </c>
      <c r="I250">
        <v>1</v>
      </c>
      <c r="J250" t="str">
        <f>VLOOKUP(A250,店舗コード!A:B,2,FALSE)</f>
        <v>15 大丸心斎橋</v>
      </c>
      <c r="O250" s="2"/>
    </row>
    <row r="251" spans="1:15">
      <c r="A251">
        <v>6142</v>
      </c>
      <c r="B251" s="4" t="s">
        <v>2614</v>
      </c>
      <c r="C251" t="s">
        <v>3001</v>
      </c>
      <c r="D251">
        <v>23622</v>
      </c>
      <c r="E251" t="s">
        <v>2615</v>
      </c>
      <c r="F251">
        <v>907</v>
      </c>
      <c r="G251" t="s">
        <v>3185</v>
      </c>
      <c r="H251" t="s">
        <v>3002</v>
      </c>
      <c r="I251">
        <v>1</v>
      </c>
      <c r="J251" t="str">
        <f>VLOOKUP(A251,店舗コード!A:B,2,FALSE)</f>
        <v>16 6142</v>
      </c>
      <c r="O251" s="2"/>
    </row>
    <row r="252" spans="1:15">
      <c r="A252" t="s">
        <v>1846</v>
      </c>
      <c r="B252" s="4" t="s">
        <v>3187</v>
      </c>
      <c r="C252" t="s">
        <v>3001</v>
      </c>
      <c r="D252">
        <v>23227</v>
      </c>
      <c r="E252" t="s">
        <v>3014</v>
      </c>
      <c r="F252">
        <v>543</v>
      </c>
      <c r="G252" t="s">
        <v>3188</v>
      </c>
      <c r="H252" t="s">
        <v>3002</v>
      </c>
      <c r="I252">
        <v>1</v>
      </c>
      <c r="J252" t="str">
        <f>VLOOKUP(A252,店舗コード!A:B,2,FALSE)</f>
        <v>07 TOKYO</v>
      </c>
      <c r="O252" s="2"/>
    </row>
    <row r="253" spans="1:15">
      <c r="A253" t="s">
        <v>1846</v>
      </c>
      <c r="B253" s="4" t="s">
        <v>3493</v>
      </c>
      <c r="C253" t="s">
        <v>3001</v>
      </c>
      <c r="D253">
        <v>23200331</v>
      </c>
      <c r="E253" t="s">
        <v>3280</v>
      </c>
      <c r="F253">
        <v>221</v>
      </c>
      <c r="G253" t="s">
        <v>3290</v>
      </c>
      <c r="H253" t="s">
        <v>3002</v>
      </c>
      <c r="I253">
        <v>1</v>
      </c>
      <c r="J253" t="str">
        <f>VLOOKUP(A253,店舗コード!A:B,2,FALSE)</f>
        <v>07 TOKYO</v>
      </c>
      <c r="O253" s="2"/>
    </row>
    <row r="254" spans="1:15">
      <c r="A254" t="s">
        <v>1846</v>
      </c>
      <c r="B254" s="4" t="s">
        <v>3281</v>
      </c>
      <c r="C254" t="s">
        <v>3001</v>
      </c>
      <c r="D254">
        <v>23223</v>
      </c>
      <c r="E254" t="s">
        <v>3016</v>
      </c>
      <c r="F254">
        <v>550</v>
      </c>
      <c r="G254" t="s">
        <v>2998</v>
      </c>
      <c r="H254" t="s">
        <v>3002</v>
      </c>
      <c r="I254">
        <v>1</v>
      </c>
      <c r="J254" t="str">
        <f>VLOOKUP(A254,店舗コード!A:B,2,FALSE)</f>
        <v>07 TOKYO</v>
      </c>
      <c r="O254" s="2"/>
    </row>
    <row r="255" spans="1:15">
      <c r="A255" t="s">
        <v>3140</v>
      </c>
      <c r="B255" s="4" t="s">
        <v>174</v>
      </c>
      <c r="C255" t="s">
        <v>3001</v>
      </c>
      <c r="D255">
        <v>23561</v>
      </c>
      <c r="E255" t="s">
        <v>172</v>
      </c>
      <c r="F255">
        <v>31</v>
      </c>
      <c r="G255" t="s">
        <v>3272</v>
      </c>
      <c r="H255" t="s">
        <v>3002</v>
      </c>
      <c r="I255">
        <v>1</v>
      </c>
      <c r="J255" t="str">
        <f>VLOOKUP(A255,店舗コード!A:B,2,FALSE)</f>
        <v>20 NARITA</v>
      </c>
      <c r="O255" s="2"/>
    </row>
    <row r="256" spans="1:15">
      <c r="A256" t="s">
        <v>3140</v>
      </c>
      <c r="B256" s="4" t="s">
        <v>3533</v>
      </c>
      <c r="C256" t="s">
        <v>3001</v>
      </c>
      <c r="D256">
        <v>23200395</v>
      </c>
      <c r="E256" t="s">
        <v>3304</v>
      </c>
      <c r="F256">
        <v>664</v>
      </c>
      <c r="G256" t="s">
        <v>3015</v>
      </c>
      <c r="H256" t="s">
        <v>3002</v>
      </c>
      <c r="I256">
        <v>1</v>
      </c>
      <c r="J256" t="str">
        <f>VLOOKUP(A256,店舗コード!A:B,2,FALSE)</f>
        <v>20 NARITA</v>
      </c>
      <c r="O256" s="2"/>
    </row>
    <row r="257" spans="1:15">
      <c r="A257" t="s">
        <v>2993</v>
      </c>
      <c r="B257" s="4" t="s">
        <v>104</v>
      </c>
      <c r="C257" t="s">
        <v>3001</v>
      </c>
      <c r="D257">
        <v>23510</v>
      </c>
      <c r="E257" t="s">
        <v>86</v>
      </c>
      <c r="F257">
        <v>326</v>
      </c>
      <c r="G257" t="s">
        <v>3013</v>
      </c>
      <c r="H257" t="s">
        <v>3002</v>
      </c>
      <c r="I257">
        <v>1</v>
      </c>
      <c r="J257" t="str">
        <f>VLOOKUP(A257,店舗コード!A:B,2,FALSE)</f>
        <v>15 大丸心斎橋</v>
      </c>
      <c r="O257" s="2"/>
    </row>
    <row r="258" spans="1:15">
      <c r="A258" t="s">
        <v>2942</v>
      </c>
      <c r="B258" s="4" t="s">
        <v>3812</v>
      </c>
      <c r="C258" t="s">
        <v>3001</v>
      </c>
      <c r="D258">
        <v>23797</v>
      </c>
      <c r="E258" t="s">
        <v>2735</v>
      </c>
      <c r="F258">
        <v>299</v>
      </c>
      <c r="G258" t="s">
        <v>3361</v>
      </c>
      <c r="H258" t="s">
        <v>3002</v>
      </c>
      <c r="I258">
        <v>1</v>
      </c>
      <c r="J258" t="str">
        <f>VLOOKUP(A258,店舗コード!A:B,2,FALSE)</f>
        <v>08 ルクア大阪</v>
      </c>
      <c r="O258" s="2"/>
    </row>
    <row r="259" spans="1:15">
      <c r="A259" t="s">
        <v>2942</v>
      </c>
      <c r="B259" s="4" t="s">
        <v>2657</v>
      </c>
      <c r="C259" t="s">
        <v>3001</v>
      </c>
      <c r="D259">
        <v>23797</v>
      </c>
      <c r="E259" t="s">
        <v>2735</v>
      </c>
      <c r="F259">
        <v>560</v>
      </c>
      <c r="G259" t="s">
        <v>3421</v>
      </c>
      <c r="H259" t="s">
        <v>3002</v>
      </c>
      <c r="I259">
        <v>1</v>
      </c>
      <c r="J259" t="str">
        <f>VLOOKUP(A259,店舗コード!A:B,2,FALSE)</f>
        <v>08 ルクア大阪</v>
      </c>
      <c r="O259" s="2"/>
    </row>
    <row r="260" spans="1:15">
      <c r="A260" t="s">
        <v>2942</v>
      </c>
      <c r="B260" s="4" t="s">
        <v>99</v>
      </c>
      <c r="C260" t="s">
        <v>3001</v>
      </c>
      <c r="D260">
        <v>23510</v>
      </c>
      <c r="E260" t="s">
        <v>86</v>
      </c>
      <c r="F260">
        <v>312</v>
      </c>
      <c r="G260" t="s">
        <v>3003</v>
      </c>
      <c r="H260" t="s">
        <v>3002</v>
      </c>
      <c r="I260">
        <v>1</v>
      </c>
      <c r="J260" t="str">
        <f>VLOOKUP(A260,店舗コード!A:B,2,FALSE)</f>
        <v>08 ルクア大阪</v>
      </c>
      <c r="O260" s="2"/>
    </row>
    <row r="261" spans="1:15">
      <c r="A261" t="s">
        <v>3140</v>
      </c>
      <c r="B261" s="4" t="s">
        <v>3303</v>
      </c>
      <c r="C261" t="s">
        <v>3001</v>
      </c>
      <c r="D261">
        <v>23200395</v>
      </c>
      <c r="E261" t="s">
        <v>3304</v>
      </c>
      <c r="F261">
        <v>550</v>
      </c>
      <c r="G261" t="s">
        <v>2998</v>
      </c>
      <c r="H261" t="s">
        <v>3002</v>
      </c>
      <c r="I261">
        <v>1</v>
      </c>
      <c r="J261" t="str">
        <f>VLOOKUP(A261,店舗コード!A:B,2,FALSE)</f>
        <v>20 NARITA</v>
      </c>
      <c r="O261" s="2"/>
    </row>
    <row r="262" spans="1:15">
      <c r="A262" t="s">
        <v>2953</v>
      </c>
      <c r="B262" s="4" t="s">
        <v>3425</v>
      </c>
      <c r="C262" t="s">
        <v>3001</v>
      </c>
      <c r="D262">
        <v>23200303</v>
      </c>
      <c r="E262" t="s">
        <v>3387</v>
      </c>
      <c r="F262">
        <v>37</v>
      </c>
      <c r="G262" t="s">
        <v>3302</v>
      </c>
      <c r="H262" t="s">
        <v>3002</v>
      </c>
      <c r="I262">
        <v>1</v>
      </c>
      <c r="J262" t="str">
        <f>VLOOKUP(A262,店舗コード!A:B,2,FALSE)</f>
        <v>04 名古屋</v>
      </c>
      <c r="O262" s="2"/>
    </row>
    <row r="263" spans="1:15">
      <c r="A263" t="s">
        <v>3140</v>
      </c>
      <c r="B263" s="4" t="s">
        <v>3367</v>
      </c>
      <c r="C263" t="s">
        <v>3001</v>
      </c>
      <c r="D263">
        <v>23200301</v>
      </c>
      <c r="E263" t="s">
        <v>3368</v>
      </c>
      <c r="F263">
        <v>37</v>
      </c>
      <c r="G263" t="s">
        <v>3302</v>
      </c>
      <c r="H263" t="s">
        <v>3002</v>
      </c>
      <c r="I263">
        <v>1</v>
      </c>
      <c r="J263" t="str">
        <f>VLOOKUP(A263,店舗コード!A:B,2,FALSE)</f>
        <v>20 NARITA</v>
      </c>
      <c r="O263" s="2"/>
    </row>
    <row r="264" spans="1:15">
      <c r="A264" t="s">
        <v>2960</v>
      </c>
      <c r="B264" s="4" t="s">
        <v>3390</v>
      </c>
      <c r="C264" t="s">
        <v>3001</v>
      </c>
      <c r="D264">
        <v>24213</v>
      </c>
      <c r="E264" t="s">
        <v>308</v>
      </c>
      <c r="F264">
        <v>633</v>
      </c>
      <c r="G264" t="s">
        <v>3347</v>
      </c>
      <c r="H264" t="s">
        <v>3002</v>
      </c>
      <c r="I264">
        <v>1</v>
      </c>
      <c r="J264" t="str">
        <f>VLOOKUP(A264,店舗コード!A:B,2,FALSE)</f>
        <v>13 京王新宿</v>
      </c>
      <c r="O264" s="2"/>
    </row>
    <row r="265" spans="1:15">
      <c r="A265" t="s">
        <v>2953</v>
      </c>
      <c r="B265" s="4" t="s">
        <v>3397</v>
      </c>
      <c r="C265" t="s">
        <v>3001</v>
      </c>
      <c r="D265">
        <v>23510</v>
      </c>
      <c r="E265" t="s">
        <v>86</v>
      </c>
      <c r="F265" t="s">
        <v>3398</v>
      </c>
      <c r="G265" t="s">
        <v>3399</v>
      </c>
      <c r="H265" t="s">
        <v>3002</v>
      </c>
      <c r="I265">
        <v>1</v>
      </c>
      <c r="J265" t="str">
        <f>VLOOKUP(A265,店舗コード!A:B,2,FALSE)</f>
        <v>04 名古屋</v>
      </c>
      <c r="O265" s="2"/>
    </row>
    <row r="266" spans="1:15">
      <c r="A266" t="s">
        <v>2980</v>
      </c>
      <c r="B266" s="4" t="s">
        <v>2976</v>
      </c>
      <c r="C266" t="s">
        <v>3001</v>
      </c>
      <c r="D266">
        <v>23510</v>
      </c>
      <c r="E266" t="s">
        <v>86</v>
      </c>
      <c r="F266" t="s">
        <v>3021</v>
      </c>
      <c r="G266" t="s">
        <v>3022</v>
      </c>
      <c r="H266" t="s">
        <v>3002</v>
      </c>
      <c r="I266">
        <v>1</v>
      </c>
      <c r="J266" t="str">
        <f>VLOOKUP(A266,店舗コード!A:B,2,FALSE)</f>
        <v>17 玉川高島屋</v>
      </c>
      <c r="O266" s="2"/>
    </row>
    <row r="267" spans="1:15">
      <c r="A267" t="s">
        <v>2942</v>
      </c>
      <c r="B267" s="4" t="s">
        <v>3813</v>
      </c>
      <c r="C267" t="s">
        <v>3001</v>
      </c>
      <c r="D267">
        <v>23200248</v>
      </c>
      <c r="E267" t="s">
        <v>3814</v>
      </c>
      <c r="F267">
        <v>0</v>
      </c>
      <c r="G267" t="s">
        <v>3815</v>
      </c>
      <c r="H267" t="s">
        <v>3002</v>
      </c>
      <c r="I267">
        <v>1</v>
      </c>
      <c r="J267" t="str">
        <f>VLOOKUP(A267,店舗コード!A:B,2,FALSE)</f>
        <v>08 ルクア大阪</v>
      </c>
      <c r="O267" s="2"/>
    </row>
    <row r="268" spans="1:15">
      <c r="A268" t="s">
        <v>2942</v>
      </c>
      <c r="B268" s="4" t="s">
        <v>3291</v>
      </c>
      <c r="C268" t="s">
        <v>3001</v>
      </c>
      <c r="D268">
        <v>23349</v>
      </c>
      <c r="E268" t="s">
        <v>3292</v>
      </c>
      <c r="F268">
        <v>550</v>
      </c>
      <c r="G268" t="s">
        <v>2998</v>
      </c>
      <c r="H268" t="s">
        <v>3002</v>
      </c>
      <c r="I268">
        <v>1</v>
      </c>
      <c r="J268" t="str">
        <f>VLOOKUP(A268,店舗コード!A:B,2,FALSE)</f>
        <v>08 ルクア大阪</v>
      </c>
      <c r="O268" s="2"/>
    </row>
    <row r="269" spans="1:15">
      <c r="A269" t="s">
        <v>2942</v>
      </c>
      <c r="B269" s="4" t="s">
        <v>3354</v>
      </c>
      <c r="C269" t="s">
        <v>3001</v>
      </c>
      <c r="D269">
        <v>23345</v>
      </c>
      <c r="E269" t="s">
        <v>3031</v>
      </c>
      <c r="F269">
        <v>633</v>
      </c>
      <c r="G269" t="s">
        <v>3347</v>
      </c>
      <c r="H269" t="s">
        <v>3002</v>
      </c>
      <c r="I269">
        <v>1</v>
      </c>
      <c r="J269" t="str">
        <f>VLOOKUP(A269,店舗コード!A:B,2,FALSE)</f>
        <v>08 ルクア大阪</v>
      </c>
      <c r="O269" s="2"/>
    </row>
    <row r="270" spans="1:15">
      <c r="A270" t="s">
        <v>2953</v>
      </c>
      <c r="B270" s="4" t="s">
        <v>3816</v>
      </c>
      <c r="C270" t="s">
        <v>3001</v>
      </c>
      <c r="D270">
        <v>13100236</v>
      </c>
      <c r="E270" t="s">
        <v>3817</v>
      </c>
      <c r="F270">
        <v>555</v>
      </c>
      <c r="G270" t="s">
        <v>3200</v>
      </c>
      <c r="H270" t="s">
        <v>3002</v>
      </c>
      <c r="I270">
        <v>1</v>
      </c>
      <c r="J270" t="str">
        <f>VLOOKUP(A270,店舗コード!A:B,2,FALSE)</f>
        <v>04 名古屋</v>
      </c>
      <c r="O270" s="2"/>
    </row>
    <row r="271" spans="1:15">
      <c r="A271" t="s">
        <v>1846</v>
      </c>
      <c r="B271" s="4" t="s">
        <v>3818</v>
      </c>
      <c r="C271" t="s">
        <v>3001</v>
      </c>
      <c r="D271">
        <v>12600268</v>
      </c>
      <c r="E271" t="s">
        <v>3027</v>
      </c>
      <c r="F271">
        <v>113</v>
      </c>
      <c r="G271" t="s">
        <v>3349</v>
      </c>
      <c r="H271" t="s">
        <v>3029</v>
      </c>
      <c r="I271">
        <v>1</v>
      </c>
      <c r="J271" t="str">
        <f>VLOOKUP(A271,店舗コード!A:B,2,FALSE)</f>
        <v>07 TOKYO</v>
      </c>
      <c r="O271" s="2"/>
    </row>
    <row r="272" spans="1:15">
      <c r="A272" t="s">
        <v>3140</v>
      </c>
      <c r="B272" s="4" t="s">
        <v>2646</v>
      </c>
      <c r="C272" t="s">
        <v>3001</v>
      </c>
      <c r="D272">
        <v>23797</v>
      </c>
      <c r="E272" t="s">
        <v>2735</v>
      </c>
      <c r="F272">
        <v>160</v>
      </c>
      <c r="G272" t="s">
        <v>3440</v>
      </c>
      <c r="H272" t="s">
        <v>3002</v>
      </c>
      <c r="I272">
        <v>1</v>
      </c>
      <c r="J272" t="str">
        <f>VLOOKUP(A272,店舗コード!A:B,2,FALSE)</f>
        <v>20 NARITA</v>
      </c>
      <c r="O272" s="2"/>
    </row>
    <row r="273" spans="1:15">
      <c r="A273" t="s">
        <v>2942</v>
      </c>
      <c r="B273" s="4" t="s">
        <v>3406</v>
      </c>
      <c r="C273" t="s">
        <v>3001</v>
      </c>
      <c r="D273">
        <v>23524</v>
      </c>
      <c r="E273" t="s">
        <v>3009</v>
      </c>
      <c r="F273">
        <v>550</v>
      </c>
      <c r="G273" t="s">
        <v>2998</v>
      </c>
      <c r="H273" t="s">
        <v>3002</v>
      </c>
      <c r="I273">
        <v>1</v>
      </c>
      <c r="J273" t="str">
        <f>VLOOKUP(A273,店舗コード!A:B,2,FALSE)</f>
        <v>08 ルクア大阪</v>
      </c>
      <c r="O273" s="2"/>
    </row>
    <row r="274" spans="1:15">
      <c r="A274" t="s">
        <v>3140</v>
      </c>
      <c r="B274" s="4" t="s">
        <v>3819</v>
      </c>
      <c r="C274" t="s">
        <v>3001</v>
      </c>
      <c r="D274">
        <v>78150</v>
      </c>
      <c r="E274" t="s">
        <v>3798</v>
      </c>
      <c r="F274">
        <v>555</v>
      </c>
      <c r="G274" t="s">
        <v>3200</v>
      </c>
      <c r="H274" t="s">
        <v>3190</v>
      </c>
      <c r="I274">
        <v>1</v>
      </c>
      <c r="J274" t="str">
        <f>VLOOKUP(A274,店舗コード!A:B,2,FALSE)</f>
        <v>20 NARITA</v>
      </c>
      <c r="O274" s="2"/>
    </row>
    <row r="275" spans="1:15">
      <c r="A275" t="s">
        <v>2942</v>
      </c>
      <c r="B275" s="4" t="s">
        <v>3309</v>
      </c>
      <c r="C275" t="s">
        <v>3001</v>
      </c>
      <c r="D275">
        <v>77357</v>
      </c>
      <c r="E275" t="s">
        <v>3036</v>
      </c>
      <c r="F275">
        <v>30</v>
      </c>
      <c r="G275" t="s">
        <v>3310</v>
      </c>
      <c r="H275" t="s">
        <v>3190</v>
      </c>
      <c r="I275">
        <v>1</v>
      </c>
      <c r="J275" t="str">
        <f>VLOOKUP(A275,店舗コード!A:B,2,FALSE)</f>
        <v>08 ルクア大阪</v>
      </c>
      <c r="O275" s="2"/>
    </row>
    <row r="276" spans="1:15">
      <c r="A276" t="s">
        <v>1846</v>
      </c>
      <c r="B276" s="4" t="s">
        <v>3384</v>
      </c>
      <c r="C276" t="s">
        <v>3001</v>
      </c>
      <c r="D276">
        <v>23226</v>
      </c>
      <c r="E276" t="s">
        <v>3020</v>
      </c>
      <c r="F276">
        <v>620</v>
      </c>
      <c r="G276" t="s">
        <v>3026</v>
      </c>
      <c r="H276" t="s">
        <v>3002</v>
      </c>
      <c r="I276">
        <v>1</v>
      </c>
      <c r="J276" t="str">
        <f>VLOOKUP(A276,店舗コード!A:B,2,FALSE)</f>
        <v>07 TOKYO</v>
      </c>
      <c r="O276" s="2"/>
    </row>
    <row r="277" spans="1:15">
      <c r="A277" t="s">
        <v>2993</v>
      </c>
      <c r="B277" s="4" t="s">
        <v>2623</v>
      </c>
      <c r="C277" t="s">
        <v>3001</v>
      </c>
      <c r="D277">
        <v>23505</v>
      </c>
      <c r="E277" t="s">
        <v>73</v>
      </c>
      <c r="F277">
        <v>550</v>
      </c>
      <c r="G277" t="s">
        <v>2998</v>
      </c>
      <c r="H277" t="s">
        <v>3002</v>
      </c>
      <c r="I277">
        <v>1</v>
      </c>
      <c r="J277" t="str">
        <f>VLOOKUP(A277,店舗コード!A:B,2,FALSE)</f>
        <v>15 大丸心斎橋</v>
      </c>
      <c r="O277" s="2"/>
    </row>
    <row r="278" spans="1:15">
      <c r="A278" t="s">
        <v>2993</v>
      </c>
      <c r="B278" s="4" t="s">
        <v>118</v>
      </c>
      <c r="C278" t="s">
        <v>3001</v>
      </c>
      <c r="D278">
        <v>23510</v>
      </c>
      <c r="E278" t="s">
        <v>86</v>
      </c>
      <c r="F278">
        <v>550</v>
      </c>
      <c r="G278" t="s">
        <v>2998</v>
      </c>
      <c r="H278" t="s">
        <v>3002</v>
      </c>
      <c r="I278">
        <v>1</v>
      </c>
      <c r="J278" t="str">
        <f>VLOOKUP(A278,店舗コード!A:B,2,FALSE)</f>
        <v>15 大丸心斎橋</v>
      </c>
      <c r="O278" s="2"/>
    </row>
    <row r="279" spans="1:15">
      <c r="A279" t="s">
        <v>2942</v>
      </c>
      <c r="B279" s="4" t="s">
        <v>3820</v>
      </c>
      <c r="C279" t="s">
        <v>3001</v>
      </c>
      <c r="D279">
        <v>23200251</v>
      </c>
      <c r="E279" t="s">
        <v>3293</v>
      </c>
      <c r="F279">
        <v>560</v>
      </c>
      <c r="G279" t="s">
        <v>3025</v>
      </c>
      <c r="H279" t="s">
        <v>3002</v>
      </c>
      <c r="I279">
        <v>1</v>
      </c>
      <c r="J279" t="str">
        <f>VLOOKUP(A279,店舗コード!A:B,2,FALSE)</f>
        <v>08 ルクア大阪</v>
      </c>
      <c r="O279" s="2"/>
    </row>
    <row r="280" spans="1:15">
      <c r="A280" t="s">
        <v>1846</v>
      </c>
      <c r="B280" s="4" t="s">
        <v>3821</v>
      </c>
      <c r="C280" t="s">
        <v>3001</v>
      </c>
      <c r="D280">
        <v>77279</v>
      </c>
      <c r="E280" t="s">
        <v>631</v>
      </c>
      <c r="F280">
        <v>550</v>
      </c>
      <c r="G280" t="s">
        <v>2998</v>
      </c>
      <c r="H280" t="s">
        <v>3029</v>
      </c>
      <c r="I280">
        <v>1</v>
      </c>
      <c r="J280" t="str">
        <f>VLOOKUP(A280,店舗コード!A:B,2,FALSE)</f>
        <v>07 TOKYO</v>
      </c>
      <c r="O280" s="2"/>
    </row>
    <row r="281" spans="1:15">
      <c r="A281" t="s">
        <v>1846</v>
      </c>
      <c r="B281" s="4" t="s">
        <v>3513</v>
      </c>
      <c r="C281" t="s">
        <v>3001</v>
      </c>
      <c r="D281">
        <v>79258</v>
      </c>
      <c r="E281" t="s">
        <v>737</v>
      </c>
      <c r="F281">
        <v>30</v>
      </c>
      <c r="G281" t="s">
        <v>3310</v>
      </c>
      <c r="H281" t="s">
        <v>3029</v>
      </c>
      <c r="I281">
        <v>1</v>
      </c>
      <c r="J281" t="str">
        <f>VLOOKUP(A281,店舗コード!A:B,2,FALSE)</f>
        <v>07 TOKYO</v>
      </c>
      <c r="O281" s="2"/>
    </row>
    <row r="282" spans="1:15">
      <c r="A282" t="s">
        <v>2942</v>
      </c>
      <c r="B282" s="4" t="s">
        <v>3447</v>
      </c>
      <c r="C282" t="s">
        <v>3001</v>
      </c>
      <c r="D282">
        <v>77357</v>
      </c>
      <c r="E282" t="s">
        <v>3036</v>
      </c>
      <c r="F282">
        <v>232</v>
      </c>
      <c r="G282" t="s">
        <v>3366</v>
      </c>
      <c r="H282" t="s">
        <v>3190</v>
      </c>
      <c r="I282">
        <v>1</v>
      </c>
      <c r="J282" t="str">
        <f>VLOOKUP(A282,店舗コード!A:B,2,FALSE)</f>
        <v>08 ルクア大阪</v>
      </c>
      <c r="O282" s="2"/>
    </row>
    <row r="283" spans="1:15">
      <c r="A283" t="s">
        <v>3140</v>
      </c>
      <c r="B283" s="4" t="s">
        <v>3785</v>
      </c>
      <c r="C283" t="s">
        <v>3001</v>
      </c>
      <c r="D283">
        <v>23227</v>
      </c>
      <c r="E283" t="s">
        <v>3014</v>
      </c>
      <c r="F283">
        <v>16</v>
      </c>
      <c r="G283" t="s">
        <v>3008</v>
      </c>
      <c r="H283" t="s">
        <v>3002</v>
      </c>
      <c r="I283">
        <v>1</v>
      </c>
      <c r="J283" t="str">
        <f>VLOOKUP(A283,店舗コード!A:B,2,FALSE)</f>
        <v>20 NARITA</v>
      </c>
      <c r="O283" s="2"/>
    </row>
    <row r="284" spans="1:15">
      <c r="A284" t="s">
        <v>3140</v>
      </c>
      <c r="B284" s="4" t="s">
        <v>3371</v>
      </c>
      <c r="C284" t="s">
        <v>3001</v>
      </c>
      <c r="D284">
        <v>23227</v>
      </c>
      <c r="E284" t="s">
        <v>3014</v>
      </c>
      <c r="F284">
        <v>424</v>
      </c>
      <c r="G284" t="s">
        <v>3017</v>
      </c>
      <c r="H284" t="s">
        <v>3002</v>
      </c>
      <c r="I284">
        <v>1</v>
      </c>
      <c r="J284" t="str">
        <f>VLOOKUP(A284,店舗コード!A:B,2,FALSE)</f>
        <v>20 NARITA</v>
      </c>
      <c r="O284" s="2"/>
    </row>
    <row r="285" spans="1:15">
      <c r="A285" t="s">
        <v>3140</v>
      </c>
      <c r="B285" s="4" t="s">
        <v>3822</v>
      </c>
      <c r="C285" t="s">
        <v>3001</v>
      </c>
      <c r="D285">
        <v>14600270</v>
      </c>
      <c r="E285" t="s">
        <v>3823</v>
      </c>
      <c r="F285">
        <v>111</v>
      </c>
      <c r="G285" t="s">
        <v>3338</v>
      </c>
      <c r="H285" t="s">
        <v>2999</v>
      </c>
      <c r="I285">
        <v>1</v>
      </c>
      <c r="J285" t="str">
        <f>VLOOKUP(A285,店舗コード!A:B,2,FALSE)</f>
        <v>20 NARITA</v>
      </c>
      <c r="O285" s="2"/>
    </row>
    <row r="286" spans="1:15">
      <c r="A286" t="s">
        <v>3140</v>
      </c>
      <c r="B286" s="4" t="s">
        <v>3824</v>
      </c>
      <c r="C286" t="s">
        <v>3001</v>
      </c>
      <c r="D286">
        <v>14600270</v>
      </c>
      <c r="E286" t="s">
        <v>3823</v>
      </c>
      <c r="F286">
        <v>637</v>
      </c>
      <c r="G286" t="s">
        <v>3825</v>
      </c>
      <c r="H286" t="s">
        <v>3191</v>
      </c>
      <c r="I286">
        <v>1</v>
      </c>
      <c r="J286" t="str">
        <f>VLOOKUP(A286,店舗コード!A:B,2,FALSE)</f>
        <v>20 NARITA</v>
      </c>
      <c r="O286" s="2"/>
    </row>
    <row r="287" spans="1:15">
      <c r="A287" t="s">
        <v>2993</v>
      </c>
      <c r="B287" s="4" t="s">
        <v>2984</v>
      </c>
      <c r="C287" t="s">
        <v>3001</v>
      </c>
      <c r="D287">
        <v>23505</v>
      </c>
      <c r="E287" t="s">
        <v>73</v>
      </c>
      <c r="F287">
        <v>160</v>
      </c>
      <c r="G287" t="s">
        <v>3010</v>
      </c>
      <c r="H287" t="s">
        <v>3002</v>
      </c>
      <c r="I287">
        <v>1</v>
      </c>
      <c r="J287" t="str">
        <f>VLOOKUP(A287,店舗コード!A:B,2,FALSE)</f>
        <v>15 大丸心斎橋</v>
      </c>
      <c r="O287" s="2"/>
    </row>
    <row r="288" spans="1:15">
      <c r="A288" t="s">
        <v>2993</v>
      </c>
      <c r="B288" s="4" t="s">
        <v>91</v>
      </c>
      <c r="C288" t="s">
        <v>3001</v>
      </c>
      <c r="D288">
        <v>23510</v>
      </c>
      <c r="E288" t="s">
        <v>86</v>
      </c>
      <c r="F288">
        <v>160</v>
      </c>
      <c r="G288" t="s">
        <v>3010</v>
      </c>
      <c r="H288" t="s">
        <v>3002</v>
      </c>
      <c r="I288">
        <v>1</v>
      </c>
      <c r="J288" t="str">
        <f>VLOOKUP(A288,店舗コード!A:B,2,FALSE)</f>
        <v>15 大丸心斎橋</v>
      </c>
      <c r="O288" s="2"/>
    </row>
    <row r="289" spans="1:15">
      <c r="A289" t="s">
        <v>3140</v>
      </c>
      <c r="B289" s="4" t="s">
        <v>3291</v>
      </c>
      <c r="C289" t="s">
        <v>3001</v>
      </c>
      <c r="D289">
        <v>23349</v>
      </c>
      <c r="E289" t="s">
        <v>3292</v>
      </c>
      <c r="F289">
        <v>550</v>
      </c>
      <c r="G289" t="s">
        <v>2998</v>
      </c>
      <c r="H289" t="s">
        <v>3002</v>
      </c>
      <c r="I289">
        <v>1</v>
      </c>
      <c r="J289" t="str">
        <f>VLOOKUP(A289,店舗コード!A:B,2,FALSE)</f>
        <v>20 NARITA</v>
      </c>
      <c r="O289" s="2"/>
    </row>
    <row r="290" spans="1:15">
      <c r="A290" t="s">
        <v>3140</v>
      </c>
      <c r="B290" s="4" t="s">
        <v>3291</v>
      </c>
      <c r="C290" t="s">
        <v>3001</v>
      </c>
      <c r="D290">
        <v>23349</v>
      </c>
      <c r="E290" t="s">
        <v>3292</v>
      </c>
      <c r="F290">
        <v>550</v>
      </c>
      <c r="G290" t="s">
        <v>2998</v>
      </c>
      <c r="H290" t="s">
        <v>3002</v>
      </c>
      <c r="I290">
        <v>1</v>
      </c>
      <c r="J290" t="str">
        <f>VLOOKUP(A290,店舗コード!A:B,2,FALSE)</f>
        <v>20 NARITA</v>
      </c>
      <c r="O290" s="2"/>
    </row>
    <row r="291" spans="1:15">
      <c r="A291" t="s">
        <v>3140</v>
      </c>
      <c r="B291" s="4" t="s">
        <v>3291</v>
      </c>
      <c r="C291" t="s">
        <v>3001</v>
      </c>
      <c r="D291">
        <v>23349</v>
      </c>
      <c r="E291" t="s">
        <v>3292</v>
      </c>
      <c r="F291">
        <v>550</v>
      </c>
      <c r="G291" t="s">
        <v>2998</v>
      </c>
      <c r="H291" t="s">
        <v>3002</v>
      </c>
      <c r="I291">
        <v>-1</v>
      </c>
      <c r="J291" t="str">
        <f>VLOOKUP(A291,店舗コード!A:B,2,FALSE)</f>
        <v>20 NARITA</v>
      </c>
      <c r="O291" s="2"/>
    </row>
    <row r="292" spans="1:15">
      <c r="A292">
        <v>6142</v>
      </c>
      <c r="B292" s="4" t="s">
        <v>3420</v>
      </c>
      <c r="C292" t="s">
        <v>3001</v>
      </c>
      <c r="D292">
        <v>23223</v>
      </c>
      <c r="E292" t="s">
        <v>3016</v>
      </c>
      <c r="F292">
        <v>620</v>
      </c>
      <c r="G292" t="s">
        <v>3026</v>
      </c>
      <c r="H292" t="s">
        <v>3002</v>
      </c>
      <c r="I292">
        <v>1</v>
      </c>
      <c r="J292" t="str">
        <f>VLOOKUP(A292,店舗コード!A:B,2,FALSE)</f>
        <v>16 6142</v>
      </c>
      <c r="O292" s="2"/>
    </row>
    <row r="293" spans="1:15">
      <c r="A293" t="s">
        <v>2993</v>
      </c>
      <c r="B293" s="4" t="s">
        <v>3826</v>
      </c>
      <c r="C293" t="s">
        <v>3001</v>
      </c>
      <c r="D293">
        <v>81280</v>
      </c>
      <c r="E293" t="s">
        <v>3827</v>
      </c>
      <c r="F293">
        <v>118</v>
      </c>
      <c r="G293" t="s">
        <v>3035</v>
      </c>
      <c r="H293" t="s">
        <v>2999</v>
      </c>
      <c r="I293">
        <v>1</v>
      </c>
      <c r="J293" t="str">
        <f>VLOOKUP(A293,店舗コード!A:B,2,FALSE)</f>
        <v>15 大丸心斎橋</v>
      </c>
      <c r="O293" s="2"/>
    </row>
    <row r="294" spans="1:15">
      <c r="A294" t="s">
        <v>1846</v>
      </c>
      <c r="B294" s="4" t="s">
        <v>3828</v>
      </c>
      <c r="C294" t="s">
        <v>3001</v>
      </c>
      <c r="D294">
        <v>23344</v>
      </c>
      <c r="E294" t="s">
        <v>3018</v>
      </c>
      <c r="F294">
        <v>357</v>
      </c>
      <c r="G294" t="s">
        <v>3213</v>
      </c>
      <c r="H294" t="s">
        <v>3002</v>
      </c>
      <c r="I294">
        <v>1</v>
      </c>
      <c r="J294" t="str">
        <f>VLOOKUP(A294,店舗コード!A:B,2,FALSE)</f>
        <v>07 TOKYO</v>
      </c>
      <c r="O294" s="2"/>
    </row>
    <row r="295" spans="1:15">
      <c r="A295" t="s">
        <v>1846</v>
      </c>
      <c r="B295" s="4" t="s">
        <v>3754</v>
      </c>
      <c r="C295" t="s">
        <v>3001</v>
      </c>
      <c r="D295">
        <v>23346</v>
      </c>
      <c r="E295" t="s">
        <v>3041</v>
      </c>
      <c r="F295">
        <v>50</v>
      </c>
      <c r="G295" t="s">
        <v>3037</v>
      </c>
      <c r="H295" t="s">
        <v>3002</v>
      </c>
      <c r="I295">
        <v>1</v>
      </c>
      <c r="J295" t="str">
        <f>VLOOKUP(A295,店舗コード!A:B,2,FALSE)</f>
        <v>07 TOKYO</v>
      </c>
      <c r="O295" s="2"/>
    </row>
    <row r="296" spans="1:15">
      <c r="A296" t="s">
        <v>2953</v>
      </c>
      <c r="B296" s="4" t="s">
        <v>3829</v>
      </c>
      <c r="C296" t="s">
        <v>3001</v>
      </c>
      <c r="D296">
        <v>86984</v>
      </c>
      <c r="E296" t="s">
        <v>3742</v>
      </c>
      <c r="F296">
        <v>550</v>
      </c>
      <c r="G296" t="s">
        <v>2998</v>
      </c>
      <c r="H296" t="s">
        <v>3029</v>
      </c>
      <c r="I296">
        <v>1</v>
      </c>
      <c r="J296" t="str">
        <f>VLOOKUP(A296,店舗コード!A:B,2,FALSE)</f>
        <v>04 名古屋</v>
      </c>
      <c r="O296" s="2"/>
    </row>
    <row r="297" spans="1:15">
      <c r="A297" t="s">
        <v>2993</v>
      </c>
      <c r="B297" s="4" t="s">
        <v>3830</v>
      </c>
      <c r="C297" t="s">
        <v>3001</v>
      </c>
      <c r="D297">
        <v>23710</v>
      </c>
      <c r="E297" t="s">
        <v>3424</v>
      </c>
      <c r="F297">
        <v>326</v>
      </c>
      <c r="G297" t="s">
        <v>3013</v>
      </c>
      <c r="H297" t="s">
        <v>3002</v>
      </c>
      <c r="I297">
        <v>1</v>
      </c>
      <c r="J297" t="str">
        <f>VLOOKUP(A297,店舗コード!A:B,2,FALSE)</f>
        <v>15 大丸心斎橋</v>
      </c>
      <c r="O297" s="2"/>
    </row>
    <row r="298" spans="1:15">
      <c r="A298" t="s">
        <v>2993</v>
      </c>
      <c r="B298" s="4" t="s">
        <v>733</v>
      </c>
      <c r="C298" t="s">
        <v>3001</v>
      </c>
      <c r="D298">
        <v>79060</v>
      </c>
      <c r="E298" t="s">
        <v>734</v>
      </c>
      <c r="H298" t="s">
        <v>3002</v>
      </c>
      <c r="I298">
        <v>1</v>
      </c>
      <c r="J298" t="str">
        <f>VLOOKUP(A298,店舗コード!A:B,2,FALSE)</f>
        <v>15 大丸心斎橋</v>
      </c>
      <c r="O298" s="2"/>
    </row>
    <row r="299" spans="1:15">
      <c r="A299" t="s">
        <v>2960</v>
      </c>
      <c r="B299" s="4" t="s">
        <v>3455</v>
      </c>
      <c r="C299" t="s">
        <v>3001</v>
      </c>
      <c r="D299">
        <v>23200395</v>
      </c>
      <c r="E299" t="s">
        <v>3304</v>
      </c>
      <c r="F299">
        <v>118</v>
      </c>
      <c r="G299" t="s">
        <v>3035</v>
      </c>
      <c r="H299" t="s">
        <v>3002</v>
      </c>
      <c r="I299">
        <v>1</v>
      </c>
      <c r="J299" t="str">
        <f>VLOOKUP(A299,店舗コード!A:B,2,FALSE)</f>
        <v>13 京王新宿</v>
      </c>
      <c r="O299" s="2"/>
    </row>
    <row r="300" spans="1:15">
      <c r="A300" t="s">
        <v>2942</v>
      </c>
      <c r="B300" s="4" t="s">
        <v>1908</v>
      </c>
      <c r="C300" t="s">
        <v>3001</v>
      </c>
      <c r="D300">
        <v>23301</v>
      </c>
      <c r="E300" t="s">
        <v>1909</v>
      </c>
      <c r="F300">
        <v>171</v>
      </c>
      <c r="G300" t="s">
        <v>3464</v>
      </c>
      <c r="H300" t="s">
        <v>3002</v>
      </c>
      <c r="I300">
        <v>1</v>
      </c>
      <c r="J300" t="str">
        <f>VLOOKUP(A300,店舗コード!A:B,2,FALSE)</f>
        <v>08 ルクア大阪</v>
      </c>
      <c r="O300" s="2"/>
    </row>
    <row r="301" spans="1:15">
      <c r="A301" t="s">
        <v>2993</v>
      </c>
      <c r="B301" s="4" t="s">
        <v>2971</v>
      </c>
      <c r="C301" t="s">
        <v>3001</v>
      </c>
      <c r="D301">
        <v>23524</v>
      </c>
      <c r="E301" t="s">
        <v>3009</v>
      </c>
      <c r="F301">
        <v>501</v>
      </c>
      <c r="G301" t="s">
        <v>2992</v>
      </c>
      <c r="H301" t="s">
        <v>3002</v>
      </c>
      <c r="I301">
        <v>1</v>
      </c>
      <c r="J301" t="str">
        <f>VLOOKUP(A301,店舗コード!A:B,2,FALSE)</f>
        <v>15 大丸心斎橋</v>
      </c>
      <c r="O301" s="2"/>
    </row>
    <row r="302" spans="1:15">
      <c r="A302">
        <v>6142</v>
      </c>
      <c r="B302" s="4" t="s">
        <v>3502</v>
      </c>
      <c r="C302" t="s">
        <v>3001</v>
      </c>
      <c r="D302">
        <v>23200335</v>
      </c>
      <c r="E302" t="s">
        <v>3007</v>
      </c>
      <c r="F302">
        <v>300</v>
      </c>
      <c r="G302" t="s">
        <v>3314</v>
      </c>
      <c r="H302" t="s">
        <v>3002</v>
      </c>
      <c r="I302">
        <v>1</v>
      </c>
      <c r="J302" t="str">
        <f>VLOOKUP(A302,店舗コード!A:B,2,FALSE)</f>
        <v>16 6142</v>
      </c>
      <c r="O302" s="2"/>
    </row>
    <row r="303" spans="1:15">
      <c r="A303" t="s">
        <v>1846</v>
      </c>
      <c r="B303" s="4" t="s">
        <v>3537</v>
      </c>
      <c r="C303" t="s">
        <v>3001</v>
      </c>
      <c r="D303">
        <v>23200284</v>
      </c>
      <c r="E303" t="s">
        <v>3538</v>
      </c>
      <c r="F303">
        <v>238</v>
      </c>
      <c r="G303" t="s">
        <v>3288</v>
      </c>
      <c r="H303" t="s">
        <v>3002</v>
      </c>
      <c r="I303">
        <v>1</v>
      </c>
      <c r="J303" t="str">
        <f>VLOOKUP(A303,店舗コード!A:B,2,FALSE)</f>
        <v>07 TOKYO</v>
      </c>
      <c r="O303" s="2"/>
    </row>
    <row r="304" spans="1:15">
      <c r="A304">
        <v>6142</v>
      </c>
      <c r="B304" s="4" t="s">
        <v>3147</v>
      </c>
      <c r="C304" t="s">
        <v>3001</v>
      </c>
      <c r="D304">
        <v>23200356</v>
      </c>
      <c r="E304" t="s">
        <v>3052</v>
      </c>
      <c r="F304" t="s">
        <v>3460</v>
      </c>
      <c r="G304" t="s">
        <v>3461</v>
      </c>
      <c r="H304" t="s">
        <v>3002</v>
      </c>
      <c r="I304">
        <v>1</v>
      </c>
      <c r="J304" t="str">
        <f>VLOOKUP(A304,店舗コード!A:B,2,FALSE)</f>
        <v>16 6142</v>
      </c>
      <c r="O304" s="2"/>
    </row>
    <row r="305" spans="1:15">
      <c r="A305" t="s">
        <v>3140</v>
      </c>
      <c r="B305" s="4" t="s">
        <v>3529</v>
      </c>
      <c r="C305" t="s">
        <v>3001</v>
      </c>
      <c r="D305">
        <v>23225</v>
      </c>
      <c r="E305" t="s">
        <v>3330</v>
      </c>
      <c r="F305">
        <v>550</v>
      </c>
      <c r="G305" t="s">
        <v>2998</v>
      </c>
      <c r="H305" t="s">
        <v>3002</v>
      </c>
      <c r="I305">
        <v>1</v>
      </c>
      <c r="J305" t="str">
        <f>VLOOKUP(A305,店舗コード!A:B,2,FALSE)</f>
        <v>20 NARITA</v>
      </c>
      <c r="O305" s="2"/>
    </row>
    <row r="306" spans="1:15">
      <c r="A306" t="s">
        <v>1846</v>
      </c>
      <c r="B306" s="4" t="s">
        <v>3011</v>
      </c>
      <c r="C306" t="s">
        <v>3001</v>
      </c>
      <c r="D306">
        <v>23510</v>
      </c>
      <c r="E306" t="s">
        <v>86</v>
      </c>
      <c r="F306">
        <v>302</v>
      </c>
      <c r="G306" t="s">
        <v>3273</v>
      </c>
      <c r="H306" t="s">
        <v>3002</v>
      </c>
      <c r="I306">
        <v>1</v>
      </c>
      <c r="J306" t="str">
        <f>VLOOKUP(A306,店舗コード!A:B,2,FALSE)</f>
        <v>07 TOKYO</v>
      </c>
      <c r="O306" s="2"/>
    </row>
    <row r="307" spans="1:15">
      <c r="A307" t="s">
        <v>2960</v>
      </c>
      <c r="B307" s="4" t="s">
        <v>104</v>
      </c>
      <c r="C307" t="s">
        <v>3001</v>
      </c>
      <c r="D307">
        <v>23510</v>
      </c>
      <c r="E307" t="s">
        <v>86</v>
      </c>
      <c r="F307">
        <v>326</v>
      </c>
      <c r="G307" t="s">
        <v>3013</v>
      </c>
      <c r="H307" t="s">
        <v>3002</v>
      </c>
      <c r="I307">
        <v>1</v>
      </c>
      <c r="J307" t="str">
        <f>VLOOKUP(A307,店舗コード!A:B,2,FALSE)</f>
        <v>13 京王新宿</v>
      </c>
      <c r="O307" s="2"/>
    </row>
    <row r="308" spans="1:15">
      <c r="A308" t="s">
        <v>2953</v>
      </c>
      <c r="B308" s="4" t="s">
        <v>3831</v>
      </c>
      <c r="C308" t="s">
        <v>3001</v>
      </c>
      <c r="D308">
        <v>83502</v>
      </c>
      <c r="E308" t="s">
        <v>3832</v>
      </c>
      <c r="F308">
        <v>620</v>
      </c>
      <c r="G308" t="s">
        <v>3026</v>
      </c>
      <c r="H308" t="s">
        <v>3030</v>
      </c>
      <c r="I308">
        <v>1</v>
      </c>
      <c r="J308" t="str">
        <f>VLOOKUP(A308,店舗コード!A:B,2,FALSE)</f>
        <v>04 名古屋</v>
      </c>
      <c r="O308" s="2"/>
    </row>
    <row r="309" spans="1:15">
      <c r="A309" t="s">
        <v>2953</v>
      </c>
      <c r="B309" s="4">
        <v>8689203052</v>
      </c>
      <c r="C309" t="s">
        <v>3001</v>
      </c>
      <c r="D309">
        <v>86892</v>
      </c>
      <c r="E309" t="s">
        <v>3524</v>
      </c>
      <c r="F309">
        <v>30</v>
      </c>
      <c r="G309" t="s">
        <v>3310</v>
      </c>
      <c r="H309">
        <v>52</v>
      </c>
      <c r="I309">
        <v>1</v>
      </c>
      <c r="J309" t="str">
        <f>VLOOKUP(A309,店舗コード!A:B,2,FALSE)</f>
        <v>04 名古屋</v>
      </c>
      <c r="O309" s="2"/>
    </row>
    <row r="310" spans="1:15">
      <c r="A310" t="s">
        <v>2953</v>
      </c>
      <c r="B310" s="4">
        <v>8689211852</v>
      </c>
      <c r="C310" t="s">
        <v>3001</v>
      </c>
      <c r="D310">
        <v>86892</v>
      </c>
      <c r="E310" t="s">
        <v>3524</v>
      </c>
      <c r="F310">
        <v>118</v>
      </c>
      <c r="G310" t="s">
        <v>3035</v>
      </c>
      <c r="H310">
        <v>52</v>
      </c>
      <c r="I310">
        <v>1</v>
      </c>
      <c r="J310" t="str">
        <f>VLOOKUP(A310,店舗コード!A:B,2,FALSE)</f>
        <v>04 名古屋</v>
      </c>
      <c r="O310" s="2"/>
    </row>
    <row r="311" spans="1:15">
      <c r="A311" t="s">
        <v>2953</v>
      </c>
      <c r="B311" s="4">
        <v>8689262552</v>
      </c>
      <c r="C311" t="s">
        <v>3001</v>
      </c>
      <c r="D311">
        <v>86892</v>
      </c>
      <c r="E311" t="s">
        <v>3524</v>
      </c>
      <c r="F311">
        <v>625</v>
      </c>
      <c r="G311" t="s">
        <v>3450</v>
      </c>
      <c r="H311">
        <v>52</v>
      </c>
      <c r="I311">
        <v>1</v>
      </c>
      <c r="J311" t="str">
        <f>VLOOKUP(A311,店舗コード!A:B,2,FALSE)</f>
        <v>04 名古屋</v>
      </c>
      <c r="O311" s="2"/>
    </row>
    <row r="312" spans="1:15">
      <c r="A312" t="s">
        <v>2980</v>
      </c>
      <c r="B312" s="4" t="s">
        <v>3447</v>
      </c>
      <c r="C312" t="s">
        <v>3001</v>
      </c>
      <c r="D312">
        <v>77357</v>
      </c>
      <c r="E312" t="s">
        <v>3036</v>
      </c>
      <c r="F312">
        <v>232</v>
      </c>
      <c r="G312" t="s">
        <v>3366</v>
      </c>
      <c r="H312" t="s">
        <v>3190</v>
      </c>
      <c r="I312">
        <v>1</v>
      </c>
      <c r="J312" t="str">
        <f>VLOOKUP(A312,店舗コード!A:B,2,FALSE)</f>
        <v>17 玉川高島屋</v>
      </c>
      <c r="O312" s="2"/>
    </row>
    <row r="313" spans="1:15">
      <c r="A313" t="s">
        <v>2960</v>
      </c>
      <c r="B313" s="4" t="s">
        <v>3833</v>
      </c>
      <c r="C313" t="s">
        <v>3001</v>
      </c>
      <c r="D313">
        <v>77277</v>
      </c>
      <c r="E313" t="s">
        <v>3480</v>
      </c>
      <c r="F313">
        <v>555</v>
      </c>
      <c r="G313" t="s">
        <v>3200</v>
      </c>
      <c r="H313" t="s">
        <v>3030</v>
      </c>
      <c r="I313">
        <v>1</v>
      </c>
      <c r="J313" t="str">
        <f>VLOOKUP(A313,店舗コード!A:B,2,FALSE)</f>
        <v>13 京王新宿</v>
      </c>
      <c r="O313" s="2"/>
    </row>
    <row r="314" spans="1:15">
      <c r="A314" t="s">
        <v>2960</v>
      </c>
      <c r="B314" s="4" t="s">
        <v>3834</v>
      </c>
      <c r="C314" t="s">
        <v>3001</v>
      </c>
      <c r="D314">
        <v>13100267</v>
      </c>
      <c r="E314" t="s">
        <v>3530</v>
      </c>
      <c r="F314">
        <v>570</v>
      </c>
      <c r="G314" t="s">
        <v>3393</v>
      </c>
      <c r="H314" t="s">
        <v>3270</v>
      </c>
      <c r="I314">
        <v>1</v>
      </c>
      <c r="J314" t="str">
        <f>VLOOKUP(A314,店舗コード!A:B,2,FALSE)</f>
        <v>13 京王新宿</v>
      </c>
      <c r="O314" s="2"/>
    </row>
    <row r="315" spans="1:15">
      <c r="A315" t="s">
        <v>2942</v>
      </c>
      <c r="B315" s="4" t="s">
        <v>85</v>
      </c>
      <c r="C315" t="s">
        <v>3001</v>
      </c>
      <c r="D315">
        <v>23510</v>
      </c>
      <c r="E315" t="s">
        <v>86</v>
      </c>
      <c r="F315">
        <v>21</v>
      </c>
      <c r="G315" t="s">
        <v>3439</v>
      </c>
      <c r="H315" t="s">
        <v>3002</v>
      </c>
      <c r="I315">
        <v>1</v>
      </c>
      <c r="J315" t="str">
        <f>VLOOKUP(A315,店舗コード!A:B,2,FALSE)</f>
        <v>08 ルクア大阪</v>
      </c>
      <c r="O315" s="2"/>
    </row>
    <row r="316" spans="1:15">
      <c r="A316" t="s">
        <v>1846</v>
      </c>
      <c r="B316" s="4" t="s">
        <v>3416</v>
      </c>
      <c r="C316" t="s">
        <v>3001</v>
      </c>
      <c r="D316">
        <v>23524</v>
      </c>
      <c r="E316" t="s">
        <v>3009</v>
      </c>
      <c r="F316">
        <v>457</v>
      </c>
      <c r="G316" t="s">
        <v>3019</v>
      </c>
      <c r="H316" t="s">
        <v>3002</v>
      </c>
      <c r="I316">
        <v>1</v>
      </c>
      <c r="J316" t="str">
        <f>VLOOKUP(A316,店舗コード!A:B,2,FALSE)</f>
        <v>07 TOKYO</v>
      </c>
      <c r="O316" s="2"/>
    </row>
    <row r="317" spans="1:15">
      <c r="A317" t="s">
        <v>2953</v>
      </c>
      <c r="B317" s="4" t="s">
        <v>3416</v>
      </c>
      <c r="C317" t="s">
        <v>3001</v>
      </c>
      <c r="D317">
        <v>23524</v>
      </c>
      <c r="E317" t="s">
        <v>3009</v>
      </c>
      <c r="F317">
        <v>457</v>
      </c>
      <c r="G317" t="s">
        <v>3019</v>
      </c>
      <c r="H317" t="s">
        <v>3002</v>
      </c>
      <c r="I317">
        <v>1</v>
      </c>
      <c r="J317" t="str">
        <f>VLOOKUP(A317,店舗コード!A:B,2,FALSE)</f>
        <v>04 名古屋</v>
      </c>
      <c r="O317" s="2"/>
    </row>
    <row r="318" spans="1:15">
      <c r="A318" t="s">
        <v>3140</v>
      </c>
      <c r="B318" s="4" t="s">
        <v>3406</v>
      </c>
      <c r="C318" t="s">
        <v>3001</v>
      </c>
      <c r="D318">
        <v>23524</v>
      </c>
      <c r="E318" t="s">
        <v>3009</v>
      </c>
      <c r="F318">
        <v>550</v>
      </c>
      <c r="G318" t="s">
        <v>2998</v>
      </c>
      <c r="H318" t="s">
        <v>3002</v>
      </c>
      <c r="I318">
        <v>1</v>
      </c>
      <c r="J318" t="str">
        <f>VLOOKUP(A318,店舗コード!A:B,2,FALSE)</f>
        <v>20 NARITA</v>
      </c>
      <c r="O318" s="2"/>
    </row>
    <row r="319" spans="1:15">
      <c r="A319" t="s">
        <v>3140</v>
      </c>
      <c r="B319" s="4" t="s">
        <v>3339</v>
      </c>
      <c r="C319" t="s">
        <v>3001</v>
      </c>
      <c r="D319">
        <v>23226</v>
      </c>
      <c r="E319" t="s">
        <v>3020</v>
      </c>
      <c r="F319">
        <v>550</v>
      </c>
      <c r="G319" t="s">
        <v>2998</v>
      </c>
      <c r="H319" t="s">
        <v>3002</v>
      </c>
      <c r="I319">
        <v>1</v>
      </c>
      <c r="J319" t="str">
        <f>VLOOKUP(A319,店舗コード!A:B,2,FALSE)</f>
        <v>20 NARITA</v>
      </c>
      <c r="O319" s="2"/>
    </row>
    <row r="320" spans="1:15">
      <c r="A320" t="s">
        <v>3140</v>
      </c>
      <c r="B320" s="4" t="s">
        <v>3384</v>
      </c>
      <c r="C320" t="s">
        <v>3001</v>
      </c>
      <c r="D320">
        <v>23226</v>
      </c>
      <c r="E320" t="s">
        <v>3020</v>
      </c>
      <c r="F320">
        <v>620</v>
      </c>
      <c r="G320" t="s">
        <v>3026</v>
      </c>
      <c r="H320" t="s">
        <v>3002</v>
      </c>
      <c r="I320">
        <v>1</v>
      </c>
      <c r="J320" t="str">
        <f>VLOOKUP(A320,店舗コード!A:B,2,FALSE)</f>
        <v>20 NARITA</v>
      </c>
      <c r="O320" s="2"/>
    </row>
    <row r="321" spans="1:15">
      <c r="A321" t="s">
        <v>3140</v>
      </c>
      <c r="B321" s="4" t="s">
        <v>2646</v>
      </c>
      <c r="C321" t="s">
        <v>3001</v>
      </c>
      <c r="D321">
        <v>23797</v>
      </c>
      <c r="E321" t="s">
        <v>2735</v>
      </c>
      <c r="F321">
        <v>160</v>
      </c>
      <c r="G321" t="s">
        <v>3440</v>
      </c>
      <c r="H321" t="s">
        <v>3002</v>
      </c>
      <c r="I321">
        <v>1</v>
      </c>
      <c r="J321" t="str">
        <f>VLOOKUP(A321,店舗コード!A:B,2,FALSE)</f>
        <v>20 NARITA</v>
      </c>
      <c r="O321" s="2"/>
    </row>
    <row r="322" spans="1:15">
      <c r="A322" t="s">
        <v>3140</v>
      </c>
      <c r="B322" s="4" t="s">
        <v>3484</v>
      </c>
      <c r="C322" t="s">
        <v>3001</v>
      </c>
      <c r="D322">
        <v>23623</v>
      </c>
      <c r="E322" t="s">
        <v>3485</v>
      </c>
      <c r="F322" t="s">
        <v>3426</v>
      </c>
      <c r="G322" t="s">
        <v>3427</v>
      </c>
      <c r="H322" t="s">
        <v>3002</v>
      </c>
      <c r="I322">
        <v>1</v>
      </c>
      <c r="J322" t="str">
        <f>VLOOKUP(A322,店舗コード!A:B,2,FALSE)</f>
        <v>20 NARITA</v>
      </c>
      <c r="O322" s="2"/>
    </row>
    <row r="323" spans="1:15">
      <c r="A323" t="s">
        <v>2980</v>
      </c>
      <c r="B323" s="4" t="s">
        <v>3416</v>
      </c>
      <c r="C323" t="s">
        <v>3001</v>
      </c>
      <c r="D323">
        <v>23524</v>
      </c>
      <c r="E323" t="s">
        <v>3009</v>
      </c>
      <c r="F323">
        <v>457</v>
      </c>
      <c r="G323" t="s">
        <v>3019</v>
      </c>
      <c r="H323" t="s">
        <v>3002</v>
      </c>
      <c r="I323">
        <v>1</v>
      </c>
      <c r="J323" t="str">
        <f>VLOOKUP(A323,店舗コード!A:B,2,FALSE)</f>
        <v>17 玉川高島屋</v>
      </c>
      <c r="O323" s="2"/>
    </row>
    <row r="324" spans="1:15">
      <c r="A324" t="s">
        <v>2944</v>
      </c>
      <c r="B324" s="4" t="s">
        <v>3835</v>
      </c>
      <c r="C324" t="s">
        <v>3001</v>
      </c>
      <c r="D324">
        <v>14600167</v>
      </c>
      <c r="E324" t="s">
        <v>3836</v>
      </c>
      <c r="F324">
        <v>560</v>
      </c>
      <c r="G324" t="s">
        <v>3025</v>
      </c>
      <c r="H324" t="s">
        <v>2999</v>
      </c>
      <c r="I324">
        <v>1</v>
      </c>
      <c r="J324" t="str">
        <f>VLOOKUP(A324,店舗コード!A:B,2,FALSE)</f>
        <v>10 ヒュッテ</v>
      </c>
      <c r="O324" s="2"/>
    </row>
    <row r="325" spans="1:15">
      <c r="A325" t="s">
        <v>2944</v>
      </c>
      <c r="B325" s="4" t="s">
        <v>3837</v>
      </c>
      <c r="C325" t="s">
        <v>3001</v>
      </c>
      <c r="D325">
        <v>82606</v>
      </c>
      <c r="E325" t="s">
        <v>3838</v>
      </c>
      <c r="F325">
        <v>550</v>
      </c>
      <c r="G325" t="s">
        <v>2998</v>
      </c>
      <c r="H325" t="s">
        <v>2999</v>
      </c>
      <c r="I325">
        <v>1</v>
      </c>
      <c r="J325" t="str">
        <f>VLOOKUP(A325,店舗コード!A:B,2,FALSE)</f>
        <v>10 ヒュッテ</v>
      </c>
      <c r="O325" s="2"/>
    </row>
    <row r="326" spans="1:15">
      <c r="A326" t="s">
        <v>2942</v>
      </c>
      <c r="B326" s="4" t="s">
        <v>3367</v>
      </c>
      <c r="C326" t="s">
        <v>3001</v>
      </c>
      <c r="D326">
        <v>23200301</v>
      </c>
      <c r="E326" t="s">
        <v>3368</v>
      </c>
      <c r="F326">
        <v>37</v>
      </c>
      <c r="G326" t="s">
        <v>3302</v>
      </c>
      <c r="H326" t="s">
        <v>3002</v>
      </c>
      <c r="I326">
        <v>1</v>
      </c>
      <c r="J326" t="str">
        <f>VLOOKUP(A326,店舗コード!A:B,2,FALSE)</f>
        <v>08 ルクア大阪</v>
      </c>
      <c r="O326" s="2"/>
    </row>
    <row r="327" spans="1:15">
      <c r="A327" t="s">
        <v>2942</v>
      </c>
      <c r="B327" s="4" t="s">
        <v>3842</v>
      </c>
      <c r="C327" t="s">
        <v>3001</v>
      </c>
      <c r="D327">
        <v>84118</v>
      </c>
      <c r="E327" t="s">
        <v>3431</v>
      </c>
      <c r="F327" t="s">
        <v>3432</v>
      </c>
      <c r="G327" t="s">
        <v>3433</v>
      </c>
      <c r="H327" t="s">
        <v>3191</v>
      </c>
      <c r="I327">
        <v>1</v>
      </c>
      <c r="J327" t="str">
        <f>VLOOKUP(A327,店舗コード!A:B,2,FALSE)</f>
        <v>08 ルクア大阪</v>
      </c>
      <c r="O327" s="2"/>
    </row>
    <row r="328" spans="1:15">
      <c r="A328" t="s">
        <v>2942</v>
      </c>
      <c r="B328" s="4" t="s">
        <v>3839</v>
      </c>
      <c r="C328" t="s">
        <v>3001</v>
      </c>
      <c r="D328">
        <v>89849</v>
      </c>
      <c r="E328" t="s">
        <v>3840</v>
      </c>
      <c r="F328">
        <v>133</v>
      </c>
      <c r="G328" t="s">
        <v>3841</v>
      </c>
      <c r="H328" t="s">
        <v>3191</v>
      </c>
      <c r="I328">
        <v>1</v>
      </c>
      <c r="J328" t="str">
        <f>VLOOKUP(A328,店舗コード!A:B,2,FALSE)</f>
        <v>08 ルクア大阪</v>
      </c>
      <c r="O328" s="2"/>
    </row>
    <row r="329" spans="1:15">
      <c r="A329" t="s">
        <v>2953</v>
      </c>
      <c r="B329" s="4" t="s">
        <v>2183</v>
      </c>
      <c r="C329" t="s">
        <v>3001</v>
      </c>
      <c r="D329">
        <v>79104</v>
      </c>
      <c r="E329" t="s">
        <v>2184</v>
      </c>
      <c r="H329" t="s">
        <v>3002</v>
      </c>
      <c r="I329">
        <v>1</v>
      </c>
      <c r="J329" t="str">
        <f>VLOOKUP(A329,店舗コード!A:B,2,FALSE)</f>
        <v>04 名古屋</v>
      </c>
      <c r="O329" s="2"/>
    </row>
    <row r="330" spans="1:15">
      <c r="A330" t="s">
        <v>2953</v>
      </c>
      <c r="B330" s="4" t="s">
        <v>3843</v>
      </c>
      <c r="C330" t="s">
        <v>3001</v>
      </c>
      <c r="D330">
        <v>87176</v>
      </c>
      <c r="E330" t="s">
        <v>2858</v>
      </c>
      <c r="F330">
        <v>550</v>
      </c>
      <c r="G330" t="s">
        <v>2998</v>
      </c>
      <c r="H330" t="s">
        <v>3477</v>
      </c>
      <c r="I330">
        <v>1</v>
      </c>
      <c r="J330" t="str">
        <f>VLOOKUP(A330,店舗コード!A:B,2,FALSE)</f>
        <v>04 名古屋</v>
      </c>
      <c r="O330" s="2"/>
    </row>
    <row r="331" spans="1:15">
      <c r="A331" t="s">
        <v>2942</v>
      </c>
      <c r="B331" s="4">
        <v>8689211848</v>
      </c>
      <c r="C331" t="s">
        <v>3001</v>
      </c>
      <c r="D331">
        <v>86892</v>
      </c>
      <c r="E331" t="s">
        <v>3524</v>
      </c>
      <c r="F331">
        <v>118</v>
      </c>
      <c r="G331" t="s">
        <v>3035</v>
      </c>
      <c r="H331">
        <v>48</v>
      </c>
      <c r="I331">
        <v>1</v>
      </c>
      <c r="J331" t="str">
        <f>VLOOKUP(A331,店舗コード!A:B,2,FALSE)</f>
        <v>08 ルクア大阪</v>
      </c>
      <c r="O331" s="2"/>
    </row>
    <row r="332" spans="1:15">
      <c r="A332" t="s">
        <v>2944</v>
      </c>
      <c r="B332" s="4" t="s">
        <v>3844</v>
      </c>
      <c r="C332" t="s">
        <v>3001</v>
      </c>
      <c r="D332">
        <v>12600216</v>
      </c>
      <c r="E332" t="s">
        <v>3528</v>
      </c>
      <c r="F332">
        <v>113</v>
      </c>
      <c r="G332" t="s">
        <v>3349</v>
      </c>
      <c r="H332" t="s">
        <v>3029</v>
      </c>
      <c r="I332">
        <v>1</v>
      </c>
      <c r="J332" t="str">
        <f>VLOOKUP(A332,店舗コード!A:B,2,FALSE)</f>
        <v>10 ヒュッテ</v>
      </c>
      <c r="O332" s="2"/>
    </row>
    <row r="333" spans="1:15">
      <c r="A333" t="s">
        <v>2944</v>
      </c>
      <c r="B333" s="4" t="s">
        <v>3845</v>
      </c>
      <c r="C333" t="s">
        <v>3001</v>
      </c>
      <c r="D333">
        <v>77407</v>
      </c>
      <c r="E333" t="s">
        <v>3380</v>
      </c>
      <c r="F333">
        <v>626</v>
      </c>
      <c r="G333" t="s">
        <v>3381</v>
      </c>
      <c r="H333" t="s">
        <v>3270</v>
      </c>
      <c r="I333">
        <v>1</v>
      </c>
      <c r="J333" t="str">
        <f>VLOOKUP(A333,店舗コード!A:B,2,FALSE)</f>
        <v>10 ヒュッテ</v>
      </c>
      <c r="O333" s="2"/>
    </row>
    <row r="334" spans="1:15">
      <c r="A334" t="s">
        <v>2960</v>
      </c>
      <c r="B334" s="4" t="s">
        <v>3846</v>
      </c>
      <c r="C334" t="s">
        <v>3001</v>
      </c>
      <c r="D334">
        <v>27248</v>
      </c>
      <c r="E334" t="s">
        <v>3847</v>
      </c>
      <c r="F334">
        <v>326</v>
      </c>
      <c r="G334" t="s">
        <v>3013</v>
      </c>
      <c r="H334" t="s">
        <v>3002</v>
      </c>
      <c r="I334">
        <v>1</v>
      </c>
      <c r="J334" t="str">
        <f>VLOOKUP(A334,店舗コード!A:B,2,FALSE)</f>
        <v>13 京王新宿</v>
      </c>
      <c r="O334" s="2"/>
    </row>
    <row r="335" spans="1:15">
      <c r="A335" t="s">
        <v>2944</v>
      </c>
      <c r="B335" s="4" t="s">
        <v>731</v>
      </c>
      <c r="C335" t="s">
        <v>3001</v>
      </c>
      <c r="D335">
        <v>79030</v>
      </c>
      <c r="E335" t="s">
        <v>732</v>
      </c>
      <c r="H335" t="s">
        <v>3002</v>
      </c>
      <c r="I335">
        <v>1</v>
      </c>
      <c r="J335" t="str">
        <f>VLOOKUP(A335,店舗コード!A:B,2,FALSE)</f>
        <v>10 ヒュッテ</v>
      </c>
      <c r="O335" s="2"/>
    </row>
    <row r="336" spans="1:15">
      <c r="A336" t="s">
        <v>2993</v>
      </c>
      <c r="B336" s="4" t="s">
        <v>3340</v>
      </c>
      <c r="C336" t="s">
        <v>3001</v>
      </c>
      <c r="D336">
        <v>23223</v>
      </c>
      <c r="E336" t="s">
        <v>3016</v>
      </c>
      <c r="F336">
        <v>560</v>
      </c>
      <c r="G336" t="s">
        <v>3025</v>
      </c>
      <c r="H336" t="s">
        <v>3002</v>
      </c>
      <c r="I336">
        <v>1</v>
      </c>
      <c r="J336" t="str">
        <f>VLOOKUP(A336,店舗コード!A:B,2,FALSE)</f>
        <v>15 大丸心斎橋</v>
      </c>
      <c r="O336" s="2"/>
    </row>
    <row r="337" spans="1:15">
      <c r="A337" t="s">
        <v>2942</v>
      </c>
      <c r="B337" s="4" t="s">
        <v>3848</v>
      </c>
      <c r="C337" t="s">
        <v>3001</v>
      </c>
      <c r="D337">
        <v>23710</v>
      </c>
      <c r="E337" t="s">
        <v>3424</v>
      </c>
      <c r="F337">
        <v>560</v>
      </c>
      <c r="G337" t="s">
        <v>3025</v>
      </c>
      <c r="H337" t="s">
        <v>3002</v>
      </c>
      <c r="I337">
        <v>1</v>
      </c>
      <c r="J337" t="str">
        <f>VLOOKUP(A337,店舗コード!A:B,2,FALSE)</f>
        <v>08 ルクア大阪</v>
      </c>
      <c r="O337" s="2"/>
    </row>
    <row r="338" spans="1:15">
      <c r="A338" t="s">
        <v>2942</v>
      </c>
      <c r="B338" s="4" t="s">
        <v>3849</v>
      </c>
      <c r="C338" t="s">
        <v>3001</v>
      </c>
      <c r="D338">
        <v>25862</v>
      </c>
      <c r="E338" t="s">
        <v>3737</v>
      </c>
      <c r="F338">
        <v>312</v>
      </c>
      <c r="G338" t="s">
        <v>3003</v>
      </c>
      <c r="H338" t="s">
        <v>3002</v>
      </c>
      <c r="I338">
        <v>1</v>
      </c>
      <c r="J338" t="str">
        <f>VLOOKUP(A338,店舗コード!A:B,2,FALSE)</f>
        <v>08 ルクア大阪</v>
      </c>
      <c r="O338" s="2"/>
    </row>
    <row r="339" spans="1:15">
      <c r="A339" t="s">
        <v>2942</v>
      </c>
      <c r="B339" s="4" t="s">
        <v>733</v>
      </c>
      <c r="C339" t="s">
        <v>3001</v>
      </c>
      <c r="D339">
        <v>79060</v>
      </c>
      <c r="E339" t="s">
        <v>734</v>
      </c>
      <c r="H339" t="s">
        <v>3002</v>
      </c>
      <c r="I339">
        <v>1</v>
      </c>
      <c r="J339" t="str">
        <f>VLOOKUP(A339,店舗コード!A:B,2,FALSE)</f>
        <v>08 ルクア大阪</v>
      </c>
      <c r="O339" s="2"/>
    </row>
    <row r="340" spans="1:15">
      <c r="A340" t="s">
        <v>2960</v>
      </c>
      <c r="B340" s="4" t="s">
        <v>3850</v>
      </c>
      <c r="C340" t="s">
        <v>3001</v>
      </c>
      <c r="D340">
        <v>13100181</v>
      </c>
      <c r="E340" t="s">
        <v>3442</v>
      </c>
      <c r="F340">
        <v>550</v>
      </c>
      <c r="G340" t="s">
        <v>2998</v>
      </c>
      <c r="H340" t="s">
        <v>3190</v>
      </c>
      <c r="I340">
        <v>1</v>
      </c>
      <c r="J340" t="str">
        <f>VLOOKUP(A340,店舗コード!A:B,2,FALSE)</f>
        <v>13 京王新宿</v>
      </c>
      <c r="O340" s="2"/>
    </row>
    <row r="341" spans="1:15">
      <c r="A341" t="s">
        <v>2960</v>
      </c>
      <c r="B341" s="4" t="s">
        <v>3525</v>
      </c>
      <c r="C341" t="s">
        <v>3001</v>
      </c>
      <c r="D341">
        <v>23200247</v>
      </c>
      <c r="E341" t="s">
        <v>1991</v>
      </c>
      <c r="F341">
        <v>550</v>
      </c>
      <c r="G341" t="s">
        <v>2998</v>
      </c>
      <c r="H341" t="s">
        <v>3002</v>
      </c>
      <c r="I341">
        <v>1</v>
      </c>
      <c r="J341" t="str">
        <f>VLOOKUP(A341,店舗コード!A:B,2,FALSE)</f>
        <v>13 京王新宿</v>
      </c>
      <c r="O341" s="2"/>
    </row>
    <row r="342" spans="1:15">
      <c r="A342" t="s">
        <v>3140</v>
      </c>
      <c r="B342" s="4" t="s">
        <v>2657</v>
      </c>
      <c r="C342" t="s">
        <v>3001</v>
      </c>
      <c r="D342">
        <v>23797</v>
      </c>
      <c r="E342" t="s">
        <v>2735</v>
      </c>
      <c r="F342">
        <v>560</v>
      </c>
      <c r="G342" t="s">
        <v>3421</v>
      </c>
      <c r="H342" t="s">
        <v>3002</v>
      </c>
      <c r="I342">
        <v>1</v>
      </c>
      <c r="J342" t="str">
        <f>VLOOKUP(A342,店舗コード!A:B,2,FALSE)</f>
        <v>20 NARITA</v>
      </c>
      <c r="O342" s="2"/>
    </row>
    <row r="343" spans="1:15">
      <c r="A343" t="s">
        <v>2953</v>
      </c>
      <c r="B343" s="4" t="s">
        <v>3852</v>
      </c>
      <c r="C343" t="s">
        <v>3001</v>
      </c>
      <c r="D343">
        <v>14600188</v>
      </c>
      <c r="E343" t="s">
        <v>3430</v>
      </c>
      <c r="F343">
        <v>113</v>
      </c>
      <c r="G343" t="s">
        <v>3349</v>
      </c>
      <c r="H343" t="s">
        <v>3030</v>
      </c>
      <c r="I343">
        <v>1</v>
      </c>
      <c r="J343" t="str">
        <f>VLOOKUP(A343,店舗コード!A:B,2,FALSE)</f>
        <v>04 名古屋</v>
      </c>
      <c r="O343" s="2"/>
    </row>
    <row r="344" spans="1:15">
      <c r="A344" t="s">
        <v>2953</v>
      </c>
      <c r="B344" s="4">
        <v>8689211846</v>
      </c>
      <c r="C344" t="s">
        <v>3001</v>
      </c>
      <c r="D344">
        <v>86892</v>
      </c>
      <c r="E344" t="s">
        <v>3524</v>
      </c>
      <c r="F344">
        <v>118</v>
      </c>
      <c r="G344" t="s">
        <v>3035</v>
      </c>
      <c r="H344">
        <v>46</v>
      </c>
      <c r="I344">
        <v>1</v>
      </c>
      <c r="J344" t="str">
        <f>VLOOKUP(A344,店舗コード!A:B,2,FALSE)</f>
        <v>04 名古屋</v>
      </c>
      <c r="O344" s="2"/>
    </row>
    <row r="345" spans="1:15">
      <c r="A345" t="s">
        <v>2953</v>
      </c>
      <c r="B345" s="4" t="s">
        <v>3851</v>
      </c>
      <c r="C345" t="s">
        <v>3001</v>
      </c>
      <c r="D345">
        <v>87039</v>
      </c>
      <c r="E345" t="s">
        <v>3306</v>
      </c>
      <c r="F345">
        <v>300</v>
      </c>
      <c r="G345" t="s">
        <v>3314</v>
      </c>
      <c r="H345" t="s">
        <v>2999</v>
      </c>
      <c r="I345">
        <v>1</v>
      </c>
      <c r="J345" t="str">
        <f>VLOOKUP(A345,店舗コード!A:B,2,FALSE)</f>
        <v>04 名古屋</v>
      </c>
      <c r="O345" s="2"/>
    </row>
    <row r="346" spans="1:15">
      <c r="A346" t="s">
        <v>2942</v>
      </c>
      <c r="B346" s="4" t="s">
        <v>2965</v>
      </c>
      <c r="C346" t="s">
        <v>3001</v>
      </c>
      <c r="D346">
        <v>23510</v>
      </c>
      <c r="E346" t="s">
        <v>86</v>
      </c>
      <c r="F346">
        <v>424</v>
      </c>
      <c r="G346" t="s">
        <v>3017</v>
      </c>
      <c r="H346" t="s">
        <v>3002</v>
      </c>
      <c r="I346">
        <v>1</v>
      </c>
      <c r="J346" t="str">
        <f>VLOOKUP(A346,店舗コード!A:B,2,FALSE)</f>
        <v>08 ルクア大阪</v>
      </c>
      <c r="O346" s="2"/>
    </row>
    <row r="347" spans="1:15">
      <c r="A347" t="s">
        <v>2942</v>
      </c>
      <c r="B347" s="4" t="s">
        <v>2016</v>
      </c>
      <c r="C347" t="s">
        <v>3001</v>
      </c>
      <c r="D347">
        <v>23785</v>
      </c>
      <c r="E347" t="s">
        <v>2007</v>
      </c>
      <c r="F347">
        <v>620</v>
      </c>
      <c r="G347" t="s">
        <v>3026</v>
      </c>
      <c r="H347" t="s">
        <v>3002</v>
      </c>
      <c r="I347">
        <v>1</v>
      </c>
      <c r="J347" t="str">
        <f>VLOOKUP(A347,店舗コード!A:B,2,FALSE)</f>
        <v>08 ルクア大阪</v>
      </c>
      <c r="O347" s="2"/>
    </row>
    <row r="348" spans="1:15">
      <c r="A348" t="s">
        <v>2953</v>
      </c>
      <c r="B348" s="4" t="s">
        <v>3853</v>
      </c>
      <c r="C348" t="s">
        <v>3001</v>
      </c>
      <c r="D348">
        <v>87178</v>
      </c>
      <c r="E348" t="s">
        <v>3481</v>
      </c>
      <c r="F348">
        <v>633</v>
      </c>
      <c r="G348" t="s">
        <v>3347</v>
      </c>
      <c r="H348" t="s">
        <v>3509</v>
      </c>
      <c r="I348">
        <v>1</v>
      </c>
      <c r="J348" t="str">
        <f>VLOOKUP(A348,店舗コード!A:B,2,FALSE)</f>
        <v>04 名古屋</v>
      </c>
      <c r="O348" s="2"/>
    </row>
    <row r="349" spans="1:15">
      <c r="A349" t="s">
        <v>1846</v>
      </c>
      <c r="B349" s="4" t="s">
        <v>3011</v>
      </c>
      <c r="C349" t="s">
        <v>3001</v>
      </c>
      <c r="D349">
        <v>23510</v>
      </c>
      <c r="E349" t="s">
        <v>86</v>
      </c>
      <c r="F349">
        <v>302</v>
      </c>
      <c r="G349" t="s">
        <v>3273</v>
      </c>
      <c r="H349" t="s">
        <v>3002</v>
      </c>
      <c r="I349">
        <v>1</v>
      </c>
      <c r="J349" t="str">
        <f>VLOOKUP(A349,店舗コード!A:B,2,FALSE)</f>
        <v>07 TOKYO</v>
      </c>
      <c r="O349" s="2"/>
    </row>
    <row r="350" spans="1:15">
      <c r="A350" t="s">
        <v>1846</v>
      </c>
      <c r="B350" s="4" t="s">
        <v>3501</v>
      </c>
      <c r="C350" t="s">
        <v>3001</v>
      </c>
      <c r="D350">
        <v>23200330</v>
      </c>
      <c r="E350" t="s">
        <v>3331</v>
      </c>
      <c r="F350">
        <v>560</v>
      </c>
      <c r="G350" t="s">
        <v>3025</v>
      </c>
      <c r="H350" t="s">
        <v>3002</v>
      </c>
      <c r="I350">
        <v>1</v>
      </c>
      <c r="J350" t="str">
        <f>VLOOKUP(A350,店舗コード!A:B,2,FALSE)</f>
        <v>07 TOKYO</v>
      </c>
      <c r="O350" s="2"/>
    </row>
    <row r="351" spans="1:15">
      <c r="A351" t="s">
        <v>2944</v>
      </c>
      <c r="B351" s="4" t="s">
        <v>3255</v>
      </c>
      <c r="C351" t="s">
        <v>3001</v>
      </c>
      <c r="D351">
        <v>13100182</v>
      </c>
      <c r="E351" t="s">
        <v>3767</v>
      </c>
      <c r="F351">
        <v>118</v>
      </c>
      <c r="G351" t="s">
        <v>3035</v>
      </c>
      <c r="H351" t="s">
        <v>3190</v>
      </c>
      <c r="I351">
        <v>1</v>
      </c>
      <c r="J351" t="str">
        <f>VLOOKUP(A351,店舗コード!A:B,2,FALSE)</f>
        <v>10 ヒュッテ</v>
      </c>
      <c r="O351" s="2"/>
    </row>
    <row r="352" spans="1:15">
      <c r="A352" t="s">
        <v>2944</v>
      </c>
      <c r="B352" s="4" t="s">
        <v>3449</v>
      </c>
      <c r="C352" t="s">
        <v>3001</v>
      </c>
      <c r="D352">
        <v>13100237</v>
      </c>
      <c r="E352" t="s">
        <v>3383</v>
      </c>
      <c r="F352">
        <v>625</v>
      </c>
      <c r="G352" t="s">
        <v>3450</v>
      </c>
      <c r="H352" t="s">
        <v>3190</v>
      </c>
      <c r="I352">
        <v>1</v>
      </c>
      <c r="J352" t="str">
        <f>VLOOKUP(A352,店舗コード!A:B,2,FALSE)</f>
        <v>10 ヒュッテ</v>
      </c>
      <c r="O352" s="2"/>
    </row>
    <row r="353" spans="1:15">
      <c r="A353" t="s">
        <v>2944</v>
      </c>
      <c r="B353" s="4" t="s">
        <v>3429</v>
      </c>
      <c r="C353" t="s">
        <v>3001</v>
      </c>
      <c r="D353">
        <v>14600188</v>
      </c>
      <c r="E353" t="s">
        <v>3430</v>
      </c>
      <c r="F353">
        <v>113</v>
      </c>
      <c r="G353" t="s">
        <v>3349</v>
      </c>
      <c r="H353" t="s">
        <v>3191</v>
      </c>
      <c r="I353">
        <v>1</v>
      </c>
      <c r="J353" t="str">
        <f>VLOOKUP(A353,店舗コード!A:B,2,FALSE)</f>
        <v>10 ヒュッテ</v>
      </c>
      <c r="O353" s="2"/>
    </row>
    <row r="354" spans="1:15">
      <c r="A354" t="s">
        <v>2944</v>
      </c>
      <c r="B354" s="4" t="s">
        <v>3492</v>
      </c>
      <c r="C354" t="s">
        <v>3001</v>
      </c>
      <c r="D354">
        <v>23222</v>
      </c>
      <c r="E354" t="s">
        <v>3193</v>
      </c>
      <c r="F354">
        <v>16</v>
      </c>
      <c r="G354" t="s">
        <v>3008</v>
      </c>
      <c r="H354" t="s">
        <v>3002</v>
      </c>
      <c r="I354">
        <v>1</v>
      </c>
      <c r="J354" t="str">
        <f>VLOOKUP(A354,店舗コード!A:B,2,FALSE)</f>
        <v>10 ヒュッテ</v>
      </c>
      <c r="O354" s="2"/>
    </row>
    <row r="355" spans="1:15">
      <c r="A355" t="s">
        <v>2960</v>
      </c>
      <c r="B355" s="4" t="s">
        <v>3367</v>
      </c>
      <c r="C355" t="s">
        <v>3001</v>
      </c>
      <c r="D355">
        <v>23200301</v>
      </c>
      <c r="E355" t="s">
        <v>3368</v>
      </c>
      <c r="F355">
        <v>37</v>
      </c>
      <c r="G355" t="s">
        <v>3302</v>
      </c>
      <c r="H355" t="s">
        <v>3002</v>
      </c>
      <c r="I355">
        <v>1</v>
      </c>
      <c r="J355" t="str">
        <f>VLOOKUP(A355,店舗コード!A:B,2,FALSE)</f>
        <v>13 京王新宿</v>
      </c>
      <c r="O355" s="2"/>
    </row>
    <row r="356" spans="1:15">
      <c r="A356" t="s">
        <v>3140</v>
      </c>
      <c r="B356" s="4" t="s">
        <v>2976</v>
      </c>
      <c r="C356" t="s">
        <v>3001</v>
      </c>
      <c r="D356">
        <v>23510</v>
      </c>
      <c r="E356" t="s">
        <v>86</v>
      </c>
      <c r="F356" t="s">
        <v>3021</v>
      </c>
      <c r="G356" t="s">
        <v>3022</v>
      </c>
      <c r="H356" t="s">
        <v>3002</v>
      </c>
      <c r="I356">
        <v>1</v>
      </c>
      <c r="J356" t="str">
        <f>VLOOKUP(A356,店舗コード!A:B,2,FALSE)</f>
        <v>20 NARITA</v>
      </c>
      <c r="O356" s="2"/>
    </row>
    <row r="357" spans="1:15">
      <c r="A357" t="s">
        <v>1846</v>
      </c>
      <c r="B357" s="4" t="s">
        <v>731</v>
      </c>
      <c r="C357" t="s">
        <v>3001</v>
      </c>
      <c r="D357">
        <v>79030</v>
      </c>
      <c r="E357" t="s">
        <v>732</v>
      </c>
      <c r="H357" t="s">
        <v>3002</v>
      </c>
      <c r="I357">
        <v>1</v>
      </c>
      <c r="J357" t="str">
        <f>VLOOKUP(A357,店舗コード!A:B,2,FALSE)</f>
        <v>07 TOKYO</v>
      </c>
      <c r="O357" s="2"/>
    </row>
    <row r="358" spans="1:15">
      <c r="A358" t="s">
        <v>1846</v>
      </c>
      <c r="B358" s="4" t="s">
        <v>3279</v>
      </c>
      <c r="C358" t="s">
        <v>3001</v>
      </c>
      <c r="D358">
        <v>23345</v>
      </c>
      <c r="E358" t="s">
        <v>3031</v>
      </c>
      <c r="F358">
        <v>560</v>
      </c>
      <c r="G358" t="s">
        <v>3025</v>
      </c>
      <c r="H358" t="s">
        <v>3002</v>
      </c>
      <c r="I358">
        <v>1</v>
      </c>
      <c r="J358" t="str">
        <f>VLOOKUP(A358,店舗コード!A:B,2,FALSE)</f>
        <v>07 TOKYO</v>
      </c>
      <c r="O358" s="2"/>
    </row>
    <row r="359" spans="1:15">
      <c r="A359" t="s">
        <v>2944</v>
      </c>
      <c r="B359" s="4" t="s">
        <v>3441</v>
      </c>
      <c r="C359" t="s">
        <v>3001</v>
      </c>
      <c r="D359">
        <v>13100181</v>
      </c>
      <c r="E359" t="s">
        <v>3442</v>
      </c>
      <c r="F359">
        <v>232</v>
      </c>
      <c r="G359" t="s">
        <v>3366</v>
      </c>
      <c r="H359" t="s">
        <v>3270</v>
      </c>
      <c r="I359">
        <v>1</v>
      </c>
      <c r="J359" t="str">
        <f>VLOOKUP(A359,店舗コード!A:B,2,FALSE)</f>
        <v>10 ヒュッテ</v>
      </c>
      <c r="O359" s="2"/>
    </row>
    <row r="360" spans="1:15">
      <c r="A360" t="s">
        <v>2942</v>
      </c>
      <c r="B360" s="4" t="s">
        <v>2965</v>
      </c>
      <c r="C360" t="s">
        <v>3001</v>
      </c>
      <c r="D360">
        <v>23510</v>
      </c>
      <c r="E360" t="s">
        <v>86</v>
      </c>
      <c r="F360">
        <v>424</v>
      </c>
      <c r="G360" t="s">
        <v>3017</v>
      </c>
      <c r="H360" t="s">
        <v>3002</v>
      </c>
      <c r="I360">
        <v>1</v>
      </c>
      <c r="J360" t="str">
        <f>VLOOKUP(A360,店舗コード!A:B,2,FALSE)</f>
        <v>08 ルクア大阪</v>
      </c>
      <c r="O360" s="2"/>
    </row>
    <row r="361" spans="1:15">
      <c r="A361" t="s">
        <v>2942</v>
      </c>
      <c r="B361" s="4" t="s">
        <v>2965</v>
      </c>
      <c r="C361" t="s">
        <v>3001</v>
      </c>
      <c r="D361">
        <v>23510</v>
      </c>
      <c r="E361" t="s">
        <v>86</v>
      </c>
      <c r="F361">
        <v>424</v>
      </c>
      <c r="G361" t="s">
        <v>3017</v>
      </c>
      <c r="H361" t="s">
        <v>3002</v>
      </c>
      <c r="I361">
        <v>1</v>
      </c>
      <c r="J361" t="str">
        <f>VLOOKUP(A361,店舗コード!A:B,2,FALSE)</f>
        <v>08 ルクア大阪</v>
      </c>
      <c r="O361" s="2"/>
    </row>
    <row r="362" spans="1:15">
      <c r="A362" t="s">
        <v>1846</v>
      </c>
      <c r="B362" s="4" t="s">
        <v>3386</v>
      </c>
      <c r="C362" t="s">
        <v>3001</v>
      </c>
      <c r="D362">
        <v>23200303</v>
      </c>
      <c r="E362" t="s">
        <v>3387</v>
      </c>
      <c r="F362">
        <v>620</v>
      </c>
      <c r="G362" t="s">
        <v>3026</v>
      </c>
      <c r="H362" t="s">
        <v>3002</v>
      </c>
      <c r="I362">
        <v>1</v>
      </c>
      <c r="J362" t="str">
        <f>VLOOKUP(A362,店舗コード!A:B,2,FALSE)</f>
        <v>07 TOKYO</v>
      </c>
      <c r="O362" s="2"/>
    </row>
    <row r="363" spans="1:15">
      <c r="A363" t="s">
        <v>1846</v>
      </c>
      <c r="B363" s="4" t="s">
        <v>2069</v>
      </c>
      <c r="C363" t="s">
        <v>3001</v>
      </c>
      <c r="D363">
        <v>25857</v>
      </c>
      <c r="E363" t="s">
        <v>2070</v>
      </c>
      <c r="F363">
        <v>525</v>
      </c>
      <c r="G363" t="s">
        <v>3761</v>
      </c>
      <c r="H363" t="s">
        <v>3002</v>
      </c>
      <c r="I363">
        <v>1</v>
      </c>
      <c r="J363" t="str">
        <f>VLOOKUP(A363,店舗コード!A:B,2,FALSE)</f>
        <v>07 TOKYO</v>
      </c>
      <c r="O363" s="2"/>
    </row>
    <row r="364" spans="1:15">
      <c r="A364" t="s">
        <v>2942</v>
      </c>
      <c r="B364" s="4" t="s">
        <v>3412</v>
      </c>
      <c r="C364" t="s">
        <v>3001</v>
      </c>
      <c r="D364">
        <v>23200337</v>
      </c>
      <c r="E364" t="s">
        <v>3042</v>
      </c>
      <c r="F364">
        <v>550</v>
      </c>
      <c r="G364" t="s">
        <v>2998</v>
      </c>
      <c r="H364" t="s">
        <v>3002</v>
      </c>
      <c r="I364">
        <v>1</v>
      </c>
      <c r="J364" t="str">
        <f>VLOOKUP(A364,店舗コード!A:B,2,FALSE)</f>
        <v>08 ルクア大阪</v>
      </c>
      <c r="O364" s="2"/>
    </row>
    <row r="365" spans="1:15">
      <c r="A365" t="s">
        <v>2953</v>
      </c>
      <c r="B365" s="4" t="s">
        <v>3855</v>
      </c>
      <c r="C365" t="s">
        <v>3001</v>
      </c>
      <c r="D365">
        <v>23345</v>
      </c>
      <c r="E365" t="s">
        <v>3031</v>
      </c>
      <c r="F365">
        <v>679</v>
      </c>
      <c r="G365" t="s">
        <v>3756</v>
      </c>
      <c r="H365" t="s">
        <v>3002</v>
      </c>
      <c r="I365">
        <v>1</v>
      </c>
      <c r="J365" t="str">
        <f>VLOOKUP(A365,店舗コード!A:B,2,FALSE)</f>
        <v>04 名古屋</v>
      </c>
      <c r="O365" s="2"/>
    </row>
    <row r="366" spans="1:15">
      <c r="A366" t="s">
        <v>2953</v>
      </c>
      <c r="B366" s="4" t="s">
        <v>3854</v>
      </c>
      <c r="C366" t="s">
        <v>3001</v>
      </c>
      <c r="D366">
        <v>24221</v>
      </c>
      <c r="E366" t="s">
        <v>361</v>
      </c>
      <c r="F366">
        <v>228</v>
      </c>
      <c r="G366" t="s">
        <v>3329</v>
      </c>
      <c r="H366" t="s">
        <v>3002</v>
      </c>
      <c r="I366">
        <v>1</v>
      </c>
      <c r="J366" t="str">
        <f>VLOOKUP(A366,店舗コード!A:B,2,FALSE)</f>
        <v>04 名古屋</v>
      </c>
      <c r="O366" s="2"/>
    </row>
    <row r="367" spans="1:15">
      <c r="A367" t="s">
        <v>2980</v>
      </c>
      <c r="B367" s="4" t="s">
        <v>3394</v>
      </c>
      <c r="C367" t="s">
        <v>3001</v>
      </c>
      <c r="D367">
        <v>87310</v>
      </c>
      <c r="E367" t="s">
        <v>3201</v>
      </c>
      <c r="F367">
        <v>550</v>
      </c>
      <c r="G367" t="s">
        <v>2998</v>
      </c>
      <c r="H367" t="s">
        <v>3029</v>
      </c>
      <c r="I367">
        <v>1</v>
      </c>
      <c r="J367" t="str">
        <f>VLOOKUP(A367,店舗コード!A:B,2,FALSE)</f>
        <v>17 玉川高島屋</v>
      </c>
      <c r="O367" s="2"/>
    </row>
    <row r="368" spans="1:15">
      <c r="A368" t="s">
        <v>2942</v>
      </c>
      <c r="B368" s="4" t="s">
        <v>3856</v>
      </c>
      <c r="C368" t="s">
        <v>3001</v>
      </c>
      <c r="D368">
        <v>86411</v>
      </c>
      <c r="E368" t="s">
        <v>3435</v>
      </c>
      <c r="F368">
        <v>633</v>
      </c>
      <c r="G368" t="s">
        <v>3347</v>
      </c>
      <c r="H368" t="s">
        <v>3509</v>
      </c>
      <c r="I368">
        <v>1</v>
      </c>
      <c r="J368" t="str">
        <f>VLOOKUP(A368,店舗コード!A:B,2,FALSE)</f>
        <v>08 ルクア大阪</v>
      </c>
      <c r="O368" s="2"/>
    </row>
    <row r="369" spans="1:15">
      <c r="A369" t="s">
        <v>2942</v>
      </c>
      <c r="B369" s="4" t="s">
        <v>3857</v>
      </c>
      <c r="C369" t="s">
        <v>3001</v>
      </c>
      <c r="D369">
        <v>86868</v>
      </c>
      <c r="E369" t="s">
        <v>3728</v>
      </c>
      <c r="F369">
        <v>625</v>
      </c>
      <c r="G369" t="s">
        <v>3450</v>
      </c>
      <c r="H369" t="s">
        <v>3509</v>
      </c>
      <c r="I369">
        <v>1</v>
      </c>
      <c r="J369" t="str">
        <f>VLOOKUP(A369,店舗コード!A:B,2,FALSE)</f>
        <v>08 ルクア大阪</v>
      </c>
      <c r="O369" s="2"/>
    </row>
    <row r="370" spans="1:15">
      <c r="A370" t="s">
        <v>2944</v>
      </c>
      <c r="B370" s="4" t="s">
        <v>307</v>
      </c>
      <c r="C370" t="s">
        <v>3001</v>
      </c>
      <c r="D370">
        <v>24213</v>
      </c>
      <c r="E370" t="s">
        <v>308</v>
      </c>
      <c r="F370">
        <v>30</v>
      </c>
      <c r="G370" t="s">
        <v>3310</v>
      </c>
      <c r="H370" t="s">
        <v>3002</v>
      </c>
      <c r="I370">
        <v>1</v>
      </c>
      <c r="J370" t="str">
        <f>VLOOKUP(A370,店舗コード!A:B,2,FALSE)</f>
        <v>10 ヒュッテ</v>
      </c>
      <c r="O370" s="2"/>
    </row>
    <row r="371" spans="1:15">
      <c r="A371">
        <v>6142</v>
      </c>
      <c r="B371" s="4" t="s">
        <v>333</v>
      </c>
      <c r="C371" t="s">
        <v>3001</v>
      </c>
      <c r="D371">
        <v>24215</v>
      </c>
      <c r="E371" t="s">
        <v>326</v>
      </c>
      <c r="F371">
        <v>633</v>
      </c>
      <c r="G371" t="s">
        <v>3347</v>
      </c>
      <c r="H371" t="s">
        <v>3002</v>
      </c>
      <c r="I371">
        <v>1</v>
      </c>
      <c r="J371" t="str">
        <f>VLOOKUP(A371,店舗コード!A:B,2,FALSE)</f>
        <v>16 6142</v>
      </c>
      <c r="O371" s="2"/>
    </row>
    <row r="372" spans="1:15">
      <c r="A372">
        <v>6142</v>
      </c>
      <c r="B372" s="4" t="s">
        <v>3516</v>
      </c>
      <c r="C372" t="s">
        <v>3001</v>
      </c>
      <c r="D372">
        <v>77357</v>
      </c>
      <c r="E372" t="s">
        <v>3036</v>
      </c>
      <c r="F372">
        <v>232</v>
      </c>
      <c r="G372" t="s">
        <v>3366</v>
      </c>
      <c r="H372" t="s">
        <v>3270</v>
      </c>
      <c r="I372">
        <v>1</v>
      </c>
      <c r="J372" t="str">
        <f>VLOOKUP(A372,店舗コード!A:B,2,FALSE)</f>
        <v>16 6142</v>
      </c>
      <c r="O372" s="2"/>
    </row>
    <row r="373" spans="1:15">
      <c r="A373">
        <v>6142</v>
      </c>
      <c r="B373" s="4" t="s">
        <v>3858</v>
      </c>
      <c r="C373" t="s">
        <v>3001</v>
      </c>
      <c r="D373">
        <v>77357</v>
      </c>
      <c r="E373" t="s">
        <v>3036</v>
      </c>
      <c r="F373">
        <v>662</v>
      </c>
      <c r="G373" t="s">
        <v>3320</v>
      </c>
      <c r="H373" t="s">
        <v>3270</v>
      </c>
      <c r="I373">
        <v>1</v>
      </c>
      <c r="J373" t="str">
        <f>VLOOKUP(A373,店舗コード!A:B,2,FALSE)</f>
        <v>16 6142</v>
      </c>
      <c r="O373" s="2"/>
    </row>
    <row r="374" spans="1:15">
      <c r="A374" t="s">
        <v>1846</v>
      </c>
      <c r="B374" s="4" t="s">
        <v>3859</v>
      </c>
      <c r="C374" t="s">
        <v>3001</v>
      </c>
      <c r="D374">
        <v>13100213</v>
      </c>
      <c r="E374" t="s">
        <v>3860</v>
      </c>
      <c r="F374">
        <v>30</v>
      </c>
      <c r="G374" t="s">
        <v>3310</v>
      </c>
      <c r="H374" t="s">
        <v>3190</v>
      </c>
      <c r="I374">
        <v>1</v>
      </c>
      <c r="J374" t="str">
        <f>VLOOKUP(A374,店舗コード!A:B,2,FALSE)</f>
        <v>07 TOKYO</v>
      </c>
      <c r="O374" s="2"/>
    </row>
    <row r="375" spans="1:15">
      <c r="A375" t="s">
        <v>2953</v>
      </c>
      <c r="B375" s="4">
        <v>1220020755048</v>
      </c>
      <c r="C375" t="s">
        <v>3001</v>
      </c>
      <c r="D375">
        <v>12200207</v>
      </c>
      <c r="E375" t="s">
        <v>3868</v>
      </c>
      <c r="F375">
        <v>550</v>
      </c>
      <c r="G375" t="s">
        <v>2998</v>
      </c>
      <c r="H375">
        <v>48</v>
      </c>
      <c r="I375">
        <v>1</v>
      </c>
      <c r="J375" t="str">
        <f>VLOOKUP(A375,店舗コード!A:B,2,FALSE)</f>
        <v>04 名古屋</v>
      </c>
      <c r="O375" s="2"/>
    </row>
    <row r="376" spans="1:15">
      <c r="A376" t="s">
        <v>2953</v>
      </c>
      <c r="B376" s="4" t="s">
        <v>3861</v>
      </c>
      <c r="C376" t="s">
        <v>3001</v>
      </c>
      <c r="D376">
        <v>12600249</v>
      </c>
      <c r="E376" t="s">
        <v>3862</v>
      </c>
      <c r="F376">
        <v>625</v>
      </c>
      <c r="G376" t="s">
        <v>3450</v>
      </c>
      <c r="H376" t="s">
        <v>3030</v>
      </c>
      <c r="I376">
        <v>1</v>
      </c>
      <c r="J376" t="str">
        <f>VLOOKUP(A376,店舗コード!A:B,2,FALSE)</f>
        <v>04 名古屋</v>
      </c>
      <c r="O376" s="2"/>
    </row>
    <row r="377" spans="1:15">
      <c r="A377" t="s">
        <v>2953</v>
      </c>
      <c r="B377" s="4" t="s">
        <v>3865</v>
      </c>
      <c r="C377" t="s">
        <v>3001</v>
      </c>
      <c r="D377">
        <v>12600320</v>
      </c>
      <c r="E377" t="s">
        <v>3866</v>
      </c>
      <c r="F377">
        <v>620</v>
      </c>
      <c r="G377" t="s">
        <v>3026</v>
      </c>
      <c r="H377" t="s">
        <v>2999</v>
      </c>
      <c r="I377">
        <v>1</v>
      </c>
      <c r="J377" t="str">
        <f>VLOOKUP(A377,店舗コード!A:B,2,FALSE)</f>
        <v>04 名古屋</v>
      </c>
      <c r="O377" s="2"/>
    </row>
    <row r="378" spans="1:15">
      <c r="A378" t="s">
        <v>2953</v>
      </c>
      <c r="B378" s="4" t="s">
        <v>3863</v>
      </c>
      <c r="C378" t="s">
        <v>3001</v>
      </c>
      <c r="D378">
        <v>12600328</v>
      </c>
      <c r="E378" t="s">
        <v>3864</v>
      </c>
      <c r="F378">
        <v>111</v>
      </c>
      <c r="G378" t="s">
        <v>3338</v>
      </c>
      <c r="H378" t="s">
        <v>2999</v>
      </c>
      <c r="I378">
        <v>1</v>
      </c>
      <c r="J378" t="str">
        <f>VLOOKUP(A378,店舗コード!A:B,2,FALSE)</f>
        <v>04 名古屋</v>
      </c>
      <c r="O378" s="2"/>
    </row>
    <row r="379" spans="1:15">
      <c r="A379" t="s">
        <v>2953</v>
      </c>
      <c r="B379" s="4">
        <v>8475619150</v>
      </c>
      <c r="C379" t="s">
        <v>3001</v>
      </c>
      <c r="D379">
        <v>84756</v>
      </c>
      <c r="E379" t="s">
        <v>3389</v>
      </c>
      <c r="F379">
        <v>191</v>
      </c>
      <c r="G379" t="s">
        <v>3867</v>
      </c>
      <c r="H379">
        <v>50</v>
      </c>
      <c r="I379">
        <v>1</v>
      </c>
      <c r="J379" t="str">
        <f>VLOOKUP(A379,店舗コード!A:B,2,FALSE)</f>
        <v>04 名古屋</v>
      </c>
      <c r="O379" s="2"/>
    </row>
    <row r="380" spans="1:15">
      <c r="A380" t="s">
        <v>2942</v>
      </c>
      <c r="B380" s="4" t="s">
        <v>2976</v>
      </c>
      <c r="C380" t="s">
        <v>3001</v>
      </c>
      <c r="D380">
        <v>23510</v>
      </c>
      <c r="E380" t="s">
        <v>86</v>
      </c>
      <c r="F380" t="s">
        <v>3021</v>
      </c>
      <c r="G380" t="s">
        <v>3022</v>
      </c>
      <c r="H380" t="s">
        <v>3002</v>
      </c>
      <c r="I380">
        <v>1</v>
      </c>
      <c r="J380" t="str">
        <f>VLOOKUP(A380,店舗コード!A:B,2,FALSE)</f>
        <v>08 ルクア大阪</v>
      </c>
      <c r="O380" s="2"/>
    </row>
    <row r="381" spans="1:15">
      <c r="A381" t="s">
        <v>2980</v>
      </c>
      <c r="B381" s="4" t="s">
        <v>3869</v>
      </c>
      <c r="C381" t="s">
        <v>3001</v>
      </c>
      <c r="D381">
        <v>23100160</v>
      </c>
      <c r="E381" t="s">
        <v>3522</v>
      </c>
      <c r="F381">
        <v>37</v>
      </c>
      <c r="G381" t="s">
        <v>3302</v>
      </c>
      <c r="H381" t="s">
        <v>3002</v>
      </c>
      <c r="I381">
        <v>1</v>
      </c>
      <c r="J381" t="str">
        <f>VLOOKUP(A381,店舗コード!A:B,2,FALSE)</f>
        <v>17 玉川高島屋</v>
      </c>
      <c r="O381" s="2"/>
    </row>
    <row r="382" spans="1:15">
      <c r="A382" t="s">
        <v>2980</v>
      </c>
      <c r="B382" s="4" t="s">
        <v>3526</v>
      </c>
      <c r="C382" t="s">
        <v>3001</v>
      </c>
      <c r="D382">
        <v>23525</v>
      </c>
      <c r="E382" t="s">
        <v>3012</v>
      </c>
      <c r="F382">
        <v>457</v>
      </c>
      <c r="G382" t="s">
        <v>3019</v>
      </c>
      <c r="H382" t="s">
        <v>3002</v>
      </c>
      <c r="I382">
        <v>1</v>
      </c>
      <c r="J382" t="str">
        <f>VLOOKUP(A382,店舗コード!A:B,2,FALSE)</f>
        <v>17 玉川高島屋</v>
      </c>
      <c r="O382" s="2"/>
    </row>
    <row r="383" spans="1:15">
      <c r="A383" t="s">
        <v>2960</v>
      </c>
      <c r="B383" s="4" t="s">
        <v>3870</v>
      </c>
      <c r="C383" t="s">
        <v>3001</v>
      </c>
      <c r="D383">
        <v>27247</v>
      </c>
      <c r="E383" t="s">
        <v>3871</v>
      </c>
      <c r="F383">
        <v>638</v>
      </c>
      <c r="G383" t="s">
        <v>3872</v>
      </c>
      <c r="H383" t="s">
        <v>3002</v>
      </c>
      <c r="I383">
        <v>1</v>
      </c>
      <c r="J383" t="str">
        <f>VLOOKUP(A383,店舗コード!A:B,2,FALSE)</f>
        <v>13 京王新宿</v>
      </c>
      <c r="O383" s="2"/>
    </row>
    <row r="384" spans="1:15">
      <c r="A384" t="s">
        <v>2944</v>
      </c>
      <c r="B384" s="4" t="s">
        <v>3877</v>
      </c>
      <c r="C384" t="s">
        <v>3001</v>
      </c>
      <c r="D384">
        <v>13100211</v>
      </c>
      <c r="E384" t="s">
        <v>3337</v>
      </c>
      <c r="F384">
        <v>111</v>
      </c>
      <c r="G384" t="s">
        <v>3338</v>
      </c>
      <c r="H384" t="s">
        <v>2999</v>
      </c>
      <c r="I384">
        <v>1</v>
      </c>
      <c r="J384" t="str">
        <f>VLOOKUP(A384,店舗コード!A:B,2,FALSE)</f>
        <v>10 ヒュッテ</v>
      </c>
      <c r="O384" s="2"/>
    </row>
    <row r="385" spans="1:15">
      <c r="A385" t="s">
        <v>2944</v>
      </c>
      <c r="B385" s="4" t="s">
        <v>3875</v>
      </c>
      <c r="C385" t="s">
        <v>3001</v>
      </c>
      <c r="D385">
        <v>13600016</v>
      </c>
      <c r="E385" t="s">
        <v>3876</v>
      </c>
      <c r="F385">
        <v>113</v>
      </c>
      <c r="G385" t="s">
        <v>3349</v>
      </c>
      <c r="H385" t="s">
        <v>2999</v>
      </c>
      <c r="I385">
        <v>1</v>
      </c>
      <c r="J385" t="str">
        <f>VLOOKUP(A385,店舗コード!A:B,2,FALSE)</f>
        <v>10 ヒュッテ</v>
      </c>
      <c r="O385" s="2"/>
    </row>
    <row r="386" spans="1:15">
      <c r="A386" t="s">
        <v>2944</v>
      </c>
      <c r="B386" s="4" t="s">
        <v>3873</v>
      </c>
      <c r="C386" t="s">
        <v>3001</v>
      </c>
      <c r="D386">
        <v>14200222</v>
      </c>
      <c r="E386" t="s">
        <v>3874</v>
      </c>
      <c r="F386">
        <v>118</v>
      </c>
      <c r="G386" t="s">
        <v>3035</v>
      </c>
      <c r="H386" t="s">
        <v>2999</v>
      </c>
      <c r="I386">
        <v>1</v>
      </c>
      <c r="J386" t="str">
        <f>VLOOKUP(A386,店舗コード!A:B,2,FALSE)</f>
        <v>10 ヒュッテ</v>
      </c>
      <c r="O386" s="2"/>
    </row>
    <row r="387" spans="1:15">
      <c r="A387" t="s">
        <v>2944</v>
      </c>
      <c r="B387" s="4" t="s">
        <v>3513</v>
      </c>
      <c r="C387" t="s">
        <v>3001</v>
      </c>
      <c r="D387">
        <v>79258</v>
      </c>
      <c r="E387" t="s">
        <v>737</v>
      </c>
      <c r="F387">
        <v>30</v>
      </c>
      <c r="G387" t="s">
        <v>3310</v>
      </c>
      <c r="H387" t="s">
        <v>3029</v>
      </c>
      <c r="I387">
        <v>1</v>
      </c>
      <c r="J387" t="str">
        <f>VLOOKUP(A387,店舗コード!A:B,2,FALSE)</f>
        <v>10 ヒュッテ</v>
      </c>
      <c r="O387" s="2"/>
    </row>
    <row r="388" spans="1:15">
      <c r="A388" t="s">
        <v>2944</v>
      </c>
      <c r="B388" s="4" t="s">
        <v>3878</v>
      </c>
      <c r="C388" t="s">
        <v>3001</v>
      </c>
      <c r="D388">
        <v>87030</v>
      </c>
      <c r="E388" t="s">
        <v>3879</v>
      </c>
      <c r="F388">
        <v>620</v>
      </c>
      <c r="G388" t="s">
        <v>3026</v>
      </c>
      <c r="H388" t="s">
        <v>3191</v>
      </c>
      <c r="I388">
        <v>1</v>
      </c>
      <c r="J388" t="str">
        <f>VLOOKUP(A388,店舗コード!A:B,2,FALSE)</f>
        <v>10 ヒュッテ</v>
      </c>
      <c r="O388" s="2"/>
    </row>
    <row r="389" spans="1:15">
      <c r="A389" t="s">
        <v>2942</v>
      </c>
      <c r="B389" s="4" t="s">
        <v>3880</v>
      </c>
      <c r="C389" t="s">
        <v>3001</v>
      </c>
      <c r="D389">
        <v>81280</v>
      </c>
      <c r="E389" t="s">
        <v>3827</v>
      </c>
      <c r="F389">
        <v>118</v>
      </c>
      <c r="G389" t="s">
        <v>3035</v>
      </c>
      <c r="H389" t="s">
        <v>3029</v>
      </c>
      <c r="I389">
        <v>1</v>
      </c>
      <c r="J389" t="str">
        <f>VLOOKUP(A389,店舗コード!A:B,2,FALSE)</f>
        <v>08 ルクア大阪</v>
      </c>
      <c r="O389" s="2"/>
    </row>
    <row r="390" spans="1:15">
      <c r="A390" t="s">
        <v>1846</v>
      </c>
      <c r="B390" s="4" t="s">
        <v>3882</v>
      </c>
      <c r="C390" t="s">
        <v>3001</v>
      </c>
      <c r="D390">
        <v>13100240</v>
      </c>
      <c r="E390" t="s">
        <v>3883</v>
      </c>
      <c r="F390">
        <v>625</v>
      </c>
      <c r="G390" t="s">
        <v>3450</v>
      </c>
      <c r="H390" t="s">
        <v>3270</v>
      </c>
      <c r="I390">
        <v>1</v>
      </c>
      <c r="J390" t="str">
        <f>VLOOKUP(A390,店舗コード!A:B,2,FALSE)</f>
        <v>07 TOKYO</v>
      </c>
      <c r="O390" s="2"/>
    </row>
    <row r="391" spans="1:15">
      <c r="A391" t="s">
        <v>1846</v>
      </c>
      <c r="B391" s="4" t="s">
        <v>2649</v>
      </c>
      <c r="C391" t="s">
        <v>3001</v>
      </c>
      <c r="D391">
        <v>23797</v>
      </c>
      <c r="E391" t="s">
        <v>2735</v>
      </c>
      <c r="F391">
        <v>620</v>
      </c>
      <c r="G391" t="s">
        <v>3881</v>
      </c>
      <c r="H391" t="s">
        <v>3002</v>
      </c>
      <c r="I391">
        <v>1</v>
      </c>
      <c r="J391" t="str">
        <f>VLOOKUP(A391,店舗コード!A:B,2,FALSE)</f>
        <v>07 TOKYO</v>
      </c>
      <c r="O391" s="2"/>
    </row>
    <row r="392" spans="1:15">
      <c r="A392" t="s">
        <v>1846</v>
      </c>
      <c r="B392" s="4" t="s">
        <v>3784</v>
      </c>
      <c r="C392" t="s">
        <v>3001</v>
      </c>
      <c r="D392">
        <v>23200251</v>
      </c>
      <c r="E392" t="s">
        <v>3293</v>
      </c>
      <c r="F392">
        <v>664</v>
      </c>
      <c r="G392" t="s">
        <v>3015</v>
      </c>
      <c r="H392" t="s">
        <v>3002</v>
      </c>
      <c r="I392">
        <v>1</v>
      </c>
      <c r="J392" t="str">
        <f>VLOOKUP(A392,店舗コード!A:B,2,FALSE)</f>
        <v>07 TOKYO</v>
      </c>
      <c r="O392" s="2"/>
    </row>
    <row r="393" spans="1:15">
      <c r="A393" t="s">
        <v>1846</v>
      </c>
      <c r="B393" s="4" t="s">
        <v>3321</v>
      </c>
      <c r="C393" t="s">
        <v>3001</v>
      </c>
      <c r="D393">
        <v>23797</v>
      </c>
      <c r="E393" t="s">
        <v>2735</v>
      </c>
      <c r="F393">
        <v>457</v>
      </c>
      <c r="G393" t="s">
        <v>3019</v>
      </c>
      <c r="H393" t="s">
        <v>3002</v>
      </c>
      <c r="I393">
        <v>1</v>
      </c>
      <c r="J393" t="str">
        <f>VLOOKUP(A393,店舗コード!A:B,2,FALSE)</f>
        <v>07 TOKYO</v>
      </c>
      <c r="O393" s="2"/>
    </row>
    <row r="394" spans="1:15">
      <c r="A394" t="s">
        <v>2942</v>
      </c>
      <c r="B394" s="4" t="s">
        <v>3285</v>
      </c>
      <c r="C394" t="s">
        <v>3001</v>
      </c>
      <c r="D394">
        <v>23561</v>
      </c>
      <c r="E394" t="s">
        <v>172</v>
      </c>
      <c r="F394" t="s">
        <v>3005</v>
      </c>
      <c r="G394" t="s">
        <v>3006</v>
      </c>
      <c r="H394" t="s">
        <v>3002</v>
      </c>
      <c r="I394">
        <v>1</v>
      </c>
      <c r="J394" t="str">
        <f>VLOOKUP(A394,店舗コード!A:B,2,FALSE)</f>
        <v>08 ルクア大阪</v>
      </c>
      <c r="O394" s="2"/>
    </row>
    <row r="395" spans="1:15">
      <c r="A395" t="s">
        <v>2942</v>
      </c>
      <c r="B395" s="4" t="s">
        <v>3285</v>
      </c>
      <c r="C395" t="s">
        <v>3001</v>
      </c>
      <c r="D395">
        <v>23561</v>
      </c>
      <c r="E395" t="s">
        <v>172</v>
      </c>
      <c r="F395" t="s">
        <v>3005</v>
      </c>
      <c r="G395" t="s">
        <v>3006</v>
      </c>
      <c r="H395" t="s">
        <v>3002</v>
      </c>
      <c r="I395">
        <v>1</v>
      </c>
      <c r="J395" t="str">
        <f>VLOOKUP(A395,店舗コード!A:B,2,FALSE)</f>
        <v>08 ルクア大阪</v>
      </c>
      <c r="O395" s="2"/>
    </row>
    <row r="396" spans="1:15">
      <c r="A396" t="s">
        <v>2944</v>
      </c>
      <c r="B396" s="4" t="s">
        <v>3788</v>
      </c>
      <c r="C396" t="s">
        <v>3001</v>
      </c>
      <c r="D396">
        <v>13100181</v>
      </c>
      <c r="E396" t="s">
        <v>3442</v>
      </c>
      <c r="F396">
        <v>30</v>
      </c>
      <c r="G396" t="s">
        <v>3310</v>
      </c>
      <c r="H396" t="s">
        <v>3270</v>
      </c>
      <c r="I396">
        <v>1</v>
      </c>
      <c r="J396" t="str">
        <f>VLOOKUP(A396,店舗コード!A:B,2,FALSE)</f>
        <v>10 ヒュッテ</v>
      </c>
      <c r="O396" s="2"/>
    </row>
    <row r="397" spans="1:15">
      <c r="A397" t="s">
        <v>2944</v>
      </c>
      <c r="B397" s="4" t="s">
        <v>3277</v>
      </c>
      <c r="C397" t="s">
        <v>3001</v>
      </c>
      <c r="D397">
        <v>23804</v>
      </c>
      <c r="E397" t="s">
        <v>3278</v>
      </c>
      <c r="F397">
        <v>550</v>
      </c>
      <c r="G397" t="s">
        <v>2998</v>
      </c>
      <c r="H397" t="s">
        <v>3002</v>
      </c>
      <c r="I397">
        <v>1</v>
      </c>
      <c r="J397" t="str">
        <f>VLOOKUP(A397,店舗コード!A:B,2,FALSE)</f>
        <v>10 ヒュッテ</v>
      </c>
      <c r="O397" s="2"/>
    </row>
    <row r="398" spans="1:15">
      <c r="A398" t="s">
        <v>2944</v>
      </c>
      <c r="B398" s="4" t="s">
        <v>3884</v>
      </c>
      <c r="C398" t="s">
        <v>3001</v>
      </c>
      <c r="D398">
        <v>87039</v>
      </c>
      <c r="E398" t="s">
        <v>3306</v>
      </c>
      <c r="F398">
        <v>620</v>
      </c>
      <c r="G398" t="s">
        <v>3026</v>
      </c>
      <c r="H398" t="s">
        <v>3030</v>
      </c>
      <c r="I398">
        <v>1</v>
      </c>
      <c r="J398" t="str">
        <f>VLOOKUP(A398,店舗コード!A:B,2,FALSE)</f>
        <v>10 ヒュッテ</v>
      </c>
      <c r="O398" s="2"/>
    </row>
    <row r="399" spans="1:15">
      <c r="A399" t="s">
        <v>2953</v>
      </c>
      <c r="B399" s="4" t="s">
        <v>3885</v>
      </c>
      <c r="C399" t="s">
        <v>3001</v>
      </c>
      <c r="D399">
        <v>77410</v>
      </c>
      <c r="E399" t="s">
        <v>3318</v>
      </c>
      <c r="F399">
        <v>550</v>
      </c>
      <c r="G399" t="s">
        <v>2998</v>
      </c>
      <c r="H399" t="s">
        <v>3002</v>
      </c>
      <c r="I399">
        <v>1</v>
      </c>
      <c r="J399" t="str">
        <f>VLOOKUP(A399,店舗コード!A:B,2,FALSE)</f>
        <v>04 名古屋</v>
      </c>
      <c r="O399" s="2"/>
    </row>
    <row r="400" spans="1:15">
      <c r="A400" t="s">
        <v>2953</v>
      </c>
      <c r="B400" s="4" t="s">
        <v>3434</v>
      </c>
      <c r="C400" t="s">
        <v>3001</v>
      </c>
      <c r="D400">
        <v>86411</v>
      </c>
      <c r="E400" t="s">
        <v>3435</v>
      </c>
      <c r="F400">
        <v>633</v>
      </c>
      <c r="G400" t="s">
        <v>3347</v>
      </c>
      <c r="H400" t="s">
        <v>3436</v>
      </c>
      <c r="I400">
        <v>1</v>
      </c>
      <c r="J400" t="str">
        <f>VLOOKUP(A400,店舗コード!A:B,2,FALSE)</f>
        <v>04 名古屋</v>
      </c>
      <c r="O400" s="2"/>
    </row>
    <row r="401" spans="1:15">
      <c r="A401" t="s">
        <v>1846</v>
      </c>
      <c r="B401" s="4" t="s">
        <v>3011</v>
      </c>
      <c r="C401" t="s">
        <v>3001</v>
      </c>
      <c r="D401">
        <v>23510</v>
      </c>
      <c r="E401" t="s">
        <v>86</v>
      </c>
      <c r="F401">
        <v>302</v>
      </c>
      <c r="G401" t="s">
        <v>3273</v>
      </c>
      <c r="H401" t="s">
        <v>3002</v>
      </c>
      <c r="I401">
        <v>1</v>
      </c>
      <c r="J401" t="str">
        <f>VLOOKUP(A401,店舗コード!A:B,2,FALSE)</f>
        <v>07 TOKYO</v>
      </c>
      <c r="O401" s="2"/>
    </row>
    <row r="402" spans="1:15">
      <c r="A402">
        <v>6142</v>
      </c>
      <c r="B402" s="4" t="s">
        <v>3886</v>
      </c>
      <c r="C402" t="s">
        <v>3001</v>
      </c>
      <c r="D402">
        <v>13100181</v>
      </c>
      <c r="E402" t="s">
        <v>3442</v>
      </c>
      <c r="F402">
        <v>30</v>
      </c>
      <c r="G402" t="s">
        <v>3310</v>
      </c>
      <c r="H402" t="s">
        <v>3190</v>
      </c>
      <c r="I402">
        <v>1</v>
      </c>
      <c r="J402" t="str">
        <f>VLOOKUP(A402,店舗コード!A:B,2,FALSE)</f>
        <v>16 6142</v>
      </c>
      <c r="O402" s="2"/>
    </row>
    <row r="403" spans="1:15">
      <c r="A403">
        <v>6142</v>
      </c>
      <c r="B403" s="4" t="s">
        <v>3413</v>
      </c>
      <c r="C403" t="s">
        <v>3001</v>
      </c>
      <c r="D403">
        <v>23803</v>
      </c>
      <c r="E403" t="s">
        <v>3284</v>
      </c>
      <c r="F403">
        <v>633</v>
      </c>
      <c r="G403" t="s">
        <v>3347</v>
      </c>
      <c r="H403" t="s">
        <v>3002</v>
      </c>
      <c r="I403">
        <v>1</v>
      </c>
      <c r="J403" t="str">
        <f>VLOOKUP(A403,店舗コード!A:B,2,FALSE)</f>
        <v>16 6142</v>
      </c>
      <c r="O403" s="2"/>
    </row>
    <row r="404" spans="1:15">
      <c r="A404" t="s">
        <v>1846</v>
      </c>
      <c r="B404" s="4" t="s">
        <v>3768</v>
      </c>
      <c r="C404" t="s">
        <v>3001</v>
      </c>
      <c r="D404">
        <v>23344</v>
      </c>
      <c r="E404" t="s">
        <v>3018</v>
      </c>
      <c r="F404">
        <v>228</v>
      </c>
      <c r="G404" t="s">
        <v>3329</v>
      </c>
      <c r="H404" t="s">
        <v>3002</v>
      </c>
      <c r="I404">
        <v>1</v>
      </c>
      <c r="J404" t="str">
        <f>VLOOKUP(A404,店舗コード!A:B,2,FALSE)</f>
        <v>07 TOKYO</v>
      </c>
      <c r="O404" s="2"/>
    </row>
    <row r="405" spans="1:15">
      <c r="A405" t="s">
        <v>3140</v>
      </c>
      <c r="B405" s="4" t="s">
        <v>3887</v>
      </c>
      <c r="C405" t="s">
        <v>3001</v>
      </c>
      <c r="D405">
        <v>23525</v>
      </c>
      <c r="E405" t="s">
        <v>3012</v>
      </c>
      <c r="F405">
        <v>620</v>
      </c>
      <c r="G405" t="s">
        <v>3026</v>
      </c>
      <c r="H405" t="s">
        <v>3002</v>
      </c>
      <c r="I405">
        <v>1</v>
      </c>
      <c r="J405" t="str">
        <f>VLOOKUP(A405,店舗コード!A:B,2,FALSE)</f>
        <v>20 NARITA</v>
      </c>
      <c r="O405" s="2"/>
    </row>
    <row r="406" spans="1:15">
      <c r="A406">
        <v>6142</v>
      </c>
      <c r="B406" s="4" t="s">
        <v>2986</v>
      </c>
      <c r="C406" t="s">
        <v>3001</v>
      </c>
      <c r="D406">
        <v>23796</v>
      </c>
      <c r="E406" t="s">
        <v>3034</v>
      </c>
      <c r="F406">
        <v>424</v>
      </c>
      <c r="G406" t="s">
        <v>3017</v>
      </c>
      <c r="H406" t="s">
        <v>3002</v>
      </c>
      <c r="I406">
        <v>1</v>
      </c>
      <c r="J406" t="str">
        <f>VLOOKUP(A406,店舗コード!A:B,2,FALSE)</f>
        <v>16 6142</v>
      </c>
      <c r="O406" s="2"/>
    </row>
    <row r="407" spans="1:15">
      <c r="A407" t="s">
        <v>1846</v>
      </c>
      <c r="B407" s="4" t="s">
        <v>3413</v>
      </c>
      <c r="C407" t="s">
        <v>3001</v>
      </c>
      <c r="D407">
        <v>23803</v>
      </c>
      <c r="E407" t="s">
        <v>3284</v>
      </c>
      <c r="F407">
        <v>633</v>
      </c>
      <c r="G407" t="s">
        <v>3347</v>
      </c>
      <c r="H407" t="s">
        <v>3002</v>
      </c>
      <c r="I407">
        <v>1</v>
      </c>
      <c r="J407" t="str">
        <f>VLOOKUP(A407,店舗コード!A:B,2,FALSE)</f>
        <v>07 TOKYO</v>
      </c>
      <c r="O407" s="2"/>
    </row>
    <row r="408" spans="1:15">
      <c r="A408" t="s">
        <v>3140</v>
      </c>
      <c r="B408" s="4" t="s">
        <v>3396</v>
      </c>
      <c r="C408" t="s">
        <v>3001</v>
      </c>
      <c r="D408">
        <v>23226</v>
      </c>
      <c r="E408" t="s">
        <v>3020</v>
      </c>
      <c r="F408">
        <v>424</v>
      </c>
      <c r="G408" t="s">
        <v>3017</v>
      </c>
      <c r="H408" t="s">
        <v>3002</v>
      </c>
      <c r="I408">
        <v>1</v>
      </c>
      <c r="J408" t="str">
        <f>VLOOKUP(A408,店舗コード!A:B,2,FALSE)</f>
        <v>20 NARITA</v>
      </c>
      <c r="O408" s="2"/>
    </row>
    <row r="409" spans="1:15">
      <c r="A409" t="s">
        <v>2960</v>
      </c>
      <c r="B409" s="4" t="s">
        <v>3888</v>
      </c>
      <c r="C409" t="s">
        <v>3001</v>
      </c>
      <c r="D409">
        <v>23200337</v>
      </c>
      <c r="E409" t="s">
        <v>3042</v>
      </c>
      <c r="F409">
        <v>300</v>
      </c>
      <c r="G409" t="s">
        <v>3314</v>
      </c>
      <c r="H409" t="s">
        <v>3002</v>
      </c>
      <c r="I409">
        <v>1</v>
      </c>
      <c r="J409" t="str">
        <f>VLOOKUP(A409,店舗コード!A:B,2,FALSE)</f>
        <v>13 京王新宿</v>
      </c>
      <c r="O409" s="2"/>
    </row>
    <row r="410" spans="1:15">
      <c r="A410" t="s">
        <v>2944</v>
      </c>
      <c r="B410" s="4" t="s">
        <v>3891</v>
      </c>
      <c r="C410" t="s">
        <v>3001</v>
      </c>
      <c r="D410">
        <v>12600249</v>
      </c>
      <c r="E410" t="s">
        <v>3862</v>
      </c>
      <c r="F410">
        <v>555</v>
      </c>
      <c r="G410" t="s">
        <v>3200</v>
      </c>
      <c r="H410" t="s">
        <v>2999</v>
      </c>
      <c r="I410">
        <v>1</v>
      </c>
      <c r="J410" t="str">
        <f>VLOOKUP(A410,店舗コード!A:B,2,FALSE)</f>
        <v>10 ヒュッテ</v>
      </c>
      <c r="O410" s="2"/>
    </row>
    <row r="411" spans="1:15">
      <c r="A411" t="s">
        <v>2944</v>
      </c>
      <c r="B411" s="4" t="s">
        <v>3889</v>
      </c>
      <c r="C411" t="s">
        <v>3001</v>
      </c>
      <c r="D411">
        <v>14300010</v>
      </c>
      <c r="E411" t="s">
        <v>3890</v>
      </c>
      <c r="F411">
        <v>550</v>
      </c>
      <c r="G411" t="s">
        <v>2998</v>
      </c>
      <c r="H411" t="s">
        <v>2999</v>
      </c>
      <c r="I411">
        <v>1</v>
      </c>
      <c r="J411" t="str">
        <f>VLOOKUP(A411,店舗コード!A:B,2,FALSE)</f>
        <v>10 ヒュッテ</v>
      </c>
      <c r="O411" s="2"/>
    </row>
    <row r="412" spans="1:15">
      <c r="A412" t="s">
        <v>2944</v>
      </c>
      <c r="B412" s="4" t="s">
        <v>3795</v>
      </c>
      <c r="C412" t="s">
        <v>3001</v>
      </c>
      <c r="D412">
        <v>23100177</v>
      </c>
      <c r="E412" t="s">
        <v>3796</v>
      </c>
      <c r="F412">
        <v>550</v>
      </c>
      <c r="G412" t="s">
        <v>2998</v>
      </c>
      <c r="H412" t="s">
        <v>3002</v>
      </c>
      <c r="I412">
        <v>1</v>
      </c>
      <c r="J412" t="str">
        <f>VLOOKUP(A412,店舗コード!A:B,2,FALSE)</f>
        <v>10 ヒュッテ</v>
      </c>
      <c r="O412" s="2"/>
    </row>
    <row r="413" spans="1:15">
      <c r="A413" t="s">
        <v>2944</v>
      </c>
      <c r="B413" s="4" t="s">
        <v>3892</v>
      </c>
      <c r="C413" t="s">
        <v>3001</v>
      </c>
      <c r="D413">
        <v>83242</v>
      </c>
      <c r="E413" t="s">
        <v>3893</v>
      </c>
      <c r="F413">
        <v>633</v>
      </c>
      <c r="G413" t="s">
        <v>3347</v>
      </c>
      <c r="H413" t="s">
        <v>2999</v>
      </c>
      <c r="I413">
        <v>1</v>
      </c>
      <c r="J413" t="str">
        <f>VLOOKUP(A413,店舗コード!A:B,2,FALSE)</f>
        <v>10 ヒュッテ</v>
      </c>
      <c r="O413" s="2"/>
    </row>
    <row r="414" spans="1:15">
      <c r="A414" t="s">
        <v>2980</v>
      </c>
      <c r="B414" s="4" t="s">
        <v>2976</v>
      </c>
      <c r="C414" t="s">
        <v>3001</v>
      </c>
      <c r="D414">
        <v>23510</v>
      </c>
      <c r="E414" t="s">
        <v>86</v>
      </c>
      <c r="F414" t="s">
        <v>3021</v>
      </c>
      <c r="G414" t="s">
        <v>3022</v>
      </c>
      <c r="H414" t="s">
        <v>3002</v>
      </c>
      <c r="I414">
        <v>1</v>
      </c>
      <c r="J414" t="str">
        <f>VLOOKUP(A414,店舗コード!A:B,2,FALSE)</f>
        <v>17 玉川高島屋</v>
      </c>
      <c r="O414" s="2"/>
    </row>
    <row r="415" spans="1:15">
      <c r="A415" t="s">
        <v>2942</v>
      </c>
      <c r="B415" s="4" t="s">
        <v>3367</v>
      </c>
      <c r="C415" t="s">
        <v>3001</v>
      </c>
      <c r="D415">
        <v>23200301</v>
      </c>
      <c r="E415" t="s">
        <v>3368</v>
      </c>
      <c r="F415">
        <v>37</v>
      </c>
      <c r="G415" t="s">
        <v>3302</v>
      </c>
      <c r="H415" t="s">
        <v>3002</v>
      </c>
      <c r="I415">
        <v>1</v>
      </c>
      <c r="J415" t="str">
        <f>VLOOKUP(A415,店舗コード!A:B,2,FALSE)</f>
        <v>08 ルクア大阪</v>
      </c>
      <c r="O415" s="2"/>
    </row>
    <row r="416" spans="1:15">
      <c r="A416" t="s">
        <v>2993</v>
      </c>
      <c r="B416" s="4" t="s">
        <v>3285</v>
      </c>
      <c r="C416" t="s">
        <v>3001</v>
      </c>
      <c r="D416">
        <v>23561</v>
      </c>
      <c r="E416" t="s">
        <v>172</v>
      </c>
      <c r="F416" t="s">
        <v>3005</v>
      </c>
      <c r="G416" t="s">
        <v>3006</v>
      </c>
      <c r="H416" t="s">
        <v>3002</v>
      </c>
      <c r="I416">
        <v>1</v>
      </c>
      <c r="J416" t="str">
        <f>VLOOKUP(A416,店舗コード!A:B,2,FALSE)</f>
        <v>15 大丸心斎橋</v>
      </c>
      <c r="O416" s="2"/>
    </row>
    <row r="417" spans="1:15">
      <c r="A417" t="s">
        <v>2953</v>
      </c>
      <c r="B417" s="4" t="s">
        <v>1479</v>
      </c>
      <c r="C417" t="s">
        <v>3001</v>
      </c>
      <c r="D417">
        <v>24220</v>
      </c>
      <c r="E417" t="s">
        <v>355</v>
      </c>
      <c r="F417">
        <v>633</v>
      </c>
      <c r="G417" t="s">
        <v>3347</v>
      </c>
      <c r="H417" t="s">
        <v>3002</v>
      </c>
      <c r="I417">
        <v>1</v>
      </c>
      <c r="J417" t="str">
        <f>VLOOKUP(A417,店舗コード!A:B,2,FALSE)</f>
        <v>04 名古屋</v>
      </c>
      <c r="O417" s="2"/>
    </row>
    <row r="418" spans="1:15">
      <c r="A418">
        <v>6142</v>
      </c>
      <c r="B418" s="4" t="s">
        <v>2964</v>
      </c>
      <c r="C418" t="s">
        <v>3001</v>
      </c>
      <c r="D418">
        <v>23344</v>
      </c>
      <c r="E418" t="s">
        <v>3018</v>
      </c>
      <c r="F418">
        <v>50</v>
      </c>
      <c r="G418" t="s">
        <v>3037</v>
      </c>
      <c r="H418" t="s">
        <v>3002</v>
      </c>
      <c r="I418">
        <v>1</v>
      </c>
      <c r="J418" t="str">
        <f>VLOOKUP(A418,店舗コード!A:B,2,FALSE)</f>
        <v>16 6142</v>
      </c>
      <c r="O418" s="2"/>
    </row>
    <row r="419" spans="1:15">
      <c r="A419">
        <v>6142</v>
      </c>
      <c r="B419" s="4" t="s">
        <v>3384</v>
      </c>
      <c r="C419" t="s">
        <v>3001</v>
      </c>
      <c r="D419">
        <v>23226</v>
      </c>
      <c r="E419" t="s">
        <v>3020</v>
      </c>
      <c r="F419">
        <v>620</v>
      </c>
      <c r="G419" t="s">
        <v>3026</v>
      </c>
      <c r="H419" t="s">
        <v>3002</v>
      </c>
      <c r="I419">
        <v>1</v>
      </c>
      <c r="J419" t="str">
        <f>VLOOKUP(A419,店舗コード!A:B,2,FALSE)</f>
        <v>16 6142</v>
      </c>
      <c r="O419" s="2"/>
    </row>
    <row r="420" spans="1:15">
      <c r="A420" t="s">
        <v>2960</v>
      </c>
      <c r="B420" s="4" t="s">
        <v>3894</v>
      </c>
      <c r="C420" t="s">
        <v>3001</v>
      </c>
      <c r="D420">
        <v>23345</v>
      </c>
      <c r="E420" t="s">
        <v>3031</v>
      </c>
      <c r="F420" t="s">
        <v>3038</v>
      </c>
      <c r="G420" t="s">
        <v>3039</v>
      </c>
      <c r="H420" t="s">
        <v>3002</v>
      </c>
      <c r="I420">
        <v>1</v>
      </c>
      <c r="J420" t="str">
        <f>VLOOKUP(A420,店舗コード!A:B,2,FALSE)</f>
        <v>13 京王新宿</v>
      </c>
      <c r="O420" s="2"/>
    </row>
    <row r="421" spans="1:15">
      <c r="A421" t="s">
        <v>2960</v>
      </c>
      <c r="B421" s="4" t="s">
        <v>731</v>
      </c>
      <c r="C421" t="s">
        <v>3001</v>
      </c>
      <c r="D421">
        <v>79030</v>
      </c>
      <c r="E421" t="s">
        <v>732</v>
      </c>
      <c r="H421" t="s">
        <v>3002</v>
      </c>
      <c r="I421">
        <v>1</v>
      </c>
      <c r="J421" t="str">
        <f>VLOOKUP(A421,店舗コード!A:B,2,FALSE)</f>
        <v>13 京王新宿</v>
      </c>
      <c r="O421" s="2"/>
    </row>
    <row r="422" spans="1:15">
      <c r="A422" t="s">
        <v>3140</v>
      </c>
      <c r="B422" s="4" t="s">
        <v>3211</v>
      </c>
      <c r="C422" t="s">
        <v>3001</v>
      </c>
      <c r="D422">
        <v>23561</v>
      </c>
      <c r="E422" t="s">
        <v>172</v>
      </c>
      <c r="F422" t="s">
        <v>3021</v>
      </c>
      <c r="G422" t="s">
        <v>3022</v>
      </c>
      <c r="H422" t="s">
        <v>3002</v>
      </c>
      <c r="I422">
        <v>1</v>
      </c>
      <c r="J422" t="str">
        <f>VLOOKUP(A422,店舗コード!A:B,2,FALSE)</f>
        <v>20 NARITA</v>
      </c>
      <c r="O422" s="2"/>
    </row>
    <row r="423" spans="1:15">
      <c r="A423" t="s">
        <v>3140</v>
      </c>
      <c r="B423" s="4" t="s">
        <v>2975</v>
      </c>
      <c r="C423" t="s">
        <v>3001</v>
      </c>
      <c r="D423">
        <v>23346</v>
      </c>
      <c r="E423" t="s">
        <v>3041</v>
      </c>
      <c r="F423">
        <v>550</v>
      </c>
      <c r="G423" t="s">
        <v>2998</v>
      </c>
      <c r="H423" t="s">
        <v>3002</v>
      </c>
      <c r="I423">
        <v>1</v>
      </c>
      <c r="J423" t="str">
        <f>VLOOKUP(A423,店舗コード!A:B,2,FALSE)</f>
        <v>20 NARITA</v>
      </c>
      <c r="O423" s="2"/>
    </row>
    <row r="424" spans="1:15">
      <c r="A424" t="s">
        <v>1846</v>
      </c>
      <c r="B424" s="4" t="s">
        <v>3011</v>
      </c>
      <c r="C424" t="s">
        <v>3001</v>
      </c>
      <c r="D424">
        <v>23510</v>
      </c>
      <c r="E424" t="s">
        <v>86</v>
      </c>
      <c r="F424">
        <v>302</v>
      </c>
      <c r="G424" t="s">
        <v>3273</v>
      </c>
      <c r="H424" t="s">
        <v>3002</v>
      </c>
      <c r="I424">
        <v>1</v>
      </c>
      <c r="J424" t="str">
        <f>VLOOKUP(A424,店舗コード!A:B,2,FALSE)</f>
        <v>07 TOKYO</v>
      </c>
      <c r="O424" s="2"/>
    </row>
    <row r="425" spans="1:15">
      <c r="A425" t="s">
        <v>1846</v>
      </c>
      <c r="B425" s="4" t="s">
        <v>3416</v>
      </c>
      <c r="C425" t="s">
        <v>3001</v>
      </c>
      <c r="D425">
        <v>23524</v>
      </c>
      <c r="E425" t="s">
        <v>3009</v>
      </c>
      <c r="F425">
        <v>457</v>
      </c>
      <c r="G425" t="s">
        <v>3019</v>
      </c>
      <c r="H425" t="s">
        <v>3002</v>
      </c>
      <c r="I425">
        <v>1</v>
      </c>
      <c r="J425" t="str">
        <f>VLOOKUP(A425,店舗コード!A:B,2,FALSE)</f>
        <v>07 TOKYO</v>
      </c>
      <c r="O425" s="2"/>
    </row>
    <row r="426" spans="1:15">
      <c r="A426" t="s">
        <v>1846</v>
      </c>
      <c r="B426" s="4" t="s">
        <v>182</v>
      </c>
      <c r="C426" t="s">
        <v>3001</v>
      </c>
      <c r="D426">
        <v>23561</v>
      </c>
      <c r="E426" t="s">
        <v>172</v>
      </c>
      <c r="F426">
        <v>312</v>
      </c>
      <c r="G426" t="s">
        <v>3003</v>
      </c>
      <c r="H426" t="s">
        <v>3002</v>
      </c>
      <c r="I426">
        <v>1</v>
      </c>
      <c r="J426" t="str">
        <f>VLOOKUP(A426,店舗コード!A:B,2,FALSE)</f>
        <v>07 TOKYO</v>
      </c>
      <c r="O426" s="2"/>
    </row>
    <row r="427" spans="1:15">
      <c r="A427" t="s">
        <v>1846</v>
      </c>
      <c r="B427" s="4" t="s">
        <v>187</v>
      </c>
      <c r="C427" t="s">
        <v>3001</v>
      </c>
      <c r="D427">
        <v>23561</v>
      </c>
      <c r="E427" t="s">
        <v>172</v>
      </c>
      <c r="F427">
        <v>326</v>
      </c>
      <c r="G427" t="s">
        <v>3013</v>
      </c>
      <c r="H427" t="s">
        <v>3002</v>
      </c>
      <c r="I427">
        <v>1</v>
      </c>
      <c r="J427" t="str">
        <f>VLOOKUP(A427,店舗コード!A:B,2,FALSE)</f>
        <v>07 TOKYO</v>
      </c>
      <c r="O427" s="2"/>
    </row>
    <row r="428" spans="1:15">
      <c r="A428" t="s">
        <v>1846</v>
      </c>
      <c r="B428" s="4" t="s">
        <v>199</v>
      </c>
      <c r="C428" t="s">
        <v>3001</v>
      </c>
      <c r="D428">
        <v>23561</v>
      </c>
      <c r="E428" t="s">
        <v>172</v>
      </c>
      <c r="F428">
        <v>540</v>
      </c>
      <c r="G428" t="s">
        <v>3024</v>
      </c>
      <c r="H428" t="s">
        <v>3002</v>
      </c>
      <c r="I428">
        <v>1</v>
      </c>
      <c r="J428" t="str">
        <f>VLOOKUP(A428,店舗コード!A:B,2,FALSE)</f>
        <v>07 TOKYO</v>
      </c>
      <c r="O428" s="2"/>
    </row>
    <row r="429" spans="1:15">
      <c r="A429" t="s">
        <v>1846</v>
      </c>
      <c r="B429" s="4" t="s">
        <v>3321</v>
      </c>
      <c r="C429" t="s">
        <v>3001</v>
      </c>
      <c r="D429">
        <v>23797</v>
      </c>
      <c r="E429" t="s">
        <v>2735</v>
      </c>
      <c r="F429">
        <v>457</v>
      </c>
      <c r="G429" t="s">
        <v>3019</v>
      </c>
      <c r="H429" t="s">
        <v>3002</v>
      </c>
      <c r="I429">
        <v>1</v>
      </c>
      <c r="J429" t="str">
        <f>VLOOKUP(A429,店舗コード!A:B,2,FALSE)</f>
        <v>07 TOKYO</v>
      </c>
      <c r="O429" s="2"/>
    </row>
    <row r="430" spans="1:15">
      <c r="A430" t="s">
        <v>1846</v>
      </c>
      <c r="B430" s="4" t="s">
        <v>2975</v>
      </c>
      <c r="C430" t="s">
        <v>3001</v>
      </c>
      <c r="D430">
        <v>23346</v>
      </c>
      <c r="E430" t="s">
        <v>3041</v>
      </c>
      <c r="F430">
        <v>550</v>
      </c>
      <c r="G430" t="s">
        <v>2998</v>
      </c>
      <c r="H430" t="s">
        <v>3002</v>
      </c>
      <c r="I430">
        <v>1</v>
      </c>
      <c r="J430" t="str">
        <f>VLOOKUP(A430,店舗コード!A:B,2,FALSE)</f>
        <v>07 TOKYO</v>
      </c>
      <c r="O430" s="2"/>
    </row>
    <row r="431" spans="1:15">
      <c r="A431" t="s">
        <v>1846</v>
      </c>
      <c r="B431" s="4" t="s">
        <v>2977</v>
      </c>
      <c r="C431" t="s">
        <v>3001</v>
      </c>
      <c r="D431">
        <v>23524</v>
      </c>
      <c r="E431" t="s">
        <v>3009</v>
      </c>
      <c r="F431">
        <v>424</v>
      </c>
      <c r="G431" t="s">
        <v>3017</v>
      </c>
      <c r="H431" t="s">
        <v>3002</v>
      </c>
      <c r="I431">
        <v>1</v>
      </c>
      <c r="J431" t="str">
        <f>VLOOKUP(A431,店舗コード!A:B,2,FALSE)</f>
        <v>07 TOKYO</v>
      </c>
      <c r="O431" s="2"/>
    </row>
    <row r="432" spans="1:15">
      <c r="A432" t="s">
        <v>2944</v>
      </c>
      <c r="B432" s="4" t="s">
        <v>3895</v>
      </c>
      <c r="C432" t="s">
        <v>3001</v>
      </c>
      <c r="D432">
        <v>23110</v>
      </c>
      <c r="E432" t="s">
        <v>3896</v>
      </c>
      <c r="F432">
        <v>525</v>
      </c>
      <c r="G432" t="s">
        <v>3761</v>
      </c>
      <c r="H432" t="s">
        <v>3002</v>
      </c>
      <c r="I432">
        <v>1</v>
      </c>
      <c r="J432" t="str">
        <f>VLOOKUP(A432,店舗コード!A:B,2,FALSE)</f>
        <v>10 ヒュッテ</v>
      </c>
      <c r="O432" s="2"/>
    </row>
    <row r="433" spans="1:15">
      <c r="A433" t="s">
        <v>2944</v>
      </c>
      <c r="B433" s="4" t="s">
        <v>3354</v>
      </c>
      <c r="C433" t="s">
        <v>3001</v>
      </c>
      <c r="D433">
        <v>23345</v>
      </c>
      <c r="E433" t="s">
        <v>3031</v>
      </c>
      <c r="F433">
        <v>633</v>
      </c>
      <c r="G433" t="s">
        <v>3347</v>
      </c>
      <c r="H433" t="s">
        <v>3002</v>
      </c>
      <c r="I433">
        <v>1</v>
      </c>
      <c r="J433" t="str">
        <f>VLOOKUP(A433,店舗コード!A:B,2,FALSE)</f>
        <v>10 ヒュッテ</v>
      </c>
      <c r="O433" s="2"/>
    </row>
    <row r="434" spans="1:15">
      <c r="A434" t="s">
        <v>2942</v>
      </c>
      <c r="B434" s="4" t="s">
        <v>3390</v>
      </c>
      <c r="C434" t="s">
        <v>3001</v>
      </c>
      <c r="D434">
        <v>24213</v>
      </c>
      <c r="E434" t="s">
        <v>308</v>
      </c>
      <c r="F434">
        <v>633</v>
      </c>
      <c r="G434" t="s">
        <v>3347</v>
      </c>
      <c r="H434" t="s">
        <v>3002</v>
      </c>
      <c r="I434">
        <v>1</v>
      </c>
      <c r="J434" t="str">
        <f>VLOOKUP(A434,店舗コード!A:B,2,FALSE)</f>
        <v>08 ルクア大阪</v>
      </c>
      <c r="O434" s="2"/>
    </row>
    <row r="435" spans="1:15">
      <c r="A435" t="s">
        <v>2942</v>
      </c>
      <c r="B435" s="4" t="s">
        <v>3529</v>
      </c>
      <c r="C435" t="s">
        <v>3001</v>
      </c>
      <c r="D435">
        <v>23225</v>
      </c>
      <c r="E435" t="s">
        <v>3330</v>
      </c>
      <c r="F435">
        <v>550</v>
      </c>
      <c r="G435" t="s">
        <v>2998</v>
      </c>
      <c r="H435" t="s">
        <v>3002</v>
      </c>
      <c r="I435">
        <v>1</v>
      </c>
      <c r="J435" t="str">
        <f>VLOOKUP(A435,店舗コード!A:B,2,FALSE)</f>
        <v>08 ルクア大阪</v>
      </c>
      <c r="O435" s="2"/>
    </row>
    <row r="436" spans="1:15">
      <c r="A436" t="s">
        <v>1846</v>
      </c>
      <c r="B436" s="4" t="s">
        <v>735</v>
      </c>
      <c r="C436" t="s">
        <v>3001</v>
      </c>
      <c r="D436">
        <v>79061</v>
      </c>
      <c r="E436" t="s">
        <v>736</v>
      </c>
      <c r="G436" t="s">
        <v>3815</v>
      </c>
      <c r="H436" t="s">
        <v>3002</v>
      </c>
      <c r="I436">
        <v>1</v>
      </c>
      <c r="J436" t="str">
        <f>VLOOKUP(A436,店舗コード!A:B,2,FALSE)</f>
        <v>07 TOKYO</v>
      </c>
      <c r="O436" s="2"/>
    </row>
    <row r="437" spans="1:15">
      <c r="A437" t="s">
        <v>1846</v>
      </c>
      <c r="B437" s="4" t="s">
        <v>1591</v>
      </c>
      <c r="C437" t="s">
        <v>3001</v>
      </c>
      <c r="D437">
        <v>24245</v>
      </c>
      <c r="E437" t="s">
        <v>406</v>
      </c>
      <c r="F437">
        <v>633</v>
      </c>
      <c r="G437" t="s">
        <v>3347</v>
      </c>
      <c r="H437" t="s">
        <v>3002</v>
      </c>
      <c r="I437">
        <v>1</v>
      </c>
      <c r="J437" t="str">
        <f>VLOOKUP(A437,店舗コード!A:B,2,FALSE)</f>
        <v>07 TOKYO</v>
      </c>
      <c r="O437" s="2"/>
    </row>
    <row r="438" spans="1:15">
      <c r="A438" t="s">
        <v>1846</v>
      </c>
      <c r="B438" s="4" t="s">
        <v>3897</v>
      </c>
      <c r="C438" t="s">
        <v>3001</v>
      </c>
      <c r="D438">
        <v>81838</v>
      </c>
      <c r="E438" t="s">
        <v>3898</v>
      </c>
      <c r="F438">
        <v>633</v>
      </c>
      <c r="G438" t="s">
        <v>3347</v>
      </c>
      <c r="H438" t="s">
        <v>2999</v>
      </c>
      <c r="I438">
        <v>1</v>
      </c>
      <c r="J438" t="str">
        <f>VLOOKUP(A438,店舗コード!A:B,2,FALSE)</f>
        <v>07 TOKYO</v>
      </c>
      <c r="O438" s="2"/>
    </row>
    <row r="439" spans="1:15">
      <c r="A439" t="s">
        <v>2942</v>
      </c>
      <c r="B439" s="4" t="s">
        <v>3277</v>
      </c>
      <c r="C439" t="s">
        <v>3001</v>
      </c>
      <c r="D439">
        <v>23804</v>
      </c>
      <c r="E439" t="s">
        <v>3278</v>
      </c>
      <c r="F439">
        <v>550</v>
      </c>
      <c r="G439" t="s">
        <v>2998</v>
      </c>
      <c r="H439" t="s">
        <v>3002</v>
      </c>
      <c r="I439">
        <v>1</v>
      </c>
      <c r="J439" t="str">
        <f>VLOOKUP(A439,店舗コード!A:B,2,FALSE)</f>
        <v>08 ルクア大阪</v>
      </c>
      <c r="O439" s="2"/>
    </row>
    <row r="440" spans="1:15">
      <c r="A440" t="s">
        <v>2942</v>
      </c>
      <c r="B440" s="4" t="s">
        <v>3309</v>
      </c>
      <c r="C440" t="s">
        <v>3001</v>
      </c>
      <c r="D440">
        <v>77357</v>
      </c>
      <c r="E440" t="s">
        <v>3036</v>
      </c>
      <c r="F440">
        <v>30</v>
      </c>
      <c r="G440" t="s">
        <v>3310</v>
      </c>
      <c r="H440" t="s">
        <v>3190</v>
      </c>
      <c r="I440">
        <v>1</v>
      </c>
      <c r="J440" t="str">
        <f>VLOOKUP(A440,店舗コード!A:B,2,FALSE)</f>
        <v>08 ルクア大阪</v>
      </c>
      <c r="O440" s="2"/>
    </row>
    <row r="441" spans="1:15">
      <c r="A441" t="s">
        <v>2942</v>
      </c>
      <c r="B441" s="4" t="s">
        <v>3899</v>
      </c>
      <c r="C441" t="s">
        <v>3001</v>
      </c>
      <c r="D441">
        <v>87310</v>
      </c>
      <c r="E441" t="s">
        <v>3201</v>
      </c>
      <c r="F441">
        <v>550</v>
      </c>
      <c r="G441" t="s">
        <v>2998</v>
      </c>
      <c r="H441" t="s">
        <v>2999</v>
      </c>
      <c r="I441">
        <v>1</v>
      </c>
      <c r="J441" t="str">
        <f>VLOOKUP(A441,店舗コード!A:B,2,FALSE)</f>
        <v>08 ルクア大阪</v>
      </c>
      <c r="O441" s="2"/>
    </row>
    <row r="442" spans="1:15">
      <c r="A442" t="s">
        <v>1846</v>
      </c>
      <c r="B442" s="4" t="s">
        <v>88</v>
      </c>
      <c r="C442" t="s">
        <v>3001</v>
      </c>
      <c r="D442">
        <v>23510</v>
      </c>
      <c r="E442" t="s">
        <v>86</v>
      </c>
      <c r="F442">
        <v>31</v>
      </c>
      <c r="G442" t="s">
        <v>3272</v>
      </c>
      <c r="H442" t="s">
        <v>3002</v>
      </c>
      <c r="I442">
        <v>1</v>
      </c>
      <c r="J442" t="str">
        <f>VLOOKUP(A442,店舗コード!A:B,2,FALSE)</f>
        <v>07 TOKYO</v>
      </c>
      <c r="O442" s="2"/>
    </row>
    <row r="443" spans="1:15">
      <c r="A443" t="s">
        <v>1846</v>
      </c>
      <c r="B443" s="4" t="s">
        <v>2976</v>
      </c>
      <c r="C443" t="s">
        <v>3001</v>
      </c>
      <c r="D443">
        <v>23510</v>
      </c>
      <c r="E443" t="s">
        <v>86</v>
      </c>
      <c r="F443" t="s">
        <v>3021</v>
      </c>
      <c r="G443" t="s">
        <v>3022</v>
      </c>
      <c r="H443" t="s">
        <v>3002</v>
      </c>
      <c r="I443">
        <v>1</v>
      </c>
      <c r="J443" t="str">
        <f>VLOOKUP(A443,店舗コード!A:B,2,FALSE)</f>
        <v>07 TOKYO</v>
      </c>
      <c r="O443" s="2"/>
    </row>
    <row r="444" spans="1:15">
      <c r="A444" t="s">
        <v>2953</v>
      </c>
      <c r="B444" s="4" t="s">
        <v>3901</v>
      </c>
      <c r="C444" t="s">
        <v>3001</v>
      </c>
      <c r="D444">
        <v>12600328</v>
      </c>
      <c r="E444" t="s">
        <v>3864</v>
      </c>
      <c r="F444">
        <v>111</v>
      </c>
      <c r="G444" t="s">
        <v>3338</v>
      </c>
      <c r="H444" t="s">
        <v>3029</v>
      </c>
      <c r="I444">
        <v>1</v>
      </c>
      <c r="J444" t="str">
        <f>VLOOKUP(A444,店舗コード!A:B,2,FALSE)</f>
        <v>04 名古屋</v>
      </c>
      <c r="O444" s="2"/>
    </row>
    <row r="445" spans="1:15">
      <c r="A445" t="s">
        <v>2953</v>
      </c>
      <c r="B445" s="4" t="s">
        <v>735</v>
      </c>
      <c r="C445" t="s">
        <v>3001</v>
      </c>
      <c r="D445">
        <v>79061</v>
      </c>
      <c r="E445" t="s">
        <v>736</v>
      </c>
      <c r="G445" t="s">
        <v>3815</v>
      </c>
      <c r="H445" t="s">
        <v>3002</v>
      </c>
      <c r="I445">
        <v>1</v>
      </c>
      <c r="J445" t="str">
        <f>VLOOKUP(A445,店舗コード!A:B,2,FALSE)</f>
        <v>04 名古屋</v>
      </c>
      <c r="O445" s="2"/>
    </row>
    <row r="446" spans="1:15">
      <c r="A446" t="s">
        <v>2953</v>
      </c>
      <c r="B446" s="4">
        <v>8175203050</v>
      </c>
      <c r="C446" t="s">
        <v>3001</v>
      </c>
      <c r="D446">
        <v>81752</v>
      </c>
      <c r="E446" t="s">
        <v>3900</v>
      </c>
      <c r="F446">
        <v>30</v>
      </c>
      <c r="G446" t="s">
        <v>3310</v>
      </c>
      <c r="H446">
        <v>50</v>
      </c>
      <c r="I446">
        <v>1</v>
      </c>
      <c r="J446" t="str">
        <f>VLOOKUP(A446,店舗コード!A:B,2,FALSE)</f>
        <v>04 名古屋</v>
      </c>
      <c r="O446" s="2"/>
    </row>
    <row r="447" spans="1:15">
      <c r="A447" t="s">
        <v>2942</v>
      </c>
      <c r="B447" s="4" t="s">
        <v>3339</v>
      </c>
      <c r="C447" t="s">
        <v>3001</v>
      </c>
      <c r="D447">
        <v>23226</v>
      </c>
      <c r="E447" t="s">
        <v>3020</v>
      </c>
      <c r="F447">
        <v>550</v>
      </c>
      <c r="G447" t="s">
        <v>2998</v>
      </c>
      <c r="H447" t="s">
        <v>3002</v>
      </c>
      <c r="I447">
        <v>1</v>
      </c>
      <c r="J447" t="str">
        <f>VLOOKUP(A447,店舗コード!A:B,2,FALSE)</f>
        <v>08 ルクア大阪</v>
      </c>
      <c r="O447" s="2"/>
    </row>
    <row r="448" spans="1:15">
      <c r="A448" t="s">
        <v>2953</v>
      </c>
      <c r="B448" s="4" t="s">
        <v>346</v>
      </c>
      <c r="C448" t="s">
        <v>3001</v>
      </c>
      <c r="D448">
        <v>24218</v>
      </c>
      <c r="E448" t="s">
        <v>340</v>
      </c>
      <c r="F448">
        <v>560</v>
      </c>
      <c r="G448" t="s">
        <v>3025</v>
      </c>
      <c r="H448" t="s">
        <v>3002</v>
      </c>
      <c r="I448">
        <v>1</v>
      </c>
      <c r="J448" t="str">
        <f>VLOOKUP(A448,店舗コード!A:B,2,FALSE)</f>
        <v>04 名古屋</v>
      </c>
      <c r="O448" s="2"/>
    </row>
    <row r="449" spans="1:15">
      <c r="A449" t="s">
        <v>2942</v>
      </c>
      <c r="B449" s="4" t="s">
        <v>3902</v>
      </c>
      <c r="C449" t="s">
        <v>3001</v>
      </c>
      <c r="D449">
        <v>79258</v>
      </c>
      <c r="E449" t="s">
        <v>737</v>
      </c>
      <c r="F449">
        <v>195</v>
      </c>
      <c r="G449" t="s">
        <v>3274</v>
      </c>
      <c r="H449" t="s">
        <v>3029</v>
      </c>
      <c r="I449">
        <v>1</v>
      </c>
      <c r="J449" t="str">
        <f>VLOOKUP(A449,店舗コード!A:B,2,FALSE)</f>
        <v>08 ルクア大阪</v>
      </c>
      <c r="O449" s="2"/>
    </row>
    <row r="450" spans="1:15">
      <c r="A450" t="s">
        <v>2993</v>
      </c>
      <c r="B450" s="4" t="s">
        <v>2963</v>
      </c>
      <c r="C450" t="s">
        <v>3001</v>
      </c>
      <c r="D450">
        <v>23510</v>
      </c>
      <c r="E450" t="s">
        <v>86</v>
      </c>
      <c r="F450">
        <v>457</v>
      </c>
      <c r="G450" t="s">
        <v>3019</v>
      </c>
      <c r="H450" t="s">
        <v>3002</v>
      </c>
      <c r="I450">
        <v>1</v>
      </c>
      <c r="J450" t="str">
        <f>VLOOKUP(A450,店舗コード!A:B,2,FALSE)</f>
        <v>15 大丸心斎橋</v>
      </c>
      <c r="O450" s="2"/>
    </row>
    <row r="451" spans="1:15">
      <c r="A451" t="s">
        <v>2953</v>
      </c>
      <c r="B451" s="4" t="s">
        <v>3903</v>
      </c>
      <c r="C451" t="s">
        <v>3001</v>
      </c>
      <c r="D451">
        <v>81900</v>
      </c>
      <c r="E451" t="s">
        <v>3904</v>
      </c>
      <c r="F451">
        <v>662</v>
      </c>
      <c r="G451" t="s">
        <v>3320</v>
      </c>
      <c r="H451" t="s">
        <v>3030</v>
      </c>
      <c r="I451">
        <v>1</v>
      </c>
      <c r="J451" t="str">
        <f>VLOOKUP(A451,店舗コード!A:B,2,FALSE)</f>
        <v>04 名古屋</v>
      </c>
      <c r="O451" s="2"/>
    </row>
    <row r="452" spans="1:15">
      <c r="A452" t="s">
        <v>2953</v>
      </c>
      <c r="B452" s="4" t="s">
        <v>3731</v>
      </c>
      <c r="C452" t="s">
        <v>3001</v>
      </c>
      <c r="D452">
        <v>86868</v>
      </c>
      <c r="E452" t="s">
        <v>3728</v>
      </c>
      <c r="F452">
        <v>550</v>
      </c>
      <c r="G452" t="s">
        <v>2998</v>
      </c>
      <c r="H452" t="s">
        <v>3905</v>
      </c>
      <c r="I452">
        <v>1</v>
      </c>
      <c r="J452" t="str">
        <f>VLOOKUP(A452,店舗コード!A:B,2,FALSE)</f>
        <v>04 名古屋</v>
      </c>
      <c r="O452" s="2"/>
    </row>
    <row r="453" spans="1:15">
      <c r="A453" t="s">
        <v>2993</v>
      </c>
      <c r="B453" s="4" t="s">
        <v>2736</v>
      </c>
      <c r="C453" t="s">
        <v>3001</v>
      </c>
      <c r="D453">
        <v>23797</v>
      </c>
      <c r="E453" t="s">
        <v>2735</v>
      </c>
      <c r="F453">
        <v>312</v>
      </c>
      <c r="G453" t="s">
        <v>3906</v>
      </c>
      <c r="H453" t="s">
        <v>3002</v>
      </c>
      <c r="I453">
        <v>1</v>
      </c>
      <c r="J453" t="str">
        <f>VLOOKUP(A453,店舗コード!A:B,2,FALSE)</f>
        <v>15 大丸心斎橋</v>
      </c>
      <c r="O453" s="2"/>
    </row>
    <row r="454" spans="1:15">
      <c r="A454" t="s">
        <v>1846</v>
      </c>
      <c r="B454" s="4" t="s">
        <v>733</v>
      </c>
      <c r="C454" t="s">
        <v>3001</v>
      </c>
      <c r="D454">
        <v>79060</v>
      </c>
      <c r="E454" t="s">
        <v>734</v>
      </c>
      <c r="H454" t="s">
        <v>3002</v>
      </c>
      <c r="I454">
        <v>1</v>
      </c>
      <c r="J454" t="str">
        <f>VLOOKUP(A454,店舗コード!A:B,2,FALSE)</f>
        <v>07 TOKYO</v>
      </c>
      <c r="O454" s="2"/>
    </row>
    <row r="455" spans="1:15">
      <c r="A455" t="s">
        <v>1846</v>
      </c>
      <c r="B455" s="4" t="s">
        <v>3907</v>
      </c>
      <c r="C455" t="s">
        <v>3001</v>
      </c>
      <c r="D455">
        <v>84782</v>
      </c>
      <c r="E455" t="s">
        <v>3908</v>
      </c>
      <c r="F455">
        <v>555</v>
      </c>
      <c r="G455" t="s">
        <v>3200</v>
      </c>
      <c r="H455" t="s">
        <v>3002</v>
      </c>
      <c r="I455">
        <v>1</v>
      </c>
      <c r="J455" t="str">
        <f>VLOOKUP(A455,店舗コード!A:B,2,FALSE)</f>
        <v>07 TOKYO</v>
      </c>
      <c r="O455" s="2"/>
    </row>
    <row r="456" spans="1:15">
      <c r="A456" t="s">
        <v>2953</v>
      </c>
      <c r="B456" s="4" t="s">
        <v>3909</v>
      </c>
      <c r="C456" t="s">
        <v>3001</v>
      </c>
      <c r="D456">
        <v>87176</v>
      </c>
      <c r="E456" t="s">
        <v>2858</v>
      </c>
      <c r="F456" t="s">
        <v>3453</v>
      </c>
      <c r="G456" t="s">
        <v>3454</v>
      </c>
      <c r="H456" t="s">
        <v>3436</v>
      </c>
      <c r="I456">
        <v>1</v>
      </c>
      <c r="J456" t="str">
        <f>VLOOKUP(A456,店舗コード!A:B,2,FALSE)</f>
        <v>04 名古屋</v>
      </c>
      <c r="O456" s="2"/>
    </row>
    <row r="457" spans="1:15">
      <c r="A457" t="s">
        <v>1846</v>
      </c>
      <c r="B457" s="4" t="s">
        <v>3187</v>
      </c>
      <c r="C457" t="s">
        <v>3001</v>
      </c>
      <c r="D457">
        <v>23227</v>
      </c>
      <c r="E457" t="s">
        <v>3014</v>
      </c>
      <c r="F457">
        <v>543</v>
      </c>
      <c r="G457" t="s">
        <v>3188</v>
      </c>
      <c r="H457" t="s">
        <v>3002</v>
      </c>
      <c r="I457">
        <v>1</v>
      </c>
      <c r="J457" t="str">
        <f>VLOOKUP(A457,店舗コード!A:B,2,FALSE)</f>
        <v>07 TOKYO</v>
      </c>
      <c r="O457" s="2"/>
    </row>
    <row r="458" spans="1:15">
      <c r="A458" t="s">
        <v>2942</v>
      </c>
      <c r="B458" s="4" t="s">
        <v>3887</v>
      </c>
      <c r="C458" t="s">
        <v>3001</v>
      </c>
      <c r="D458">
        <v>23525</v>
      </c>
      <c r="E458" t="s">
        <v>3012</v>
      </c>
      <c r="F458">
        <v>620</v>
      </c>
      <c r="G458" t="s">
        <v>3026</v>
      </c>
      <c r="H458" t="s">
        <v>3002</v>
      </c>
      <c r="I458">
        <v>1</v>
      </c>
      <c r="J458" t="str">
        <f>VLOOKUP(A458,店舗コード!A:B,2,FALSE)</f>
        <v>08 ルクア大阪</v>
      </c>
      <c r="O458" s="2"/>
    </row>
    <row r="459" spans="1:15">
      <c r="A459" t="s">
        <v>2960</v>
      </c>
      <c r="B459" s="4" t="s">
        <v>2976</v>
      </c>
      <c r="C459" t="s">
        <v>3001</v>
      </c>
      <c r="D459">
        <v>23510</v>
      </c>
      <c r="E459" t="s">
        <v>86</v>
      </c>
      <c r="F459" t="s">
        <v>3021</v>
      </c>
      <c r="G459" t="s">
        <v>3022</v>
      </c>
      <c r="H459" t="s">
        <v>3002</v>
      </c>
      <c r="I459">
        <v>1</v>
      </c>
      <c r="J459" t="str">
        <f>VLOOKUP(A459,店舗コード!A:B,2,FALSE)</f>
        <v>13 京王新宿</v>
      </c>
      <c r="O459" s="2"/>
    </row>
    <row r="460" spans="1:15">
      <c r="A460" t="s">
        <v>2953</v>
      </c>
      <c r="B460" s="4" t="s">
        <v>3257</v>
      </c>
      <c r="C460" t="s">
        <v>3001</v>
      </c>
      <c r="D460">
        <v>23200353</v>
      </c>
      <c r="E460" t="s">
        <v>3256</v>
      </c>
      <c r="F460">
        <v>221</v>
      </c>
      <c r="G460" t="s">
        <v>3290</v>
      </c>
      <c r="H460" t="s">
        <v>3002</v>
      </c>
      <c r="I460">
        <v>1</v>
      </c>
      <c r="J460" t="str">
        <f>VLOOKUP(A460,店舗コード!A:B,2,FALSE)</f>
        <v>04 名古屋</v>
      </c>
      <c r="O460" s="2"/>
    </row>
    <row r="461" spans="1:15">
      <c r="A461" t="s">
        <v>2953</v>
      </c>
      <c r="B461" s="4" t="s">
        <v>3910</v>
      </c>
      <c r="C461" t="s">
        <v>3001</v>
      </c>
      <c r="D461">
        <v>84766</v>
      </c>
      <c r="E461" t="s">
        <v>3391</v>
      </c>
      <c r="F461">
        <v>30</v>
      </c>
      <c r="G461" t="s">
        <v>3310</v>
      </c>
      <c r="H461" t="s">
        <v>3030</v>
      </c>
      <c r="I461">
        <v>1</v>
      </c>
      <c r="J461" t="str">
        <f>VLOOKUP(A461,店舗コード!A:B,2,FALSE)</f>
        <v>04 名古屋</v>
      </c>
      <c r="O461" s="2"/>
    </row>
    <row r="462" spans="1:15">
      <c r="A462" t="s">
        <v>1846</v>
      </c>
      <c r="B462" s="4" t="s">
        <v>3813</v>
      </c>
      <c r="C462" t="s">
        <v>3001</v>
      </c>
      <c r="D462">
        <v>23200248</v>
      </c>
      <c r="E462" t="s">
        <v>3814</v>
      </c>
      <c r="F462">
        <v>0</v>
      </c>
      <c r="G462" t="s">
        <v>3815</v>
      </c>
      <c r="H462" t="s">
        <v>3002</v>
      </c>
      <c r="I462">
        <v>1</v>
      </c>
      <c r="J462" t="str">
        <f>VLOOKUP(A462,店舗コード!A:B,2,FALSE)</f>
        <v>07 TOKYO</v>
      </c>
      <c r="O462" s="2"/>
    </row>
    <row r="463" spans="1:15">
      <c r="A463" t="s">
        <v>1846</v>
      </c>
      <c r="B463" s="4" t="s">
        <v>3384</v>
      </c>
      <c r="C463" t="s">
        <v>3001</v>
      </c>
      <c r="D463">
        <v>23226</v>
      </c>
      <c r="E463" t="s">
        <v>3020</v>
      </c>
      <c r="F463">
        <v>620</v>
      </c>
      <c r="G463" t="s">
        <v>3026</v>
      </c>
      <c r="H463" t="s">
        <v>3002</v>
      </c>
      <c r="I463">
        <v>1</v>
      </c>
      <c r="J463" t="str">
        <f>VLOOKUP(A463,店舗コード!A:B,2,FALSE)</f>
        <v>07 TOKYO</v>
      </c>
      <c r="O463" s="2"/>
    </row>
    <row r="464" spans="1:15">
      <c r="A464" t="s">
        <v>3140</v>
      </c>
      <c r="B464" s="4" t="s">
        <v>3004</v>
      </c>
      <c r="C464" t="s">
        <v>3001</v>
      </c>
      <c r="D464">
        <v>23510</v>
      </c>
      <c r="E464" t="s">
        <v>86</v>
      </c>
      <c r="F464" t="s">
        <v>3005</v>
      </c>
      <c r="G464" t="s">
        <v>3006</v>
      </c>
      <c r="H464" t="s">
        <v>3002</v>
      </c>
      <c r="I464">
        <v>1</v>
      </c>
      <c r="J464" t="str">
        <f>VLOOKUP(A464,店舗コード!A:B,2,FALSE)</f>
        <v>20 NARITA</v>
      </c>
      <c r="O464" s="2"/>
    </row>
    <row r="465" spans="1:15">
      <c r="A465" t="s">
        <v>3140</v>
      </c>
      <c r="B465" s="4" t="s">
        <v>3475</v>
      </c>
      <c r="C465" t="s">
        <v>3001</v>
      </c>
      <c r="D465">
        <v>23349</v>
      </c>
      <c r="E465" t="s">
        <v>3292</v>
      </c>
      <c r="F465">
        <v>662</v>
      </c>
      <c r="G465" t="s">
        <v>3320</v>
      </c>
      <c r="H465" t="s">
        <v>3002</v>
      </c>
      <c r="I465">
        <v>1</v>
      </c>
      <c r="J465" t="str">
        <f>VLOOKUP(A465,店舗コード!A:B,2,FALSE)</f>
        <v>20 NARITA</v>
      </c>
      <c r="O465" s="2"/>
    </row>
    <row r="466" spans="1:15">
      <c r="A466" t="s">
        <v>2993</v>
      </c>
      <c r="B466" s="4" t="s">
        <v>3202</v>
      </c>
      <c r="C466" t="s">
        <v>3001</v>
      </c>
      <c r="D466">
        <v>23223</v>
      </c>
      <c r="E466" t="s">
        <v>3016</v>
      </c>
      <c r="F466">
        <v>424</v>
      </c>
      <c r="G466" t="s">
        <v>3017</v>
      </c>
      <c r="H466" t="s">
        <v>3002</v>
      </c>
      <c r="I466">
        <v>1</v>
      </c>
      <c r="J466" t="str">
        <f>VLOOKUP(A466,店舗コード!A:B,2,FALSE)</f>
        <v>15 大丸心斎橋</v>
      </c>
      <c r="O466" s="2"/>
    </row>
    <row r="467" spans="1:15">
      <c r="A467" t="s">
        <v>2942</v>
      </c>
      <c r="B467" s="4" t="s">
        <v>3425</v>
      </c>
      <c r="C467" t="s">
        <v>3001</v>
      </c>
      <c r="D467">
        <v>23200303</v>
      </c>
      <c r="E467" t="s">
        <v>3387</v>
      </c>
      <c r="F467">
        <v>37</v>
      </c>
      <c r="G467" t="s">
        <v>3302</v>
      </c>
      <c r="H467" t="s">
        <v>3002</v>
      </c>
      <c r="I467">
        <v>1</v>
      </c>
      <c r="J467" t="str">
        <f>VLOOKUP(A467,店舗コード!A:B,2,FALSE)</f>
        <v>08 ルクア大阪</v>
      </c>
      <c r="O467" s="2"/>
    </row>
    <row r="468" spans="1:15">
      <c r="A468" t="s">
        <v>2942</v>
      </c>
      <c r="B468" s="4" t="s">
        <v>333</v>
      </c>
      <c r="C468" t="s">
        <v>3001</v>
      </c>
      <c r="D468">
        <v>24215</v>
      </c>
      <c r="E468" t="s">
        <v>326</v>
      </c>
      <c r="F468">
        <v>633</v>
      </c>
      <c r="G468" t="s">
        <v>3347</v>
      </c>
      <c r="H468" t="s">
        <v>3002</v>
      </c>
      <c r="I468">
        <v>1</v>
      </c>
      <c r="J468" t="str">
        <f>VLOOKUP(A468,店舗コード!A:B,2,FALSE)</f>
        <v>08 ルクア大阪</v>
      </c>
      <c r="O468" s="2"/>
    </row>
    <row r="469" spans="1:15">
      <c r="A469" t="s">
        <v>3140</v>
      </c>
      <c r="B469" s="4" t="s">
        <v>3011</v>
      </c>
      <c r="C469" t="s">
        <v>3001</v>
      </c>
      <c r="D469">
        <v>23510</v>
      </c>
      <c r="E469" t="s">
        <v>86</v>
      </c>
      <c r="F469">
        <v>302</v>
      </c>
      <c r="G469" t="s">
        <v>3273</v>
      </c>
      <c r="H469" t="s">
        <v>3002</v>
      </c>
      <c r="I469">
        <v>1</v>
      </c>
      <c r="J469" t="str">
        <f>VLOOKUP(A469,店舗コード!A:B,2,FALSE)</f>
        <v>20 NARITA</v>
      </c>
      <c r="O469" s="2"/>
    </row>
    <row r="470" spans="1:15">
      <c r="A470" t="s">
        <v>1846</v>
      </c>
      <c r="B470" s="4" t="s">
        <v>3517</v>
      </c>
      <c r="C470" t="s">
        <v>3001</v>
      </c>
      <c r="D470">
        <v>23803</v>
      </c>
      <c r="E470" t="s">
        <v>3284</v>
      </c>
      <c r="F470">
        <v>577</v>
      </c>
      <c r="G470" t="s">
        <v>3199</v>
      </c>
      <c r="H470" t="s">
        <v>3002</v>
      </c>
      <c r="I470">
        <v>1</v>
      </c>
      <c r="J470" t="str">
        <f>VLOOKUP(A470,店舗コード!A:B,2,FALSE)</f>
        <v>07 TOKYO</v>
      </c>
      <c r="O470" s="2"/>
    </row>
    <row r="471" spans="1:15">
      <c r="A471" t="s">
        <v>2942</v>
      </c>
      <c r="B471" s="4" t="s">
        <v>3412</v>
      </c>
      <c r="C471" t="s">
        <v>3001</v>
      </c>
      <c r="D471">
        <v>23200337</v>
      </c>
      <c r="E471" t="s">
        <v>3042</v>
      </c>
      <c r="F471">
        <v>550</v>
      </c>
      <c r="G471" t="s">
        <v>2998</v>
      </c>
      <c r="H471" t="s">
        <v>3002</v>
      </c>
      <c r="I471">
        <v>1</v>
      </c>
      <c r="J471" t="str">
        <f>VLOOKUP(A471,店舗コード!A:B,2,FALSE)</f>
        <v>08 ルクア大阪</v>
      </c>
      <c r="O471" s="2"/>
    </row>
    <row r="472" spans="1:15">
      <c r="A472" t="s">
        <v>2953</v>
      </c>
      <c r="B472" s="4" t="s">
        <v>3401</v>
      </c>
      <c r="C472" t="s">
        <v>3001</v>
      </c>
      <c r="D472">
        <v>23524</v>
      </c>
      <c r="E472" t="s">
        <v>3009</v>
      </c>
      <c r="F472">
        <v>664</v>
      </c>
      <c r="G472" t="s">
        <v>3015</v>
      </c>
      <c r="H472" t="s">
        <v>3002</v>
      </c>
      <c r="I472">
        <v>1</v>
      </c>
      <c r="J472" t="str">
        <f>VLOOKUP(A472,店舗コード!A:B,2,FALSE)</f>
        <v>04 名古屋</v>
      </c>
      <c r="O472" s="2"/>
    </row>
    <row r="473" spans="1:15">
      <c r="A473" t="s">
        <v>2953</v>
      </c>
      <c r="B473" s="4" t="s">
        <v>348</v>
      </c>
      <c r="C473" t="s">
        <v>3001</v>
      </c>
      <c r="D473">
        <v>24218</v>
      </c>
      <c r="E473" t="s">
        <v>340</v>
      </c>
      <c r="F473">
        <v>633</v>
      </c>
      <c r="G473" t="s">
        <v>3347</v>
      </c>
      <c r="H473" t="s">
        <v>3002</v>
      </c>
      <c r="I473">
        <v>1</v>
      </c>
      <c r="J473" t="str">
        <f>VLOOKUP(A473,店舗コード!A:B,2,FALSE)</f>
        <v>04 名古屋</v>
      </c>
      <c r="O473" s="2"/>
    </row>
    <row r="474" spans="1:15">
      <c r="A474" t="s">
        <v>2953</v>
      </c>
      <c r="B474" s="4" t="s">
        <v>3911</v>
      </c>
      <c r="C474" t="s">
        <v>3001</v>
      </c>
      <c r="D474">
        <v>87039</v>
      </c>
      <c r="E474" t="s">
        <v>3306</v>
      </c>
      <c r="F474">
        <v>113</v>
      </c>
      <c r="G474" t="s">
        <v>3349</v>
      </c>
      <c r="H474" t="s">
        <v>2999</v>
      </c>
      <c r="I474">
        <v>1</v>
      </c>
      <c r="J474" t="str">
        <f>VLOOKUP(A474,店舗コード!A:B,2,FALSE)</f>
        <v>04 名古屋</v>
      </c>
      <c r="O474" s="2"/>
    </row>
    <row r="475" spans="1:15">
      <c r="A475" t="s">
        <v>2942</v>
      </c>
      <c r="B475" s="4" t="s">
        <v>99</v>
      </c>
      <c r="C475" t="s">
        <v>3001</v>
      </c>
      <c r="D475">
        <v>23510</v>
      </c>
      <c r="E475" t="s">
        <v>86</v>
      </c>
      <c r="F475">
        <v>312</v>
      </c>
      <c r="G475" t="s">
        <v>3003</v>
      </c>
      <c r="H475" t="s">
        <v>3002</v>
      </c>
      <c r="I475">
        <v>1</v>
      </c>
      <c r="J475" t="str">
        <f>VLOOKUP(A475,店舗コード!A:B,2,FALSE)</f>
        <v>08 ルクア大阪</v>
      </c>
      <c r="O475" s="2"/>
    </row>
    <row r="476" spans="1:15">
      <c r="A476" t="s">
        <v>2960</v>
      </c>
      <c r="B476" s="4" t="s">
        <v>133</v>
      </c>
      <c r="C476" t="s">
        <v>3001</v>
      </c>
      <c r="D476">
        <v>23510</v>
      </c>
      <c r="E476" t="s">
        <v>86</v>
      </c>
      <c r="F476">
        <v>664</v>
      </c>
      <c r="G476" t="s">
        <v>3015</v>
      </c>
      <c r="H476" t="s">
        <v>3002</v>
      </c>
      <c r="I476">
        <v>1</v>
      </c>
      <c r="J476" t="str">
        <f>VLOOKUP(A476,店舗コード!A:B,2,FALSE)</f>
        <v>13 京王新宿</v>
      </c>
      <c r="O476" s="2"/>
    </row>
    <row r="477" spans="1:15">
      <c r="A477" t="s">
        <v>2953</v>
      </c>
      <c r="B477" s="4" t="s">
        <v>3452</v>
      </c>
      <c r="C477" t="s">
        <v>3001</v>
      </c>
      <c r="D477">
        <v>23200395</v>
      </c>
      <c r="E477" t="s">
        <v>3304</v>
      </c>
      <c r="F477">
        <v>457</v>
      </c>
      <c r="G477" t="s">
        <v>3019</v>
      </c>
      <c r="H477" t="s">
        <v>3002</v>
      </c>
      <c r="I477">
        <v>1</v>
      </c>
      <c r="J477" t="str">
        <f>VLOOKUP(A477,店舗コード!A:B,2,FALSE)</f>
        <v>04 名古屋</v>
      </c>
      <c r="O477" s="2"/>
    </row>
    <row r="478" spans="1:15">
      <c r="A478" t="s">
        <v>2942</v>
      </c>
      <c r="B478" s="4" t="s">
        <v>116</v>
      </c>
      <c r="C478" t="s">
        <v>3001</v>
      </c>
      <c r="D478">
        <v>23510</v>
      </c>
      <c r="E478" t="s">
        <v>86</v>
      </c>
      <c r="F478">
        <v>540</v>
      </c>
      <c r="G478" t="s">
        <v>3024</v>
      </c>
      <c r="H478" t="s">
        <v>3002</v>
      </c>
      <c r="I478">
        <v>1</v>
      </c>
      <c r="J478" t="str">
        <f>VLOOKUP(A478,店舗コード!A:B,2,FALSE)</f>
        <v>08 ルクア大阪</v>
      </c>
      <c r="O478" s="2"/>
    </row>
    <row r="479" spans="1:15">
      <c r="A479" t="s">
        <v>2942</v>
      </c>
      <c r="B479" s="4" t="s">
        <v>3356</v>
      </c>
      <c r="C479" t="s">
        <v>3001</v>
      </c>
      <c r="D479">
        <v>23796</v>
      </c>
      <c r="E479" t="s">
        <v>3034</v>
      </c>
      <c r="F479">
        <v>118</v>
      </c>
      <c r="G479" t="s">
        <v>3035</v>
      </c>
      <c r="H479" t="s">
        <v>3002</v>
      </c>
      <c r="I479">
        <v>1</v>
      </c>
      <c r="J479" t="str">
        <f>VLOOKUP(A479,店舗コード!A:B,2,FALSE)</f>
        <v>08 ルクア大阪</v>
      </c>
      <c r="O479" s="2"/>
    </row>
    <row r="480" spans="1:15">
      <c r="A480" t="s">
        <v>2942</v>
      </c>
      <c r="B480" s="4" t="s">
        <v>3519</v>
      </c>
      <c r="C480" t="s">
        <v>3001</v>
      </c>
      <c r="D480">
        <v>87310</v>
      </c>
      <c r="E480" t="s">
        <v>3201</v>
      </c>
      <c r="F480">
        <v>113</v>
      </c>
      <c r="G480" t="s">
        <v>3349</v>
      </c>
      <c r="H480" t="s">
        <v>3030</v>
      </c>
      <c r="I480">
        <v>1</v>
      </c>
      <c r="J480" t="str">
        <f>VLOOKUP(A480,店舗コード!A:B,2,FALSE)</f>
        <v>08 ルクア大阪</v>
      </c>
      <c r="O480" s="2"/>
    </row>
    <row r="481" spans="1:15">
      <c r="A481" t="s">
        <v>2942</v>
      </c>
      <c r="B481" s="4" t="s">
        <v>3281</v>
      </c>
      <c r="C481" t="s">
        <v>3001</v>
      </c>
      <c r="D481">
        <v>23223</v>
      </c>
      <c r="E481" t="s">
        <v>3016</v>
      </c>
      <c r="F481">
        <v>550</v>
      </c>
      <c r="G481" t="s">
        <v>2998</v>
      </c>
      <c r="H481" t="s">
        <v>3002</v>
      </c>
      <c r="I481">
        <v>1</v>
      </c>
      <c r="J481" t="str">
        <f>VLOOKUP(A481,店舗コード!A:B,2,FALSE)</f>
        <v>08 ルクア大阪</v>
      </c>
      <c r="O481" s="2"/>
    </row>
    <row r="482" spans="1:15">
      <c r="A482" t="s">
        <v>2942</v>
      </c>
      <c r="B482" s="4" t="s">
        <v>3873</v>
      </c>
      <c r="C482" t="s">
        <v>3001</v>
      </c>
      <c r="D482">
        <v>14200222</v>
      </c>
      <c r="E482" t="s">
        <v>3874</v>
      </c>
      <c r="F482">
        <v>118</v>
      </c>
      <c r="G482" t="s">
        <v>3035</v>
      </c>
      <c r="H482" t="s">
        <v>2999</v>
      </c>
      <c r="I482">
        <v>1</v>
      </c>
      <c r="J482" t="str">
        <f>VLOOKUP(A482,店舗コード!A:B,2,FALSE)</f>
        <v>08 ルクア大阪</v>
      </c>
      <c r="O482" s="2"/>
    </row>
    <row r="483" spans="1:15">
      <c r="A483" t="s">
        <v>2942</v>
      </c>
      <c r="B483" s="4" t="s">
        <v>2652</v>
      </c>
      <c r="C483" t="s">
        <v>3001</v>
      </c>
      <c r="D483">
        <v>23797</v>
      </c>
      <c r="E483" t="s">
        <v>2735</v>
      </c>
      <c r="F483">
        <v>664</v>
      </c>
      <c r="G483" t="s">
        <v>3763</v>
      </c>
      <c r="H483" t="s">
        <v>3002</v>
      </c>
      <c r="I483">
        <v>1</v>
      </c>
      <c r="J483" t="str">
        <f>VLOOKUP(A483,店舗コード!A:B,2,FALSE)</f>
        <v>08 ルクア大阪</v>
      </c>
      <c r="O483" s="2"/>
    </row>
    <row r="484" spans="1:15">
      <c r="A484" t="s">
        <v>2942</v>
      </c>
      <c r="B484" s="4" t="s">
        <v>3425</v>
      </c>
      <c r="C484" t="s">
        <v>3001</v>
      </c>
      <c r="D484">
        <v>23200303</v>
      </c>
      <c r="E484" t="s">
        <v>3387</v>
      </c>
      <c r="F484">
        <v>37</v>
      </c>
      <c r="G484" t="s">
        <v>3302</v>
      </c>
      <c r="H484" t="s">
        <v>3002</v>
      </c>
      <c r="I484">
        <v>-1</v>
      </c>
      <c r="J484" t="str">
        <f>VLOOKUP(A484,店舗コード!A:B,2,FALSE)</f>
        <v>08 ルクア大阪</v>
      </c>
      <c r="O484" s="2"/>
    </row>
    <row r="485" spans="1:15">
      <c r="A485" t="s">
        <v>2942</v>
      </c>
      <c r="B485" s="4" t="s">
        <v>333</v>
      </c>
      <c r="C485" t="s">
        <v>3001</v>
      </c>
      <c r="D485">
        <v>24215</v>
      </c>
      <c r="E485" t="s">
        <v>326</v>
      </c>
      <c r="F485">
        <v>633</v>
      </c>
      <c r="G485" t="s">
        <v>3347</v>
      </c>
      <c r="H485" t="s">
        <v>3002</v>
      </c>
      <c r="I485">
        <v>-1</v>
      </c>
      <c r="J485" t="str">
        <f>VLOOKUP(A485,店舗コード!A:B,2,FALSE)</f>
        <v>08 ルクア大阪</v>
      </c>
      <c r="O485" s="2"/>
    </row>
    <row r="486" spans="1:15">
      <c r="A486" t="s">
        <v>2942</v>
      </c>
      <c r="B486" s="4" t="s">
        <v>3425</v>
      </c>
      <c r="C486" t="s">
        <v>3001</v>
      </c>
      <c r="D486">
        <v>23200303</v>
      </c>
      <c r="E486" t="s">
        <v>3387</v>
      </c>
      <c r="F486">
        <v>37</v>
      </c>
      <c r="G486" t="s">
        <v>3302</v>
      </c>
      <c r="H486" t="s">
        <v>3002</v>
      </c>
      <c r="I486">
        <v>1</v>
      </c>
      <c r="J486" t="str">
        <f>VLOOKUP(A486,店舗コード!A:B,2,FALSE)</f>
        <v>08 ルクア大阪</v>
      </c>
      <c r="O486" s="2"/>
    </row>
    <row r="487" spans="1:15">
      <c r="A487" t="s">
        <v>2942</v>
      </c>
      <c r="B487" s="4" t="s">
        <v>333</v>
      </c>
      <c r="C487" t="s">
        <v>3001</v>
      </c>
      <c r="D487">
        <v>24215</v>
      </c>
      <c r="E487" t="s">
        <v>326</v>
      </c>
      <c r="F487">
        <v>633</v>
      </c>
      <c r="G487" t="s">
        <v>3347</v>
      </c>
      <c r="H487" t="s">
        <v>3002</v>
      </c>
      <c r="I487">
        <v>1</v>
      </c>
      <c r="J487" t="str">
        <f>VLOOKUP(A487,店舗コード!A:B,2,FALSE)</f>
        <v>08 ルクア大阪</v>
      </c>
      <c r="O487" s="2"/>
    </row>
    <row r="488" spans="1:15">
      <c r="A488" t="s">
        <v>3140</v>
      </c>
      <c r="B488" s="4" t="s">
        <v>3455</v>
      </c>
      <c r="C488" t="s">
        <v>3001</v>
      </c>
      <c r="D488">
        <v>23200395</v>
      </c>
      <c r="E488" t="s">
        <v>3304</v>
      </c>
      <c r="F488">
        <v>118</v>
      </c>
      <c r="G488" t="s">
        <v>3035</v>
      </c>
      <c r="H488" t="s">
        <v>3002</v>
      </c>
      <c r="I488">
        <v>1</v>
      </c>
      <c r="J488" t="str">
        <f>VLOOKUP(A488,店舗コード!A:B,2,FALSE)</f>
        <v>20 NARITA</v>
      </c>
      <c r="O488" s="2"/>
    </row>
    <row r="489" spans="1:15">
      <c r="A489" t="s">
        <v>3140</v>
      </c>
      <c r="B489" s="4" t="s">
        <v>3396</v>
      </c>
      <c r="C489" t="s">
        <v>3001</v>
      </c>
      <c r="D489">
        <v>23226</v>
      </c>
      <c r="E489" t="s">
        <v>3020</v>
      </c>
      <c r="F489">
        <v>424</v>
      </c>
      <c r="G489" t="s">
        <v>3017</v>
      </c>
      <c r="H489" t="s">
        <v>3002</v>
      </c>
      <c r="I489">
        <v>1</v>
      </c>
      <c r="J489" t="str">
        <f>VLOOKUP(A489,店舗コード!A:B,2,FALSE)</f>
        <v>20 NARITA</v>
      </c>
      <c r="O489" s="2"/>
    </row>
    <row r="490" spans="1:15">
      <c r="A490" t="s">
        <v>3140</v>
      </c>
      <c r="B490" s="4" t="s">
        <v>3828</v>
      </c>
      <c r="C490" t="s">
        <v>3001</v>
      </c>
      <c r="D490">
        <v>23344</v>
      </c>
      <c r="E490" t="s">
        <v>3018</v>
      </c>
      <c r="F490">
        <v>357</v>
      </c>
      <c r="G490" t="s">
        <v>3213</v>
      </c>
      <c r="H490" t="s">
        <v>3002</v>
      </c>
      <c r="I490">
        <v>1</v>
      </c>
      <c r="J490" t="str">
        <f>VLOOKUP(A490,店舗コード!A:B,2,FALSE)</f>
        <v>20 NARITA</v>
      </c>
      <c r="O490" s="2"/>
    </row>
    <row r="491" spans="1:15">
      <c r="A491" t="s">
        <v>3140</v>
      </c>
      <c r="B491" s="4" t="s">
        <v>2985</v>
      </c>
      <c r="C491" t="s">
        <v>3001</v>
      </c>
      <c r="D491">
        <v>23510</v>
      </c>
      <c r="E491" t="s">
        <v>86</v>
      </c>
      <c r="F491">
        <v>600</v>
      </c>
      <c r="G491" t="s">
        <v>3282</v>
      </c>
      <c r="H491" t="s">
        <v>3002</v>
      </c>
      <c r="I491">
        <v>1</v>
      </c>
      <c r="J491" t="str">
        <f>VLOOKUP(A491,店舗コード!A:B,2,FALSE)</f>
        <v>20 NARITA</v>
      </c>
      <c r="O491" s="2"/>
    </row>
    <row r="492" spans="1:15">
      <c r="A492" t="s">
        <v>3140</v>
      </c>
      <c r="B492" s="4" t="s">
        <v>204</v>
      </c>
      <c r="C492" t="s">
        <v>3001</v>
      </c>
      <c r="D492">
        <v>23561</v>
      </c>
      <c r="E492" t="s">
        <v>172</v>
      </c>
      <c r="F492">
        <v>560</v>
      </c>
      <c r="G492" t="s">
        <v>3025</v>
      </c>
      <c r="H492" t="s">
        <v>3002</v>
      </c>
      <c r="I492">
        <v>1</v>
      </c>
      <c r="J492" t="str">
        <f>VLOOKUP(A492,店舗コード!A:B,2,FALSE)</f>
        <v>20 NARITA</v>
      </c>
      <c r="O492" s="2"/>
    </row>
    <row r="493" spans="1:15">
      <c r="A493" t="s">
        <v>2980</v>
      </c>
      <c r="B493" s="4" t="s">
        <v>99</v>
      </c>
      <c r="C493" t="s">
        <v>3001</v>
      </c>
      <c r="D493">
        <v>23510</v>
      </c>
      <c r="E493" t="s">
        <v>86</v>
      </c>
      <c r="F493">
        <v>312</v>
      </c>
      <c r="G493" t="s">
        <v>3003</v>
      </c>
      <c r="H493" t="s">
        <v>3002</v>
      </c>
      <c r="I493">
        <v>1</v>
      </c>
      <c r="J493" t="str">
        <f>VLOOKUP(A493,店舗コード!A:B,2,FALSE)</f>
        <v>17 玉川高島屋</v>
      </c>
      <c r="O493" s="2"/>
    </row>
    <row r="494" spans="1:15">
      <c r="A494" t="s">
        <v>3140</v>
      </c>
      <c r="B494" s="4" t="s">
        <v>1561</v>
      </c>
      <c r="C494" t="s">
        <v>3001</v>
      </c>
      <c r="D494">
        <v>23561</v>
      </c>
      <c r="E494" t="s">
        <v>172</v>
      </c>
      <c r="F494">
        <v>46</v>
      </c>
      <c r="G494" t="s">
        <v>3045</v>
      </c>
      <c r="H494" t="s">
        <v>3002</v>
      </c>
      <c r="I494">
        <v>1</v>
      </c>
      <c r="J494" t="str">
        <f>VLOOKUP(A494,店舗コード!A:B,2,FALSE)</f>
        <v>20 NARITA</v>
      </c>
      <c r="O494" s="2"/>
    </row>
    <row r="495" spans="1:15">
      <c r="A495" t="s">
        <v>2942</v>
      </c>
      <c r="B495" s="4" t="s">
        <v>2194</v>
      </c>
      <c r="C495" t="s">
        <v>3001</v>
      </c>
      <c r="D495">
        <v>81511</v>
      </c>
      <c r="E495" t="s">
        <v>2192</v>
      </c>
      <c r="F495">
        <v>560</v>
      </c>
      <c r="G495" t="s">
        <v>3025</v>
      </c>
      <c r="H495" t="s">
        <v>3030</v>
      </c>
      <c r="I495">
        <v>1</v>
      </c>
      <c r="J495" t="str">
        <f>VLOOKUP(A495,店舗コード!A:B,2,FALSE)</f>
        <v>08 ルクア大阪</v>
      </c>
      <c r="O495" s="2"/>
    </row>
    <row r="496" spans="1:15">
      <c r="A496" t="s">
        <v>2953</v>
      </c>
      <c r="B496" s="4" t="s">
        <v>3503</v>
      </c>
      <c r="C496" t="s">
        <v>3001</v>
      </c>
      <c r="D496">
        <v>23222</v>
      </c>
      <c r="E496" t="s">
        <v>3193</v>
      </c>
      <c r="F496">
        <v>424</v>
      </c>
      <c r="G496" t="s">
        <v>3017</v>
      </c>
      <c r="H496" t="s">
        <v>3002</v>
      </c>
      <c r="I496">
        <v>1</v>
      </c>
      <c r="J496" t="str">
        <f>VLOOKUP(A496,店舗コード!A:B,2,FALSE)</f>
        <v>04 名古屋</v>
      </c>
      <c r="O496" s="2"/>
    </row>
    <row r="497" spans="1:15">
      <c r="A497" t="s">
        <v>2953</v>
      </c>
      <c r="B497" s="4" t="s">
        <v>3363</v>
      </c>
      <c r="C497" t="s">
        <v>3001</v>
      </c>
      <c r="D497">
        <v>77277</v>
      </c>
      <c r="E497" t="s">
        <v>3364</v>
      </c>
      <c r="F497">
        <v>118</v>
      </c>
      <c r="G497" t="s">
        <v>3035</v>
      </c>
      <c r="H497" t="s">
        <v>3029</v>
      </c>
      <c r="I497">
        <v>1</v>
      </c>
      <c r="J497" t="str">
        <f>VLOOKUP(A497,店舗コード!A:B,2,FALSE)</f>
        <v>04 名古屋</v>
      </c>
      <c r="O497" s="2"/>
    </row>
    <row r="498" spans="1:15">
      <c r="A498" t="s">
        <v>2953</v>
      </c>
      <c r="B498" s="4" t="s">
        <v>3459</v>
      </c>
      <c r="C498" t="s">
        <v>3001</v>
      </c>
      <c r="D498">
        <v>77277</v>
      </c>
      <c r="E498" t="s">
        <v>3364</v>
      </c>
      <c r="F498">
        <v>118</v>
      </c>
      <c r="G498" t="s">
        <v>3035</v>
      </c>
      <c r="H498" t="s">
        <v>3030</v>
      </c>
      <c r="I498">
        <v>1</v>
      </c>
      <c r="J498" t="str">
        <f>VLOOKUP(A498,店舗コード!A:B,2,FALSE)</f>
        <v>04 名古屋</v>
      </c>
      <c r="O498" s="2"/>
    </row>
    <row r="499" spans="1:15">
      <c r="A499" t="s">
        <v>2953</v>
      </c>
      <c r="B499" s="4" t="s">
        <v>3735</v>
      </c>
      <c r="C499" t="s">
        <v>3001</v>
      </c>
      <c r="D499">
        <v>77292</v>
      </c>
      <c r="E499" t="s">
        <v>3717</v>
      </c>
      <c r="F499">
        <v>633</v>
      </c>
      <c r="G499" t="s">
        <v>3347</v>
      </c>
      <c r="H499" t="s">
        <v>3190</v>
      </c>
      <c r="I499">
        <v>1</v>
      </c>
      <c r="J499" t="str">
        <f>VLOOKUP(A499,店舗コード!A:B,2,FALSE)</f>
        <v>04 名古屋</v>
      </c>
      <c r="O499" s="2"/>
    </row>
    <row r="500" spans="1:15">
      <c r="A500" t="s">
        <v>2953</v>
      </c>
      <c r="B500" s="4" t="s">
        <v>3914</v>
      </c>
      <c r="C500" t="s">
        <v>3001</v>
      </c>
      <c r="D500">
        <v>77355</v>
      </c>
      <c r="E500" t="s">
        <v>3915</v>
      </c>
      <c r="F500">
        <v>633</v>
      </c>
      <c r="G500" t="s">
        <v>3347</v>
      </c>
      <c r="H500" t="s">
        <v>3002</v>
      </c>
      <c r="I500">
        <v>1</v>
      </c>
      <c r="J500" t="str">
        <f>VLOOKUP(A500,店舗コード!A:B,2,FALSE)</f>
        <v>04 名古屋</v>
      </c>
      <c r="O500" s="2"/>
    </row>
    <row r="501" spans="1:15">
      <c r="A501" t="s">
        <v>2953</v>
      </c>
      <c r="B501" s="4" t="s">
        <v>3912</v>
      </c>
      <c r="C501" t="s">
        <v>3001</v>
      </c>
      <c r="D501">
        <v>79339</v>
      </c>
      <c r="E501" t="s">
        <v>3913</v>
      </c>
      <c r="F501">
        <v>30</v>
      </c>
      <c r="G501" t="s">
        <v>3310</v>
      </c>
      <c r="H501" t="s">
        <v>3029</v>
      </c>
      <c r="I501">
        <v>1</v>
      </c>
      <c r="J501" t="str">
        <f>VLOOKUP(A501,店舗コード!A:B,2,FALSE)</f>
        <v>04 名古屋</v>
      </c>
      <c r="O501" s="2"/>
    </row>
    <row r="502" spans="1:15">
      <c r="A502" t="s">
        <v>2953</v>
      </c>
      <c r="B502" s="4" t="s">
        <v>3357</v>
      </c>
      <c r="C502" t="s">
        <v>3001</v>
      </c>
      <c r="D502">
        <v>23200334</v>
      </c>
      <c r="E502" t="s">
        <v>3343</v>
      </c>
      <c r="F502" t="s">
        <v>3358</v>
      </c>
      <c r="G502" t="s">
        <v>3359</v>
      </c>
      <c r="H502" t="s">
        <v>3002</v>
      </c>
      <c r="I502">
        <v>1</v>
      </c>
      <c r="J502" t="str">
        <f>VLOOKUP(A502,店舗コード!A:B,2,FALSE)</f>
        <v>04 名古屋</v>
      </c>
      <c r="O502" s="2"/>
    </row>
    <row r="503" spans="1:15">
      <c r="A503" t="s">
        <v>2953</v>
      </c>
      <c r="B503" s="4" t="s">
        <v>3887</v>
      </c>
      <c r="C503" t="s">
        <v>3001</v>
      </c>
      <c r="D503">
        <v>23525</v>
      </c>
      <c r="E503" t="s">
        <v>3012</v>
      </c>
      <c r="F503">
        <v>620</v>
      </c>
      <c r="G503" t="s">
        <v>3026</v>
      </c>
      <c r="H503" t="s">
        <v>3002</v>
      </c>
      <c r="I503">
        <v>1</v>
      </c>
      <c r="J503" t="str">
        <f>VLOOKUP(A503,店舗コード!A:B,2,FALSE)</f>
        <v>04 名古屋</v>
      </c>
      <c r="O503" s="2"/>
    </row>
    <row r="504" spans="1:15">
      <c r="A504" t="s">
        <v>1846</v>
      </c>
      <c r="B504" s="4" t="s">
        <v>3277</v>
      </c>
      <c r="C504" t="s">
        <v>3001</v>
      </c>
      <c r="D504">
        <v>23804</v>
      </c>
      <c r="E504" t="s">
        <v>3278</v>
      </c>
      <c r="F504">
        <v>550</v>
      </c>
      <c r="G504" t="s">
        <v>2998</v>
      </c>
      <c r="H504" t="s">
        <v>3002</v>
      </c>
      <c r="I504">
        <v>1</v>
      </c>
      <c r="J504" t="str">
        <f>VLOOKUP(A504,店舗コード!A:B,2,FALSE)</f>
        <v>07 TOKYO</v>
      </c>
      <c r="O504" s="2"/>
    </row>
    <row r="505" spans="1:15">
      <c r="A505" t="s">
        <v>2993</v>
      </c>
      <c r="B505" s="4" t="s">
        <v>346</v>
      </c>
      <c r="C505" t="s">
        <v>3001</v>
      </c>
      <c r="D505">
        <v>24218</v>
      </c>
      <c r="E505" t="s">
        <v>340</v>
      </c>
      <c r="F505">
        <v>560</v>
      </c>
      <c r="G505" t="s">
        <v>3025</v>
      </c>
      <c r="H505" t="s">
        <v>3002</v>
      </c>
      <c r="I505">
        <v>1</v>
      </c>
      <c r="J505" t="str">
        <f>VLOOKUP(A505,店舗コード!A:B,2,FALSE)</f>
        <v>15 大丸心斎橋</v>
      </c>
      <c r="O505" s="2"/>
    </row>
    <row r="506" spans="1:15">
      <c r="A506" t="s">
        <v>2993</v>
      </c>
      <c r="B506" s="4" t="s">
        <v>662</v>
      </c>
      <c r="C506" t="s">
        <v>3001</v>
      </c>
      <c r="D506">
        <v>77316</v>
      </c>
      <c r="E506" t="s">
        <v>661</v>
      </c>
      <c r="F506">
        <v>633</v>
      </c>
      <c r="G506" t="s">
        <v>3347</v>
      </c>
      <c r="H506" t="s">
        <v>3002</v>
      </c>
      <c r="I506">
        <v>1</v>
      </c>
      <c r="J506" t="str">
        <f>VLOOKUP(A506,店舗コード!A:B,2,FALSE)</f>
        <v>15 大丸心斎橋</v>
      </c>
      <c r="O506" s="2"/>
    </row>
    <row r="507" spans="1:15">
      <c r="A507" t="s">
        <v>2993</v>
      </c>
      <c r="B507" s="4" t="s">
        <v>735</v>
      </c>
      <c r="C507" t="s">
        <v>3001</v>
      </c>
      <c r="D507">
        <v>79061</v>
      </c>
      <c r="E507" t="s">
        <v>736</v>
      </c>
      <c r="G507" t="s">
        <v>3815</v>
      </c>
      <c r="H507" t="s">
        <v>3002</v>
      </c>
      <c r="I507">
        <v>1</v>
      </c>
      <c r="J507" t="str">
        <f>VLOOKUP(A507,店舗コード!A:B,2,FALSE)</f>
        <v>15 大丸心斎橋</v>
      </c>
      <c r="O507" s="2"/>
    </row>
    <row r="508" spans="1:15">
      <c r="A508" t="s">
        <v>2953</v>
      </c>
      <c r="B508" s="4" t="s">
        <v>99</v>
      </c>
      <c r="C508" t="s">
        <v>3001</v>
      </c>
      <c r="D508">
        <v>23510</v>
      </c>
      <c r="E508" t="s">
        <v>86</v>
      </c>
      <c r="F508">
        <v>312</v>
      </c>
      <c r="G508" t="s">
        <v>3003</v>
      </c>
      <c r="H508" t="s">
        <v>3002</v>
      </c>
      <c r="I508">
        <v>1</v>
      </c>
      <c r="J508" t="str">
        <f>VLOOKUP(A508,店舗コード!A:B,2,FALSE)</f>
        <v>04 名古屋</v>
      </c>
      <c r="O508" s="2"/>
    </row>
    <row r="509" spans="1:15">
      <c r="A509" t="s">
        <v>2953</v>
      </c>
      <c r="B509" s="4" t="s">
        <v>3458</v>
      </c>
      <c r="C509" t="s">
        <v>3001</v>
      </c>
      <c r="D509">
        <v>23200307</v>
      </c>
      <c r="E509" t="s">
        <v>3207</v>
      </c>
      <c r="F509">
        <v>221</v>
      </c>
      <c r="G509" t="s">
        <v>3290</v>
      </c>
      <c r="H509" t="s">
        <v>3002</v>
      </c>
      <c r="I509">
        <v>1</v>
      </c>
      <c r="J509" t="str">
        <f>VLOOKUP(A509,店舗コード!A:B,2,FALSE)</f>
        <v>04 名古屋</v>
      </c>
      <c r="O509" s="2"/>
    </row>
    <row r="510" spans="1:15">
      <c r="A510" t="s">
        <v>2960</v>
      </c>
      <c r="B510" s="4" t="s">
        <v>3354</v>
      </c>
      <c r="C510" t="s">
        <v>3001</v>
      </c>
      <c r="D510">
        <v>23345</v>
      </c>
      <c r="E510" t="s">
        <v>3031</v>
      </c>
      <c r="F510">
        <v>633</v>
      </c>
      <c r="G510" t="s">
        <v>3347</v>
      </c>
      <c r="H510" t="s">
        <v>3002</v>
      </c>
      <c r="I510">
        <v>1</v>
      </c>
      <c r="J510" t="str">
        <f>VLOOKUP(A510,店舗コード!A:B,2,FALSE)</f>
        <v>13 京王新宿</v>
      </c>
      <c r="O510" s="2"/>
    </row>
    <row r="511" spans="1:15">
      <c r="A511" t="s">
        <v>2960</v>
      </c>
      <c r="B511" s="4" t="s">
        <v>190</v>
      </c>
      <c r="C511" t="s">
        <v>3001</v>
      </c>
      <c r="D511">
        <v>23561</v>
      </c>
      <c r="E511" t="s">
        <v>172</v>
      </c>
      <c r="F511">
        <v>501</v>
      </c>
      <c r="G511" t="s">
        <v>3023</v>
      </c>
      <c r="H511" t="s">
        <v>3002</v>
      </c>
      <c r="I511">
        <v>1</v>
      </c>
      <c r="J511" t="str">
        <f>VLOOKUP(A511,店舗コード!A:B,2,FALSE)</f>
        <v>13 京王新宿</v>
      </c>
      <c r="O511" s="2"/>
    </row>
    <row r="512" spans="1:15">
      <c r="A512" t="s">
        <v>2942</v>
      </c>
      <c r="B512" s="4" t="s">
        <v>3536</v>
      </c>
      <c r="C512" t="s">
        <v>3001</v>
      </c>
      <c r="D512">
        <v>23561</v>
      </c>
      <c r="E512" t="s">
        <v>172</v>
      </c>
      <c r="F512">
        <v>600</v>
      </c>
      <c r="G512" t="s">
        <v>3282</v>
      </c>
      <c r="H512" t="s">
        <v>3002</v>
      </c>
      <c r="I512">
        <v>1</v>
      </c>
      <c r="J512" t="str">
        <f>VLOOKUP(A512,店舗コード!A:B,2,FALSE)</f>
        <v>08 ルクア大阪</v>
      </c>
      <c r="O512" s="2"/>
    </row>
    <row r="513" spans="1:15">
      <c r="A513" t="s">
        <v>1846</v>
      </c>
      <c r="B513" s="4" t="s">
        <v>3487</v>
      </c>
      <c r="C513" t="s">
        <v>3001</v>
      </c>
      <c r="D513">
        <v>12500171</v>
      </c>
      <c r="E513" t="s">
        <v>3488</v>
      </c>
      <c r="F513">
        <v>577</v>
      </c>
      <c r="G513" t="s">
        <v>3199</v>
      </c>
      <c r="H513" t="s">
        <v>2999</v>
      </c>
      <c r="I513">
        <v>1</v>
      </c>
      <c r="J513" t="str">
        <f>VLOOKUP(A513,店舗コード!A:B,2,FALSE)</f>
        <v>07 TOKYO</v>
      </c>
      <c r="O513" s="2"/>
    </row>
    <row r="514" spans="1:15">
      <c r="A514" t="s">
        <v>1846</v>
      </c>
      <c r="B514" s="4" t="s">
        <v>3916</v>
      </c>
      <c r="C514" t="s">
        <v>3001</v>
      </c>
      <c r="D514">
        <v>87208</v>
      </c>
      <c r="E514" t="s">
        <v>2347</v>
      </c>
      <c r="F514">
        <v>195</v>
      </c>
      <c r="G514" t="s">
        <v>3274</v>
      </c>
      <c r="H514" t="s">
        <v>2999</v>
      </c>
      <c r="I514">
        <v>1</v>
      </c>
      <c r="J514" t="str">
        <f>VLOOKUP(A514,店舗コード!A:B,2,FALSE)</f>
        <v>07 TOKYO</v>
      </c>
      <c r="O514" s="2"/>
    </row>
    <row r="515" spans="1:15">
      <c r="A515" t="s">
        <v>2944</v>
      </c>
      <c r="B515" s="4" t="s">
        <v>3917</v>
      </c>
      <c r="C515" t="s">
        <v>3001</v>
      </c>
      <c r="D515">
        <v>87142</v>
      </c>
      <c r="E515" t="s">
        <v>3918</v>
      </c>
      <c r="F515">
        <v>550</v>
      </c>
      <c r="G515" t="s">
        <v>2998</v>
      </c>
      <c r="H515" t="s">
        <v>3030</v>
      </c>
      <c r="I515">
        <v>1</v>
      </c>
      <c r="J515" t="str">
        <f>VLOOKUP(A515,店舗コード!A:B,2,FALSE)</f>
        <v>10 ヒュッテ</v>
      </c>
      <c r="O515" s="2"/>
    </row>
    <row r="516" spans="1:15">
      <c r="A516" t="s">
        <v>2944</v>
      </c>
      <c r="B516" s="4" t="s">
        <v>3919</v>
      </c>
      <c r="C516" t="s">
        <v>3001</v>
      </c>
      <c r="D516">
        <v>89828</v>
      </c>
      <c r="E516" t="s">
        <v>3920</v>
      </c>
      <c r="F516">
        <v>614</v>
      </c>
      <c r="G516" t="s">
        <v>3033</v>
      </c>
      <c r="H516" t="s">
        <v>2999</v>
      </c>
      <c r="I516">
        <v>1</v>
      </c>
      <c r="J516" t="str">
        <f>VLOOKUP(A516,店舗コード!A:B,2,FALSE)</f>
        <v>10 ヒュッテ</v>
      </c>
      <c r="O516" s="2"/>
    </row>
    <row r="517" spans="1:15">
      <c r="A517" t="s">
        <v>2960</v>
      </c>
      <c r="B517" s="4" t="s">
        <v>107</v>
      </c>
      <c r="C517" t="s">
        <v>3001</v>
      </c>
      <c r="D517">
        <v>23510</v>
      </c>
      <c r="E517" t="s">
        <v>86</v>
      </c>
      <c r="F517">
        <v>501</v>
      </c>
      <c r="G517" t="s">
        <v>3023</v>
      </c>
      <c r="H517" t="s">
        <v>3002</v>
      </c>
      <c r="I517">
        <v>1</v>
      </c>
      <c r="J517" t="str">
        <f>VLOOKUP(A517,店舗コード!A:B,2,FALSE)</f>
        <v>13 京王新宿</v>
      </c>
      <c r="O517" s="2"/>
    </row>
    <row r="518" spans="1:15">
      <c r="A518" t="s">
        <v>2942</v>
      </c>
      <c r="B518" s="4" t="s">
        <v>2715</v>
      </c>
      <c r="C518" t="s">
        <v>3001</v>
      </c>
      <c r="D518">
        <v>23324</v>
      </c>
      <c r="E518" t="s">
        <v>2617</v>
      </c>
      <c r="F518">
        <v>633</v>
      </c>
      <c r="G518" t="s">
        <v>3347</v>
      </c>
      <c r="H518" t="s">
        <v>3002</v>
      </c>
      <c r="I518">
        <v>1</v>
      </c>
      <c r="J518" t="str">
        <f>VLOOKUP(A518,店舗コード!A:B,2,FALSE)</f>
        <v>08 ルクア大阪</v>
      </c>
      <c r="O518" s="2"/>
    </row>
    <row r="519" spans="1:15">
      <c r="A519" t="s">
        <v>2980</v>
      </c>
      <c r="B519" s="4" t="s">
        <v>3205</v>
      </c>
      <c r="C519" t="s">
        <v>3001</v>
      </c>
      <c r="D519">
        <v>23513</v>
      </c>
      <c r="E519" t="s">
        <v>3206</v>
      </c>
      <c r="F519">
        <v>907</v>
      </c>
      <c r="G519" t="s">
        <v>3185</v>
      </c>
      <c r="H519" t="s">
        <v>3002</v>
      </c>
      <c r="I519">
        <v>1</v>
      </c>
      <c r="J519" t="str">
        <f>VLOOKUP(A519,店舗コード!A:B,2,FALSE)</f>
        <v>17 玉川高島屋</v>
      </c>
      <c r="O519" s="2"/>
    </row>
    <row r="520" spans="1:15">
      <c r="A520" t="s">
        <v>2980</v>
      </c>
      <c r="B520" s="4" t="s">
        <v>3299</v>
      </c>
      <c r="C520" t="s">
        <v>3001</v>
      </c>
      <c r="D520">
        <v>23561</v>
      </c>
      <c r="E520" t="s">
        <v>172</v>
      </c>
      <c r="F520">
        <v>457</v>
      </c>
      <c r="G520" t="s">
        <v>3019</v>
      </c>
      <c r="H520" t="s">
        <v>3002</v>
      </c>
      <c r="I520">
        <v>1</v>
      </c>
      <c r="J520" t="str">
        <f>VLOOKUP(A520,店舗コード!A:B,2,FALSE)</f>
        <v>17 玉川高島屋</v>
      </c>
      <c r="O520" s="2"/>
    </row>
    <row r="521" spans="1:15">
      <c r="A521" t="s">
        <v>2944</v>
      </c>
      <c r="B521" s="4" t="s">
        <v>3859</v>
      </c>
      <c r="C521" t="s">
        <v>3001</v>
      </c>
      <c r="D521">
        <v>13100213</v>
      </c>
      <c r="E521" t="s">
        <v>3860</v>
      </c>
      <c r="F521">
        <v>30</v>
      </c>
      <c r="G521" t="s">
        <v>3310</v>
      </c>
      <c r="H521" t="s">
        <v>3190</v>
      </c>
      <c r="I521">
        <v>1</v>
      </c>
      <c r="J521" t="str">
        <f>VLOOKUP(A521,店舗コード!A:B,2,FALSE)</f>
        <v>10 ヒュッテ</v>
      </c>
      <c r="O521" s="2"/>
    </row>
    <row r="522" spans="1:15">
      <c r="A522" t="s">
        <v>2944</v>
      </c>
      <c r="B522" s="4" t="s">
        <v>3921</v>
      </c>
      <c r="C522" t="s">
        <v>3001</v>
      </c>
      <c r="D522">
        <v>13100213</v>
      </c>
      <c r="E522" t="s">
        <v>3335</v>
      </c>
      <c r="F522">
        <v>118</v>
      </c>
      <c r="G522" t="s">
        <v>3035</v>
      </c>
      <c r="H522" t="s">
        <v>3190</v>
      </c>
      <c r="I522">
        <v>1</v>
      </c>
      <c r="J522" t="str">
        <f>VLOOKUP(A522,店舗コード!A:B,2,FALSE)</f>
        <v>10 ヒュッテ</v>
      </c>
      <c r="O522" s="2"/>
    </row>
    <row r="523" spans="1:15">
      <c r="A523" t="s">
        <v>2944</v>
      </c>
      <c r="B523" s="4" t="s">
        <v>3194</v>
      </c>
      <c r="C523" t="s">
        <v>3001</v>
      </c>
      <c r="D523">
        <v>23505</v>
      </c>
      <c r="E523" t="s">
        <v>73</v>
      </c>
      <c r="F523">
        <v>228</v>
      </c>
      <c r="G523" t="s">
        <v>3329</v>
      </c>
      <c r="H523" t="s">
        <v>3002</v>
      </c>
      <c r="I523">
        <v>1</v>
      </c>
      <c r="J523" t="str">
        <f>VLOOKUP(A523,店舗コード!A:B,2,FALSE)</f>
        <v>10 ヒュッテ</v>
      </c>
      <c r="O523" s="2"/>
    </row>
    <row r="524" spans="1:15">
      <c r="A524" t="s">
        <v>2944</v>
      </c>
      <c r="B524" s="4" t="s">
        <v>3309</v>
      </c>
      <c r="C524" t="s">
        <v>3001</v>
      </c>
      <c r="D524">
        <v>77357</v>
      </c>
      <c r="E524" t="s">
        <v>3036</v>
      </c>
      <c r="F524">
        <v>30</v>
      </c>
      <c r="G524" t="s">
        <v>3310</v>
      </c>
      <c r="H524" t="s">
        <v>3190</v>
      </c>
      <c r="I524">
        <v>1</v>
      </c>
      <c r="J524" t="str">
        <f>VLOOKUP(A524,店舗コード!A:B,2,FALSE)</f>
        <v>10 ヒュッテ</v>
      </c>
      <c r="O524" s="2"/>
    </row>
    <row r="525" spans="1:15">
      <c r="A525" t="s">
        <v>2942</v>
      </c>
      <c r="B525" s="4" t="s">
        <v>3211</v>
      </c>
      <c r="C525" t="s">
        <v>3001</v>
      </c>
      <c r="D525">
        <v>23561</v>
      </c>
      <c r="E525" t="s">
        <v>172</v>
      </c>
      <c r="F525" t="s">
        <v>3021</v>
      </c>
      <c r="G525" t="s">
        <v>3022</v>
      </c>
      <c r="H525" t="s">
        <v>3002</v>
      </c>
      <c r="I525">
        <v>1</v>
      </c>
      <c r="J525" t="str">
        <f>VLOOKUP(A525,店舗コード!A:B,2,FALSE)</f>
        <v>08 ルクア大阪</v>
      </c>
      <c r="O525" s="2"/>
    </row>
    <row r="526" spans="1:15">
      <c r="A526" t="s">
        <v>2960</v>
      </c>
      <c r="B526" s="4" t="s">
        <v>3346</v>
      </c>
      <c r="C526" t="s">
        <v>3001</v>
      </c>
      <c r="D526">
        <v>23154</v>
      </c>
      <c r="E526" t="s">
        <v>1873</v>
      </c>
      <c r="F526">
        <v>662</v>
      </c>
      <c r="G526" t="s">
        <v>3320</v>
      </c>
      <c r="H526" t="s">
        <v>3002</v>
      </c>
      <c r="I526">
        <v>1</v>
      </c>
      <c r="J526" t="str">
        <f>VLOOKUP(A526,店舗コード!A:B,2,FALSE)</f>
        <v>13 京王新宿</v>
      </c>
      <c r="O526" s="2"/>
    </row>
    <row r="527" spans="1:15">
      <c r="A527" t="s">
        <v>2944</v>
      </c>
      <c r="B527" s="4" t="s">
        <v>2017</v>
      </c>
      <c r="C527" t="s">
        <v>3001</v>
      </c>
      <c r="D527">
        <v>23785</v>
      </c>
      <c r="E527" t="s">
        <v>2007</v>
      </c>
      <c r="F527">
        <v>664</v>
      </c>
      <c r="G527" t="s">
        <v>3015</v>
      </c>
      <c r="H527" t="s">
        <v>3002</v>
      </c>
      <c r="I527">
        <v>1</v>
      </c>
      <c r="J527" t="str">
        <f>VLOOKUP(A527,店舗コード!A:B,2,FALSE)</f>
        <v>10 ヒュッテ</v>
      </c>
      <c r="O527" s="2"/>
    </row>
    <row r="528" spans="1:15">
      <c r="A528" t="s">
        <v>2944</v>
      </c>
      <c r="B528" s="4" t="s">
        <v>3922</v>
      </c>
      <c r="C528" t="s">
        <v>3001</v>
      </c>
      <c r="D528">
        <v>23505</v>
      </c>
      <c r="E528" t="s">
        <v>73</v>
      </c>
      <c r="F528">
        <v>21</v>
      </c>
      <c r="G528" t="s">
        <v>3439</v>
      </c>
      <c r="H528" t="s">
        <v>3002</v>
      </c>
      <c r="I528">
        <v>1</v>
      </c>
      <c r="J528" t="str">
        <f>VLOOKUP(A528,店舗コード!A:B,2,FALSE)</f>
        <v>10 ヒュッテ</v>
      </c>
      <c r="O528" s="2"/>
    </row>
    <row r="529" spans="1:15">
      <c r="A529" t="s">
        <v>2944</v>
      </c>
      <c r="B529" s="4" t="s">
        <v>2976</v>
      </c>
      <c r="C529" t="s">
        <v>3001</v>
      </c>
      <c r="D529">
        <v>23510</v>
      </c>
      <c r="E529" t="s">
        <v>86</v>
      </c>
      <c r="F529" t="s">
        <v>3021</v>
      </c>
      <c r="G529" t="s">
        <v>3022</v>
      </c>
      <c r="H529" t="s">
        <v>3002</v>
      </c>
      <c r="I529">
        <v>1</v>
      </c>
      <c r="J529" t="str">
        <f>VLOOKUP(A529,店舗コード!A:B,2,FALSE)</f>
        <v>10 ヒュッテ</v>
      </c>
      <c r="O529" s="2"/>
    </row>
    <row r="530" spans="1:15">
      <c r="A530" t="s">
        <v>3140</v>
      </c>
      <c r="B530" s="4" t="s">
        <v>3923</v>
      </c>
      <c r="C530" t="s">
        <v>3001</v>
      </c>
      <c r="D530">
        <v>87153</v>
      </c>
      <c r="E530" t="s">
        <v>3313</v>
      </c>
      <c r="F530">
        <v>300</v>
      </c>
      <c r="G530" t="s">
        <v>3314</v>
      </c>
      <c r="H530" t="s">
        <v>2999</v>
      </c>
      <c r="I530">
        <v>1</v>
      </c>
      <c r="J530" t="str">
        <f>VLOOKUP(A530,店舗コード!A:B,2,FALSE)</f>
        <v>20 NARITA</v>
      </c>
      <c r="O530" s="2"/>
    </row>
    <row r="531" spans="1:15">
      <c r="A531" t="s">
        <v>2993</v>
      </c>
      <c r="B531" s="4" t="s">
        <v>3011</v>
      </c>
      <c r="C531" t="s">
        <v>3001</v>
      </c>
      <c r="D531">
        <v>23510</v>
      </c>
      <c r="E531" t="s">
        <v>86</v>
      </c>
      <c r="F531">
        <v>302</v>
      </c>
      <c r="G531" t="s">
        <v>3273</v>
      </c>
      <c r="H531" t="s">
        <v>3002</v>
      </c>
      <c r="I531">
        <v>1</v>
      </c>
      <c r="J531" t="str">
        <f>VLOOKUP(A531,店舗コード!A:B,2,FALSE)</f>
        <v>15 大丸心斎橋</v>
      </c>
      <c r="O531" s="2"/>
    </row>
    <row r="532" spans="1:15">
      <c r="A532" t="s">
        <v>2944</v>
      </c>
      <c r="B532" s="4" t="s">
        <v>2711</v>
      </c>
      <c r="C532" t="s">
        <v>3001</v>
      </c>
      <c r="D532">
        <v>23320</v>
      </c>
      <c r="E532" t="s">
        <v>2608</v>
      </c>
      <c r="F532">
        <v>633</v>
      </c>
      <c r="G532" t="s">
        <v>3347</v>
      </c>
      <c r="H532" t="s">
        <v>3002</v>
      </c>
      <c r="I532">
        <v>1</v>
      </c>
      <c r="J532" t="str">
        <f>VLOOKUP(A532,店舗コード!A:B,2,FALSE)</f>
        <v>10 ヒュッテ</v>
      </c>
      <c r="O532" s="2"/>
    </row>
    <row r="533" spans="1:15">
      <c r="A533" t="s">
        <v>2944</v>
      </c>
      <c r="B533" s="4" t="s">
        <v>2626</v>
      </c>
      <c r="C533" t="s">
        <v>3001</v>
      </c>
      <c r="D533">
        <v>23323</v>
      </c>
      <c r="E533" t="s">
        <v>2627</v>
      </c>
      <c r="F533">
        <v>633</v>
      </c>
      <c r="G533" t="s">
        <v>3347</v>
      </c>
      <c r="H533" t="s">
        <v>3002</v>
      </c>
      <c r="I533">
        <v>1</v>
      </c>
      <c r="J533" t="str">
        <f>VLOOKUP(A533,店舗コード!A:B,2,FALSE)</f>
        <v>10 ヒュッテ</v>
      </c>
      <c r="O533" s="2"/>
    </row>
    <row r="534" spans="1:15">
      <c r="A534" t="s">
        <v>2944</v>
      </c>
      <c r="B534" s="4" t="s">
        <v>2715</v>
      </c>
      <c r="C534" t="s">
        <v>3001</v>
      </c>
      <c r="D534">
        <v>23324</v>
      </c>
      <c r="E534" t="s">
        <v>2617</v>
      </c>
      <c r="F534">
        <v>633</v>
      </c>
      <c r="G534" t="s">
        <v>3347</v>
      </c>
      <c r="H534" t="s">
        <v>3002</v>
      </c>
      <c r="I534">
        <v>1</v>
      </c>
      <c r="J534" t="str">
        <f>VLOOKUP(A534,店舗コード!A:B,2,FALSE)</f>
        <v>10 ヒュッテ</v>
      </c>
      <c r="O534" s="2"/>
    </row>
    <row r="535" spans="1:15">
      <c r="A535" t="s">
        <v>2944</v>
      </c>
      <c r="B535" s="4" t="s">
        <v>3924</v>
      </c>
      <c r="C535" t="s">
        <v>3001</v>
      </c>
      <c r="D535">
        <v>77357</v>
      </c>
      <c r="E535" t="s">
        <v>3036</v>
      </c>
      <c r="F535">
        <v>300</v>
      </c>
      <c r="G535" t="s">
        <v>3314</v>
      </c>
      <c r="H535" t="s">
        <v>3190</v>
      </c>
      <c r="I535">
        <v>1</v>
      </c>
      <c r="J535" t="str">
        <f>VLOOKUP(A535,店舗コード!A:B,2,FALSE)</f>
        <v>10 ヒュッテ</v>
      </c>
      <c r="O535" s="2"/>
    </row>
    <row r="536" spans="1:15">
      <c r="A536" t="s">
        <v>2944</v>
      </c>
      <c r="B536" s="4" t="s">
        <v>3925</v>
      </c>
      <c r="C536" t="s">
        <v>3001</v>
      </c>
      <c r="D536">
        <v>84108</v>
      </c>
      <c r="E536" t="s">
        <v>3926</v>
      </c>
      <c r="F536">
        <v>357</v>
      </c>
      <c r="G536" t="s">
        <v>3213</v>
      </c>
      <c r="H536" t="s">
        <v>2999</v>
      </c>
      <c r="I536">
        <v>1</v>
      </c>
      <c r="J536" t="str">
        <f>VLOOKUP(A536,店舗コード!A:B,2,FALSE)</f>
        <v>10 ヒュッテ</v>
      </c>
      <c r="O536" s="2"/>
    </row>
    <row r="537" spans="1:15">
      <c r="A537" t="s">
        <v>2942</v>
      </c>
      <c r="B537" s="4" t="s">
        <v>3927</v>
      </c>
      <c r="C537" t="s">
        <v>3001</v>
      </c>
      <c r="D537">
        <v>12600216</v>
      </c>
      <c r="E537" t="s">
        <v>3528</v>
      </c>
      <c r="F537">
        <v>244</v>
      </c>
      <c r="G537" t="s">
        <v>3295</v>
      </c>
      <c r="H537" t="s">
        <v>2999</v>
      </c>
      <c r="I537">
        <v>1</v>
      </c>
      <c r="J537" t="str">
        <f>VLOOKUP(A537,店舗コード!A:B,2,FALSE)</f>
        <v>08 ルクア大阪</v>
      </c>
      <c r="O537" s="2"/>
    </row>
    <row r="538" spans="1:15">
      <c r="A538" t="s">
        <v>2942</v>
      </c>
      <c r="B538" s="4" t="s">
        <v>3928</v>
      </c>
      <c r="C538" t="s">
        <v>3001</v>
      </c>
      <c r="D538">
        <v>13100213</v>
      </c>
      <c r="E538" t="s">
        <v>3860</v>
      </c>
      <c r="F538">
        <v>300</v>
      </c>
      <c r="G538" t="s">
        <v>3314</v>
      </c>
      <c r="H538" t="s">
        <v>3190</v>
      </c>
      <c r="I538">
        <v>1</v>
      </c>
      <c r="J538" t="str">
        <f>VLOOKUP(A538,店舗コード!A:B,2,FALSE)</f>
        <v>08 ルクア大阪</v>
      </c>
      <c r="O538" s="2"/>
    </row>
    <row r="539" spans="1:15">
      <c r="A539" t="s">
        <v>2942</v>
      </c>
      <c r="B539" s="4" t="s">
        <v>601</v>
      </c>
      <c r="C539" t="s">
        <v>3001</v>
      </c>
      <c r="D539">
        <v>53503</v>
      </c>
      <c r="E539" t="s">
        <v>602</v>
      </c>
      <c r="F539">
        <v>525</v>
      </c>
      <c r="G539" t="s">
        <v>3761</v>
      </c>
      <c r="H539" t="s">
        <v>3002</v>
      </c>
      <c r="I539">
        <v>1</v>
      </c>
      <c r="J539" t="str">
        <f>VLOOKUP(A539,店舗コード!A:B,2,FALSE)</f>
        <v>08 ルクア大阪</v>
      </c>
      <c r="O539" s="2"/>
    </row>
    <row r="540" spans="1:15">
      <c r="A540" t="s">
        <v>3140</v>
      </c>
      <c r="B540" s="4" t="s">
        <v>202</v>
      </c>
      <c r="C540" t="s">
        <v>3001</v>
      </c>
      <c r="D540">
        <v>23561</v>
      </c>
      <c r="E540" t="s">
        <v>172</v>
      </c>
      <c r="F540">
        <v>550</v>
      </c>
      <c r="G540" t="s">
        <v>2998</v>
      </c>
      <c r="H540" t="s">
        <v>3002</v>
      </c>
      <c r="I540">
        <v>1</v>
      </c>
      <c r="J540" t="str">
        <f>VLOOKUP(A540,店舗コード!A:B,2,FALSE)</f>
        <v>20 NARITA</v>
      </c>
      <c r="O540" s="2"/>
    </row>
    <row r="541" spans="1:15">
      <c r="A541" t="s">
        <v>2944</v>
      </c>
      <c r="B541" s="4" t="s">
        <v>3049</v>
      </c>
      <c r="C541" t="s">
        <v>3001</v>
      </c>
      <c r="D541">
        <v>23344</v>
      </c>
      <c r="E541" t="s">
        <v>3018</v>
      </c>
      <c r="F541" t="s">
        <v>3038</v>
      </c>
      <c r="G541" t="s">
        <v>3039</v>
      </c>
      <c r="H541" t="s">
        <v>3002</v>
      </c>
      <c r="I541">
        <v>1</v>
      </c>
      <c r="J541" t="str">
        <f>VLOOKUP(A541,店舗コード!A:B,2,FALSE)</f>
        <v>10 ヒュッテ</v>
      </c>
      <c r="O541" s="2"/>
    </row>
    <row r="542" spans="1:15">
      <c r="A542" t="s">
        <v>2953</v>
      </c>
      <c r="B542" s="4" t="s">
        <v>3929</v>
      </c>
      <c r="C542" t="s">
        <v>3001</v>
      </c>
      <c r="D542">
        <v>12600216</v>
      </c>
      <c r="E542" t="s">
        <v>3528</v>
      </c>
      <c r="F542">
        <v>113</v>
      </c>
      <c r="G542" t="s">
        <v>3349</v>
      </c>
      <c r="H542" t="s">
        <v>3030</v>
      </c>
      <c r="I542">
        <v>1</v>
      </c>
      <c r="J542" t="str">
        <f>VLOOKUP(A542,店舗コード!A:B,2,FALSE)</f>
        <v>04 名古屋</v>
      </c>
      <c r="O542" s="2"/>
    </row>
    <row r="543" spans="1:15">
      <c r="A543" t="s">
        <v>2953</v>
      </c>
      <c r="B543" s="4" t="s">
        <v>3930</v>
      </c>
      <c r="C543" t="s">
        <v>3001</v>
      </c>
      <c r="D543">
        <v>23100176</v>
      </c>
      <c r="E543" t="s">
        <v>3931</v>
      </c>
      <c r="G543" t="s">
        <v>3815</v>
      </c>
      <c r="H543" t="s">
        <v>3002</v>
      </c>
      <c r="I543">
        <v>1</v>
      </c>
      <c r="J543" t="str">
        <f>VLOOKUP(A543,店舗コード!A:B,2,FALSE)</f>
        <v>04 名古屋</v>
      </c>
      <c r="O543" s="2"/>
    </row>
    <row r="544" spans="1:15">
      <c r="A544" t="s">
        <v>2944</v>
      </c>
      <c r="B544" s="4" t="s">
        <v>2976</v>
      </c>
      <c r="C544" t="s">
        <v>3001</v>
      </c>
      <c r="D544">
        <v>23510</v>
      </c>
      <c r="E544" t="s">
        <v>86</v>
      </c>
      <c r="F544" t="s">
        <v>3021</v>
      </c>
      <c r="G544" t="s">
        <v>3022</v>
      </c>
      <c r="H544" t="s">
        <v>3002</v>
      </c>
      <c r="I544">
        <v>1</v>
      </c>
      <c r="J544" t="str">
        <f>VLOOKUP(A544,店舗コード!A:B,2,FALSE)</f>
        <v>10 ヒュッテ</v>
      </c>
      <c r="O544" s="2"/>
    </row>
    <row r="545" spans="1:15">
      <c r="A545" t="s">
        <v>1846</v>
      </c>
      <c r="B545" s="4" t="s">
        <v>2607</v>
      </c>
      <c r="C545" t="s">
        <v>3001</v>
      </c>
      <c r="D545">
        <v>23505</v>
      </c>
      <c r="E545" t="s">
        <v>73</v>
      </c>
      <c r="F545">
        <v>664</v>
      </c>
      <c r="G545" t="s">
        <v>3015</v>
      </c>
      <c r="H545" t="s">
        <v>3002</v>
      </c>
      <c r="I545">
        <v>1</v>
      </c>
      <c r="J545" t="str">
        <f>VLOOKUP(A545,店舗コード!A:B,2,FALSE)</f>
        <v>07 TOKYO</v>
      </c>
      <c r="O545" s="2"/>
    </row>
    <row r="546" spans="1:15">
      <c r="A546" t="s">
        <v>2942</v>
      </c>
      <c r="B546" s="4" t="s">
        <v>3422</v>
      </c>
      <c r="C546" t="s">
        <v>3001</v>
      </c>
      <c r="D546">
        <v>23525</v>
      </c>
      <c r="E546" t="s">
        <v>3012</v>
      </c>
      <c r="F546">
        <v>550</v>
      </c>
      <c r="G546" t="s">
        <v>2998</v>
      </c>
      <c r="H546" t="s">
        <v>3002</v>
      </c>
      <c r="I546">
        <v>1</v>
      </c>
      <c r="J546" t="str">
        <f>VLOOKUP(A546,店舗コード!A:B,2,FALSE)</f>
        <v>08 ルクア大阪</v>
      </c>
      <c r="O546" s="2"/>
    </row>
    <row r="547" spans="1:15">
      <c r="A547" t="s">
        <v>3140</v>
      </c>
      <c r="B547" s="4" t="s">
        <v>85</v>
      </c>
      <c r="C547" t="s">
        <v>3001</v>
      </c>
      <c r="D547">
        <v>23510</v>
      </c>
      <c r="E547" t="s">
        <v>86</v>
      </c>
      <c r="F547">
        <v>21</v>
      </c>
      <c r="G547" t="s">
        <v>3439</v>
      </c>
      <c r="H547" t="s">
        <v>3002</v>
      </c>
      <c r="I547">
        <v>1</v>
      </c>
      <c r="J547" t="str">
        <f>VLOOKUP(A547,店舗コード!A:B,2,FALSE)</f>
        <v>20 NARITA</v>
      </c>
      <c r="O547" s="2"/>
    </row>
    <row r="548" spans="1:15">
      <c r="A548" t="s">
        <v>2960</v>
      </c>
      <c r="B548" s="4" t="s">
        <v>2976</v>
      </c>
      <c r="C548" t="s">
        <v>3001</v>
      </c>
      <c r="D548">
        <v>23510</v>
      </c>
      <c r="E548" t="s">
        <v>86</v>
      </c>
      <c r="F548" t="s">
        <v>3021</v>
      </c>
      <c r="G548" t="s">
        <v>3022</v>
      </c>
      <c r="H548" t="s">
        <v>3002</v>
      </c>
      <c r="I548">
        <v>1</v>
      </c>
      <c r="J548" t="str">
        <f>VLOOKUP(A548,店舗コード!A:B,2,FALSE)</f>
        <v>13 京王新宿</v>
      </c>
      <c r="O548" s="2"/>
    </row>
    <row r="549" spans="1:15">
      <c r="A549" t="s">
        <v>1846</v>
      </c>
      <c r="B549" s="4" t="s">
        <v>2649</v>
      </c>
      <c r="C549" t="s">
        <v>3001</v>
      </c>
      <c r="D549">
        <v>23797</v>
      </c>
      <c r="E549" t="s">
        <v>2735</v>
      </c>
      <c r="F549">
        <v>620</v>
      </c>
      <c r="G549" t="s">
        <v>3881</v>
      </c>
      <c r="H549" t="s">
        <v>3002</v>
      </c>
      <c r="I549">
        <v>1</v>
      </c>
      <c r="J549" t="str">
        <f>VLOOKUP(A549,店舗コード!A:B,2,FALSE)</f>
        <v>07 TOKYO</v>
      </c>
      <c r="O549" s="2"/>
    </row>
    <row r="550" spans="1:15">
      <c r="A550" t="s">
        <v>2942</v>
      </c>
      <c r="B550" s="4" t="s">
        <v>3932</v>
      </c>
      <c r="C550" t="s">
        <v>3001</v>
      </c>
      <c r="D550">
        <v>23710</v>
      </c>
      <c r="E550" t="s">
        <v>3424</v>
      </c>
      <c r="F550">
        <v>662</v>
      </c>
      <c r="G550" t="s">
        <v>3320</v>
      </c>
      <c r="H550" t="s">
        <v>3002</v>
      </c>
      <c r="I550">
        <v>1</v>
      </c>
      <c r="J550" t="str">
        <f>VLOOKUP(A550,店舗コード!A:B,2,FALSE)</f>
        <v>08 ルクア大阪</v>
      </c>
      <c r="O550" s="2"/>
    </row>
    <row r="551" spans="1:15">
      <c r="A551" t="s">
        <v>2942</v>
      </c>
      <c r="B551" s="4" t="s">
        <v>731</v>
      </c>
      <c r="C551" t="s">
        <v>3001</v>
      </c>
      <c r="D551">
        <v>79030</v>
      </c>
      <c r="E551" t="s">
        <v>732</v>
      </c>
      <c r="H551" t="s">
        <v>3002</v>
      </c>
      <c r="I551">
        <v>1</v>
      </c>
      <c r="J551" t="str">
        <f>VLOOKUP(A551,店舗コード!A:B,2,FALSE)</f>
        <v>08 ルクア大阪</v>
      </c>
      <c r="O551" s="2"/>
    </row>
    <row r="552" spans="1:15">
      <c r="A552" t="s">
        <v>2942</v>
      </c>
      <c r="B552" s="4" t="s">
        <v>3887</v>
      </c>
      <c r="C552" t="s">
        <v>3001</v>
      </c>
      <c r="D552">
        <v>23525</v>
      </c>
      <c r="E552" t="s">
        <v>3012</v>
      </c>
      <c r="F552">
        <v>620</v>
      </c>
      <c r="G552" t="s">
        <v>3026</v>
      </c>
      <c r="H552" t="s">
        <v>3002</v>
      </c>
      <c r="I552">
        <v>1</v>
      </c>
      <c r="J552" t="str">
        <f>VLOOKUP(A552,店舗コード!A:B,2,FALSE)</f>
        <v>08 ルクア大阪</v>
      </c>
      <c r="O552" s="2"/>
    </row>
    <row r="553" spans="1:15">
      <c r="A553" t="s">
        <v>2980</v>
      </c>
      <c r="B553" s="4" t="s">
        <v>1877</v>
      </c>
      <c r="C553" t="s">
        <v>3001</v>
      </c>
      <c r="D553">
        <v>23156</v>
      </c>
      <c r="E553" t="s">
        <v>1878</v>
      </c>
      <c r="F553">
        <v>42</v>
      </c>
      <c r="G553" t="s">
        <v>3933</v>
      </c>
      <c r="H553" t="s">
        <v>3002</v>
      </c>
      <c r="I553">
        <v>1</v>
      </c>
      <c r="J553" t="str">
        <f>VLOOKUP(A553,店舗コード!A:B,2,FALSE)</f>
        <v>17 玉川高島屋</v>
      </c>
      <c r="O553" s="2"/>
    </row>
    <row r="554" spans="1:15">
      <c r="A554" t="s">
        <v>2980</v>
      </c>
      <c r="B554" s="4" t="s">
        <v>3196</v>
      </c>
      <c r="C554" t="s">
        <v>3001</v>
      </c>
      <c r="D554">
        <v>24216</v>
      </c>
      <c r="E554" t="s">
        <v>334</v>
      </c>
      <c r="F554">
        <v>633</v>
      </c>
      <c r="G554" t="s">
        <v>3347</v>
      </c>
      <c r="H554" t="s">
        <v>3002</v>
      </c>
      <c r="I554">
        <v>1</v>
      </c>
      <c r="J554" t="str">
        <f>VLOOKUP(A554,店舗コード!A:B,2,FALSE)</f>
        <v>17 玉川高島屋</v>
      </c>
      <c r="O554" s="2"/>
    </row>
    <row r="555" spans="1:15">
      <c r="A555" t="s">
        <v>2942</v>
      </c>
      <c r="B555" s="4" t="s">
        <v>3382</v>
      </c>
      <c r="C555" t="s">
        <v>3001</v>
      </c>
      <c r="D555">
        <v>13100237</v>
      </c>
      <c r="E555" t="s">
        <v>3383</v>
      </c>
      <c r="F555">
        <v>550</v>
      </c>
      <c r="G555" t="s">
        <v>2998</v>
      </c>
      <c r="H555" t="s">
        <v>3190</v>
      </c>
      <c r="I555">
        <v>1</v>
      </c>
      <c r="J555" t="str">
        <f>VLOOKUP(A555,店舗コード!A:B,2,FALSE)</f>
        <v>08 ルクア大阪</v>
      </c>
      <c r="O555" s="2"/>
    </row>
    <row r="556" spans="1:15">
      <c r="A556">
        <v>6142</v>
      </c>
      <c r="B556" s="4" t="s">
        <v>3211</v>
      </c>
      <c r="C556" t="s">
        <v>3001</v>
      </c>
      <c r="D556">
        <v>23561</v>
      </c>
      <c r="E556" t="s">
        <v>172</v>
      </c>
      <c r="F556" t="s">
        <v>3021</v>
      </c>
      <c r="G556" t="s">
        <v>3022</v>
      </c>
      <c r="H556" t="s">
        <v>3002</v>
      </c>
      <c r="I556">
        <v>1</v>
      </c>
      <c r="J556" t="str">
        <f>VLOOKUP(A556,店舗コード!A:B,2,FALSE)</f>
        <v>16 6142</v>
      </c>
      <c r="O556" s="2"/>
    </row>
    <row r="557" spans="1:15">
      <c r="A557" t="s">
        <v>2942</v>
      </c>
      <c r="B557" s="4" t="s">
        <v>3011</v>
      </c>
      <c r="C557" t="s">
        <v>3001</v>
      </c>
      <c r="D557">
        <v>23510</v>
      </c>
      <c r="E557" t="s">
        <v>86</v>
      </c>
      <c r="F557">
        <v>302</v>
      </c>
      <c r="G557" t="s">
        <v>3273</v>
      </c>
      <c r="H557" t="s">
        <v>3002</v>
      </c>
      <c r="I557">
        <v>1</v>
      </c>
      <c r="J557" t="str">
        <f>VLOOKUP(A557,店舗コード!A:B,2,FALSE)</f>
        <v>08 ルクア大阪</v>
      </c>
      <c r="O557" s="2"/>
    </row>
    <row r="558" spans="1:15">
      <c r="A558" t="s">
        <v>2942</v>
      </c>
      <c r="B558" s="4" t="s">
        <v>3011</v>
      </c>
      <c r="C558" t="s">
        <v>3001</v>
      </c>
      <c r="D558">
        <v>23510</v>
      </c>
      <c r="E558" t="s">
        <v>86</v>
      </c>
      <c r="F558">
        <v>302</v>
      </c>
      <c r="G558" t="s">
        <v>3273</v>
      </c>
      <c r="H558" t="s">
        <v>3002</v>
      </c>
      <c r="I558">
        <v>-1</v>
      </c>
      <c r="J558" t="str">
        <f>VLOOKUP(A558,店舗コード!A:B,2,FALSE)</f>
        <v>08 ルクア大阪</v>
      </c>
      <c r="O558" s="2"/>
    </row>
    <row r="559" spans="1:15">
      <c r="A559" t="s">
        <v>2942</v>
      </c>
      <c r="B559" s="4" t="s">
        <v>3418</v>
      </c>
      <c r="C559" t="s">
        <v>3001</v>
      </c>
      <c r="D559">
        <v>23226</v>
      </c>
      <c r="E559" t="s">
        <v>3419</v>
      </c>
      <c r="F559">
        <v>452</v>
      </c>
      <c r="G559" t="s">
        <v>3317</v>
      </c>
      <c r="H559" t="s">
        <v>3002</v>
      </c>
      <c r="I559">
        <v>1</v>
      </c>
      <c r="J559" t="str">
        <f>VLOOKUP(A559,店舗コード!A:B,2,FALSE)</f>
        <v>08 ルクア大阪</v>
      </c>
      <c r="O559" s="2"/>
    </row>
    <row r="560" spans="1:15">
      <c r="A560" t="s">
        <v>2960</v>
      </c>
      <c r="B560" s="4" t="s">
        <v>3325</v>
      </c>
      <c r="C560" t="s">
        <v>3001</v>
      </c>
      <c r="D560">
        <v>23344</v>
      </c>
      <c r="E560" t="s">
        <v>3018</v>
      </c>
      <c r="F560">
        <v>560</v>
      </c>
      <c r="G560" t="s">
        <v>3025</v>
      </c>
      <c r="H560" t="s">
        <v>3002</v>
      </c>
      <c r="I560">
        <v>1</v>
      </c>
      <c r="J560" t="str">
        <f>VLOOKUP(A560,店舗コード!A:B,2,FALSE)</f>
        <v>13 京王新宿</v>
      </c>
      <c r="O560" s="2"/>
    </row>
    <row r="561" spans="1:15">
      <c r="A561" t="s">
        <v>2944</v>
      </c>
      <c r="B561" s="4" t="s">
        <v>3934</v>
      </c>
      <c r="C561" t="s">
        <v>3001</v>
      </c>
      <c r="D561">
        <v>12600232</v>
      </c>
      <c r="E561" t="s">
        <v>3935</v>
      </c>
      <c r="F561">
        <v>113</v>
      </c>
      <c r="G561" t="s">
        <v>3349</v>
      </c>
      <c r="H561" t="s">
        <v>3030</v>
      </c>
      <c r="I561">
        <v>1</v>
      </c>
      <c r="J561" t="str">
        <f>VLOOKUP(A561,店舗コード!A:B,2,FALSE)</f>
        <v>10 ヒュッテ</v>
      </c>
      <c r="O561" s="2"/>
    </row>
    <row r="562" spans="1:15">
      <c r="A562" t="s">
        <v>2944</v>
      </c>
      <c r="B562" s="4" t="s">
        <v>2011</v>
      </c>
      <c r="C562" t="s">
        <v>3001</v>
      </c>
      <c r="D562">
        <v>23785</v>
      </c>
      <c r="E562" t="s">
        <v>2007</v>
      </c>
      <c r="F562">
        <v>326</v>
      </c>
      <c r="G562" t="s">
        <v>3013</v>
      </c>
      <c r="H562" t="s">
        <v>3002</v>
      </c>
      <c r="I562">
        <v>1</v>
      </c>
      <c r="J562" t="str">
        <f>VLOOKUP(A562,店舗コード!A:B,2,FALSE)</f>
        <v>10 ヒュッテ</v>
      </c>
      <c r="O562" s="2"/>
    </row>
    <row r="563" spans="1:15">
      <c r="A563" t="s">
        <v>2944</v>
      </c>
      <c r="B563" s="4" t="s">
        <v>648</v>
      </c>
      <c r="C563" t="s">
        <v>3001</v>
      </c>
      <c r="D563">
        <v>77297</v>
      </c>
      <c r="E563" t="s">
        <v>645</v>
      </c>
      <c r="F563">
        <v>555</v>
      </c>
      <c r="G563" t="s">
        <v>3200</v>
      </c>
      <c r="H563" t="s">
        <v>3002</v>
      </c>
      <c r="I563">
        <v>1</v>
      </c>
      <c r="J563" t="str">
        <f>VLOOKUP(A563,店舗コード!A:B,2,FALSE)</f>
        <v>10 ヒュッテ</v>
      </c>
      <c r="O563" s="2"/>
    </row>
    <row r="564" spans="1:15">
      <c r="A564" t="s">
        <v>2944</v>
      </c>
      <c r="B564" s="4">
        <v>8118811844</v>
      </c>
      <c r="C564" t="s">
        <v>3001</v>
      </c>
      <c r="D564">
        <v>81188</v>
      </c>
      <c r="E564" t="s">
        <v>3388</v>
      </c>
      <c r="F564">
        <v>118</v>
      </c>
      <c r="G564" t="s">
        <v>3035</v>
      </c>
      <c r="H564">
        <v>44</v>
      </c>
      <c r="I564">
        <v>1</v>
      </c>
      <c r="J564" t="str">
        <f>VLOOKUP(A564,店舗コード!A:B,2,FALSE)</f>
        <v>10 ヒュッテ</v>
      </c>
      <c r="O564" s="2"/>
    </row>
    <row r="565" spans="1:15">
      <c r="A565">
        <v>6142</v>
      </c>
      <c r="B565" s="4" t="s">
        <v>3455</v>
      </c>
      <c r="C565" t="s">
        <v>3001</v>
      </c>
      <c r="D565">
        <v>23200395</v>
      </c>
      <c r="E565" t="s">
        <v>3304</v>
      </c>
      <c r="F565">
        <v>118</v>
      </c>
      <c r="G565" t="s">
        <v>3035</v>
      </c>
      <c r="H565" t="s">
        <v>3002</v>
      </c>
      <c r="I565">
        <v>1</v>
      </c>
      <c r="J565" t="str">
        <f>VLOOKUP(A565,店舗コード!A:B,2,FALSE)</f>
        <v>16 6142</v>
      </c>
      <c r="O565" s="2"/>
    </row>
    <row r="566" spans="1:15">
      <c r="A566" t="s">
        <v>2980</v>
      </c>
      <c r="B566" s="4" t="s">
        <v>2621</v>
      </c>
      <c r="C566" t="s">
        <v>3001</v>
      </c>
      <c r="D566">
        <v>23505</v>
      </c>
      <c r="E566" t="s">
        <v>73</v>
      </c>
      <c r="F566">
        <v>560</v>
      </c>
      <c r="G566" t="s">
        <v>3025</v>
      </c>
      <c r="H566" t="s">
        <v>3002</v>
      </c>
      <c r="I566">
        <v>1</v>
      </c>
      <c r="J566" t="str">
        <f>VLOOKUP(A566,店舗コード!A:B,2,FALSE)</f>
        <v>17 玉川高島屋</v>
      </c>
      <c r="O566" s="2"/>
    </row>
    <row r="567" spans="1:15">
      <c r="A567" t="s">
        <v>2980</v>
      </c>
      <c r="B567" s="4" t="s">
        <v>88</v>
      </c>
      <c r="C567" t="s">
        <v>3001</v>
      </c>
      <c r="D567">
        <v>23510</v>
      </c>
      <c r="E567" t="s">
        <v>86</v>
      </c>
      <c r="F567">
        <v>31</v>
      </c>
      <c r="G567" t="s">
        <v>3272</v>
      </c>
      <c r="H567" t="s">
        <v>3002</v>
      </c>
      <c r="I567">
        <v>1</v>
      </c>
      <c r="J567" t="str">
        <f>VLOOKUP(A567,店舗コード!A:B,2,FALSE)</f>
        <v>17 玉川高島屋</v>
      </c>
      <c r="O567" s="2"/>
    </row>
    <row r="568" spans="1:15">
      <c r="A568" t="s">
        <v>3140</v>
      </c>
      <c r="B568" s="4" t="s">
        <v>3753</v>
      </c>
      <c r="C568" t="s">
        <v>3001</v>
      </c>
      <c r="D568">
        <v>23565</v>
      </c>
      <c r="E568" t="s">
        <v>3483</v>
      </c>
      <c r="F568">
        <v>577</v>
      </c>
      <c r="G568" t="s">
        <v>3199</v>
      </c>
      <c r="H568" t="s">
        <v>3002</v>
      </c>
      <c r="I568">
        <v>1</v>
      </c>
      <c r="J568" t="str">
        <f>VLOOKUP(A568,店舗コード!A:B,2,FALSE)</f>
        <v>20 NARITA</v>
      </c>
      <c r="O568" s="2"/>
    </row>
    <row r="569" spans="1:15">
      <c r="A569" t="s">
        <v>2980</v>
      </c>
      <c r="B569" s="4" t="s">
        <v>3011</v>
      </c>
      <c r="C569" t="s">
        <v>3001</v>
      </c>
      <c r="D569">
        <v>23510</v>
      </c>
      <c r="E569" t="s">
        <v>86</v>
      </c>
      <c r="F569">
        <v>302</v>
      </c>
      <c r="G569" t="s">
        <v>3273</v>
      </c>
      <c r="H569" t="s">
        <v>3002</v>
      </c>
      <c r="I569">
        <v>1</v>
      </c>
      <c r="J569" t="str">
        <f>VLOOKUP(A569,店舗コード!A:B,2,FALSE)</f>
        <v>17 玉川高島屋</v>
      </c>
      <c r="O569" s="2"/>
    </row>
    <row r="570" spans="1:15">
      <c r="A570" t="s">
        <v>1846</v>
      </c>
      <c r="B570" s="4" t="s">
        <v>3303</v>
      </c>
      <c r="C570" t="s">
        <v>3001</v>
      </c>
      <c r="D570">
        <v>23200395</v>
      </c>
      <c r="E570" t="s">
        <v>3304</v>
      </c>
      <c r="F570">
        <v>550</v>
      </c>
      <c r="G570" t="s">
        <v>2998</v>
      </c>
      <c r="H570" t="s">
        <v>3002</v>
      </c>
      <c r="I570">
        <v>1</v>
      </c>
      <c r="J570" t="str">
        <f>VLOOKUP(A570,店舗コード!A:B,2,FALSE)</f>
        <v>07 TOKYO</v>
      </c>
      <c r="O570" s="2"/>
    </row>
    <row r="571" spans="1:15">
      <c r="A571" t="s">
        <v>2944</v>
      </c>
      <c r="B571" s="4" t="s">
        <v>2963</v>
      </c>
      <c r="C571" t="s">
        <v>3001</v>
      </c>
      <c r="D571">
        <v>23510</v>
      </c>
      <c r="E571" t="s">
        <v>86</v>
      </c>
      <c r="F571">
        <v>457</v>
      </c>
      <c r="G571" t="s">
        <v>3019</v>
      </c>
      <c r="H571" t="s">
        <v>3002</v>
      </c>
      <c r="I571">
        <v>1</v>
      </c>
      <c r="J571" t="str">
        <f>VLOOKUP(A571,店舗コード!A:B,2,FALSE)</f>
        <v>10 ヒュッテ</v>
      </c>
      <c r="O571" s="2"/>
    </row>
    <row r="572" spans="1:15">
      <c r="A572" t="s">
        <v>2953</v>
      </c>
      <c r="B572" s="4" t="s">
        <v>3937</v>
      </c>
      <c r="C572" t="s">
        <v>3001</v>
      </c>
      <c r="D572">
        <v>12600194</v>
      </c>
      <c r="E572" t="s">
        <v>3938</v>
      </c>
      <c r="F572">
        <v>118</v>
      </c>
      <c r="G572" t="s">
        <v>3035</v>
      </c>
      <c r="H572" t="s">
        <v>3030</v>
      </c>
      <c r="I572">
        <v>1</v>
      </c>
      <c r="J572" t="str">
        <f>VLOOKUP(A572,店舗コード!A:B,2,FALSE)</f>
        <v>04 名古屋</v>
      </c>
      <c r="O572" s="2"/>
    </row>
    <row r="573" spans="1:15">
      <c r="A573" t="s">
        <v>2953</v>
      </c>
      <c r="B573" s="4" t="s">
        <v>3936</v>
      </c>
      <c r="C573" t="s">
        <v>3001</v>
      </c>
      <c r="D573">
        <v>12600328</v>
      </c>
      <c r="E573" t="s">
        <v>3864</v>
      </c>
      <c r="F573">
        <v>111</v>
      </c>
      <c r="G573" t="s">
        <v>3338</v>
      </c>
      <c r="H573" t="s">
        <v>3030</v>
      </c>
      <c r="I573">
        <v>1</v>
      </c>
      <c r="J573" t="str">
        <f>VLOOKUP(A573,店舗コード!A:B,2,FALSE)</f>
        <v>04 名古屋</v>
      </c>
      <c r="O573" s="2"/>
    </row>
    <row r="574" spans="1:15">
      <c r="A574" t="s">
        <v>2953</v>
      </c>
      <c r="B574" s="4" t="s">
        <v>3210</v>
      </c>
      <c r="C574" t="s">
        <v>3001</v>
      </c>
      <c r="D574">
        <v>23200337</v>
      </c>
      <c r="E574" t="s">
        <v>3042</v>
      </c>
      <c r="F574">
        <v>171</v>
      </c>
      <c r="G574" t="s">
        <v>3464</v>
      </c>
      <c r="H574" t="s">
        <v>3002</v>
      </c>
      <c r="I574">
        <v>1</v>
      </c>
      <c r="J574" t="str">
        <f>VLOOKUP(A574,店舗コード!A:B,2,FALSE)</f>
        <v>04 名古屋</v>
      </c>
      <c r="O574" s="2"/>
    </row>
    <row r="575" spans="1:15">
      <c r="A575">
        <v>6142</v>
      </c>
      <c r="B575" s="4" t="s">
        <v>3496</v>
      </c>
      <c r="C575" t="s">
        <v>3001</v>
      </c>
      <c r="D575">
        <v>23225</v>
      </c>
      <c r="E575" t="s">
        <v>3330</v>
      </c>
      <c r="F575">
        <v>221</v>
      </c>
      <c r="G575" t="s">
        <v>3290</v>
      </c>
      <c r="H575" t="s">
        <v>3002</v>
      </c>
      <c r="I575">
        <v>1</v>
      </c>
      <c r="J575" t="str">
        <f>VLOOKUP(A575,店舗コード!A:B,2,FALSE)</f>
        <v>16 6142</v>
      </c>
      <c r="O575" s="2"/>
    </row>
    <row r="576" spans="1:15">
      <c r="A576" t="s">
        <v>2944</v>
      </c>
      <c r="B576" s="4" t="s">
        <v>3942</v>
      </c>
      <c r="C576" t="s">
        <v>3001</v>
      </c>
      <c r="D576">
        <v>12100004</v>
      </c>
      <c r="E576" t="s">
        <v>3943</v>
      </c>
      <c r="F576">
        <v>113</v>
      </c>
      <c r="G576" t="s">
        <v>3349</v>
      </c>
      <c r="H576" t="s">
        <v>3270</v>
      </c>
      <c r="I576">
        <v>1</v>
      </c>
      <c r="J576" t="str">
        <f>VLOOKUP(A576,店舗コード!A:B,2,FALSE)</f>
        <v>10 ヒュッテ</v>
      </c>
      <c r="O576" s="2"/>
    </row>
    <row r="577" spans="1:15">
      <c r="A577" t="s">
        <v>2944</v>
      </c>
      <c r="B577" s="4" t="s">
        <v>3941</v>
      </c>
      <c r="C577" t="s">
        <v>3001</v>
      </c>
      <c r="D577">
        <v>12600216</v>
      </c>
      <c r="E577" t="s">
        <v>3528</v>
      </c>
      <c r="F577">
        <v>244</v>
      </c>
      <c r="G577" t="s">
        <v>3295</v>
      </c>
      <c r="H577" t="s">
        <v>3030</v>
      </c>
      <c r="I577">
        <v>1</v>
      </c>
      <c r="J577" t="str">
        <f>VLOOKUP(A577,店舗コード!A:B,2,FALSE)</f>
        <v>10 ヒュッテ</v>
      </c>
      <c r="O577" s="2"/>
    </row>
    <row r="578" spans="1:15">
      <c r="A578" t="s">
        <v>2944</v>
      </c>
      <c r="B578" s="4" t="s">
        <v>3757</v>
      </c>
      <c r="C578" t="s">
        <v>3001</v>
      </c>
      <c r="D578">
        <v>87313</v>
      </c>
      <c r="E578" t="s">
        <v>3758</v>
      </c>
      <c r="F578">
        <v>534</v>
      </c>
      <c r="G578" t="s">
        <v>3759</v>
      </c>
      <c r="H578" t="s">
        <v>3030</v>
      </c>
      <c r="I578">
        <v>1</v>
      </c>
      <c r="J578" t="str">
        <f>VLOOKUP(A578,店舗コード!A:B,2,FALSE)</f>
        <v>10 ヒュッテ</v>
      </c>
      <c r="O578" s="2"/>
    </row>
    <row r="579" spans="1:15">
      <c r="A579" t="s">
        <v>2944</v>
      </c>
      <c r="B579" s="4" t="s">
        <v>3939</v>
      </c>
      <c r="C579" t="s">
        <v>3001</v>
      </c>
      <c r="D579">
        <v>89234</v>
      </c>
      <c r="E579" t="s">
        <v>3463</v>
      </c>
      <c r="F579">
        <v>550</v>
      </c>
      <c r="G579" t="s">
        <v>2998</v>
      </c>
      <c r="H579" t="s">
        <v>3030</v>
      </c>
      <c r="I579">
        <v>1</v>
      </c>
      <c r="J579" t="str">
        <f>VLOOKUP(A579,店舗コード!A:B,2,FALSE)</f>
        <v>10 ヒュッテ</v>
      </c>
      <c r="O579" s="2"/>
    </row>
    <row r="580" spans="1:15">
      <c r="A580" t="s">
        <v>2944</v>
      </c>
      <c r="B580" s="4" t="s">
        <v>3940</v>
      </c>
      <c r="C580" t="s">
        <v>3001</v>
      </c>
      <c r="D580">
        <v>89849</v>
      </c>
      <c r="E580" t="s">
        <v>3840</v>
      </c>
      <c r="F580">
        <v>133</v>
      </c>
      <c r="G580" t="s">
        <v>3841</v>
      </c>
      <c r="H580" t="s">
        <v>2999</v>
      </c>
      <c r="I580">
        <v>1</v>
      </c>
      <c r="J580" t="str">
        <f>VLOOKUP(A580,店舗コード!A:B,2,FALSE)</f>
        <v>10 ヒュッテ</v>
      </c>
      <c r="O580" s="2"/>
    </row>
    <row r="581" spans="1:15">
      <c r="A581" t="s">
        <v>3140</v>
      </c>
      <c r="B581" s="4" t="s">
        <v>3374</v>
      </c>
      <c r="C581" t="s">
        <v>3001</v>
      </c>
      <c r="D581">
        <v>23227</v>
      </c>
      <c r="E581" t="s">
        <v>3014</v>
      </c>
      <c r="F581">
        <v>623</v>
      </c>
      <c r="G581" t="s">
        <v>3044</v>
      </c>
      <c r="H581" t="s">
        <v>3002</v>
      </c>
      <c r="I581">
        <v>1</v>
      </c>
      <c r="J581" t="str">
        <f>VLOOKUP(A581,店舗コード!A:B,2,FALSE)</f>
        <v>20 NARITA</v>
      </c>
      <c r="O581" s="2"/>
    </row>
    <row r="582" spans="1:15">
      <c r="A582" t="s">
        <v>3140</v>
      </c>
      <c r="B582" s="4" t="s">
        <v>2614</v>
      </c>
      <c r="C582" t="s">
        <v>3001</v>
      </c>
      <c r="D582">
        <v>23622</v>
      </c>
      <c r="E582" t="s">
        <v>2615</v>
      </c>
      <c r="F582">
        <v>907</v>
      </c>
      <c r="G582" t="s">
        <v>3185</v>
      </c>
      <c r="H582" t="s">
        <v>3002</v>
      </c>
      <c r="I582">
        <v>1</v>
      </c>
      <c r="J582" t="str">
        <f>VLOOKUP(A582,店舗コード!A:B,2,FALSE)</f>
        <v>20 NARITA</v>
      </c>
      <c r="O582" s="2"/>
    </row>
    <row r="583" spans="1:15">
      <c r="A583" t="s">
        <v>3140</v>
      </c>
      <c r="B583" s="4" t="s">
        <v>3374</v>
      </c>
      <c r="C583" t="s">
        <v>3001</v>
      </c>
      <c r="D583">
        <v>23227</v>
      </c>
      <c r="E583" t="s">
        <v>3014</v>
      </c>
      <c r="F583">
        <v>623</v>
      </c>
      <c r="G583" t="s">
        <v>3044</v>
      </c>
      <c r="H583" t="s">
        <v>3002</v>
      </c>
      <c r="I583">
        <v>1</v>
      </c>
      <c r="J583" t="str">
        <f>VLOOKUP(A583,店舗コード!A:B,2,FALSE)</f>
        <v>20 NARITA</v>
      </c>
      <c r="O583" s="2"/>
    </row>
    <row r="584" spans="1:15">
      <c r="A584" t="s">
        <v>3140</v>
      </c>
      <c r="B584" s="4" t="s">
        <v>2614</v>
      </c>
      <c r="C584" t="s">
        <v>3001</v>
      </c>
      <c r="D584">
        <v>23622</v>
      </c>
      <c r="E584" t="s">
        <v>2615</v>
      </c>
      <c r="F584">
        <v>907</v>
      </c>
      <c r="G584" t="s">
        <v>3185</v>
      </c>
      <c r="H584" t="s">
        <v>3002</v>
      </c>
      <c r="I584">
        <v>1</v>
      </c>
      <c r="J584" t="str">
        <f>VLOOKUP(A584,店舗コード!A:B,2,FALSE)</f>
        <v>20 NARITA</v>
      </c>
      <c r="O584" s="2"/>
    </row>
    <row r="585" spans="1:15">
      <c r="A585" t="s">
        <v>3140</v>
      </c>
      <c r="B585" s="4" t="s">
        <v>3374</v>
      </c>
      <c r="C585" t="s">
        <v>3001</v>
      </c>
      <c r="D585">
        <v>23227</v>
      </c>
      <c r="E585" t="s">
        <v>3014</v>
      </c>
      <c r="F585">
        <v>623</v>
      </c>
      <c r="G585" t="s">
        <v>3044</v>
      </c>
      <c r="H585" t="s">
        <v>3002</v>
      </c>
      <c r="I585">
        <v>-1</v>
      </c>
      <c r="J585" t="str">
        <f>VLOOKUP(A585,店舗コード!A:B,2,FALSE)</f>
        <v>20 NARITA</v>
      </c>
      <c r="O585" s="2"/>
    </row>
    <row r="586" spans="1:15">
      <c r="A586" t="s">
        <v>3140</v>
      </c>
      <c r="B586" s="4" t="s">
        <v>2614</v>
      </c>
      <c r="C586" t="s">
        <v>3001</v>
      </c>
      <c r="D586">
        <v>23622</v>
      </c>
      <c r="E586" t="s">
        <v>2615</v>
      </c>
      <c r="F586">
        <v>907</v>
      </c>
      <c r="G586" t="s">
        <v>3185</v>
      </c>
      <c r="H586" t="s">
        <v>3002</v>
      </c>
      <c r="I586">
        <v>-1</v>
      </c>
      <c r="J586" t="str">
        <f>VLOOKUP(A586,店舗コード!A:B,2,FALSE)</f>
        <v>20 NARITA</v>
      </c>
      <c r="O586" s="2"/>
    </row>
    <row r="587" spans="1:15">
      <c r="A587" t="s">
        <v>1846</v>
      </c>
      <c r="B587" s="4" t="s">
        <v>202</v>
      </c>
      <c r="C587" t="s">
        <v>3001</v>
      </c>
      <c r="D587">
        <v>23561</v>
      </c>
      <c r="E587" t="s">
        <v>172</v>
      </c>
      <c r="F587">
        <v>550</v>
      </c>
      <c r="G587" t="s">
        <v>2998</v>
      </c>
      <c r="H587" t="s">
        <v>3002</v>
      </c>
      <c r="I587">
        <v>1</v>
      </c>
      <c r="J587" t="str">
        <f>VLOOKUP(A587,店舗コード!A:B,2,FALSE)</f>
        <v>07 TOKYO</v>
      </c>
      <c r="O587" s="2"/>
    </row>
    <row r="588" spans="1:15">
      <c r="A588">
        <v>6142</v>
      </c>
      <c r="B588" s="4" t="s">
        <v>3011</v>
      </c>
      <c r="C588" t="s">
        <v>3001</v>
      </c>
      <c r="D588">
        <v>23510</v>
      </c>
      <c r="E588" t="s">
        <v>86</v>
      </c>
      <c r="F588">
        <v>302</v>
      </c>
      <c r="G588" t="s">
        <v>3273</v>
      </c>
      <c r="H588" t="s">
        <v>3002</v>
      </c>
      <c r="I588">
        <v>1</v>
      </c>
      <c r="J588" t="str">
        <f>VLOOKUP(A588,店舗コード!A:B,2,FALSE)</f>
        <v>16 6142</v>
      </c>
      <c r="O588" s="2"/>
    </row>
    <row r="589" spans="1:15">
      <c r="A589" t="s">
        <v>2993</v>
      </c>
      <c r="B589" s="4" t="s">
        <v>2979</v>
      </c>
      <c r="C589" t="s">
        <v>3001</v>
      </c>
      <c r="D589">
        <v>23797</v>
      </c>
      <c r="E589" t="s">
        <v>2735</v>
      </c>
      <c r="F589">
        <v>118</v>
      </c>
      <c r="G589" t="s">
        <v>3035</v>
      </c>
      <c r="H589" t="s">
        <v>3002</v>
      </c>
      <c r="I589">
        <v>1</v>
      </c>
      <c r="J589" t="str">
        <f>VLOOKUP(A589,店舗コード!A:B,2,FALSE)</f>
        <v>15 大丸心斎橋</v>
      </c>
      <c r="O589" s="2"/>
    </row>
    <row r="590" spans="1:15">
      <c r="A590" t="s">
        <v>2953</v>
      </c>
      <c r="B590" s="4" t="s">
        <v>2611</v>
      </c>
      <c r="C590" t="s">
        <v>3001</v>
      </c>
      <c r="D590">
        <v>23505</v>
      </c>
      <c r="E590" t="s">
        <v>73</v>
      </c>
      <c r="F590">
        <v>326</v>
      </c>
      <c r="G590" t="s">
        <v>3013</v>
      </c>
      <c r="H590" t="s">
        <v>3002</v>
      </c>
      <c r="I590">
        <v>1</v>
      </c>
      <c r="J590" t="str">
        <f>VLOOKUP(A590,店舗コード!A:B,2,FALSE)</f>
        <v>04 名古屋</v>
      </c>
      <c r="O590" s="2"/>
    </row>
    <row r="591" spans="1:15">
      <c r="A591" t="s">
        <v>2953</v>
      </c>
      <c r="B591" s="4" t="s">
        <v>3011</v>
      </c>
      <c r="C591" t="s">
        <v>3001</v>
      </c>
      <c r="D591">
        <v>23510</v>
      </c>
      <c r="E591" t="s">
        <v>86</v>
      </c>
      <c r="F591">
        <v>302</v>
      </c>
      <c r="G591" t="s">
        <v>3273</v>
      </c>
      <c r="H591" t="s">
        <v>3002</v>
      </c>
      <c r="I591">
        <v>1</v>
      </c>
      <c r="J591" t="str">
        <f>VLOOKUP(A591,店舗コード!A:B,2,FALSE)</f>
        <v>04 名古屋</v>
      </c>
      <c r="O591" s="2"/>
    </row>
    <row r="592" spans="1:15">
      <c r="A592" t="s">
        <v>2960</v>
      </c>
      <c r="B592" s="4" t="s">
        <v>127</v>
      </c>
      <c r="C592" t="s">
        <v>3001</v>
      </c>
      <c r="D592">
        <v>23510</v>
      </c>
      <c r="E592" t="s">
        <v>86</v>
      </c>
      <c r="F592">
        <v>620</v>
      </c>
      <c r="G592" t="s">
        <v>3026</v>
      </c>
      <c r="H592" t="s">
        <v>3002</v>
      </c>
      <c r="I592">
        <v>1</v>
      </c>
      <c r="J592" t="str">
        <f>VLOOKUP(A592,店舗コード!A:B,2,FALSE)</f>
        <v>13 京王新宿</v>
      </c>
      <c r="O592" s="2"/>
    </row>
    <row r="593" spans="1:15">
      <c r="A593">
        <v>6142</v>
      </c>
      <c r="B593" s="4" t="s">
        <v>104</v>
      </c>
      <c r="C593" t="s">
        <v>3001</v>
      </c>
      <c r="D593">
        <v>23510</v>
      </c>
      <c r="E593" t="s">
        <v>86</v>
      </c>
      <c r="F593">
        <v>326</v>
      </c>
      <c r="G593" t="s">
        <v>3013</v>
      </c>
      <c r="H593" t="s">
        <v>3002</v>
      </c>
      <c r="I593">
        <v>1</v>
      </c>
      <c r="J593" t="str">
        <f>VLOOKUP(A593,店舗コード!A:B,2,FALSE)</f>
        <v>16 6142</v>
      </c>
      <c r="O593" s="2"/>
    </row>
    <row r="594" spans="1:15">
      <c r="A594" t="s">
        <v>3140</v>
      </c>
      <c r="B594" s="4" t="s">
        <v>99</v>
      </c>
      <c r="C594" t="s">
        <v>3001</v>
      </c>
      <c r="D594">
        <v>23510</v>
      </c>
      <c r="E594" t="s">
        <v>86</v>
      </c>
      <c r="F594">
        <v>312</v>
      </c>
      <c r="G594" t="s">
        <v>3003</v>
      </c>
      <c r="H594" t="s">
        <v>3002</v>
      </c>
      <c r="I594">
        <v>1</v>
      </c>
      <c r="J594" t="str">
        <f>VLOOKUP(A594,店舗コード!A:B,2,FALSE)</f>
        <v>20 NARITA</v>
      </c>
      <c r="O594" s="2"/>
    </row>
    <row r="595" spans="1:15">
      <c r="A595" t="s">
        <v>2942</v>
      </c>
      <c r="B595" s="4" t="s">
        <v>3834</v>
      </c>
      <c r="C595" t="s">
        <v>3001</v>
      </c>
      <c r="D595">
        <v>13100267</v>
      </c>
      <c r="E595" t="s">
        <v>3530</v>
      </c>
      <c r="F595">
        <v>570</v>
      </c>
      <c r="G595" t="s">
        <v>3393</v>
      </c>
      <c r="H595" t="s">
        <v>3270</v>
      </c>
      <c r="I595">
        <v>1</v>
      </c>
      <c r="J595" t="str">
        <f>VLOOKUP(A595,店舗コード!A:B,2,FALSE)</f>
        <v>08 ルクア大阪</v>
      </c>
      <c r="O595" s="2"/>
    </row>
    <row r="596" spans="1:15">
      <c r="A596" t="s">
        <v>2942</v>
      </c>
      <c r="B596" s="4" t="s">
        <v>3296</v>
      </c>
      <c r="C596" t="s">
        <v>3001</v>
      </c>
      <c r="D596">
        <v>23623</v>
      </c>
      <c r="E596" t="s">
        <v>3297</v>
      </c>
      <c r="F596" t="s">
        <v>3275</v>
      </c>
      <c r="G596" t="s">
        <v>3276</v>
      </c>
      <c r="H596" t="s">
        <v>3002</v>
      </c>
      <c r="I596">
        <v>1</v>
      </c>
      <c r="J596" t="str">
        <f>VLOOKUP(A596,店舗コード!A:B,2,FALSE)</f>
        <v>08 ルクア大阪</v>
      </c>
      <c r="O596" s="2"/>
    </row>
    <row r="597" spans="1:15">
      <c r="A597" t="s">
        <v>2942</v>
      </c>
      <c r="B597" s="4" t="s">
        <v>3944</v>
      </c>
      <c r="C597" t="s">
        <v>3001</v>
      </c>
      <c r="D597">
        <v>84783</v>
      </c>
      <c r="E597" t="s">
        <v>3403</v>
      </c>
      <c r="F597" t="s">
        <v>3945</v>
      </c>
      <c r="G597" t="s">
        <v>3946</v>
      </c>
      <c r="H597" t="s">
        <v>3190</v>
      </c>
      <c r="I597">
        <v>1</v>
      </c>
      <c r="J597" t="str">
        <f>VLOOKUP(A597,店舗コード!A:B,2,FALSE)</f>
        <v>08 ルクア大阪</v>
      </c>
      <c r="O597" s="2"/>
    </row>
    <row r="598" spans="1:15">
      <c r="A598" t="s">
        <v>2942</v>
      </c>
      <c r="B598" s="4" t="s">
        <v>3947</v>
      </c>
      <c r="C598" t="s">
        <v>3001</v>
      </c>
      <c r="D598">
        <v>87146</v>
      </c>
      <c r="E598" t="s">
        <v>3948</v>
      </c>
      <c r="F598">
        <v>133</v>
      </c>
      <c r="G598" t="s">
        <v>3841</v>
      </c>
      <c r="H598" t="s">
        <v>3030</v>
      </c>
      <c r="I598">
        <v>1</v>
      </c>
      <c r="J598" t="str">
        <f>VLOOKUP(A598,店舗コード!A:B,2,FALSE)</f>
        <v>08 ルクア大阪</v>
      </c>
      <c r="O598" s="2"/>
    </row>
    <row r="599" spans="1:15">
      <c r="A599">
        <v>6142</v>
      </c>
      <c r="B599" s="4" t="s">
        <v>3004</v>
      </c>
      <c r="C599" t="s">
        <v>3001</v>
      </c>
      <c r="D599">
        <v>23510</v>
      </c>
      <c r="E599" t="s">
        <v>86</v>
      </c>
      <c r="F599" t="s">
        <v>3005</v>
      </c>
      <c r="G599" t="s">
        <v>3006</v>
      </c>
      <c r="H599" t="s">
        <v>3002</v>
      </c>
      <c r="I599">
        <v>1</v>
      </c>
      <c r="J599" t="str">
        <f>VLOOKUP(A599,店舗コード!A:B,2,FALSE)</f>
        <v>16 6142</v>
      </c>
      <c r="O599" s="2"/>
    </row>
    <row r="600" spans="1:15">
      <c r="A600" t="s">
        <v>2953</v>
      </c>
      <c r="B600" s="4" t="s">
        <v>3949</v>
      </c>
      <c r="C600" t="s">
        <v>3001</v>
      </c>
      <c r="D600">
        <v>23710</v>
      </c>
      <c r="E600" t="s">
        <v>3424</v>
      </c>
      <c r="F600">
        <v>160</v>
      </c>
      <c r="G600" t="s">
        <v>3010</v>
      </c>
      <c r="H600" t="s">
        <v>3002</v>
      </c>
      <c r="I600">
        <v>1</v>
      </c>
      <c r="J600" t="str">
        <f>VLOOKUP(A600,店舗コード!A:B,2,FALSE)</f>
        <v>04 名古屋</v>
      </c>
      <c r="O600" s="2"/>
    </row>
    <row r="601" spans="1:15">
      <c r="A601" t="s">
        <v>2953</v>
      </c>
      <c r="B601" s="4" t="s">
        <v>3511</v>
      </c>
      <c r="C601" t="s">
        <v>3001</v>
      </c>
      <c r="D601">
        <v>23796</v>
      </c>
      <c r="E601" t="s">
        <v>3512</v>
      </c>
      <c r="F601">
        <v>620</v>
      </c>
      <c r="G601" t="s">
        <v>3026</v>
      </c>
      <c r="H601" t="s">
        <v>3002</v>
      </c>
      <c r="I601">
        <v>1</v>
      </c>
      <c r="J601" t="str">
        <f>VLOOKUP(A601,店舗コード!A:B,2,FALSE)</f>
        <v>04 名古屋</v>
      </c>
      <c r="O601" s="2"/>
    </row>
    <row r="602" spans="1:15">
      <c r="A602" t="s">
        <v>2953</v>
      </c>
      <c r="B602" s="4" t="s">
        <v>3447</v>
      </c>
      <c r="C602" t="s">
        <v>3001</v>
      </c>
      <c r="D602">
        <v>77357</v>
      </c>
      <c r="E602" t="s">
        <v>3036</v>
      </c>
      <c r="F602">
        <v>232</v>
      </c>
      <c r="G602" t="s">
        <v>3366</v>
      </c>
      <c r="H602" t="s">
        <v>3190</v>
      </c>
      <c r="I602">
        <v>1</v>
      </c>
      <c r="J602" t="str">
        <f>VLOOKUP(A602,店舗コード!A:B,2,FALSE)</f>
        <v>04 名古屋</v>
      </c>
      <c r="O602" s="2"/>
    </row>
    <row r="603" spans="1:15">
      <c r="A603" t="s">
        <v>2942</v>
      </c>
      <c r="B603" s="4" t="s">
        <v>3373</v>
      </c>
      <c r="C603" t="s">
        <v>3001</v>
      </c>
      <c r="D603">
        <v>23200338</v>
      </c>
      <c r="E603" t="s">
        <v>3370</v>
      </c>
      <c r="F603">
        <v>662</v>
      </c>
      <c r="G603" t="s">
        <v>3320</v>
      </c>
      <c r="H603" t="s">
        <v>3002</v>
      </c>
      <c r="I603">
        <v>1</v>
      </c>
      <c r="J603" t="str">
        <f>VLOOKUP(A603,店舗コード!A:B,2,FALSE)</f>
        <v>08 ルクア大阪</v>
      </c>
      <c r="O603" s="2"/>
    </row>
    <row r="604" spans="1:15">
      <c r="A604" t="s">
        <v>2942</v>
      </c>
      <c r="B604" s="4" t="s">
        <v>2614</v>
      </c>
      <c r="C604" t="s">
        <v>3001</v>
      </c>
      <c r="D604">
        <v>23622</v>
      </c>
      <c r="E604" t="s">
        <v>2615</v>
      </c>
      <c r="F604">
        <v>907</v>
      </c>
      <c r="G604" t="s">
        <v>3185</v>
      </c>
      <c r="H604" t="s">
        <v>3002</v>
      </c>
      <c r="I604">
        <v>2</v>
      </c>
      <c r="J604" t="str">
        <f>VLOOKUP(A604,店舗コード!A:B,2,FALSE)</f>
        <v>08 ルクア大阪</v>
      </c>
      <c r="O604" s="2"/>
    </row>
    <row r="605" spans="1:15">
      <c r="A605" t="s">
        <v>2942</v>
      </c>
      <c r="B605" s="4" t="s">
        <v>2008</v>
      </c>
      <c r="C605" t="s">
        <v>3001</v>
      </c>
      <c r="D605">
        <v>23785</v>
      </c>
      <c r="E605" t="s">
        <v>2007</v>
      </c>
      <c r="F605">
        <v>141</v>
      </c>
      <c r="G605" t="s">
        <v>3520</v>
      </c>
      <c r="H605" t="s">
        <v>3002</v>
      </c>
      <c r="I605">
        <v>1</v>
      </c>
      <c r="J605" t="str">
        <f>VLOOKUP(A605,店舗コード!A:B,2,FALSE)</f>
        <v>08 ルクア大阪</v>
      </c>
      <c r="O605" s="2"/>
    </row>
    <row r="606" spans="1:15">
      <c r="A606" t="s">
        <v>2942</v>
      </c>
      <c r="B606" s="4" t="s">
        <v>3885</v>
      </c>
      <c r="C606" t="s">
        <v>3001</v>
      </c>
      <c r="D606">
        <v>77410</v>
      </c>
      <c r="E606" t="s">
        <v>3318</v>
      </c>
      <c r="F606">
        <v>550</v>
      </c>
      <c r="G606" t="s">
        <v>2998</v>
      </c>
      <c r="H606" t="s">
        <v>3002</v>
      </c>
      <c r="I606">
        <v>1</v>
      </c>
      <c r="J606" t="str">
        <f>VLOOKUP(A606,店舗コード!A:B,2,FALSE)</f>
        <v>08 ルクア大阪</v>
      </c>
      <c r="O606" s="2"/>
    </row>
    <row r="607" spans="1:15">
      <c r="A607">
        <v>6142</v>
      </c>
      <c r="B607" s="4" t="s">
        <v>3950</v>
      </c>
      <c r="C607" t="s">
        <v>3001</v>
      </c>
      <c r="D607">
        <v>23225</v>
      </c>
      <c r="E607" t="s">
        <v>3330</v>
      </c>
      <c r="F607">
        <v>620</v>
      </c>
      <c r="G607" t="s">
        <v>3026</v>
      </c>
      <c r="H607" t="s">
        <v>3002</v>
      </c>
      <c r="I607">
        <v>1</v>
      </c>
      <c r="J607" t="str">
        <f>VLOOKUP(A607,店舗コード!A:B,2,FALSE)</f>
        <v>16 6142</v>
      </c>
      <c r="O607" s="2"/>
    </row>
    <row r="608" spans="1:15">
      <c r="A608">
        <v>6142</v>
      </c>
      <c r="B608" s="4" t="s">
        <v>104</v>
      </c>
      <c r="C608" t="s">
        <v>3001</v>
      </c>
      <c r="D608">
        <v>23510</v>
      </c>
      <c r="E608" t="s">
        <v>86</v>
      </c>
      <c r="F608">
        <v>326</v>
      </c>
      <c r="G608" t="s">
        <v>3013</v>
      </c>
      <c r="H608" t="s">
        <v>3002</v>
      </c>
      <c r="I608">
        <v>1</v>
      </c>
      <c r="J608" t="str">
        <f>VLOOKUP(A608,店舗コード!A:B,2,FALSE)</f>
        <v>16 6142</v>
      </c>
      <c r="O608" s="2"/>
    </row>
    <row r="609" spans="1:15">
      <c r="A609" t="s">
        <v>2942</v>
      </c>
      <c r="B609" s="4" t="s">
        <v>3487</v>
      </c>
      <c r="C609" t="s">
        <v>3001</v>
      </c>
      <c r="D609">
        <v>12500171</v>
      </c>
      <c r="E609" t="s">
        <v>3488</v>
      </c>
      <c r="F609">
        <v>577</v>
      </c>
      <c r="G609" t="s">
        <v>3199</v>
      </c>
      <c r="H609" t="s">
        <v>2999</v>
      </c>
      <c r="I609">
        <v>1</v>
      </c>
      <c r="J609" t="str">
        <f>VLOOKUP(A609,店舗コード!A:B,2,FALSE)</f>
        <v>08 ルクア大阪</v>
      </c>
      <c r="O609" s="2"/>
    </row>
    <row r="610" spans="1:15">
      <c r="A610" t="s">
        <v>2942</v>
      </c>
      <c r="B610" s="4" t="s">
        <v>3527</v>
      </c>
      <c r="C610" t="s">
        <v>3001</v>
      </c>
      <c r="D610">
        <v>12600216</v>
      </c>
      <c r="E610" t="s">
        <v>3528</v>
      </c>
      <c r="F610">
        <v>113</v>
      </c>
      <c r="G610" t="s">
        <v>3349</v>
      </c>
      <c r="H610" t="s">
        <v>2999</v>
      </c>
      <c r="I610">
        <v>1</v>
      </c>
      <c r="J610" t="str">
        <f>VLOOKUP(A610,店舗コード!A:B,2,FALSE)</f>
        <v>08 ルクア大阪</v>
      </c>
      <c r="O610" s="2"/>
    </row>
    <row r="611" spans="1:15">
      <c r="A611" t="s">
        <v>2942</v>
      </c>
      <c r="B611" s="4" t="s">
        <v>3951</v>
      </c>
      <c r="C611" t="s">
        <v>3001</v>
      </c>
      <c r="D611">
        <v>13100181</v>
      </c>
      <c r="E611" t="s">
        <v>3442</v>
      </c>
      <c r="F611">
        <v>555</v>
      </c>
      <c r="G611" t="s">
        <v>3200</v>
      </c>
      <c r="H611" t="s">
        <v>3190</v>
      </c>
      <c r="I611">
        <v>1</v>
      </c>
      <c r="J611" t="str">
        <f>VLOOKUP(A611,店舗コード!A:B,2,FALSE)</f>
        <v>08 ルクア大阪</v>
      </c>
      <c r="O611" s="2"/>
    </row>
    <row r="612" spans="1:15">
      <c r="A612" t="s">
        <v>2942</v>
      </c>
      <c r="B612" s="4" t="s">
        <v>3446</v>
      </c>
      <c r="C612" t="s">
        <v>3001</v>
      </c>
      <c r="D612">
        <v>77029</v>
      </c>
      <c r="E612" t="s">
        <v>618</v>
      </c>
      <c r="F612">
        <v>30</v>
      </c>
      <c r="G612" t="s">
        <v>3310</v>
      </c>
      <c r="H612" t="s">
        <v>3002</v>
      </c>
      <c r="I612">
        <v>1</v>
      </c>
      <c r="J612" t="str">
        <f>VLOOKUP(A612,店舗コード!A:B,2,FALSE)</f>
        <v>08 ルクア大阪</v>
      </c>
      <c r="O612" s="2"/>
    </row>
    <row r="613" spans="1:15">
      <c r="A613" t="s">
        <v>2944</v>
      </c>
      <c r="B613" s="4" t="s">
        <v>3011</v>
      </c>
      <c r="C613" t="s">
        <v>3001</v>
      </c>
      <c r="D613">
        <v>23510</v>
      </c>
      <c r="E613" t="s">
        <v>86</v>
      </c>
      <c r="F613">
        <v>302</v>
      </c>
      <c r="G613" t="s">
        <v>3273</v>
      </c>
      <c r="H613" t="s">
        <v>3002</v>
      </c>
      <c r="I613">
        <v>1</v>
      </c>
      <c r="J613" t="str">
        <f>VLOOKUP(A613,店舗コード!A:B,2,FALSE)</f>
        <v>10 ヒュッテ</v>
      </c>
      <c r="O613" s="2"/>
    </row>
    <row r="614" spans="1:15">
      <c r="A614" t="s">
        <v>2944</v>
      </c>
      <c r="B614" s="4" t="s">
        <v>104</v>
      </c>
      <c r="C614" t="s">
        <v>3001</v>
      </c>
      <c r="D614">
        <v>23510</v>
      </c>
      <c r="E614" t="s">
        <v>86</v>
      </c>
      <c r="F614">
        <v>326</v>
      </c>
      <c r="G614" t="s">
        <v>3013</v>
      </c>
      <c r="H614" t="s">
        <v>3002</v>
      </c>
      <c r="I614">
        <v>1</v>
      </c>
      <c r="J614" t="str">
        <f>VLOOKUP(A614,店舗コード!A:B,2,FALSE)</f>
        <v>10 ヒュッテ</v>
      </c>
      <c r="O614" s="2"/>
    </row>
    <row r="615" spans="1:15">
      <c r="A615" t="s">
        <v>2942</v>
      </c>
      <c r="B615" s="4" t="s">
        <v>2648</v>
      </c>
      <c r="C615" t="s">
        <v>3001</v>
      </c>
      <c r="D615">
        <v>23797</v>
      </c>
      <c r="E615" t="s">
        <v>2735</v>
      </c>
      <c r="F615">
        <v>21</v>
      </c>
      <c r="G615" t="s">
        <v>3428</v>
      </c>
      <c r="H615" t="s">
        <v>3002</v>
      </c>
      <c r="I615">
        <v>1</v>
      </c>
      <c r="J615" t="str">
        <f>VLOOKUP(A615,店舗コード!A:B,2,FALSE)</f>
        <v>08 ルクア大阪</v>
      </c>
      <c r="O615" s="2"/>
    </row>
    <row r="616" spans="1:15">
      <c r="A616" t="s">
        <v>1846</v>
      </c>
      <c r="B616" s="4" t="s">
        <v>731</v>
      </c>
      <c r="C616" t="s">
        <v>3001</v>
      </c>
      <c r="D616">
        <v>79030</v>
      </c>
      <c r="E616" t="s">
        <v>732</v>
      </c>
      <c r="H616" t="s">
        <v>3002</v>
      </c>
      <c r="I616">
        <v>1</v>
      </c>
      <c r="J616" t="str">
        <f>VLOOKUP(A616,店舗コード!A:B,2,FALSE)</f>
        <v>07 TOKYO</v>
      </c>
      <c r="O616" s="2"/>
    </row>
    <row r="617" spans="1:15">
      <c r="A617" t="s">
        <v>1846</v>
      </c>
      <c r="B617" s="4" t="s">
        <v>2611</v>
      </c>
      <c r="C617" t="s">
        <v>3001</v>
      </c>
      <c r="D617">
        <v>23505</v>
      </c>
      <c r="E617" t="s">
        <v>73</v>
      </c>
      <c r="F617">
        <v>326</v>
      </c>
      <c r="G617" t="s">
        <v>3013</v>
      </c>
      <c r="H617" t="s">
        <v>3002</v>
      </c>
      <c r="I617">
        <v>1</v>
      </c>
      <c r="J617" t="str">
        <f>VLOOKUP(A617,店舗コード!A:B,2,FALSE)</f>
        <v>07 TOKYO</v>
      </c>
      <c r="O617" s="2"/>
    </row>
    <row r="618" spans="1:15">
      <c r="A618" t="s">
        <v>1846</v>
      </c>
      <c r="B618" s="4" t="s">
        <v>2983</v>
      </c>
      <c r="C618" t="s">
        <v>3001</v>
      </c>
      <c r="D618">
        <v>23510</v>
      </c>
      <c r="E618" t="s">
        <v>86</v>
      </c>
      <c r="F618">
        <v>228</v>
      </c>
      <c r="G618" t="s">
        <v>3329</v>
      </c>
      <c r="H618" t="s">
        <v>3002</v>
      </c>
      <c r="I618">
        <v>1</v>
      </c>
      <c r="J618" t="str">
        <f>VLOOKUP(A618,店舗コード!A:B,2,FALSE)</f>
        <v>07 TOKYO</v>
      </c>
      <c r="O618" s="2"/>
    </row>
    <row r="619" spans="1:15">
      <c r="A619" t="s">
        <v>2942</v>
      </c>
      <c r="B619" s="4" t="s">
        <v>3455</v>
      </c>
      <c r="C619" t="s">
        <v>3001</v>
      </c>
      <c r="D619">
        <v>23200395</v>
      </c>
      <c r="E619" t="s">
        <v>3304</v>
      </c>
      <c r="F619">
        <v>118</v>
      </c>
      <c r="G619" t="s">
        <v>3035</v>
      </c>
      <c r="H619" t="s">
        <v>3002</v>
      </c>
      <c r="I619">
        <v>1</v>
      </c>
      <c r="J619" t="str">
        <f>VLOOKUP(A619,店舗コード!A:B,2,FALSE)</f>
        <v>08 ルクア大阪</v>
      </c>
      <c r="O619" s="2"/>
    </row>
    <row r="620" spans="1:15">
      <c r="A620" t="s">
        <v>2944</v>
      </c>
      <c r="B620" s="4" t="s">
        <v>3952</v>
      </c>
      <c r="C620" t="s">
        <v>3001</v>
      </c>
      <c r="D620">
        <v>14600200</v>
      </c>
      <c r="E620" t="s">
        <v>3294</v>
      </c>
      <c r="F620">
        <v>570</v>
      </c>
      <c r="G620" t="s">
        <v>3393</v>
      </c>
      <c r="H620" t="s">
        <v>3030</v>
      </c>
      <c r="I620">
        <v>1</v>
      </c>
      <c r="J620" t="str">
        <f>VLOOKUP(A620,店舗コード!A:B,2,FALSE)</f>
        <v>10 ヒュッテ</v>
      </c>
      <c r="O620" s="2"/>
    </row>
    <row r="621" spans="1:15">
      <c r="A621" t="s">
        <v>2960</v>
      </c>
      <c r="B621" s="4" t="s">
        <v>731</v>
      </c>
      <c r="C621" t="s">
        <v>3001</v>
      </c>
      <c r="D621">
        <v>79030</v>
      </c>
      <c r="E621" t="s">
        <v>732</v>
      </c>
      <c r="H621" t="s">
        <v>3002</v>
      </c>
      <c r="I621">
        <v>1</v>
      </c>
      <c r="J621" t="str">
        <f>VLOOKUP(A621,店舗コード!A:B,2,FALSE)</f>
        <v>13 京王新宿</v>
      </c>
      <c r="O621" s="2"/>
    </row>
    <row r="622" spans="1:15">
      <c r="A622" t="s">
        <v>2993</v>
      </c>
      <c r="B622" s="4" t="s">
        <v>3953</v>
      </c>
      <c r="C622" t="s">
        <v>3001</v>
      </c>
      <c r="D622">
        <v>12600194</v>
      </c>
      <c r="E622" t="s">
        <v>3938</v>
      </c>
      <c r="F622">
        <v>30</v>
      </c>
      <c r="G622" t="s">
        <v>3310</v>
      </c>
      <c r="H622" t="s">
        <v>3029</v>
      </c>
      <c r="I622">
        <v>1</v>
      </c>
      <c r="J622" t="str">
        <f>VLOOKUP(A622,店舗コード!A:B,2,FALSE)</f>
        <v>15 大丸心斎橋</v>
      </c>
      <c r="O622" s="2"/>
    </row>
    <row r="623" spans="1:15">
      <c r="A623" t="s">
        <v>2993</v>
      </c>
      <c r="B623" s="4" t="s">
        <v>3309</v>
      </c>
      <c r="C623" t="s">
        <v>3001</v>
      </c>
      <c r="D623">
        <v>77357</v>
      </c>
      <c r="E623" t="s">
        <v>3036</v>
      </c>
      <c r="F623">
        <v>30</v>
      </c>
      <c r="G623" t="s">
        <v>3310</v>
      </c>
      <c r="H623" t="s">
        <v>3190</v>
      </c>
      <c r="I623">
        <v>1</v>
      </c>
      <c r="J623" t="str">
        <f>VLOOKUP(A623,店舗コード!A:B,2,FALSE)</f>
        <v>15 大丸心斎橋</v>
      </c>
      <c r="O623" s="2"/>
    </row>
    <row r="624" spans="1:15">
      <c r="A624" t="s">
        <v>2993</v>
      </c>
      <c r="B624" s="4" t="s">
        <v>731</v>
      </c>
      <c r="C624" t="s">
        <v>3001</v>
      </c>
      <c r="D624">
        <v>79030</v>
      </c>
      <c r="E624" t="s">
        <v>732</v>
      </c>
      <c r="H624" t="s">
        <v>3002</v>
      </c>
      <c r="I624">
        <v>1</v>
      </c>
      <c r="J624" t="str">
        <f>VLOOKUP(A624,店舗コード!A:B,2,FALSE)</f>
        <v>15 大丸心斎橋</v>
      </c>
      <c r="O624" s="2"/>
    </row>
    <row r="625" spans="1:15">
      <c r="A625" t="s">
        <v>2953</v>
      </c>
      <c r="B625" s="4" t="s">
        <v>3448</v>
      </c>
      <c r="C625" t="s">
        <v>3001</v>
      </c>
      <c r="D625">
        <v>23200341</v>
      </c>
      <c r="E625" t="s">
        <v>3332</v>
      </c>
      <c r="F625">
        <v>37</v>
      </c>
      <c r="G625" t="s">
        <v>3302</v>
      </c>
      <c r="H625" t="s">
        <v>3002</v>
      </c>
      <c r="I625">
        <v>1</v>
      </c>
      <c r="J625" t="str">
        <f>VLOOKUP(A625,店舗コード!A:B,2,FALSE)</f>
        <v>04 名古屋</v>
      </c>
      <c r="O625" s="2"/>
    </row>
    <row r="626" spans="1:15">
      <c r="A626" t="s">
        <v>2942</v>
      </c>
      <c r="B626" s="4" t="s">
        <v>3210</v>
      </c>
      <c r="C626" t="s">
        <v>3001</v>
      </c>
      <c r="D626">
        <v>23200337</v>
      </c>
      <c r="E626" t="s">
        <v>3042</v>
      </c>
      <c r="F626">
        <v>171</v>
      </c>
      <c r="G626" t="s">
        <v>3464</v>
      </c>
      <c r="H626" t="s">
        <v>3002</v>
      </c>
      <c r="I626">
        <v>1</v>
      </c>
      <c r="J626" t="str">
        <f>VLOOKUP(A626,店舗コード!A:B,2,FALSE)</f>
        <v>08 ルクア大阪</v>
      </c>
      <c r="O626" s="2"/>
    </row>
    <row r="627" spans="1:15">
      <c r="A627">
        <v>6142</v>
      </c>
      <c r="B627" s="4" t="s">
        <v>85</v>
      </c>
      <c r="C627" t="s">
        <v>3001</v>
      </c>
      <c r="D627">
        <v>23510</v>
      </c>
      <c r="E627" t="s">
        <v>86</v>
      </c>
      <c r="F627">
        <v>21</v>
      </c>
      <c r="G627" t="s">
        <v>3439</v>
      </c>
      <c r="H627" t="s">
        <v>3002</v>
      </c>
      <c r="I627">
        <v>1</v>
      </c>
      <c r="J627" t="str">
        <f>VLOOKUP(A627,店舗コード!A:B,2,FALSE)</f>
        <v>16 6142</v>
      </c>
      <c r="O627" s="2"/>
    </row>
    <row r="628" spans="1:15">
      <c r="A628">
        <v>6142</v>
      </c>
      <c r="B628" s="4" t="s">
        <v>3954</v>
      </c>
      <c r="C628" t="s">
        <v>3001</v>
      </c>
      <c r="D628">
        <v>23793</v>
      </c>
      <c r="E628" t="s">
        <v>3955</v>
      </c>
      <c r="F628">
        <v>21</v>
      </c>
      <c r="G628" t="s">
        <v>3439</v>
      </c>
      <c r="H628" t="s">
        <v>3002</v>
      </c>
      <c r="I628">
        <v>1</v>
      </c>
      <c r="J628" t="str">
        <f>VLOOKUP(A628,店舗コード!A:B,2,FALSE)</f>
        <v>16 6142</v>
      </c>
      <c r="O628" s="2"/>
    </row>
    <row r="629" spans="1:15">
      <c r="A629" t="s">
        <v>2942</v>
      </c>
      <c r="B629" s="4" t="s">
        <v>3281</v>
      </c>
      <c r="C629" t="s">
        <v>3001</v>
      </c>
      <c r="D629">
        <v>23223</v>
      </c>
      <c r="E629" t="s">
        <v>3016</v>
      </c>
      <c r="F629">
        <v>550</v>
      </c>
      <c r="G629" t="s">
        <v>2998</v>
      </c>
      <c r="H629" t="s">
        <v>3002</v>
      </c>
      <c r="I629">
        <v>1</v>
      </c>
      <c r="J629" t="str">
        <f>VLOOKUP(A629,店舗コード!A:B,2,FALSE)</f>
        <v>08 ルクア大阪</v>
      </c>
      <c r="O629" s="2"/>
    </row>
    <row r="630" spans="1:15">
      <c r="A630" t="s">
        <v>1846</v>
      </c>
      <c r="B630" s="4" t="s">
        <v>3186</v>
      </c>
      <c r="C630" t="s">
        <v>3001</v>
      </c>
      <c r="D630">
        <v>23510</v>
      </c>
      <c r="E630" t="s">
        <v>86</v>
      </c>
      <c r="F630">
        <v>118</v>
      </c>
      <c r="G630" t="s">
        <v>3035</v>
      </c>
      <c r="H630" t="s">
        <v>3002</v>
      </c>
      <c r="I630">
        <v>1</v>
      </c>
      <c r="J630" t="str">
        <f>VLOOKUP(A630,店舗コード!A:B,2,FALSE)</f>
        <v>07 TOKYO</v>
      </c>
      <c r="O630" s="2"/>
    </row>
    <row r="631" spans="1:15">
      <c r="A631" t="s">
        <v>1846</v>
      </c>
      <c r="B631" s="4" t="s">
        <v>3308</v>
      </c>
      <c r="C631" t="s">
        <v>3001</v>
      </c>
      <c r="D631">
        <v>23523</v>
      </c>
      <c r="E631" t="s">
        <v>3028</v>
      </c>
      <c r="F631">
        <v>501</v>
      </c>
      <c r="G631" t="s">
        <v>2992</v>
      </c>
      <c r="H631" t="s">
        <v>3002</v>
      </c>
      <c r="I631">
        <v>1</v>
      </c>
      <c r="J631" t="str">
        <f>VLOOKUP(A631,店舗コード!A:B,2,FALSE)</f>
        <v>07 TOKYO</v>
      </c>
      <c r="O631" s="2"/>
    </row>
    <row r="632" spans="1:15">
      <c r="A632" t="s">
        <v>2980</v>
      </c>
      <c r="B632" s="4" t="s">
        <v>3305</v>
      </c>
      <c r="C632" t="s">
        <v>3001</v>
      </c>
      <c r="D632">
        <v>23523</v>
      </c>
      <c r="E632" t="s">
        <v>3028</v>
      </c>
      <c r="F632">
        <v>424</v>
      </c>
      <c r="G632" t="s">
        <v>3017</v>
      </c>
      <c r="H632" t="s">
        <v>3002</v>
      </c>
      <c r="I632">
        <v>1</v>
      </c>
      <c r="J632" t="str">
        <f>VLOOKUP(A632,店舗コード!A:B,2,FALSE)</f>
        <v>17 玉川高島屋</v>
      </c>
      <c r="O632" s="2"/>
    </row>
    <row r="633" spans="1:15">
      <c r="A633" t="s">
        <v>2942</v>
      </c>
      <c r="B633" s="4" t="s">
        <v>3956</v>
      </c>
      <c r="C633" t="s">
        <v>3001</v>
      </c>
      <c r="D633">
        <v>77277</v>
      </c>
      <c r="E633" t="s">
        <v>3480</v>
      </c>
      <c r="F633">
        <v>555</v>
      </c>
      <c r="G633" t="s">
        <v>3200</v>
      </c>
      <c r="H633" t="s">
        <v>3029</v>
      </c>
      <c r="I633">
        <v>1</v>
      </c>
      <c r="J633" t="str">
        <f>VLOOKUP(A633,店舗コード!A:B,2,FALSE)</f>
        <v>08 ルクア大阪</v>
      </c>
      <c r="O633" s="2"/>
    </row>
    <row r="634" spans="1:15">
      <c r="A634" t="s">
        <v>1846</v>
      </c>
      <c r="B634" s="4" t="s">
        <v>3957</v>
      </c>
      <c r="C634" t="s">
        <v>3001</v>
      </c>
      <c r="D634">
        <v>78138</v>
      </c>
      <c r="E634" t="s">
        <v>3365</v>
      </c>
      <c r="F634">
        <v>550</v>
      </c>
      <c r="G634" t="s">
        <v>2998</v>
      </c>
      <c r="H634" t="s">
        <v>3190</v>
      </c>
      <c r="I634">
        <v>1</v>
      </c>
      <c r="J634" t="str">
        <f>VLOOKUP(A634,店舗コード!A:B,2,FALSE)</f>
        <v>07 TOKYO</v>
      </c>
      <c r="O634" s="2"/>
    </row>
    <row r="635" spans="1:15">
      <c r="A635" t="s">
        <v>1846</v>
      </c>
      <c r="B635" s="4" t="s">
        <v>3958</v>
      </c>
      <c r="C635" t="s">
        <v>3001</v>
      </c>
      <c r="D635">
        <v>78138</v>
      </c>
      <c r="E635" t="s">
        <v>3365</v>
      </c>
      <c r="F635">
        <v>662</v>
      </c>
      <c r="G635" t="s">
        <v>3320</v>
      </c>
      <c r="H635" t="s">
        <v>3190</v>
      </c>
      <c r="I635">
        <v>1</v>
      </c>
      <c r="J635" t="str">
        <f>VLOOKUP(A635,店舗コード!A:B,2,FALSE)</f>
        <v>07 TOKYO</v>
      </c>
      <c r="O635" s="2"/>
    </row>
    <row r="636" spans="1:15">
      <c r="A636" t="s">
        <v>2942</v>
      </c>
      <c r="B636" s="4" t="s">
        <v>3921</v>
      </c>
      <c r="C636" t="s">
        <v>3001</v>
      </c>
      <c r="D636">
        <v>13100213</v>
      </c>
      <c r="E636" t="s">
        <v>3335</v>
      </c>
      <c r="F636">
        <v>118</v>
      </c>
      <c r="G636" t="s">
        <v>3035</v>
      </c>
      <c r="H636" t="s">
        <v>3190</v>
      </c>
      <c r="I636">
        <v>1</v>
      </c>
      <c r="J636" t="str">
        <f>VLOOKUP(A636,店舗コード!A:B,2,FALSE)</f>
        <v>08 ルクア大阪</v>
      </c>
      <c r="O636" s="2"/>
    </row>
    <row r="637" spans="1:15">
      <c r="A637" t="s">
        <v>2993</v>
      </c>
      <c r="B637" s="4" t="s">
        <v>2963</v>
      </c>
      <c r="C637" t="s">
        <v>3001</v>
      </c>
      <c r="D637">
        <v>23510</v>
      </c>
      <c r="E637" t="s">
        <v>86</v>
      </c>
      <c r="F637">
        <v>457</v>
      </c>
      <c r="G637" t="s">
        <v>3019</v>
      </c>
      <c r="H637" t="s">
        <v>3002</v>
      </c>
      <c r="I637">
        <v>1</v>
      </c>
      <c r="J637" t="str">
        <f>VLOOKUP(A637,店舗コード!A:B,2,FALSE)</f>
        <v>15 大丸心斎橋</v>
      </c>
      <c r="O637" s="2"/>
    </row>
    <row r="638" spans="1:15">
      <c r="A638" t="s">
        <v>2953</v>
      </c>
      <c r="B638" s="4" t="s">
        <v>3451</v>
      </c>
      <c r="C638" t="s">
        <v>3001</v>
      </c>
      <c r="D638">
        <v>23525</v>
      </c>
      <c r="E638" t="s">
        <v>3012</v>
      </c>
      <c r="F638">
        <v>664</v>
      </c>
      <c r="G638" t="s">
        <v>3015</v>
      </c>
      <c r="H638" t="s">
        <v>3002</v>
      </c>
      <c r="I638">
        <v>1</v>
      </c>
      <c r="J638" t="str">
        <f>VLOOKUP(A638,店舗コード!A:B,2,FALSE)</f>
        <v>04 名古屋</v>
      </c>
      <c r="O638" s="2"/>
    </row>
    <row r="639" spans="1:15">
      <c r="A639" t="s">
        <v>2942</v>
      </c>
      <c r="B639" s="4" t="s">
        <v>3212</v>
      </c>
      <c r="C639" t="s">
        <v>3001</v>
      </c>
      <c r="D639">
        <v>23345</v>
      </c>
      <c r="E639" t="s">
        <v>3031</v>
      </c>
      <c r="F639">
        <v>357</v>
      </c>
      <c r="G639" t="s">
        <v>3213</v>
      </c>
      <c r="H639" t="s">
        <v>3002</v>
      </c>
      <c r="I639">
        <v>1</v>
      </c>
      <c r="J639" t="str">
        <f>VLOOKUP(A639,店舗コード!A:B,2,FALSE)</f>
        <v>08 ルクア大阪</v>
      </c>
      <c r="O639" s="2"/>
    </row>
    <row r="640" spans="1:15">
      <c r="A640" t="s">
        <v>2942</v>
      </c>
      <c r="B640" s="4" t="s">
        <v>733</v>
      </c>
      <c r="C640" t="s">
        <v>3001</v>
      </c>
      <c r="D640">
        <v>79060</v>
      </c>
      <c r="E640" t="s">
        <v>734</v>
      </c>
      <c r="H640" t="s">
        <v>3002</v>
      </c>
      <c r="I640">
        <v>1</v>
      </c>
      <c r="J640" t="str">
        <f>VLOOKUP(A640,店舗コード!A:B,2,FALSE)</f>
        <v>08 ルクア大阪</v>
      </c>
      <c r="O640" s="2"/>
    </row>
    <row r="641" spans="1:15">
      <c r="A641" t="s">
        <v>2953</v>
      </c>
      <c r="B641" s="4">
        <v>1220019755048</v>
      </c>
      <c r="C641" t="s">
        <v>3001</v>
      </c>
      <c r="D641">
        <v>12200197</v>
      </c>
      <c r="E641" t="s">
        <v>3961</v>
      </c>
      <c r="F641">
        <v>550</v>
      </c>
      <c r="G641" t="s">
        <v>2998</v>
      </c>
      <c r="H641">
        <v>48</v>
      </c>
      <c r="I641">
        <v>1</v>
      </c>
      <c r="J641" t="str">
        <f>VLOOKUP(A641,店舗コード!A:B,2,FALSE)</f>
        <v>04 名古屋</v>
      </c>
      <c r="O641" s="2"/>
    </row>
    <row r="642" spans="1:15">
      <c r="A642" t="s">
        <v>2953</v>
      </c>
      <c r="B642" s="4" t="s">
        <v>3959</v>
      </c>
      <c r="C642" t="s">
        <v>3001</v>
      </c>
      <c r="D642">
        <v>14200141</v>
      </c>
      <c r="E642" t="s">
        <v>3960</v>
      </c>
      <c r="F642">
        <v>550</v>
      </c>
      <c r="G642" t="s">
        <v>2998</v>
      </c>
      <c r="H642" t="s">
        <v>3478</v>
      </c>
      <c r="I642">
        <v>1</v>
      </c>
      <c r="J642" t="str">
        <f>VLOOKUP(A642,店舗コード!A:B,2,FALSE)</f>
        <v>04 名古屋</v>
      </c>
      <c r="O642" s="2"/>
    </row>
    <row r="643" spans="1:15">
      <c r="A643" t="s">
        <v>2953</v>
      </c>
      <c r="B643" s="4" t="s">
        <v>3300</v>
      </c>
      <c r="C643" t="s">
        <v>3001</v>
      </c>
      <c r="D643">
        <v>23200339</v>
      </c>
      <c r="E643" t="s">
        <v>3301</v>
      </c>
      <c r="F643">
        <v>37</v>
      </c>
      <c r="G643" t="s">
        <v>3302</v>
      </c>
      <c r="H643" t="s">
        <v>3002</v>
      </c>
      <c r="I643">
        <v>1</v>
      </c>
      <c r="J643" t="str">
        <f>VLOOKUP(A643,店舗コード!A:B,2,FALSE)</f>
        <v>04 名古屋</v>
      </c>
      <c r="O643" s="2"/>
    </row>
    <row r="644" spans="1:15">
      <c r="A644" t="s">
        <v>2953</v>
      </c>
      <c r="B644" s="4" t="s">
        <v>3533</v>
      </c>
      <c r="C644" t="s">
        <v>3001</v>
      </c>
      <c r="D644">
        <v>23200395</v>
      </c>
      <c r="E644" t="s">
        <v>3304</v>
      </c>
      <c r="F644">
        <v>664</v>
      </c>
      <c r="G644" t="s">
        <v>3015</v>
      </c>
      <c r="H644" t="s">
        <v>3002</v>
      </c>
      <c r="I644">
        <v>1</v>
      </c>
      <c r="J644" t="str">
        <f>VLOOKUP(A644,店舗コード!A:B,2,FALSE)</f>
        <v>04 名古屋</v>
      </c>
      <c r="O644" s="2"/>
    </row>
    <row r="645" spans="1:15">
      <c r="A645" t="s">
        <v>2942</v>
      </c>
      <c r="B645" s="4" t="s">
        <v>3384</v>
      </c>
      <c r="C645" t="s">
        <v>3001</v>
      </c>
      <c r="D645">
        <v>23226</v>
      </c>
      <c r="E645" t="s">
        <v>3020</v>
      </c>
      <c r="F645">
        <v>620</v>
      </c>
      <c r="G645" t="s">
        <v>3026</v>
      </c>
      <c r="H645" t="s">
        <v>3002</v>
      </c>
      <c r="I645">
        <v>1</v>
      </c>
      <c r="J645" t="str">
        <f>VLOOKUP(A645,店舗コード!A:B,2,FALSE)</f>
        <v>08 ルクア大阪</v>
      </c>
      <c r="O645" s="2"/>
    </row>
    <row r="646" spans="1:15">
      <c r="A646" t="s">
        <v>3140</v>
      </c>
      <c r="B646" s="4" t="s">
        <v>3455</v>
      </c>
      <c r="C646" t="s">
        <v>3001</v>
      </c>
      <c r="D646">
        <v>23200395</v>
      </c>
      <c r="E646" t="s">
        <v>3304</v>
      </c>
      <c r="F646">
        <v>118</v>
      </c>
      <c r="G646" t="s">
        <v>3035</v>
      </c>
      <c r="H646" t="s">
        <v>3002</v>
      </c>
      <c r="I646">
        <v>1</v>
      </c>
      <c r="J646" t="str">
        <f>VLOOKUP(A646,店舗コード!A:B,2,FALSE)</f>
        <v>20 NARITA</v>
      </c>
      <c r="O646" s="2"/>
    </row>
    <row r="647" spans="1:15">
      <c r="A647" t="s">
        <v>1846</v>
      </c>
      <c r="B647" s="4" t="s">
        <v>3283</v>
      </c>
      <c r="C647" t="s">
        <v>3001</v>
      </c>
      <c r="D647">
        <v>23803</v>
      </c>
      <c r="E647" t="s">
        <v>3284</v>
      </c>
      <c r="F647">
        <v>560</v>
      </c>
      <c r="G647" t="s">
        <v>3025</v>
      </c>
      <c r="H647" t="s">
        <v>3002</v>
      </c>
      <c r="I647">
        <v>1</v>
      </c>
      <c r="J647" t="str">
        <f>VLOOKUP(A647,店舗コード!A:B,2,FALSE)</f>
        <v>07 TOKYO</v>
      </c>
      <c r="O647" s="2"/>
    </row>
    <row r="648" spans="1:15">
      <c r="A648" t="s">
        <v>2993</v>
      </c>
      <c r="B648" s="4" t="s">
        <v>88</v>
      </c>
      <c r="C648" t="s">
        <v>3001</v>
      </c>
      <c r="D648">
        <v>23510</v>
      </c>
      <c r="E648" t="s">
        <v>86</v>
      </c>
      <c r="F648">
        <v>31</v>
      </c>
      <c r="G648" t="s">
        <v>3272</v>
      </c>
      <c r="H648" t="s">
        <v>3002</v>
      </c>
      <c r="I648">
        <v>1</v>
      </c>
      <c r="J648" t="str">
        <f>VLOOKUP(A648,店舗コード!A:B,2,FALSE)</f>
        <v>15 大丸心斎橋</v>
      </c>
      <c r="O648" s="2"/>
    </row>
    <row r="649" spans="1:15">
      <c r="A649" t="s">
        <v>1846</v>
      </c>
      <c r="B649" s="4" t="s">
        <v>3736</v>
      </c>
      <c r="C649" t="s">
        <v>3001</v>
      </c>
      <c r="D649">
        <v>25862</v>
      </c>
      <c r="E649" t="s">
        <v>3737</v>
      </c>
      <c r="F649">
        <v>664</v>
      </c>
      <c r="G649" t="s">
        <v>3015</v>
      </c>
      <c r="H649" t="s">
        <v>3002</v>
      </c>
      <c r="I649">
        <v>1</v>
      </c>
      <c r="J649" t="str">
        <f>VLOOKUP(A649,店舗コード!A:B,2,FALSE)</f>
        <v>07 TOKYO</v>
      </c>
      <c r="O649" s="2"/>
    </row>
    <row r="650" spans="1:15">
      <c r="A650" t="s">
        <v>2960</v>
      </c>
      <c r="B650" s="4" t="s">
        <v>3215</v>
      </c>
      <c r="C650" t="s">
        <v>3001</v>
      </c>
      <c r="D650">
        <v>23200306</v>
      </c>
      <c r="E650" t="s">
        <v>3216</v>
      </c>
      <c r="F650">
        <v>550</v>
      </c>
      <c r="G650" t="s">
        <v>2998</v>
      </c>
      <c r="H650" t="s">
        <v>3002</v>
      </c>
      <c r="I650">
        <v>1</v>
      </c>
      <c r="J650" t="str">
        <f>VLOOKUP(A650,店舗コード!A:B,2,FALSE)</f>
        <v>13 京王新宿</v>
      </c>
      <c r="O650" s="2"/>
    </row>
    <row r="651" spans="1:15">
      <c r="A651" t="s">
        <v>2942</v>
      </c>
      <c r="B651" s="4" t="s">
        <v>3032</v>
      </c>
      <c r="C651" t="s">
        <v>3001</v>
      </c>
      <c r="D651">
        <v>23510</v>
      </c>
      <c r="E651" t="s">
        <v>86</v>
      </c>
      <c r="F651">
        <v>576</v>
      </c>
      <c r="G651" t="s">
        <v>3414</v>
      </c>
      <c r="H651" t="s">
        <v>3002</v>
      </c>
      <c r="I651">
        <v>1</v>
      </c>
      <c r="J651" t="str">
        <f>VLOOKUP(A651,店舗コード!A:B,2,FALSE)</f>
        <v>08 ルクア大阪</v>
      </c>
      <c r="O651" s="2"/>
    </row>
    <row r="652" spans="1:15">
      <c r="A652" t="s">
        <v>2980</v>
      </c>
      <c r="B652" s="4" t="s">
        <v>3451</v>
      </c>
      <c r="C652" t="s">
        <v>3001</v>
      </c>
      <c r="D652">
        <v>23525</v>
      </c>
      <c r="E652" t="s">
        <v>3012</v>
      </c>
      <c r="F652">
        <v>664</v>
      </c>
      <c r="G652" t="s">
        <v>3015</v>
      </c>
      <c r="H652" t="s">
        <v>3002</v>
      </c>
      <c r="I652">
        <v>1</v>
      </c>
      <c r="J652" t="str">
        <f>VLOOKUP(A652,店舗コード!A:B,2,FALSE)</f>
        <v>17 玉川高島屋</v>
      </c>
      <c r="O652" s="2"/>
    </row>
    <row r="653" spans="1:15">
      <c r="A653" t="s">
        <v>2942</v>
      </c>
      <c r="B653" s="4" t="s">
        <v>3962</v>
      </c>
      <c r="C653" t="s">
        <v>3001</v>
      </c>
      <c r="D653">
        <v>23780</v>
      </c>
      <c r="E653" t="s">
        <v>1964</v>
      </c>
      <c r="F653">
        <v>160</v>
      </c>
      <c r="G653" t="s">
        <v>3010</v>
      </c>
      <c r="H653" t="s">
        <v>3002</v>
      </c>
      <c r="I653">
        <v>1</v>
      </c>
      <c r="J653" t="str">
        <f>VLOOKUP(A653,店舗コード!A:B,2,FALSE)</f>
        <v>08 ルクア大阪</v>
      </c>
      <c r="O653" s="2"/>
    </row>
    <row r="654" spans="1:15">
      <c r="A654" t="s">
        <v>1846</v>
      </c>
      <c r="B654" s="4" t="s">
        <v>3285</v>
      </c>
      <c r="C654" t="s">
        <v>3001</v>
      </c>
      <c r="D654">
        <v>23561</v>
      </c>
      <c r="E654" t="s">
        <v>172</v>
      </c>
      <c r="F654" t="s">
        <v>3005</v>
      </c>
      <c r="G654" t="s">
        <v>3006</v>
      </c>
      <c r="H654" t="s">
        <v>3002</v>
      </c>
      <c r="I654">
        <v>1</v>
      </c>
      <c r="J654" t="str">
        <f>VLOOKUP(A654,店舗コード!A:B,2,FALSE)</f>
        <v>07 TOKYO</v>
      </c>
      <c r="O654" s="2"/>
    </row>
    <row r="655" spans="1:15">
      <c r="A655" t="s">
        <v>1846</v>
      </c>
      <c r="B655" s="4" t="s">
        <v>3285</v>
      </c>
      <c r="C655" t="s">
        <v>3001</v>
      </c>
      <c r="D655">
        <v>23561</v>
      </c>
      <c r="E655" t="s">
        <v>172</v>
      </c>
      <c r="F655" t="s">
        <v>3005</v>
      </c>
      <c r="G655" t="s">
        <v>3006</v>
      </c>
      <c r="H655" t="s">
        <v>3002</v>
      </c>
      <c r="I655">
        <v>1</v>
      </c>
      <c r="J655" t="str">
        <f>VLOOKUP(A655,店舗コード!A:B,2,FALSE)</f>
        <v>07 TOKYO</v>
      </c>
      <c r="O655" s="2"/>
    </row>
    <row r="656" spans="1:15">
      <c r="A656" t="s">
        <v>1846</v>
      </c>
      <c r="B656" s="4" t="s">
        <v>3285</v>
      </c>
      <c r="C656" t="s">
        <v>3001</v>
      </c>
      <c r="D656">
        <v>23561</v>
      </c>
      <c r="E656" t="s">
        <v>172</v>
      </c>
      <c r="F656" t="s">
        <v>3005</v>
      </c>
      <c r="G656" t="s">
        <v>3006</v>
      </c>
      <c r="H656" t="s">
        <v>3002</v>
      </c>
      <c r="I656">
        <v>-1</v>
      </c>
      <c r="J656" t="str">
        <f>VLOOKUP(A656,店舗コード!A:B,2,FALSE)</f>
        <v>07 TOKYO</v>
      </c>
      <c r="O656" s="2"/>
    </row>
    <row r="657" spans="1:15">
      <c r="A657" t="s">
        <v>2942</v>
      </c>
      <c r="B657" s="4" t="s">
        <v>91</v>
      </c>
      <c r="C657" t="s">
        <v>3001</v>
      </c>
      <c r="D657">
        <v>23510</v>
      </c>
      <c r="E657" t="s">
        <v>86</v>
      </c>
      <c r="F657">
        <v>160</v>
      </c>
      <c r="G657" t="s">
        <v>3010</v>
      </c>
      <c r="H657" t="s">
        <v>3002</v>
      </c>
      <c r="I657">
        <v>1</v>
      </c>
      <c r="J657" t="str">
        <f>VLOOKUP(A657,店舗コード!A:B,2,FALSE)</f>
        <v>08 ルクア大阪</v>
      </c>
      <c r="O657" s="2"/>
    </row>
    <row r="658" spans="1:15">
      <c r="A658" t="s">
        <v>2942</v>
      </c>
      <c r="B658" s="4" t="s">
        <v>3474</v>
      </c>
      <c r="C658" t="s">
        <v>3001</v>
      </c>
      <c r="D658">
        <v>23225</v>
      </c>
      <c r="E658" t="s">
        <v>3330</v>
      </c>
      <c r="F658">
        <v>424</v>
      </c>
      <c r="G658" t="s">
        <v>3017</v>
      </c>
      <c r="H658" t="s">
        <v>3002</v>
      </c>
      <c r="I658">
        <v>1</v>
      </c>
      <c r="J658" t="str">
        <f>VLOOKUP(A658,店舗コード!A:B,2,FALSE)</f>
        <v>08 ルクア大阪</v>
      </c>
      <c r="O658" s="2"/>
    </row>
    <row r="659" spans="1:15">
      <c r="A659" t="s">
        <v>2942</v>
      </c>
      <c r="B659" s="4" t="s">
        <v>3291</v>
      </c>
      <c r="C659" t="s">
        <v>3001</v>
      </c>
      <c r="D659">
        <v>23349</v>
      </c>
      <c r="E659" t="s">
        <v>3292</v>
      </c>
      <c r="F659">
        <v>550</v>
      </c>
      <c r="G659" t="s">
        <v>2998</v>
      </c>
      <c r="H659" t="s">
        <v>3002</v>
      </c>
      <c r="I659">
        <v>1</v>
      </c>
      <c r="J659" t="str">
        <f>VLOOKUP(A659,店舗コード!A:B,2,FALSE)</f>
        <v>08 ルクア大阪</v>
      </c>
      <c r="O659" s="2"/>
    </row>
    <row r="660" spans="1:15">
      <c r="A660" t="s">
        <v>2960</v>
      </c>
      <c r="B660" s="4" t="s">
        <v>3351</v>
      </c>
      <c r="C660" t="s">
        <v>3001</v>
      </c>
      <c r="D660">
        <v>23797</v>
      </c>
      <c r="E660" t="s">
        <v>2735</v>
      </c>
      <c r="F660" t="s">
        <v>3352</v>
      </c>
      <c r="G660" t="s">
        <v>3353</v>
      </c>
      <c r="H660" t="s">
        <v>3002</v>
      </c>
      <c r="I660">
        <v>1</v>
      </c>
      <c r="J660" t="str">
        <f>VLOOKUP(A660,店舗コード!A:B,2,FALSE)</f>
        <v>13 京王新宿</v>
      </c>
      <c r="O660" s="2"/>
    </row>
    <row r="661" spans="1:15">
      <c r="A661" t="s">
        <v>3140</v>
      </c>
      <c r="B661" s="4" t="s">
        <v>1893</v>
      </c>
      <c r="C661" t="s">
        <v>3001</v>
      </c>
      <c r="D661">
        <v>23166</v>
      </c>
      <c r="E661" t="s">
        <v>1894</v>
      </c>
      <c r="F661">
        <v>550</v>
      </c>
      <c r="G661" t="s">
        <v>2998</v>
      </c>
      <c r="H661" t="s">
        <v>3002</v>
      </c>
      <c r="I661">
        <v>1</v>
      </c>
      <c r="J661" t="str">
        <f>VLOOKUP(A661,店舗コード!A:B,2,FALSE)</f>
        <v>20 NARITA</v>
      </c>
      <c r="O661" s="2"/>
    </row>
    <row r="662" spans="1:15">
      <c r="A662" t="s">
        <v>2942</v>
      </c>
      <c r="B662" s="4" t="s">
        <v>3011</v>
      </c>
      <c r="C662" t="s">
        <v>3001</v>
      </c>
      <c r="D662">
        <v>23510</v>
      </c>
      <c r="E662" t="s">
        <v>86</v>
      </c>
      <c r="F662">
        <v>302</v>
      </c>
      <c r="G662" t="s">
        <v>3273</v>
      </c>
      <c r="H662" t="s">
        <v>3002</v>
      </c>
      <c r="I662">
        <v>1</v>
      </c>
      <c r="J662" t="str">
        <f>VLOOKUP(A662,店舗コード!A:B,2,FALSE)</f>
        <v>08 ルクア大阪</v>
      </c>
      <c r="O662" s="2"/>
    </row>
    <row r="663" spans="1:15">
      <c r="A663" t="s">
        <v>2993</v>
      </c>
      <c r="B663" s="4" t="s">
        <v>3963</v>
      </c>
      <c r="C663" t="s">
        <v>3001</v>
      </c>
      <c r="D663">
        <v>23796</v>
      </c>
      <c r="E663" t="s">
        <v>3034</v>
      </c>
      <c r="F663">
        <v>31</v>
      </c>
      <c r="G663" t="s">
        <v>3272</v>
      </c>
      <c r="H663" t="s">
        <v>3002</v>
      </c>
      <c r="I663">
        <v>1</v>
      </c>
      <c r="J663" t="str">
        <f>VLOOKUP(A663,店舗コード!A:B,2,FALSE)</f>
        <v>15 大丸心斎橋</v>
      </c>
      <c r="O663" s="2"/>
    </row>
    <row r="664" spans="1:15">
      <c r="A664" t="s">
        <v>1846</v>
      </c>
      <c r="B664" s="4" t="s">
        <v>3303</v>
      </c>
      <c r="C664" t="s">
        <v>3001</v>
      </c>
      <c r="D664">
        <v>23200395</v>
      </c>
      <c r="E664" t="s">
        <v>3304</v>
      </c>
      <c r="F664">
        <v>550</v>
      </c>
      <c r="G664" t="s">
        <v>2998</v>
      </c>
      <c r="H664" t="s">
        <v>3002</v>
      </c>
      <c r="I664">
        <v>1</v>
      </c>
      <c r="J664" t="str">
        <f>VLOOKUP(A664,店舗コード!A:B,2,FALSE)</f>
        <v>07 TOKYO</v>
      </c>
      <c r="O664" s="2"/>
    </row>
    <row r="665" spans="1:15">
      <c r="A665" t="s">
        <v>2942</v>
      </c>
      <c r="B665" s="4" t="s">
        <v>3291</v>
      </c>
      <c r="C665" t="s">
        <v>3001</v>
      </c>
      <c r="D665">
        <v>23349</v>
      </c>
      <c r="E665" t="s">
        <v>3292</v>
      </c>
      <c r="F665">
        <v>550</v>
      </c>
      <c r="G665" t="s">
        <v>2998</v>
      </c>
      <c r="H665" t="s">
        <v>3002</v>
      </c>
      <c r="I665">
        <v>1</v>
      </c>
      <c r="J665" t="str">
        <f>VLOOKUP(A665,店舗コード!A:B,2,FALSE)</f>
        <v>08 ルクア大阪</v>
      </c>
      <c r="O665" s="2"/>
    </row>
    <row r="666" spans="1:15">
      <c r="A666" t="s">
        <v>2942</v>
      </c>
      <c r="B666" s="4" t="s">
        <v>3277</v>
      </c>
      <c r="C666" t="s">
        <v>3001</v>
      </c>
      <c r="D666">
        <v>23804</v>
      </c>
      <c r="E666" t="s">
        <v>3278</v>
      </c>
      <c r="F666">
        <v>550</v>
      </c>
      <c r="G666" t="s">
        <v>2998</v>
      </c>
      <c r="H666" t="s">
        <v>3002</v>
      </c>
      <c r="I666">
        <v>1</v>
      </c>
      <c r="J666" t="str">
        <f>VLOOKUP(A666,店舗コード!A:B,2,FALSE)</f>
        <v>08 ルクア大阪</v>
      </c>
      <c r="O666" s="2"/>
    </row>
    <row r="667" spans="1:15">
      <c r="A667" t="s">
        <v>2942</v>
      </c>
      <c r="B667" s="4" t="s">
        <v>733</v>
      </c>
      <c r="C667" t="s">
        <v>3001</v>
      </c>
      <c r="D667">
        <v>79060</v>
      </c>
      <c r="E667" t="s">
        <v>734</v>
      </c>
      <c r="H667" t="s">
        <v>3002</v>
      </c>
      <c r="I667">
        <v>1</v>
      </c>
      <c r="J667" t="str">
        <f>VLOOKUP(A667,店舗コード!A:B,2,FALSE)</f>
        <v>08 ルクア大阪</v>
      </c>
      <c r="O667" s="2"/>
    </row>
    <row r="668" spans="1:15">
      <c r="A668" t="s">
        <v>2942</v>
      </c>
      <c r="B668" s="4" t="s">
        <v>3965</v>
      </c>
      <c r="C668" t="s">
        <v>3001</v>
      </c>
      <c r="D668">
        <v>12600257</v>
      </c>
      <c r="E668" t="s">
        <v>3265</v>
      </c>
      <c r="F668" t="s">
        <v>3966</v>
      </c>
      <c r="G668" t="s">
        <v>3967</v>
      </c>
      <c r="H668" t="s">
        <v>3030</v>
      </c>
      <c r="I668">
        <v>1</v>
      </c>
      <c r="J668" t="str">
        <f>VLOOKUP(A668,店舗コード!A:B,2,FALSE)</f>
        <v>08 ルクア大阪</v>
      </c>
      <c r="O668" s="2"/>
    </row>
    <row r="669" spans="1:15">
      <c r="A669" t="s">
        <v>2942</v>
      </c>
      <c r="B669" s="4" t="s">
        <v>735</v>
      </c>
      <c r="C669" t="s">
        <v>3001</v>
      </c>
      <c r="D669">
        <v>79061</v>
      </c>
      <c r="E669" t="s">
        <v>736</v>
      </c>
      <c r="G669" t="s">
        <v>3815</v>
      </c>
      <c r="H669" t="s">
        <v>3002</v>
      </c>
      <c r="I669">
        <v>1</v>
      </c>
      <c r="J669" t="str">
        <f>VLOOKUP(A669,店舗コード!A:B,2,FALSE)</f>
        <v>08 ルクア大阪</v>
      </c>
      <c r="O669" s="2"/>
    </row>
    <row r="670" spans="1:15">
      <c r="A670" t="s">
        <v>2942</v>
      </c>
      <c r="B670" s="4" t="s">
        <v>3964</v>
      </c>
      <c r="C670" t="s">
        <v>3001</v>
      </c>
      <c r="D670">
        <v>81698</v>
      </c>
      <c r="E670" t="s">
        <v>3311</v>
      </c>
      <c r="F670">
        <v>118</v>
      </c>
      <c r="G670" t="s">
        <v>3035</v>
      </c>
      <c r="H670" t="s">
        <v>3029</v>
      </c>
      <c r="I670">
        <v>1</v>
      </c>
      <c r="J670" t="str">
        <f>VLOOKUP(A670,店舗コード!A:B,2,FALSE)</f>
        <v>08 ルクア大阪</v>
      </c>
      <c r="O670" s="2"/>
    </row>
    <row r="671" spans="1:15">
      <c r="A671" t="s">
        <v>2942</v>
      </c>
      <c r="B671" s="4" t="s">
        <v>3231</v>
      </c>
      <c r="C671" t="s">
        <v>3001</v>
      </c>
      <c r="D671">
        <v>23561</v>
      </c>
      <c r="E671" t="s">
        <v>172</v>
      </c>
      <c r="F671" t="s">
        <v>3398</v>
      </c>
      <c r="G671" t="s">
        <v>3399</v>
      </c>
      <c r="H671" t="s">
        <v>3002</v>
      </c>
      <c r="I671">
        <v>1</v>
      </c>
      <c r="J671" t="str">
        <f>VLOOKUP(A671,店舗コード!A:B,2,FALSE)</f>
        <v>08 ルクア大阪</v>
      </c>
      <c r="O671" s="2"/>
    </row>
    <row r="672" spans="1:15">
      <c r="A672" t="s">
        <v>2942</v>
      </c>
      <c r="B672" s="4" t="s">
        <v>204</v>
      </c>
      <c r="C672" t="s">
        <v>3001</v>
      </c>
      <c r="D672">
        <v>23561</v>
      </c>
      <c r="E672" t="s">
        <v>172</v>
      </c>
      <c r="F672">
        <v>560</v>
      </c>
      <c r="G672" t="s">
        <v>3025</v>
      </c>
      <c r="H672" t="s">
        <v>3002</v>
      </c>
      <c r="I672">
        <v>1</v>
      </c>
      <c r="J672" t="str">
        <f>VLOOKUP(A672,店舗コード!A:B,2,FALSE)</f>
        <v>08 ルクア大阪</v>
      </c>
      <c r="O672" s="2"/>
    </row>
    <row r="673" spans="1:15">
      <c r="A673" t="s">
        <v>3140</v>
      </c>
      <c r="B673" s="4" t="s">
        <v>232</v>
      </c>
      <c r="C673" t="s">
        <v>3001</v>
      </c>
      <c r="D673">
        <v>23565</v>
      </c>
      <c r="E673" t="s">
        <v>220</v>
      </c>
      <c r="F673">
        <v>633</v>
      </c>
      <c r="G673" t="s">
        <v>3347</v>
      </c>
      <c r="H673" t="s">
        <v>3002</v>
      </c>
      <c r="I673">
        <v>1</v>
      </c>
      <c r="J673" t="str">
        <f>VLOOKUP(A673,店舗コード!A:B,2,FALSE)</f>
        <v>20 NARITA</v>
      </c>
      <c r="O673" s="2"/>
    </row>
    <row r="674" spans="1:15">
      <c r="A674" t="s">
        <v>3140</v>
      </c>
      <c r="B674" s="4" t="s">
        <v>2621</v>
      </c>
      <c r="C674" t="s">
        <v>3001</v>
      </c>
      <c r="D674">
        <v>23505</v>
      </c>
      <c r="E674" t="s">
        <v>73</v>
      </c>
      <c r="F674">
        <v>560</v>
      </c>
      <c r="G674" t="s">
        <v>3025</v>
      </c>
      <c r="H674" t="s">
        <v>3002</v>
      </c>
      <c r="I674">
        <v>1</v>
      </c>
      <c r="J674" t="str">
        <f>VLOOKUP(A674,店舗コード!A:B,2,FALSE)</f>
        <v>20 NARITA</v>
      </c>
      <c r="O674" s="2"/>
    </row>
    <row r="675" spans="1:15">
      <c r="A675" t="s">
        <v>3140</v>
      </c>
      <c r="B675" s="4" t="s">
        <v>3351</v>
      </c>
      <c r="C675" t="s">
        <v>3001</v>
      </c>
      <c r="D675">
        <v>23797</v>
      </c>
      <c r="E675" t="s">
        <v>2735</v>
      </c>
      <c r="F675" t="s">
        <v>3352</v>
      </c>
      <c r="G675" t="s">
        <v>3353</v>
      </c>
      <c r="H675" t="s">
        <v>3002</v>
      </c>
      <c r="I675">
        <v>1</v>
      </c>
      <c r="J675" t="str">
        <f>VLOOKUP(A675,店舗コード!A:B,2,FALSE)</f>
        <v>20 NARITA</v>
      </c>
      <c r="O675" s="2"/>
    </row>
    <row r="676" spans="1:15">
      <c r="A676" t="s">
        <v>3140</v>
      </c>
      <c r="B676" s="4" t="s">
        <v>2607</v>
      </c>
      <c r="C676" t="s">
        <v>3001</v>
      </c>
      <c r="D676">
        <v>23505</v>
      </c>
      <c r="E676" t="s">
        <v>73</v>
      </c>
      <c r="F676">
        <v>664</v>
      </c>
      <c r="G676" t="s">
        <v>3015</v>
      </c>
      <c r="H676" t="s">
        <v>3002</v>
      </c>
      <c r="I676">
        <v>1</v>
      </c>
      <c r="J676" t="str">
        <f>VLOOKUP(A676,店舗コード!A:B,2,FALSE)</f>
        <v>20 NARITA</v>
      </c>
      <c r="O676" s="2"/>
    </row>
    <row r="677" spans="1:15">
      <c r="A677" t="s">
        <v>3140</v>
      </c>
      <c r="B677" s="4" t="s">
        <v>99</v>
      </c>
      <c r="C677" t="s">
        <v>3001</v>
      </c>
      <c r="D677">
        <v>23510</v>
      </c>
      <c r="E677" t="s">
        <v>86</v>
      </c>
      <c r="F677">
        <v>312</v>
      </c>
      <c r="G677" t="s">
        <v>3003</v>
      </c>
      <c r="H677" t="s">
        <v>3002</v>
      </c>
      <c r="I677">
        <v>1</v>
      </c>
      <c r="J677" t="str">
        <f>VLOOKUP(A677,店舗コード!A:B,2,FALSE)</f>
        <v>20 NARITA</v>
      </c>
      <c r="O677" s="2"/>
    </row>
    <row r="678" spans="1:15">
      <c r="A678" t="s">
        <v>2960</v>
      </c>
      <c r="B678" s="4" t="s">
        <v>3011</v>
      </c>
      <c r="C678" t="s">
        <v>3001</v>
      </c>
      <c r="D678">
        <v>23510</v>
      </c>
      <c r="E678" t="s">
        <v>86</v>
      </c>
      <c r="F678">
        <v>302</v>
      </c>
      <c r="G678" t="s">
        <v>3273</v>
      </c>
      <c r="H678" t="s">
        <v>3002</v>
      </c>
      <c r="I678">
        <v>1</v>
      </c>
      <c r="J678" t="str">
        <f>VLOOKUP(A678,店舗コード!A:B,2,FALSE)</f>
        <v>13 京王新宿</v>
      </c>
      <c r="O678" s="2"/>
    </row>
    <row r="679" spans="1:15">
      <c r="A679" t="s">
        <v>2953</v>
      </c>
      <c r="B679" s="4" t="s">
        <v>2976</v>
      </c>
      <c r="C679" t="s">
        <v>3001</v>
      </c>
      <c r="D679">
        <v>23510</v>
      </c>
      <c r="E679" t="s">
        <v>86</v>
      </c>
      <c r="F679" t="s">
        <v>3021</v>
      </c>
      <c r="G679" t="s">
        <v>3022</v>
      </c>
      <c r="H679" t="s">
        <v>3002</v>
      </c>
      <c r="I679">
        <v>1</v>
      </c>
      <c r="J679" t="str">
        <f>VLOOKUP(A679,店舗コード!A:B,2,FALSE)</f>
        <v>04 名古屋</v>
      </c>
      <c r="O679" s="2"/>
    </row>
    <row r="680" spans="1:15">
      <c r="A680" t="s">
        <v>2993</v>
      </c>
      <c r="B680" s="4" t="s">
        <v>3795</v>
      </c>
      <c r="C680" t="s">
        <v>3001</v>
      </c>
      <c r="D680">
        <v>23100177</v>
      </c>
      <c r="E680" t="s">
        <v>3796</v>
      </c>
      <c r="F680">
        <v>550</v>
      </c>
      <c r="G680" t="s">
        <v>2998</v>
      </c>
      <c r="H680" t="s">
        <v>3002</v>
      </c>
      <c r="I680">
        <v>1</v>
      </c>
      <c r="J680" t="str">
        <f>VLOOKUP(A680,店舗コード!A:B,2,FALSE)</f>
        <v>15 大丸心斎橋</v>
      </c>
      <c r="O680" s="2"/>
    </row>
    <row r="681" spans="1:15">
      <c r="A681" t="s">
        <v>2993</v>
      </c>
      <c r="B681" s="4" t="s">
        <v>3412</v>
      </c>
      <c r="C681" t="s">
        <v>3001</v>
      </c>
      <c r="D681">
        <v>23200337</v>
      </c>
      <c r="E681" t="s">
        <v>3042</v>
      </c>
      <c r="F681">
        <v>550</v>
      </c>
      <c r="G681" t="s">
        <v>2998</v>
      </c>
      <c r="H681" t="s">
        <v>3002</v>
      </c>
      <c r="I681">
        <v>1</v>
      </c>
      <c r="J681" t="str">
        <f>VLOOKUP(A681,店舗コード!A:B,2,FALSE)</f>
        <v>15 大丸心斎橋</v>
      </c>
      <c r="O681" s="2"/>
    </row>
    <row r="682" spans="1:15">
      <c r="A682" t="s">
        <v>2942</v>
      </c>
      <c r="B682" s="4" t="s">
        <v>3011</v>
      </c>
      <c r="C682" t="s">
        <v>3001</v>
      </c>
      <c r="D682">
        <v>23510</v>
      </c>
      <c r="E682" t="s">
        <v>86</v>
      </c>
      <c r="F682">
        <v>302</v>
      </c>
      <c r="G682" t="s">
        <v>3273</v>
      </c>
      <c r="H682" t="s">
        <v>3002</v>
      </c>
      <c r="I682">
        <v>1</v>
      </c>
      <c r="J682" t="str">
        <f>VLOOKUP(A682,店舗コード!A:B,2,FALSE)</f>
        <v>08 ルクア大阪</v>
      </c>
      <c r="O682" s="2"/>
    </row>
    <row r="683" spans="1:15">
      <c r="A683" t="s">
        <v>2980</v>
      </c>
      <c r="B683" s="4">
        <v>8118862546</v>
      </c>
      <c r="C683" t="s">
        <v>3001</v>
      </c>
      <c r="D683">
        <v>81188</v>
      </c>
      <c r="E683" t="s">
        <v>3388</v>
      </c>
      <c r="F683">
        <v>625</v>
      </c>
      <c r="G683" t="s">
        <v>3450</v>
      </c>
      <c r="H683">
        <v>46</v>
      </c>
      <c r="I683">
        <v>1</v>
      </c>
      <c r="J683" t="str">
        <f>VLOOKUP(A683,店舗コード!A:B,2,FALSE)</f>
        <v>17 玉川高島屋</v>
      </c>
      <c r="O683" s="2"/>
    </row>
    <row r="684" spans="1:15">
      <c r="A684" t="s">
        <v>2942</v>
      </c>
      <c r="B684" s="4" t="s">
        <v>3969</v>
      </c>
      <c r="C684" t="s">
        <v>3001</v>
      </c>
      <c r="D684">
        <v>12600268</v>
      </c>
      <c r="E684" t="s">
        <v>3027</v>
      </c>
      <c r="F684">
        <v>113</v>
      </c>
      <c r="G684" t="s">
        <v>3349</v>
      </c>
      <c r="H684" t="s">
        <v>2999</v>
      </c>
      <c r="I684">
        <v>1</v>
      </c>
      <c r="J684" t="str">
        <f>VLOOKUP(A684,店舗コード!A:B,2,FALSE)</f>
        <v>08 ルクア大阪</v>
      </c>
      <c r="O684" s="2"/>
    </row>
    <row r="685" spans="1:15">
      <c r="A685" t="s">
        <v>2942</v>
      </c>
      <c r="B685" s="4" t="s">
        <v>3968</v>
      </c>
      <c r="C685" t="s">
        <v>3001</v>
      </c>
      <c r="D685">
        <v>12600268</v>
      </c>
      <c r="E685" t="s">
        <v>3027</v>
      </c>
      <c r="F685">
        <v>244</v>
      </c>
      <c r="G685" t="s">
        <v>3295</v>
      </c>
      <c r="H685" t="s">
        <v>2999</v>
      </c>
      <c r="I685">
        <v>1</v>
      </c>
      <c r="J685" t="str">
        <f>VLOOKUP(A685,店舗コード!A:B,2,FALSE)</f>
        <v>08 ルクア大阪</v>
      </c>
      <c r="O685" s="2"/>
    </row>
    <row r="686" spans="1:15">
      <c r="A686" t="s">
        <v>2942</v>
      </c>
      <c r="B686" s="4" t="s">
        <v>3863</v>
      </c>
      <c r="C686" t="s">
        <v>3001</v>
      </c>
      <c r="D686">
        <v>12600328</v>
      </c>
      <c r="E686" t="s">
        <v>3864</v>
      </c>
      <c r="F686">
        <v>111</v>
      </c>
      <c r="G686" t="s">
        <v>3338</v>
      </c>
      <c r="H686" t="s">
        <v>2999</v>
      </c>
      <c r="I686">
        <v>1</v>
      </c>
      <c r="J686" t="str">
        <f>VLOOKUP(A686,店舗コード!A:B,2,FALSE)</f>
        <v>08 ルクア大阪</v>
      </c>
      <c r="O686" s="2"/>
    </row>
    <row r="687" spans="1:15">
      <c r="A687" t="s">
        <v>2993</v>
      </c>
      <c r="B687" s="4" t="s">
        <v>116</v>
      </c>
      <c r="C687" t="s">
        <v>3001</v>
      </c>
      <c r="D687">
        <v>23510</v>
      </c>
      <c r="E687" t="s">
        <v>86</v>
      </c>
      <c r="F687">
        <v>540</v>
      </c>
      <c r="G687" t="s">
        <v>3024</v>
      </c>
      <c r="H687" t="s">
        <v>3002</v>
      </c>
      <c r="I687">
        <v>1</v>
      </c>
      <c r="J687" t="str">
        <f>VLOOKUP(A687,店舗コード!A:B,2,FALSE)</f>
        <v>15 大丸心斎橋</v>
      </c>
      <c r="O687" s="2"/>
    </row>
    <row r="688" spans="1:15">
      <c r="A688" t="s">
        <v>2993</v>
      </c>
      <c r="B688" s="4" t="s">
        <v>3032</v>
      </c>
      <c r="C688" t="s">
        <v>3001</v>
      </c>
      <c r="D688">
        <v>23510</v>
      </c>
      <c r="E688" t="s">
        <v>86</v>
      </c>
      <c r="F688">
        <v>576</v>
      </c>
      <c r="G688" t="s">
        <v>3414</v>
      </c>
      <c r="H688" t="s">
        <v>3002</v>
      </c>
      <c r="I688">
        <v>1</v>
      </c>
      <c r="J688" t="str">
        <f>VLOOKUP(A688,店舗コード!A:B,2,FALSE)</f>
        <v>15 大丸心斎橋</v>
      </c>
      <c r="O688" s="2"/>
    </row>
    <row r="689" spans="1:15">
      <c r="A689" t="s">
        <v>3140</v>
      </c>
      <c r="B689" s="4" t="s">
        <v>3303</v>
      </c>
      <c r="C689" t="s">
        <v>3001</v>
      </c>
      <c r="D689">
        <v>23200395</v>
      </c>
      <c r="E689" t="s">
        <v>3304</v>
      </c>
      <c r="F689">
        <v>550</v>
      </c>
      <c r="G689" t="s">
        <v>2998</v>
      </c>
      <c r="H689" t="s">
        <v>3002</v>
      </c>
      <c r="I689">
        <v>1</v>
      </c>
      <c r="J689" t="str">
        <f>VLOOKUP(A689,店舗コード!A:B,2,FALSE)</f>
        <v>20 NARITA</v>
      </c>
      <c r="O689" s="2"/>
    </row>
    <row r="690" spans="1:15">
      <c r="A690" t="s">
        <v>1846</v>
      </c>
      <c r="B690" s="4" t="s">
        <v>232</v>
      </c>
      <c r="C690" t="s">
        <v>3001</v>
      </c>
      <c r="D690">
        <v>23565</v>
      </c>
      <c r="E690" t="s">
        <v>220</v>
      </c>
      <c r="F690">
        <v>633</v>
      </c>
      <c r="G690" t="s">
        <v>3347</v>
      </c>
      <c r="H690" t="s">
        <v>3002</v>
      </c>
      <c r="I690">
        <v>1</v>
      </c>
      <c r="J690" t="str">
        <f>VLOOKUP(A690,店舗コード!A:B,2,FALSE)</f>
        <v>07 TOKYO</v>
      </c>
      <c r="O690" s="2"/>
    </row>
    <row r="691" spans="1:15">
      <c r="A691" t="s">
        <v>2980</v>
      </c>
      <c r="B691" s="4" t="s">
        <v>3360</v>
      </c>
      <c r="C691" t="s">
        <v>3001</v>
      </c>
      <c r="D691">
        <v>23785</v>
      </c>
      <c r="E691" t="s">
        <v>2007</v>
      </c>
      <c r="F691">
        <v>299</v>
      </c>
      <c r="G691" t="s">
        <v>3361</v>
      </c>
      <c r="H691" t="s">
        <v>3002</v>
      </c>
      <c r="I691">
        <v>1</v>
      </c>
      <c r="J691" t="str">
        <f>VLOOKUP(A691,店舗コード!A:B,2,FALSE)</f>
        <v>17 玉川高島屋</v>
      </c>
      <c r="O691" s="2"/>
    </row>
    <row r="692" spans="1:15">
      <c r="A692" t="s">
        <v>2980</v>
      </c>
      <c r="B692" s="4" t="s">
        <v>2016</v>
      </c>
      <c r="C692" t="s">
        <v>3001</v>
      </c>
      <c r="D692">
        <v>23785</v>
      </c>
      <c r="E692" t="s">
        <v>2007</v>
      </c>
      <c r="F692">
        <v>620</v>
      </c>
      <c r="G692" t="s">
        <v>3026</v>
      </c>
      <c r="H692" t="s">
        <v>3002</v>
      </c>
      <c r="I692">
        <v>1</v>
      </c>
      <c r="J692" t="str">
        <f>VLOOKUP(A692,店舗コード!A:B,2,FALSE)</f>
        <v>17 玉川高島屋</v>
      </c>
      <c r="O692" s="2"/>
    </row>
    <row r="693" spans="1:15">
      <c r="A693" t="s">
        <v>2953</v>
      </c>
      <c r="B693" s="4" t="s">
        <v>3952</v>
      </c>
      <c r="C693" t="s">
        <v>3001</v>
      </c>
      <c r="D693">
        <v>14600200</v>
      </c>
      <c r="E693" t="s">
        <v>3294</v>
      </c>
      <c r="F693">
        <v>570</v>
      </c>
      <c r="G693" t="s">
        <v>3393</v>
      </c>
      <c r="H693" t="s">
        <v>3030</v>
      </c>
      <c r="I693">
        <v>1</v>
      </c>
      <c r="J693" t="str">
        <f>VLOOKUP(A693,店舗コード!A:B,2,FALSE)</f>
        <v>04 名古屋</v>
      </c>
      <c r="O693" s="2"/>
    </row>
    <row r="694" spans="1:15">
      <c r="A694" t="s">
        <v>2953</v>
      </c>
      <c r="B694" s="4" t="s">
        <v>187</v>
      </c>
      <c r="C694" t="s">
        <v>3001</v>
      </c>
      <c r="D694">
        <v>23561</v>
      </c>
      <c r="E694" t="s">
        <v>172</v>
      </c>
      <c r="F694">
        <v>326</v>
      </c>
      <c r="G694" t="s">
        <v>3013</v>
      </c>
      <c r="H694" t="s">
        <v>3002</v>
      </c>
      <c r="I694">
        <v>1</v>
      </c>
      <c r="J694" t="str">
        <f>VLOOKUP(A694,店舗コード!A:B,2,FALSE)</f>
        <v>04 名古屋</v>
      </c>
      <c r="O694" s="2"/>
    </row>
    <row r="695" spans="1:15">
      <c r="A695" t="s">
        <v>2953</v>
      </c>
      <c r="B695" s="4" t="s">
        <v>1972</v>
      </c>
      <c r="C695" t="s">
        <v>3001</v>
      </c>
      <c r="D695">
        <v>23780</v>
      </c>
      <c r="E695" t="s">
        <v>1964</v>
      </c>
      <c r="F695">
        <v>664</v>
      </c>
      <c r="G695" t="s">
        <v>3015</v>
      </c>
      <c r="H695" t="s">
        <v>3002</v>
      </c>
      <c r="I695">
        <v>1</v>
      </c>
      <c r="J695" t="str">
        <f>VLOOKUP(A695,店舗コード!A:B,2,FALSE)</f>
        <v>04 名古屋</v>
      </c>
      <c r="O695" s="2"/>
    </row>
    <row r="696" spans="1:15">
      <c r="A696" t="s">
        <v>2942</v>
      </c>
      <c r="B696" s="4" t="s">
        <v>3303</v>
      </c>
      <c r="C696" t="s">
        <v>3001</v>
      </c>
      <c r="D696">
        <v>23200395</v>
      </c>
      <c r="E696" t="s">
        <v>3304</v>
      </c>
      <c r="F696">
        <v>550</v>
      </c>
      <c r="G696" t="s">
        <v>2998</v>
      </c>
      <c r="H696" t="s">
        <v>3002</v>
      </c>
      <c r="I696">
        <v>1</v>
      </c>
      <c r="J696" t="str">
        <f>VLOOKUP(A696,店舗コード!A:B,2,FALSE)</f>
        <v>08 ルクア大阪</v>
      </c>
      <c r="O696" s="2"/>
    </row>
    <row r="697" spans="1:15">
      <c r="A697" t="s">
        <v>2953</v>
      </c>
      <c r="B697" s="4" t="s">
        <v>2969</v>
      </c>
      <c r="C697" t="s">
        <v>3001</v>
      </c>
      <c r="D697">
        <v>23510</v>
      </c>
      <c r="E697" t="s">
        <v>86</v>
      </c>
      <c r="F697">
        <v>126</v>
      </c>
      <c r="G697" t="s">
        <v>3043</v>
      </c>
      <c r="H697" t="s">
        <v>3002</v>
      </c>
      <c r="I697">
        <v>1</v>
      </c>
      <c r="J697" t="str">
        <f>VLOOKUP(A697,店舗コード!A:B,2,FALSE)</f>
        <v>04 名古屋</v>
      </c>
      <c r="O697" s="2"/>
    </row>
    <row r="698" spans="1:15">
      <c r="A698" t="s">
        <v>2942</v>
      </c>
      <c r="B698" s="4" t="s">
        <v>3779</v>
      </c>
      <c r="C698" t="s">
        <v>3001</v>
      </c>
      <c r="D698">
        <v>23523</v>
      </c>
      <c r="E698" t="s">
        <v>3028</v>
      </c>
      <c r="F698">
        <v>31</v>
      </c>
      <c r="G698" t="s">
        <v>3272</v>
      </c>
      <c r="H698" t="s">
        <v>3002</v>
      </c>
      <c r="I698">
        <v>1</v>
      </c>
      <c r="J698" t="str">
        <f>VLOOKUP(A698,店舗コード!A:B,2,FALSE)</f>
        <v>08 ルクア大阪</v>
      </c>
      <c r="O698" s="2"/>
    </row>
    <row r="699" spans="1:15">
      <c r="A699" t="s">
        <v>2942</v>
      </c>
      <c r="B699" s="4" t="s">
        <v>3279</v>
      </c>
      <c r="C699" t="s">
        <v>3001</v>
      </c>
      <c r="D699">
        <v>23345</v>
      </c>
      <c r="E699" t="s">
        <v>3031</v>
      </c>
      <c r="F699">
        <v>560</v>
      </c>
      <c r="G699" t="s">
        <v>3025</v>
      </c>
      <c r="H699" t="s">
        <v>3002</v>
      </c>
      <c r="I699">
        <v>1</v>
      </c>
      <c r="J699" t="str">
        <f>VLOOKUP(A699,店舗コード!A:B,2,FALSE)</f>
        <v>08 ルクア大阪</v>
      </c>
      <c r="O699" s="2"/>
    </row>
    <row r="700" spans="1:15">
      <c r="A700" t="s">
        <v>1846</v>
      </c>
      <c r="B700" s="4" t="s">
        <v>735</v>
      </c>
      <c r="C700" t="s">
        <v>3001</v>
      </c>
      <c r="D700">
        <v>79061</v>
      </c>
      <c r="E700" t="s">
        <v>736</v>
      </c>
      <c r="G700" t="s">
        <v>3815</v>
      </c>
      <c r="H700" t="s">
        <v>3002</v>
      </c>
      <c r="I700">
        <v>1</v>
      </c>
      <c r="J700" t="str">
        <f>VLOOKUP(A700,店舗コード!A:B,2,FALSE)</f>
        <v>07 TOKYO</v>
      </c>
      <c r="O700" s="2"/>
    </row>
    <row r="701" spans="1:15">
      <c r="A701" t="s">
        <v>1846</v>
      </c>
      <c r="B701" s="4" t="s">
        <v>372</v>
      </c>
      <c r="C701" t="s">
        <v>3001</v>
      </c>
      <c r="D701">
        <v>24221</v>
      </c>
      <c r="E701" t="s">
        <v>361</v>
      </c>
      <c r="F701">
        <v>560</v>
      </c>
      <c r="G701" t="s">
        <v>3025</v>
      </c>
      <c r="H701" t="s">
        <v>3002</v>
      </c>
      <c r="I701">
        <v>1</v>
      </c>
      <c r="J701" t="str">
        <f>VLOOKUP(A701,店舗コード!A:B,2,FALSE)</f>
        <v>07 TOKYO</v>
      </c>
      <c r="O701" s="2"/>
    </row>
    <row r="702" spans="1:15">
      <c r="A702" t="s">
        <v>1846</v>
      </c>
      <c r="B702" s="4" t="s">
        <v>3505</v>
      </c>
      <c r="C702" t="s">
        <v>3001</v>
      </c>
      <c r="D702">
        <v>23344</v>
      </c>
      <c r="E702" t="s">
        <v>3018</v>
      </c>
      <c r="F702">
        <v>633</v>
      </c>
      <c r="G702" t="s">
        <v>3347</v>
      </c>
      <c r="H702" t="s">
        <v>3002</v>
      </c>
      <c r="I702">
        <v>1</v>
      </c>
      <c r="J702" t="str">
        <f>VLOOKUP(A702,店舗コード!A:B,2,FALSE)</f>
        <v>07 TOKYO</v>
      </c>
      <c r="O702" s="2"/>
    </row>
    <row r="703" spans="1:15">
      <c r="A703" t="s">
        <v>1846</v>
      </c>
      <c r="B703" s="4" t="s">
        <v>2985</v>
      </c>
      <c r="C703" t="s">
        <v>3001</v>
      </c>
      <c r="D703">
        <v>23510</v>
      </c>
      <c r="E703" t="s">
        <v>86</v>
      </c>
      <c r="F703">
        <v>600</v>
      </c>
      <c r="G703" t="s">
        <v>3282</v>
      </c>
      <c r="H703" t="s">
        <v>3002</v>
      </c>
      <c r="I703">
        <v>1</v>
      </c>
      <c r="J703" t="str">
        <f>VLOOKUP(A703,店舗コード!A:B,2,FALSE)</f>
        <v>07 TOKYO</v>
      </c>
      <c r="O703" s="2"/>
    </row>
    <row r="704" spans="1:15">
      <c r="A704" t="s">
        <v>2993</v>
      </c>
      <c r="B704" s="4" t="s">
        <v>3970</v>
      </c>
      <c r="C704" t="s">
        <v>3001</v>
      </c>
      <c r="D704">
        <v>23200254</v>
      </c>
      <c r="E704" t="s">
        <v>3221</v>
      </c>
      <c r="F704">
        <v>614</v>
      </c>
      <c r="G704" t="s">
        <v>3033</v>
      </c>
      <c r="H704" t="s">
        <v>3002</v>
      </c>
      <c r="I704">
        <v>1</v>
      </c>
      <c r="J704" t="str">
        <f>VLOOKUP(A704,店舗コード!A:B,2,FALSE)</f>
        <v>15 大丸心斎橋</v>
      </c>
      <c r="O704" s="2"/>
    </row>
    <row r="705" spans="1:15">
      <c r="A705" t="s">
        <v>2980</v>
      </c>
      <c r="B705" s="4" t="s">
        <v>3346</v>
      </c>
      <c r="C705" t="s">
        <v>3001</v>
      </c>
      <c r="D705">
        <v>23154</v>
      </c>
      <c r="E705" t="s">
        <v>1873</v>
      </c>
      <c r="F705">
        <v>662</v>
      </c>
      <c r="G705" t="s">
        <v>3320</v>
      </c>
      <c r="H705" t="s">
        <v>3002</v>
      </c>
      <c r="I705">
        <v>1</v>
      </c>
      <c r="J705" t="str">
        <f>VLOOKUP(A705,店舗コード!A:B,2,FALSE)</f>
        <v>17 玉川高島屋</v>
      </c>
      <c r="O705" s="2"/>
    </row>
    <row r="706" spans="1:15">
      <c r="A706" t="s">
        <v>2944</v>
      </c>
      <c r="B706" s="4" t="s">
        <v>2712</v>
      </c>
      <c r="C706" t="s">
        <v>3001</v>
      </c>
      <c r="D706">
        <v>23321</v>
      </c>
      <c r="E706" t="s">
        <v>2713</v>
      </c>
      <c r="F706">
        <v>633</v>
      </c>
      <c r="G706" t="s">
        <v>3347</v>
      </c>
      <c r="H706" t="s">
        <v>3002</v>
      </c>
      <c r="I706">
        <v>1</v>
      </c>
      <c r="J706" t="str">
        <f>VLOOKUP(A706,店舗コード!A:B,2,FALSE)</f>
        <v>10 ヒュッテ</v>
      </c>
      <c r="O706" s="2"/>
    </row>
    <row r="707" spans="1:15">
      <c r="A707" t="s">
        <v>2944</v>
      </c>
      <c r="B707" s="4" t="s">
        <v>2626</v>
      </c>
      <c r="C707" t="s">
        <v>3001</v>
      </c>
      <c r="D707">
        <v>23323</v>
      </c>
      <c r="E707" t="s">
        <v>2627</v>
      </c>
      <c r="F707">
        <v>633</v>
      </c>
      <c r="G707" t="s">
        <v>3347</v>
      </c>
      <c r="H707" t="s">
        <v>3002</v>
      </c>
      <c r="I707">
        <v>1</v>
      </c>
      <c r="J707" t="str">
        <f>VLOOKUP(A707,店舗コード!A:B,2,FALSE)</f>
        <v>10 ヒュッテ</v>
      </c>
      <c r="O707" s="2"/>
    </row>
    <row r="708" spans="1:15">
      <c r="A708" t="s">
        <v>2944</v>
      </c>
      <c r="B708" s="4" t="s">
        <v>2715</v>
      </c>
      <c r="C708" t="s">
        <v>3001</v>
      </c>
      <c r="D708">
        <v>23324</v>
      </c>
      <c r="E708" t="s">
        <v>2617</v>
      </c>
      <c r="F708">
        <v>633</v>
      </c>
      <c r="G708" t="s">
        <v>3347</v>
      </c>
      <c r="H708" t="s">
        <v>3002</v>
      </c>
      <c r="I708">
        <v>1</v>
      </c>
      <c r="J708" t="str">
        <f>VLOOKUP(A708,店舗コード!A:B,2,FALSE)</f>
        <v>10 ヒュッテ</v>
      </c>
      <c r="O708" s="2"/>
    </row>
    <row r="709" spans="1:15">
      <c r="A709" t="s">
        <v>2944</v>
      </c>
      <c r="B709" s="4" t="s">
        <v>3196</v>
      </c>
      <c r="C709" t="s">
        <v>3001</v>
      </c>
      <c r="D709">
        <v>24216</v>
      </c>
      <c r="E709" t="s">
        <v>334</v>
      </c>
      <c r="F709">
        <v>633</v>
      </c>
      <c r="G709" t="s">
        <v>3347</v>
      </c>
      <c r="H709" t="s">
        <v>3002</v>
      </c>
      <c r="I709">
        <v>1</v>
      </c>
      <c r="J709" t="str">
        <f>VLOOKUP(A709,店舗コード!A:B,2,FALSE)</f>
        <v>10 ヒュッテ</v>
      </c>
      <c r="O709" s="2"/>
    </row>
    <row r="710" spans="1:15">
      <c r="A710" t="s">
        <v>2944</v>
      </c>
      <c r="B710" s="4" t="s">
        <v>735</v>
      </c>
      <c r="C710" t="s">
        <v>3001</v>
      </c>
      <c r="D710">
        <v>79061</v>
      </c>
      <c r="E710" t="s">
        <v>736</v>
      </c>
      <c r="G710" t="s">
        <v>3815</v>
      </c>
      <c r="H710" t="s">
        <v>3002</v>
      </c>
      <c r="I710">
        <v>1</v>
      </c>
      <c r="J710" t="str">
        <f>VLOOKUP(A710,店舗コード!A:B,2,FALSE)</f>
        <v>10 ヒュッテ</v>
      </c>
      <c r="O710" s="2"/>
    </row>
    <row r="711" spans="1:15">
      <c r="A711" t="s">
        <v>1846</v>
      </c>
      <c r="B711" s="4" t="s">
        <v>3445</v>
      </c>
      <c r="C711" t="s">
        <v>3001</v>
      </c>
      <c r="D711">
        <v>77404</v>
      </c>
      <c r="E711" t="s">
        <v>3392</v>
      </c>
      <c r="F711">
        <v>550</v>
      </c>
      <c r="G711" t="s">
        <v>2998</v>
      </c>
      <c r="H711" t="s">
        <v>3002</v>
      </c>
      <c r="I711">
        <v>1</v>
      </c>
      <c r="J711" t="str">
        <f>VLOOKUP(A711,店舗コード!A:B,2,FALSE)</f>
        <v>07 TOKYO</v>
      </c>
      <c r="O711" s="2"/>
    </row>
    <row r="712" spans="1:15">
      <c r="A712" t="s">
        <v>1846</v>
      </c>
      <c r="B712" s="4" t="s">
        <v>3971</v>
      </c>
      <c r="C712" t="s">
        <v>3001</v>
      </c>
      <c r="D712">
        <v>87178</v>
      </c>
      <c r="E712" t="s">
        <v>3481</v>
      </c>
      <c r="F712">
        <v>550</v>
      </c>
      <c r="G712" t="s">
        <v>2998</v>
      </c>
      <c r="H712" t="s">
        <v>3477</v>
      </c>
      <c r="I712">
        <v>1</v>
      </c>
      <c r="J712" t="str">
        <f>VLOOKUP(A712,店舗コード!A:B,2,FALSE)</f>
        <v>07 TOKYO</v>
      </c>
      <c r="O712" s="2"/>
    </row>
    <row r="713" spans="1:15">
      <c r="A713" t="s">
        <v>1846</v>
      </c>
      <c r="B713" s="4" t="s">
        <v>2963</v>
      </c>
      <c r="C713" t="s">
        <v>3001</v>
      </c>
      <c r="D713">
        <v>23510</v>
      </c>
      <c r="E713" t="s">
        <v>86</v>
      </c>
      <c r="F713">
        <v>457</v>
      </c>
      <c r="G713" t="s">
        <v>3019</v>
      </c>
      <c r="H713" t="s">
        <v>3002</v>
      </c>
      <c r="I713">
        <v>1</v>
      </c>
      <c r="J713" t="str">
        <f>VLOOKUP(A713,店舗コード!A:B,2,FALSE)</f>
        <v>07 TOKYO</v>
      </c>
      <c r="O713" s="2"/>
    </row>
    <row r="714" spans="1:15">
      <c r="A714" t="s">
        <v>1846</v>
      </c>
      <c r="B714" s="4" t="s">
        <v>3011</v>
      </c>
      <c r="C714" t="s">
        <v>3001</v>
      </c>
      <c r="D714">
        <v>23510</v>
      </c>
      <c r="E714" t="s">
        <v>86</v>
      </c>
      <c r="F714">
        <v>302</v>
      </c>
      <c r="G714" t="s">
        <v>3273</v>
      </c>
      <c r="H714" t="s">
        <v>3002</v>
      </c>
      <c r="I714">
        <v>1</v>
      </c>
      <c r="J714" t="str">
        <f>VLOOKUP(A714,店舗コード!A:B,2,FALSE)</f>
        <v>07 TOKYO</v>
      </c>
      <c r="O714" s="2"/>
    </row>
    <row r="715" spans="1:15">
      <c r="A715" t="s">
        <v>2942</v>
      </c>
      <c r="B715" s="4" t="s">
        <v>3523</v>
      </c>
      <c r="C715" t="s">
        <v>3001</v>
      </c>
      <c r="D715">
        <v>87310</v>
      </c>
      <c r="E715" t="s">
        <v>3201</v>
      </c>
      <c r="F715">
        <v>113</v>
      </c>
      <c r="G715" t="s">
        <v>3349</v>
      </c>
      <c r="H715" t="s">
        <v>3029</v>
      </c>
      <c r="I715">
        <v>1</v>
      </c>
      <c r="J715" t="str">
        <f>VLOOKUP(A715,店舗コード!A:B,2,FALSE)</f>
        <v>08 ルクア大阪</v>
      </c>
      <c r="O715" s="2"/>
    </row>
    <row r="716" spans="1:15">
      <c r="A716" t="s">
        <v>2942</v>
      </c>
      <c r="B716" s="4" t="s">
        <v>3489</v>
      </c>
      <c r="C716" t="s">
        <v>3001</v>
      </c>
      <c r="D716">
        <v>24221</v>
      </c>
      <c r="E716" t="s">
        <v>361</v>
      </c>
      <c r="F716">
        <v>46</v>
      </c>
      <c r="G716" t="s">
        <v>3045</v>
      </c>
      <c r="H716" t="s">
        <v>3002</v>
      </c>
      <c r="I716">
        <v>1</v>
      </c>
      <c r="J716" t="str">
        <f>VLOOKUP(A716,店舗コード!A:B,2,FALSE)</f>
        <v>08 ルクア大阪</v>
      </c>
      <c r="O716" s="2"/>
    </row>
    <row r="717" spans="1:15">
      <c r="A717" t="s">
        <v>2944</v>
      </c>
      <c r="B717" s="4" t="s">
        <v>99</v>
      </c>
      <c r="C717" t="s">
        <v>3001</v>
      </c>
      <c r="D717">
        <v>23510</v>
      </c>
      <c r="E717" t="s">
        <v>86</v>
      </c>
      <c r="F717">
        <v>312</v>
      </c>
      <c r="G717" t="s">
        <v>3003</v>
      </c>
      <c r="H717" t="s">
        <v>3002</v>
      </c>
      <c r="I717">
        <v>1</v>
      </c>
      <c r="J717" t="str">
        <f>VLOOKUP(A717,店舗コード!A:B,2,FALSE)</f>
        <v>10 ヒュッテ</v>
      </c>
      <c r="O717" s="2"/>
    </row>
    <row r="718" spans="1:15">
      <c r="A718" t="s">
        <v>2942</v>
      </c>
      <c r="B718" s="4" t="s">
        <v>3336</v>
      </c>
      <c r="C718" t="s">
        <v>3001</v>
      </c>
      <c r="D718">
        <v>23222</v>
      </c>
      <c r="E718" t="s">
        <v>3193</v>
      </c>
      <c r="F718">
        <v>560</v>
      </c>
      <c r="G718" t="s">
        <v>3025</v>
      </c>
      <c r="H718" t="s">
        <v>3002</v>
      </c>
      <c r="I718">
        <v>1</v>
      </c>
      <c r="J718" t="str">
        <f>VLOOKUP(A718,店舗コード!A:B,2,FALSE)</f>
        <v>08 ルクア大阪</v>
      </c>
      <c r="O718" s="2"/>
    </row>
    <row r="719" spans="1:15">
      <c r="A719" t="s">
        <v>2944</v>
      </c>
      <c r="B719" s="4" t="s">
        <v>339</v>
      </c>
      <c r="C719" t="s">
        <v>3001</v>
      </c>
      <c r="D719">
        <v>24218</v>
      </c>
      <c r="E719" t="s">
        <v>340</v>
      </c>
      <c r="F719">
        <v>30</v>
      </c>
      <c r="G719" t="s">
        <v>3310</v>
      </c>
      <c r="H719" t="s">
        <v>3002</v>
      </c>
      <c r="I719">
        <v>1</v>
      </c>
      <c r="J719" t="str">
        <f>VLOOKUP(A719,店舗コード!A:B,2,FALSE)</f>
        <v>10 ヒュッテ</v>
      </c>
      <c r="O719" s="2"/>
    </row>
    <row r="720" spans="1:15">
      <c r="A720" t="s">
        <v>2993</v>
      </c>
      <c r="B720" s="4" t="s">
        <v>104</v>
      </c>
      <c r="C720" t="s">
        <v>3001</v>
      </c>
      <c r="D720">
        <v>23510</v>
      </c>
      <c r="E720" t="s">
        <v>86</v>
      </c>
      <c r="F720">
        <v>326</v>
      </c>
      <c r="G720" t="s">
        <v>3013</v>
      </c>
      <c r="H720" t="s">
        <v>3002</v>
      </c>
      <c r="I720">
        <v>1</v>
      </c>
      <c r="J720" t="str">
        <f>VLOOKUP(A720,店舗コード!A:B,2,FALSE)</f>
        <v>15 大丸心斎橋</v>
      </c>
      <c r="O720" s="2"/>
    </row>
    <row r="721" spans="1:15">
      <c r="A721" t="s">
        <v>1846</v>
      </c>
      <c r="B721" s="4" t="s">
        <v>2611</v>
      </c>
      <c r="C721" t="s">
        <v>3001</v>
      </c>
      <c r="D721">
        <v>23505</v>
      </c>
      <c r="E721" t="s">
        <v>73</v>
      </c>
      <c r="F721">
        <v>326</v>
      </c>
      <c r="G721" t="s">
        <v>3013</v>
      </c>
      <c r="H721" t="s">
        <v>3002</v>
      </c>
      <c r="I721">
        <v>1</v>
      </c>
      <c r="J721" t="str">
        <f>VLOOKUP(A721,店舗コード!A:B,2,FALSE)</f>
        <v>07 TOKYO</v>
      </c>
      <c r="O721" s="2"/>
    </row>
    <row r="722" spans="1:15">
      <c r="A722" t="s">
        <v>1846</v>
      </c>
      <c r="B722" s="4" t="s">
        <v>3972</v>
      </c>
      <c r="C722" t="s">
        <v>3001</v>
      </c>
      <c r="D722">
        <v>23793</v>
      </c>
      <c r="E722" t="s">
        <v>3955</v>
      </c>
      <c r="F722">
        <v>501</v>
      </c>
      <c r="G722" t="s">
        <v>2992</v>
      </c>
      <c r="H722" t="s">
        <v>3002</v>
      </c>
      <c r="I722">
        <v>1</v>
      </c>
      <c r="J722" t="str">
        <f>VLOOKUP(A722,店舗コード!A:B,2,FALSE)</f>
        <v>07 TOKYO</v>
      </c>
      <c r="O722" s="2"/>
    </row>
    <row r="723" spans="1:15">
      <c r="A723" t="s">
        <v>1846</v>
      </c>
      <c r="B723" s="4" t="s">
        <v>3468</v>
      </c>
      <c r="C723" t="s">
        <v>3001</v>
      </c>
      <c r="D723">
        <v>77406</v>
      </c>
      <c r="E723" t="s">
        <v>3469</v>
      </c>
      <c r="F723">
        <v>550</v>
      </c>
      <c r="G723" t="s">
        <v>2998</v>
      </c>
      <c r="H723" t="s">
        <v>3270</v>
      </c>
      <c r="I723">
        <v>1</v>
      </c>
      <c r="J723" t="str">
        <f>VLOOKUP(A723,店舗コード!A:B,2,FALSE)</f>
        <v>07 TOKYO</v>
      </c>
      <c r="O723" s="2"/>
    </row>
    <row r="724" spans="1:15">
      <c r="A724" t="s">
        <v>2944</v>
      </c>
      <c r="B724" s="4" t="s">
        <v>3408</v>
      </c>
      <c r="C724" t="s">
        <v>3001</v>
      </c>
      <c r="D724">
        <v>23200358</v>
      </c>
      <c r="E724" t="s">
        <v>3409</v>
      </c>
      <c r="F724" t="s">
        <v>3410</v>
      </c>
      <c r="G724" t="s">
        <v>3411</v>
      </c>
      <c r="H724" t="s">
        <v>3002</v>
      </c>
      <c r="I724">
        <v>1</v>
      </c>
      <c r="J724" t="str">
        <f>VLOOKUP(A724,店舗コード!A:B,2,FALSE)</f>
        <v>10 ヒュッテ</v>
      </c>
      <c r="O724" s="2"/>
    </row>
    <row r="725" spans="1:15">
      <c r="A725" t="s">
        <v>2944</v>
      </c>
      <c r="B725" s="4" t="s">
        <v>3973</v>
      </c>
      <c r="C725" t="s">
        <v>3001</v>
      </c>
      <c r="D725">
        <v>23798</v>
      </c>
      <c r="E725" t="s">
        <v>3974</v>
      </c>
      <c r="F725">
        <v>30</v>
      </c>
      <c r="G725" t="s">
        <v>3310</v>
      </c>
      <c r="H725" t="s">
        <v>3002</v>
      </c>
      <c r="I725">
        <v>1</v>
      </c>
      <c r="J725" t="str">
        <f>VLOOKUP(A725,店舗コード!A:B,2,FALSE)</f>
        <v>10 ヒュッテ</v>
      </c>
      <c r="O725" s="2"/>
    </row>
    <row r="726" spans="1:15">
      <c r="A726" t="s">
        <v>2944</v>
      </c>
      <c r="B726" s="4" t="s">
        <v>3004</v>
      </c>
      <c r="C726" t="s">
        <v>3001</v>
      </c>
      <c r="D726">
        <v>23510</v>
      </c>
      <c r="E726" t="s">
        <v>86</v>
      </c>
      <c r="F726" t="s">
        <v>3005</v>
      </c>
      <c r="G726" t="s">
        <v>3006</v>
      </c>
      <c r="H726" t="s">
        <v>3002</v>
      </c>
      <c r="I726">
        <v>1</v>
      </c>
      <c r="J726" t="str">
        <f>VLOOKUP(A726,店舗コード!A:B,2,FALSE)</f>
        <v>10 ヒュッテ</v>
      </c>
      <c r="O726" s="2"/>
    </row>
    <row r="727" spans="1:15">
      <c r="A727" t="s">
        <v>2953</v>
      </c>
      <c r="B727" s="4" t="s">
        <v>3536</v>
      </c>
      <c r="C727" t="s">
        <v>3001</v>
      </c>
      <c r="D727">
        <v>23561</v>
      </c>
      <c r="E727" t="s">
        <v>172</v>
      </c>
      <c r="F727">
        <v>600</v>
      </c>
      <c r="G727" t="s">
        <v>3282</v>
      </c>
      <c r="H727" t="s">
        <v>3002</v>
      </c>
      <c r="I727">
        <v>1</v>
      </c>
      <c r="J727" t="str">
        <f>VLOOKUP(A727,店舗コード!A:B,2,FALSE)</f>
        <v>04 名古屋</v>
      </c>
      <c r="O727" s="2"/>
    </row>
    <row r="728" spans="1:15">
      <c r="A728" t="s">
        <v>2953</v>
      </c>
      <c r="B728" s="4" t="s">
        <v>91</v>
      </c>
      <c r="C728" t="s">
        <v>3001</v>
      </c>
      <c r="D728">
        <v>23510</v>
      </c>
      <c r="E728" t="s">
        <v>86</v>
      </c>
      <c r="F728">
        <v>160</v>
      </c>
      <c r="G728" t="s">
        <v>3010</v>
      </c>
      <c r="H728" t="s">
        <v>3002</v>
      </c>
      <c r="I728">
        <v>1</v>
      </c>
      <c r="J728" t="str">
        <f>VLOOKUP(A728,店舗コード!A:B,2,FALSE)</f>
        <v>04 名古屋</v>
      </c>
      <c r="O728" s="2"/>
    </row>
    <row r="729" spans="1:15">
      <c r="A729" t="s">
        <v>2980</v>
      </c>
      <c r="B729" s="4" t="s">
        <v>3412</v>
      </c>
      <c r="C729" t="s">
        <v>3001</v>
      </c>
      <c r="D729">
        <v>23200337</v>
      </c>
      <c r="E729" t="s">
        <v>3042</v>
      </c>
      <c r="F729">
        <v>550</v>
      </c>
      <c r="G729" t="s">
        <v>2998</v>
      </c>
      <c r="H729" t="s">
        <v>3002</v>
      </c>
      <c r="I729">
        <v>1</v>
      </c>
      <c r="J729" t="str">
        <f>VLOOKUP(A729,店舗コード!A:B,2,FALSE)</f>
        <v>17 玉川高島屋</v>
      </c>
      <c r="O729" s="2"/>
    </row>
    <row r="730" spans="1:15">
      <c r="A730" t="s">
        <v>2980</v>
      </c>
      <c r="B730" s="4" t="s">
        <v>3339</v>
      </c>
      <c r="C730" t="s">
        <v>3001</v>
      </c>
      <c r="D730">
        <v>23226</v>
      </c>
      <c r="E730" t="s">
        <v>3020</v>
      </c>
      <c r="F730">
        <v>550</v>
      </c>
      <c r="G730" t="s">
        <v>2998</v>
      </c>
      <c r="H730" t="s">
        <v>3002</v>
      </c>
      <c r="I730">
        <v>1</v>
      </c>
      <c r="J730" t="str">
        <f>VLOOKUP(A730,店舗コード!A:B,2,FALSE)</f>
        <v>17 玉川高島屋</v>
      </c>
      <c r="O730" s="2"/>
    </row>
    <row r="731" spans="1:15">
      <c r="A731" t="s">
        <v>2944</v>
      </c>
      <c r="B731" s="4" t="s">
        <v>3975</v>
      </c>
      <c r="C731" t="s">
        <v>3001</v>
      </c>
      <c r="D731">
        <v>78151</v>
      </c>
      <c r="E731" t="s">
        <v>626</v>
      </c>
      <c r="F731">
        <v>625</v>
      </c>
      <c r="G731" t="s">
        <v>3450</v>
      </c>
      <c r="H731" t="s">
        <v>3270</v>
      </c>
      <c r="I731">
        <v>1</v>
      </c>
      <c r="J731" t="str">
        <f>VLOOKUP(A731,店舗コード!A:B,2,FALSE)</f>
        <v>10 ヒュッテ</v>
      </c>
      <c r="O731" s="2"/>
    </row>
    <row r="732" spans="1:15">
      <c r="A732" t="s">
        <v>2942</v>
      </c>
      <c r="B732" s="4" t="s">
        <v>3976</v>
      </c>
      <c r="C732" t="s">
        <v>3001</v>
      </c>
      <c r="D732">
        <v>24215</v>
      </c>
      <c r="E732" t="s">
        <v>326</v>
      </c>
      <c r="F732">
        <v>228</v>
      </c>
      <c r="G732" t="s">
        <v>3329</v>
      </c>
      <c r="H732" t="s">
        <v>3002</v>
      </c>
      <c r="I732">
        <v>1</v>
      </c>
      <c r="J732" t="str">
        <f>VLOOKUP(A732,店舗コード!A:B,2,FALSE)</f>
        <v>08 ルクア大阪</v>
      </c>
      <c r="O732" s="2"/>
    </row>
    <row r="733" spans="1:15">
      <c r="A733" t="s">
        <v>2980</v>
      </c>
      <c r="B733" s="4" t="s">
        <v>2963</v>
      </c>
      <c r="C733" t="s">
        <v>3001</v>
      </c>
      <c r="D733">
        <v>23510</v>
      </c>
      <c r="E733" t="s">
        <v>86</v>
      </c>
      <c r="F733">
        <v>457</v>
      </c>
      <c r="G733" t="s">
        <v>3019</v>
      </c>
      <c r="H733" t="s">
        <v>3002</v>
      </c>
      <c r="I733">
        <v>1</v>
      </c>
      <c r="J733" t="str">
        <f>VLOOKUP(A733,店舗コード!A:B,2,FALSE)</f>
        <v>17 玉川高島屋</v>
      </c>
      <c r="O733" s="2"/>
    </row>
    <row r="734" spans="1:15">
      <c r="A734" t="s">
        <v>2942</v>
      </c>
      <c r="B734" s="4" t="s">
        <v>3425</v>
      </c>
      <c r="C734" t="s">
        <v>3001</v>
      </c>
      <c r="D734">
        <v>23200303</v>
      </c>
      <c r="E734" t="s">
        <v>3387</v>
      </c>
      <c r="F734">
        <v>37</v>
      </c>
      <c r="G734" t="s">
        <v>3302</v>
      </c>
      <c r="H734" t="s">
        <v>3002</v>
      </c>
      <c r="I734">
        <v>1</v>
      </c>
      <c r="J734" t="str">
        <f>VLOOKUP(A734,店舗コード!A:B,2,FALSE)</f>
        <v>08 ルクア大阪</v>
      </c>
      <c r="O734" s="2"/>
    </row>
    <row r="735" spans="1:15">
      <c r="A735" t="s">
        <v>2942</v>
      </c>
      <c r="B735" s="4" t="s">
        <v>3894</v>
      </c>
      <c r="C735" t="s">
        <v>3001</v>
      </c>
      <c r="D735">
        <v>23345</v>
      </c>
      <c r="E735" t="s">
        <v>3031</v>
      </c>
      <c r="F735" t="s">
        <v>3038</v>
      </c>
      <c r="G735" t="s">
        <v>3039</v>
      </c>
      <c r="H735" t="s">
        <v>3002</v>
      </c>
      <c r="I735">
        <v>1</v>
      </c>
      <c r="J735" t="str">
        <f>VLOOKUP(A735,店舗コード!A:B,2,FALSE)</f>
        <v>08 ルクア大阪</v>
      </c>
      <c r="O735" s="2"/>
    </row>
    <row r="736" spans="1:15">
      <c r="A736" t="s">
        <v>1846</v>
      </c>
      <c r="B736" s="4" t="s">
        <v>3277</v>
      </c>
      <c r="C736" t="s">
        <v>3001</v>
      </c>
      <c r="D736">
        <v>23804</v>
      </c>
      <c r="E736" t="s">
        <v>3278</v>
      </c>
      <c r="F736">
        <v>550</v>
      </c>
      <c r="G736" t="s">
        <v>2998</v>
      </c>
      <c r="H736" t="s">
        <v>3002</v>
      </c>
      <c r="I736">
        <v>1</v>
      </c>
      <c r="J736" t="str">
        <f>VLOOKUP(A736,店舗コード!A:B,2,FALSE)</f>
        <v>07 TOKYO</v>
      </c>
      <c r="O736" s="2"/>
    </row>
    <row r="737" spans="1:15">
      <c r="A737" t="s">
        <v>1846</v>
      </c>
      <c r="B737" s="4" t="s">
        <v>3495</v>
      </c>
      <c r="C737" t="s">
        <v>3001</v>
      </c>
      <c r="D737">
        <v>77391</v>
      </c>
      <c r="E737" t="s">
        <v>3482</v>
      </c>
      <c r="F737">
        <v>300</v>
      </c>
      <c r="G737" t="s">
        <v>3314</v>
      </c>
      <c r="H737" t="s">
        <v>3190</v>
      </c>
      <c r="I737">
        <v>1</v>
      </c>
      <c r="J737" t="str">
        <f>VLOOKUP(A737,店舗コード!A:B,2,FALSE)</f>
        <v>07 TOKYO</v>
      </c>
      <c r="O737" s="2"/>
    </row>
    <row r="738" spans="1:15">
      <c r="A738" t="s">
        <v>2942</v>
      </c>
      <c r="B738" s="4" t="s">
        <v>3291</v>
      </c>
      <c r="C738" t="s">
        <v>3001</v>
      </c>
      <c r="D738">
        <v>23349</v>
      </c>
      <c r="E738" t="s">
        <v>3292</v>
      </c>
      <c r="F738">
        <v>550</v>
      </c>
      <c r="G738" t="s">
        <v>2998</v>
      </c>
      <c r="H738" t="s">
        <v>3002</v>
      </c>
      <c r="I738">
        <v>1</v>
      </c>
      <c r="J738" t="str">
        <f>VLOOKUP(A738,店舗コード!A:B,2,FALSE)</f>
        <v>08 ルクア大阪</v>
      </c>
      <c r="O738" s="2"/>
    </row>
    <row r="739" spans="1:15">
      <c r="A739" t="s">
        <v>1846</v>
      </c>
      <c r="B739" s="4" t="s">
        <v>2969</v>
      </c>
      <c r="C739" t="s">
        <v>3001</v>
      </c>
      <c r="D739">
        <v>23510</v>
      </c>
      <c r="E739" t="s">
        <v>86</v>
      </c>
      <c r="F739">
        <v>126</v>
      </c>
      <c r="G739" t="s">
        <v>3043</v>
      </c>
      <c r="H739" t="s">
        <v>3002</v>
      </c>
      <c r="I739">
        <v>1</v>
      </c>
      <c r="J739" t="str">
        <f>VLOOKUP(A739,店舗コード!A:B,2,FALSE)</f>
        <v>07 TOKYO</v>
      </c>
      <c r="O739" s="2"/>
    </row>
    <row r="740" spans="1:15">
      <c r="A740" t="s">
        <v>1846</v>
      </c>
      <c r="B740" s="4" t="s">
        <v>3536</v>
      </c>
      <c r="C740" t="s">
        <v>3001</v>
      </c>
      <c r="D740">
        <v>23561</v>
      </c>
      <c r="E740" t="s">
        <v>172</v>
      </c>
      <c r="F740">
        <v>600</v>
      </c>
      <c r="G740" t="s">
        <v>3282</v>
      </c>
      <c r="H740" t="s">
        <v>3002</v>
      </c>
      <c r="I740">
        <v>1</v>
      </c>
      <c r="J740" t="str">
        <f>VLOOKUP(A740,店舗コード!A:B,2,FALSE)</f>
        <v>07 TOKYO</v>
      </c>
      <c r="O740" s="2"/>
    </row>
    <row r="741" spans="1:15">
      <c r="A741" t="s">
        <v>1846</v>
      </c>
      <c r="B741" s="4" t="s">
        <v>3011</v>
      </c>
      <c r="C741" t="s">
        <v>3001</v>
      </c>
      <c r="D741">
        <v>23510</v>
      </c>
      <c r="E741" t="s">
        <v>86</v>
      </c>
      <c r="F741">
        <v>302</v>
      </c>
      <c r="G741" t="s">
        <v>3273</v>
      </c>
      <c r="H741" t="s">
        <v>3002</v>
      </c>
      <c r="I741">
        <v>1</v>
      </c>
      <c r="J741" t="str">
        <f>VLOOKUP(A741,店舗コード!A:B,2,FALSE)</f>
        <v>07 TOKYO</v>
      </c>
      <c r="O741" s="2"/>
    </row>
    <row r="742" spans="1:15">
      <c r="A742" t="s">
        <v>2942</v>
      </c>
      <c r="B742" s="4" t="s">
        <v>99</v>
      </c>
      <c r="C742" t="s">
        <v>3001</v>
      </c>
      <c r="D742">
        <v>23510</v>
      </c>
      <c r="E742" t="s">
        <v>86</v>
      </c>
      <c r="F742">
        <v>312</v>
      </c>
      <c r="G742" t="s">
        <v>3003</v>
      </c>
      <c r="H742" t="s">
        <v>3002</v>
      </c>
      <c r="I742">
        <v>1</v>
      </c>
      <c r="J742" t="str">
        <f>VLOOKUP(A742,店舗コード!A:B,2,FALSE)</f>
        <v>08 ルクア大阪</v>
      </c>
      <c r="O742" s="2"/>
    </row>
    <row r="743" spans="1:15">
      <c r="A743" t="s">
        <v>1846</v>
      </c>
      <c r="B743" s="4" t="s">
        <v>3420</v>
      </c>
      <c r="C743" t="s">
        <v>3001</v>
      </c>
      <c r="D743">
        <v>23223</v>
      </c>
      <c r="E743" t="s">
        <v>3016</v>
      </c>
      <c r="F743">
        <v>620</v>
      </c>
      <c r="G743" t="s">
        <v>3026</v>
      </c>
      <c r="H743" t="s">
        <v>3002</v>
      </c>
      <c r="I743">
        <v>1</v>
      </c>
      <c r="J743" t="str">
        <f>VLOOKUP(A743,店舗コード!A:B,2,FALSE)</f>
        <v>07 TOKYO</v>
      </c>
      <c r="O743" s="2"/>
    </row>
    <row r="744" spans="1:15">
      <c r="A744" t="s">
        <v>2944</v>
      </c>
      <c r="B744" s="4" t="s">
        <v>2963</v>
      </c>
      <c r="C744" t="s">
        <v>3001</v>
      </c>
      <c r="D744">
        <v>23510</v>
      </c>
      <c r="E744" t="s">
        <v>86</v>
      </c>
      <c r="F744">
        <v>457</v>
      </c>
      <c r="G744" t="s">
        <v>3019</v>
      </c>
      <c r="H744" t="s">
        <v>3002</v>
      </c>
      <c r="I744">
        <v>1</v>
      </c>
      <c r="J744" t="str">
        <f>VLOOKUP(A744,店舗コード!A:B,2,FALSE)</f>
        <v>10 ヒュッテ</v>
      </c>
      <c r="O744" s="2"/>
    </row>
    <row r="745" spans="1:15">
      <c r="A745" t="s">
        <v>1846</v>
      </c>
      <c r="B745" s="4" t="s">
        <v>3032</v>
      </c>
      <c r="C745" t="s">
        <v>3001</v>
      </c>
      <c r="D745">
        <v>23510</v>
      </c>
      <c r="E745" t="s">
        <v>86</v>
      </c>
      <c r="F745">
        <v>576</v>
      </c>
      <c r="G745" t="s">
        <v>3414</v>
      </c>
      <c r="H745" t="s">
        <v>3002</v>
      </c>
      <c r="I745">
        <v>1</v>
      </c>
      <c r="J745" t="str">
        <f>VLOOKUP(A745,店舗コード!A:B,2,FALSE)</f>
        <v>07 TOKYO</v>
      </c>
      <c r="O745" s="2"/>
    </row>
    <row r="746" spans="1:15">
      <c r="A746" t="s">
        <v>1846</v>
      </c>
      <c r="B746" s="4" t="s">
        <v>3209</v>
      </c>
      <c r="C746" t="s">
        <v>3001</v>
      </c>
      <c r="D746">
        <v>23524</v>
      </c>
      <c r="E746" t="s">
        <v>3009</v>
      </c>
      <c r="F746">
        <v>326</v>
      </c>
      <c r="G746" t="s">
        <v>3013</v>
      </c>
      <c r="H746" t="s">
        <v>3002</v>
      </c>
      <c r="I746">
        <v>1</v>
      </c>
      <c r="J746" t="str">
        <f>VLOOKUP(A746,店舗コード!A:B,2,FALSE)</f>
        <v>07 TOKYO</v>
      </c>
      <c r="O746" s="2"/>
    </row>
    <row r="747" spans="1:15">
      <c r="A747" t="s">
        <v>2953</v>
      </c>
      <c r="B747" s="4" t="s">
        <v>3004</v>
      </c>
      <c r="C747" t="s">
        <v>3001</v>
      </c>
      <c r="D747">
        <v>23510</v>
      </c>
      <c r="E747" t="s">
        <v>86</v>
      </c>
      <c r="F747" t="s">
        <v>3005</v>
      </c>
      <c r="G747" t="s">
        <v>3006</v>
      </c>
      <c r="H747" t="s">
        <v>3002</v>
      </c>
      <c r="I747">
        <v>1</v>
      </c>
      <c r="J747" t="str">
        <f>VLOOKUP(A747,店舗コード!A:B,2,FALSE)</f>
        <v>04 名古屋</v>
      </c>
      <c r="O747" s="2"/>
    </row>
    <row r="748" spans="1:15">
      <c r="A748" t="s">
        <v>1846</v>
      </c>
      <c r="B748" s="4" t="s">
        <v>3780</v>
      </c>
      <c r="C748" t="s">
        <v>3001</v>
      </c>
      <c r="D748">
        <v>77273</v>
      </c>
      <c r="E748" t="s">
        <v>3781</v>
      </c>
      <c r="F748">
        <v>244</v>
      </c>
      <c r="G748" t="s">
        <v>3295</v>
      </c>
      <c r="H748" t="s">
        <v>3029</v>
      </c>
      <c r="I748">
        <v>1</v>
      </c>
      <c r="J748" t="str">
        <f>VLOOKUP(A748,店舗コード!A:B,2,FALSE)</f>
        <v>07 TOKYO</v>
      </c>
      <c r="O748" s="2"/>
    </row>
    <row r="749" spans="1:15">
      <c r="A749" t="s">
        <v>1846</v>
      </c>
      <c r="B749" s="4" t="s">
        <v>127</v>
      </c>
      <c r="C749" t="s">
        <v>3001</v>
      </c>
      <c r="D749">
        <v>23510</v>
      </c>
      <c r="E749" t="s">
        <v>86</v>
      </c>
      <c r="F749">
        <v>620</v>
      </c>
      <c r="G749" t="s">
        <v>3026</v>
      </c>
      <c r="H749" t="s">
        <v>3002</v>
      </c>
      <c r="I749">
        <v>1</v>
      </c>
      <c r="J749" t="str">
        <f>VLOOKUP(A749,店舗コード!A:B,2,FALSE)</f>
        <v>07 TOKYO</v>
      </c>
      <c r="O749" s="2"/>
    </row>
    <row r="750" spans="1:15">
      <c r="A750" t="s">
        <v>1846</v>
      </c>
      <c r="B750" s="4" t="s">
        <v>116</v>
      </c>
      <c r="C750" t="s">
        <v>3001</v>
      </c>
      <c r="D750">
        <v>23510</v>
      </c>
      <c r="E750" t="s">
        <v>86</v>
      </c>
      <c r="F750">
        <v>540</v>
      </c>
      <c r="G750" t="s">
        <v>3024</v>
      </c>
      <c r="H750" t="s">
        <v>3002</v>
      </c>
      <c r="I750">
        <v>1</v>
      </c>
      <c r="J750" t="str">
        <f>VLOOKUP(A750,店舗コード!A:B,2,FALSE)</f>
        <v>07 TOKYO</v>
      </c>
      <c r="O750" s="2"/>
    </row>
    <row r="751" spans="1:15">
      <c r="A751" t="s">
        <v>3140</v>
      </c>
      <c r="B751" s="4" t="s">
        <v>2970</v>
      </c>
      <c r="C751" t="s">
        <v>3001</v>
      </c>
      <c r="D751">
        <v>23620</v>
      </c>
      <c r="E751" t="s">
        <v>1857</v>
      </c>
      <c r="F751" t="s">
        <v>3275</v>
      </c>
      <c r="G751" t="s">
        <v>3276</v>
      </c>
      <c r="H751" t="s">
        <v>3002</v>
      </c>
      <c r="I751">
        <v>1</v>
      </c>
      <c r="J751" t="str">
        <f>VLOOKUP(A751,店舗コード!A:B,2,FALSE)</f>
        <v>20 NARITA</v>
      </c>
      <c r="O751" s="2"/>
    </row>
    <row r="752" spans="1:15">
      <c r="A752" t="s">
        <v>2993</v>
      </c>
      <c r="B752" s="4" t="s">
        <v>3339</v>
      </c>
      <c r="C752" t="s">
        <v>3001</v>
      </c>
      <c r="D752">
        <v>23226</v>
      </c>
      <c r="E752" t="s">
        <v>3020</v>
      </c>
      <c r="F752">
        <v>550</v>
      </c>
      <c r="G752" t="s">
        <v>2998</v>
      </c>
      <c r="H752" t="s">
        <v>3002</v>
      </c>
      <c r="I752">
        <v>1</v>
      </c>
      <c r="J752" t="str">
        <f>VLOOKUP(A752,店舗コード!A:B,2,FALSE)</f>
        <v>15 大丸心斎橋</v>
      </c>
      <c r="O752" s="2"/>
    </row>
    <row r="753" spans="1:15">
      <c r="A753" t="s">
        <v>2953</v>
      </c>
      <c r="B753" s="4" t="s">
        <v>3438</v>
      </c>
      <c r="C753" t="s">
        <v>3001</v>
      </c>
      <c r="D753">
        <v>23797</v>
      </c>
      <c r="E753" t="s">
        <v>2735</v>
      </c>
      <c r="F753">
        <v>115</v>
      </c>
      <c r="G753" t="s">
        <v>3375</v>
      </c>
      <c r="H753" t="s">
        <v>3002</v>
      </c>
      <c r="I753">
        <v>1</v>
      </c>
      <c r="J753" t="str">
        <f>VLOOKUP(A753,店舗コード!A:B,2,FALSE)</f>
        <v>04 名古屋</v>
      </c>
      <c r="O753" s="2"/>
    </row>
    <row r="754" spans="1:15">
      <c r="A754" t="s">
        <v>2960</v>
      </c>
      <c r="B754" s="4" t="s">
        <v>2985</v>
      </c>
      <c r="C754" t="s">
        <v>3001</v>
      </c>
      <c r="D754">
        <v>23510</v>
      </c>
      <c r="E754" t="s">
        <v>86</v>
      </c>
      <c r="F754">
        <v>600</v>
      </c>
      <c r="G754" t="s">
        <v>3282</v>
      </c>
      <c r="H754" t="s">
        <v>3002</v>
      </c>
      <c r="I754">
        <v>1</v>
      </c>
      <c r="J754" t="str">
        <f>VLOOKUP(A754,店舗コード!A:B,2,FALSE)</f>
        <v>13 京王新宿</v>
      </c>
      <c r="O754" s="2"/>
    </row>
    <row r="755" spans="1:15">
      <c r="A755" t="s">
        <v>2993</v>
      </c>
      <c r="B755" s="4" t="s">
        <v>2985</v>
      </c>
      <c r="C755" t="s">
        <v>3001</v>
      </c>
      <c r="D755">
        <v>23510</v>
      </c>
      <c r="E755" t="s">
        <v>86</v>
      </c>
      <c r="F755">
        <v>600</v>
      </c>
      <c r="G755" t="s">
        <v>3282</v>
      </c>
      <c r="H755" t="s">
        <v>3002</v>
      </c>
      <c r="I755">
        <v>1</v>
      </c>
      <c r="J755" t="str">
        <f>VLOOKUP(A755,店舗コード!A:B,2,FALSE)</f>
        <v>15 大丸心斎橋</v>
      </c>
      <c r="O755" s="2"/>
    </row>
    <row r="756" spans="1:15">
      <c r="A756" t="s">
        <v>2993</v>
      </c>
      <c r="B756" s="4" t="s">
        <v>3754</v>
      </c>
      <c r="C756" t="s">
        <v>3001</v>
      </c>
      <c r="D756">
        <v>23346</v>
      </c>
      <c r="E756" t="s">
        <v>3041</v>
      </c>
      <c r="F756">
        <v>50</v>
      </c>
      <c r="G756" t="s">
        <v>3037</v>
      </c>
      <c r="H756" t="s">
        <v>3002</v>
      </c>
      <c r="I756">
        <v>1</v>
      </c>
      <c r="J756" t="str">
        <f>VLOOKUP(A756,店舗コード!A:B,2,FALSE)</f>
        <v>15 大丸心斎橋</v>
      </c>
      <c r="O756" s="2"/>
    </row>
    <row r="757" spans="1:15">
      <c r="A757" t="s">
        <v>2980</v>
      </c>
      <c r="B757" s="4" t="s">
        <v>229</v>
      </c>
      <c r="C757" t="s">
        <v>3001</v>
      </c>
      <c r="D757">
        <v>23565</v>
      </c>
      <c r="E757" t="s">
        <v>220</v>
      </c>
      <c r="F757">
        <v>560</v>
      </c>
      <c r="G757" t="s">
        <v>3025</v>
      </c>
      <c r="H757" t="s">
        <v>3002</v>
      </c>
      <c r="I757">
        <v>1</v>
      </c>
      <c r="J757" t="str">
        <f>VLOOKUP(A757,店舗コード!A:B,2,FALSE)</f>
        <v>17 玉川高島屋</v>
      </c>
      <c r="O757" s="2"/>
    </row>
    <row r="758" spans="1:15">
      <c r="A758" t="s">
        <v>1846</v>
      </c>
      <c r="B758" s="4" t="s">
        <v>731</v>
      </c>
      <c r="C758" t="s">
        <v>3001</v>
      </c>
      <c r="D758">
        <v>79030</v>
      </c>
      <c r="E758" t="s">
        <v>732</v>
      </c>
      <c r="H758" t="s">
        <v>3002</v>
      </c>
      <c r="I758">
        <v>1</v>
      </c>
      <c r="J758" t="str">
        <f>VLOOKUP(A758,店舗コード!A:B,2,FALSE)</f>
        <v>07 TOKYO</v>
      </c>
      <c r="O758" s="2"/>
    </row>
    <row r="759" spans="1:15">
      <c r="A759" t="s">
        <v>1846</v>
      </c>
      <c r="B759" s="4" t="s">
        <v>3413</v>
      </c>
      <c r="C759" t="s">
        <v>3001</v>
      </c>
      <c r="D759">
        <v>23803</v>
      </c>
      <c r="E759" t="s">
        <v>3284</v>
      </c>
      <c r="F759">
        <v>633</v>
      </c>
      <c r="G759" t="s">
        <v>3347</v>
      </c>
      <c r="H759" t="s">
        <v>3002</v>
      </c>
      <c r="I759">
        <v>1</v>
      </c>
      <c r="J759" t="str">
        <f>VLOOKUP(A759,店舗コード!A:B,2,FALSE)</f>
        <v>07 TOKYO</v>
      </c>
      <c r="O759" s="2"/>
    </row>
    <row r="760" spans="1:15">
      <c r="A760" t="s">
        <v>3140</v>
      </c>
      <c r="B760" s="4" t="s">
        <v>3503</v>
      </c>
      <c r="C760" t="s">
        <v>3001</v>
      </c>
      <c r="D760">
        <v>23222</v>
      </c>
      <c r="E760" t="s">
        <v>3193</v>
      </c>
      <c r="F760">
        <v>424</v>
      </c>
      <c r="G760" t="s">
        <v>3017</v>
      </c>
      <c r="H760" t="s">
        <v>3002</v>
      </c>
      <c r="I760">
        <v>1</v>
      </c>
      <c r="J760" t="str">
        <f>VLOOKUP(A760,店舗コード!A:B,2,FALSE)</f>
        <v>20 NARITA</v>
      </c>
      <c r="O760" s="2"/>
    </row>
    <row r="761" spans="1:15">
      <c r="A761" t="s">
        <v>1846</v>
      </c>
      <c r="B761" s="4" t="s">
        <v>118</v>
      </c>
      <c r="C761" t="s">
        <v>3001</v>
      </c>
      <c r="D761">
        <v>23510</v>
      </c>
      <c r="E761" t="s">
        <v>86</v>
      </c>
      <c r="F761">
        <v>550</v>
      </c>
      <c r="G761" t="s">
        <v>2998</v>
      </c>
      <c r="H761" t="s">
        <v>3002</v>
      </c>
      <c r="I761">
        <v>1</v>
      </c>
      <c r="J761" t="str">
        <f>VLOOKUP(A761,店舗コード!A:B,2,FALSE)</f>
        <v>07 TOKYO</v>
      </c>
      <c r="O761" s="2"/>
    </row>
    <row r="762" spans="1:15">
      <c r="A762" t="s">
        <v>2942</v>
      </c>
      <c r="B762" s="4" t="s">
        <v>3977</v>
      </c>
      <c r="C762" t="s">
        <v>3001</v>
      </c>
      <c r="D762">
        <v>81511</v>
      </c>
      <c r="E762" t="s">
        <v>2192</v>
      </c>
      <c r="F762">
        <v>195</v>
      </c>
      <c r="G762" t="s">
        <v>3274</v>
      </c>
      <c r="H762" t="s">
        <v>3029</v>
      </c>
      <c r="I762">
        <v>1</v>
      </c>
      <c r="J762" t="str">
        <f>VLOOKUP(A762,店舗コード!A:B,2,FALSE)</f>
        <v>08 ルクア大阪</v>
      </c>
      <c r="O762" s="2"/>
    </row>
    <row r="763" spans="1:15">
      <c r="A763">
        <v>6142</v>
      </c>
      <c r="B763" s="4">
        <v>8118803046</v>
      </c>
      <c r="C763" t="s">
        <v>3001</v>
      </c>
      <c r="D763">
        <v>81188</v>
      </c>
      <c r="E763" t="s">
        <v>3388</v>
      </c>
      <c r="F763">
        <v>30</v>
      </c>
      <c r="G763" t="s">
        <v>3310</v>
      </c>
      <c r="H763">
        <v>46</v>
      </c>
      <c r="I763">
        <v>1</v>
      </c>
      <c r="J763" t="str">
        <f>VLOOKUP(A763,店舗コード!A:B,2,FALSE)</f>
        <v>16 6142</v>
      </c>
      <c r="O763" s="2"/>
    </row>
    <row r="764" spans="1:15">
      <c r="A764" t="s">
        <v>1846</v>
      </c>
      <c r="B764" s="4" t="s">
        <v>2965</v>
      </c>
      <c r="C764" t="s">
        <v>3001</v>
      </c>
      <c r="D764">
        <v>23510</v>
      </c>
      <c r="E764" t="s">
        <v>86</v>
      </c>
      <c r="F764">
        <v>424</v>
      </c>
      <c r="G764" t="s">
        <v>3017</v>
      </c>
      <c r="H764" t="s">
        <v>3002</v>
      </c>
      <c r="I764">
        <v>1</v>
      </c>
      <c r="J764" t="str">
        <f>VLOOKUP(A764,店舗コード!A:B,2,FALSE)</f>
        <v>07 TOKYO</v>
      </c>
      <c r="O764" s="2"/>
    </row>
    <row r="765" spans="1:15">
      <c r="A765" t="s">
        <v>1846</v>
      </c>
      <c r="B765" s="4" t="s">
        <v>3443</v>
      </c>
      <c r="C765" t="s">
        <v>3001</v>
      </c>
      <c r="D765">
        <v>23802</v>
      </c>
      <c r="E765" t="s">
        <v>3444</v>
      </c>
      <c r="F765">
        <v>424</v>
      </c>
      <c r="G765" t="s">
        <v>3017</v>
      </c>
      <c r="H765" t="s">
        <v>3002</v>
      </c>
      <c r="I765">
        <v>1</v>
      </c>
      <c r="J765" t="str">
        <f>VLOOKUP(A765,店舗コード!A:B,2,FALSE)</f>
        <v>07 TOKYO</v>
      </c>
      <c r="O765" s="2"/>
    </row>
    <row r="766" spans="1:15">
      <c r="A766" t="s">
        <v>2944</v>
      </c>
      <c r="B766" s="4" t="s">
        <v>2976</v>
      </c>
      <c r="C766" t="s">
        <v>3001</v>
      </c>
      <c r="D766">
        <v>23510</v>
      </c>
      <c r="E766" t="s">
        <v>86</v>
      </c>
      <c r="F766" t="s">
        <v>3021</v>
      </c>
      <c r="G766" t="s">
        <v>3022</v>
      </c>
      <c r="H766" t="s">
        <v>3002</v>
      </c>
      <c r="I766">
        <v>1</v>
      </c>
      <c r="J766" t="str">
        <f>VLOOKUP(A766,店舗コード!A:B,2,FALSE)</f>
        <v>10 ヒュッテ</v>
      </c>
      <c r="O766" s="2"/>
    </row>
    <row r="767" spans="1:15">
      <c r="A767" t="s">
        <v>2942</v>
      </c>
      <c r="B767" s="4" t="s">
        <v>649</v>
      </c>
      <c r="C767" t="s">
        <v>3001</v>
      </c>
      <c r="D767">
        <v>77297</v>
      </c>
      <c r="E767" t="s">
        <v>645</v>
      </c>
      <c r="F767">
        <v>633</v>
      </c>
      <c r="G767" t="s">
        <v>3347</v>
      </c>
      <c r="H767" t="s">
        <v>3002</v>
      </c>
      <c r="I767">
        <v>1</v>
      </c>
      <c r="J767" t="str">
        <f>VLOOKUP(A767,店舗コード!A:B,2,FALSE)</f>
        <v>08 ルクア大阪</v>
      </c>
      <c r="O767" s="2"/>
    </row>
    <row r="768" spans="1:15">
      <c r="A768" t="s">
        <v>1846</v>
      </c>
      <c r="B768" s="4" t="s">
        <v>3204</v>
      </c>
      <c r="C768" t="s">
        <v>3001</v>
      </c>
      <c r="D768">
        <v>23200337</v>
      </c>
      <c r="E768" t="s">
        <v>3042</v>
      </c>
      <c r="F768">
        <v>662</v>
      </c>
      <c r="G768" t="s">
        <v>3320</v>
      </c>
      <c r="H768" t="s">
        <v>3002</v>
      </c>
      <c r="I768">
        <v>1</v>
      </c>
      <c r="J768" t="str">
        <f>VLOOKUP(A768,店舗コード!A:B,2,FALSE)</f>
        <v>07 TOKYO</v>
      </c>
      <c r="O768" s="2"/>
    </row>
    <row r="769" spans="1:15">
      <c r="A769" t="s">
        <v>1846</v>
      </c>
      <c r="B769" s="4" t="s">
        <v>3978</v>
      </c>
      <c r="C769" t="s">
        <v>3001</v>
      </c>
      <c r="D769">
        <v>81841</v>
      </c>
      <c r="E769" t="s">
        <v>3979</v>
      </c>
      <c r="F769">
        <v>633</v>
      </c>
      <c r="G769" t="s">
        <v>3347</v>
      </c>
      <c r="H769" t="s">
        <v>2999</v>
      </c>
      <c r="I769">
        <v>1</v>
      </c>
      <c r="J769" t="str">
        <f>VLOOKUP(A769,店舗コード!A:B,2,FALSE)</f>
        <v>07 TOKYO</v>
      </c>
      <c r="O769" s="2"/>
    </row>
    <row r="770" spans="1:15">
      <c r="A770" t="s">
        <v>2953</v>
      </c>
      <c r="B770" s="4" t="s">
        <v>2970</v>
      </c>
      <c r="C770" t="s">
        <v>3001</v>
      </c>
      <c r="D770">
        <v>23620</v>
      </c>
      <c r="E770" t="s">
        <v>1857</v>
      </c>
      <c r="F770" t="s">
        <v>3275</v>
      </c>
      <c r="G770" t="s">
        <v>3276</v>
      </c>
      <c r="H770" t="s">
        <v>3002</v>
      </c>
      <c r="I770">
        <v>1</v>
      </c>
      <c r="J770" t="str">
        <f>VLOOKUP(A770,店舗コード!A:B,2,FALSE)</f>
        <v>04 名古屋</v>
      </c>
      <c r="O770" s="2"/>
    </row>
    <row r="771" spans="1:15">
      <c r="A771" t="s">
        <v>1846</v>
      </c>
      <c r="B771" s="4" t="s">
        <v>3875</v>
      </c>
      <c r="C771" t="s">
        <v>3001</v>
      </c>
      <c r="D771">
        <v>13600016</v>
      </c>
      <c r="E771" t="s">
        <v>3876</v>
      </c>
      <c r="F771">
        <v>113</v>
      </c>
      <c r="G771" t="s">
        <v>3349</v>
      </c>
      <c r="H771" t="s">
        <v>2999</v>
      </c>
      <c r="I771">
        <v>1</v>
      </c>
      <c r="J771" t="str">
        <f>VLOOKUP(A771,店舗コード!A:B,2,FALSE)</f>
        <v>07 TOKYO</v>
      </c>
      <c r="O771" s="2"/>
    </row>
    <row r="772" spans="1:15">
      <c r="A772" t="s">
        <v>2980</v>
      </c>
      <c r="B772" s="4" t="s">
        <v>3980</v>
      </c>
      <c r="C772" t="s">
        <v>3001</v>
      </c>
      <c r="D772">
        <v>12500171</v>
      </c>
      <c r="E772" t="s">
        <v>3488</v>
      </c>
      <c r="F772">
        <v>550</v>
      </c>
      <c r="G772" t="s">
        <v>2998</v>
      </c>
      <c r="H772" t="s">
        <v>2999</v>
      </c>
      <c r="I772">
        <v>1</v>
      </c>
      <c r="J772" t="str">
        <f>VLOOKUP(A772,店舗コード!A:B,2,FALSE)</f>
        <v>17 玉川高島屋</v>
      </c>
      <c r="O772" s="2"/>
    </row>
    <row r="773" spans="1:15">
      <c r="A773" t="s">
        <v>2942</v>
      </c>
      <c r="B773" s="4" t="s">
        <v>3981</v>
      </c>
      <c r="C773" t="s">
        <v>3001</v>
      </c>
      <c r="D773">
        <v>87146</v>
      </c>
      <c r="E773" t="s">
        <v>3948</v>
      </c>
      <c r="F773">
        <v>357</v>
      </c>
      <c r="G773" t="s">
        <v>3213</v>
      </c>
      <c r="H773" t="s">
        <v>3191</v>
      </c>
      <c r="I773">
        <v>1</v>
      </c>
      <c r="J773" t="str">
        <f>VLOOKUP(A773,店舗コード!A:B,2,FALSE)</f>
        <v>08 ルクア大阪</v>
      </c>
      <c r="O773" s="2"/>
    </row>
    <row r="774" spans="1:15">
      <c r="A774" t="s">
        <v>1846</v>
      </c>
      <c r="B774" s="4" t="s">
        <v>3049</v>
      </c>
      <c r="C774" t="s">
        <v>3001</v>
      </c>
      <c r="D774">
        <v>23344</v>
      </c>
      <c r="E774" t="s">
        <v>3018</v>
      </c>
      <c r="F774" t="s">
        <v>3038</v>
      </c>
      <c r="G774" t="s">
        <v>3039</v>
      </c>
      <c r="H774" t="s">
        <v>3002</v>
      </c>
      <c r="I774">
        <v>1</v>
      </c>
      <c r="J774" t="str">
        <f>VLOOKUP(A774,店舗コード!A:B,2,FALSE)</f>
        <v>07 TOKYO</v>
      </c>
      <c r="O774" s="2"/>
    </row>
    <row r="775" spans="1:15">
      <c r="A775" t="s">
        <v>1846</v>
      </c>
      <c r="B775" s="4" t="s">
        <v>2971</v>
      </c>
      <c r="C775" t="s">
        <v>3001</v>
      </c>
      <c r="D775">
        <v>23524</v>
      </c>
      <c r="E775" t="s">
        <v>3009</v>
      </c>
      <c r="F775">
        <v>501</v>
      </c>
      <c r="G775" t="s">
        <v>2992</v>
      </c>
      <c r="H775" t="s">
        <v>3002</v>
      </c>
      <c r="I775">
        <v>1</v>
      </c>
      <c r="J775" t="str">
        <f>VLOOKUP(A775,店舗コード!A:B,2,FALSE)</f>
        <v>07 TOKYO</v>
      </c>
      <c r="O775" s="2"/>
    </row>
    <row r="776" spans="1:15">
      <c r="A776">
        <v>6142</v>
      </c>
      <c r="B776" s="4" t="s">
        <v>3476</v>
      </c>
      <c r="C776" t="s">
        <v>3001</v>
      </c>
      <c r="D776">
        <v>23200251</v>
      </c>
      <c r="E776" t="s">
        <v>3293</v>
      </c>
      <c r="F776">
        <v>620</v>
      </c>
      <c r="G776" t="s">
        <v>3026</v>
      </c>
      <c r="H776" t="s">
        <v>3002</v>
      </c>
      <c r="I776">
        <v>1</v>
      </c>
      <c r="J776" t="str">
        <f>VLOOKUP(A776,店舗コード!A:B,2,FALSE)</f>
        <v>16 6142</v>
      </c>
      <c r="O776" s="2"/>
    </row>
    <row r="777" spans="1:15">
      <c r="A777">
        <v>6142</v>
      </c>
      <c r="B777" s="4" t="s">
        <v>3828</v>
      </c>
      <c r="C777" t="s">
        <v>3001</v>
      </c>
      <c r="D777">
        <v>23344</v>
      </c>
      <c r="E777" t="s">
        <v>3018</v>
      </c>
      <c r="F777">
        <v>357</v>
      </c>
      <c r="G777" t="s">
        <v>3213</v>
      </c>
      <c r="H777" t="s">
        <v>3002</v>
      </c>
      <c r="I777">
        <v>1</v>
      </c>
      <c r="J777" t="str">
        <f>VLOOKUP(A777,店舗コード!A:B,2,FALSE)</f>
        <v>16 6142</v>
      </c>
      <c r="O777" s="2"/>
    </row>
    <row r="778" spans="1:15">
      <c r="A778">
        <v>6142</v>
      </c>
      <c r="B778" s="4" t="s">
        <v>133</v>
      </c>
      <c r="C778" t="s">
        <v>3001</v>
      </c>
      <c r="D778">
        <v>23510</v>
      </c>
      <c r="E778" t="s">
        <v>86</v>
      </c>
      <c r="F778">
        <v>664</v>
      </c>
      <c r="G778" t="s">
        <v>3015</v>
      </c>
      <c r="H778" t="s">
        <v>3002</v>
      </c>
      <c r="I778">
        <v>1</v>
      </c>
      <c r="J778" t="str">
        <f>VLOOKUP(A778,店舗コード!A:B,2,FALSE)</f>
        <v>16 6142</v>
      </c>
      <c r="O778" s="2"/>
    </row>
    <row r="779" spans="1:15">
      <c r="A779">
        <v>6142</v>
      </c>
      <c r="B779" s="4" t="s">
        <v>3286</v>
      </c>
      <c r="C779" t="s">
        <v>3001</v>
      </c>
      <c r="D779">
        <v>23797</v>
      </c>
      <c r="E779" t="s">
        <v>3287</v>
      </c>
      <c r="F779">
        <v>302</v>
      </c>
      <c r="G779" t="s">
        <v>3273</v>
      </c>
      <c r="H779" t="s">
        <v>3002</v>
      </c>
      <c r="I779">
        <v>1</v>
      </c>
      <c r="J779" t="str">
        <f>VLOOKUP(A779,店舗コード!A:B,2,FALSE)</f>
        <v>16 6142</v>
      </c>
      <c r="O779" s="2"/>
    </row>
    <row r="780" spans="1:15">
      <c r="A780">
        <v>6142</v>
      </c>
      <c r="B780" s="4" t="s">
        <v>3351</v>
      </c>
      <c r="C780" t="s">
        <v>3001</v>
      </c>
      <c r="D780">
        <v>23797</v>
      </c>
      <c r="E780" t="s">
        <v>2735</v>
      </c>
      <c r="F780" t="s">
        <v>3352</v>
      </c>
      <c r="G780" t="s">
        <v>3353</v>
      </c>
      <c r="H780" t="s">
        <v>3002</v>
      </c>
      <c r="I780">
        <v>1</v>
      </c>
      <c r="J780" t="str">
        <f>VLOOKUP(A780,店舗コード!A:B,2,FALSE)</f>
        <v>16 6142</v>
      </c>
      <c r="O780" s="2"/>
    </row>
    <row r="781" spans="1:15">
      <c r="A781">
        <v>6142</v>
      </c>
      <c r="B781" s="4" t="s">
        <v>3196</v>
      </c>
      <c r="C781" t="s">
        <v>3001</v>
      </c>
      <c r="D781">
        <v>24216</v>
      </c>
      <c r="E781" t="s">
        <v>334</v>
      </c>
      <c r="F781">
        <v>633</v>
      </c>
      <c r="G781" t="s">
        <v>3347</v>
      </c>
      <c r="H781" t="s">
        <v>3002</v>
      </c>
      <c r="I781">
        <v>1</v>
      </c>
      <c r="J781" t="str">
        <f>VLOOKUP(A781,店舗コード!A:B,2,FALSE)</f>
        <v>16 6142</v>
      </c>
      <c r="O781" s="2"/>
    </row>
    <row r="782" spans="1:15">
      <c r="A782" t="s">
        <v>2980</v>
      </c>
      <c r="B782" s="4" t="s">
        <v>3891</v>
      </c>
      <c r="C782" t="s">
        <v>3001</v>
      </c>
      <c r="D782">
        <v>12600249</v>
      </c>
      <c r="E782" t="s">
        <v>3862</v>
      </c>
      <c r="F782">
        <v>555</v>
      </c>
      <c r="G782" t="s">
        <v>3200</v>
      </c>
      <c r="H782" t="s">
        <v>2999</v>
      </c>
      <c r="I782">
        <v>1</v>
      </c>
      <c r="J782" t="str">
        <f>VLOOKUP(A782,店舗コード!A:B,2,FALSE)</f>
        <v>17 玉川高島屋</v>
      </c>
      <c r="O782" s="2"/>
    </row>
    <row r="783" spans="1:15">
      <c r="A783" t="s">
        <v>2980</v>
      </c>
      <c r="B783" s="4" t="s">
        <v>3952</v>
      </c>
      <c r="C783" t="s">
        <v>3001</v>
      </c>
      <c r="D783">
        <v>14600200</v>
      </c>
      <c r="E783" t="s">
        <v>3294</v>
      </c>
      <c r="F783">
        <v>570</v>
      </c>
      <c r="G783" t="s">
        <v>3393</v>
      </c>
      <c r="H783" t="s">
        <v>3030</v>
      </c>
      <c r="I783">
        <v>1</v>
      </c>
      <c r="J783" t="str">
        <f>VLOOKUP(A783,店舗コード!A:B,2,FALSE)</f>
        <v>17 玉川高島屋</v>
      </c>
      <c r="O783" s="2"/>
    </row>
    <row r="784" spans="1:15">
      <c r="A784" t="s">
        <v>2960</v>
      </c>
      <c r="B784" s="4" t="s">
        <v>107</v>
      </c>
      <c r="C784" t="s">
        <v>3001</v>
      </c>
      <c r="D784">
        <v>23510</v>
      </c>
      <c r="E784" t="s">
        <v>86</v>
      </c>
      <c r="F784">
        <v>501</v>
      </c>
      <c r="G784" t="s">
        <v>3023</v>
      </c>
      <c r="H784" t="s">
        <v>3002</v>
      </c>
      <c r="I784">
        <v>1</v>
      </c>
      <c r="J784" t="str">
        <f>VLOOKUP(A784,店舗コード!A:B,2,FALSE)</f>
        <v>13 京王新宿</v>
      </c>
      <c r="O784" s="2"/>
    </row>
    <row r="785" spans="1:15">
      <c r="A785" t="s">
        <v>2944</v>
      </c>
      <c r="B785" s="4" t="s">
        <v>3400</v>
      </c>
      <c r="C785" t="s">
        <v>3001</v>
      </c>
      <c r="D785">
        <v>23803</v>
      </c>
      <c r="E785" t="s">
        <v>3284</v>
      </c>
      <c r="F785">
        <v>118</v>
      </c>
      <c r="G785" t="s">
        <v>3035</v>
      </c>
      <c r="H785" t="s">
        <v>3002</v>
      </c>
      <c r="I785">
        <v>1</v>
      </c>
      <c r="J785" t="str">
        <f>VLOOKUP(A785,店舗コード!A:B,2,FALSE)</f>
        <v>10 ヒュッテ</v>
      </c>
      <c r="O785" s="2"/>
    </row>
    <row r="786" spans="1:15">
      <c r="A786" t="s">
        <v>2944</v>
      </c>
      <c r="B786" s="4" t="s">
        <v>3982</v>
      </c>
      <c r="C786" t="s">
        <v>3001</v>
      </c>
      <c r="D786">
        <v>87039</v>
      </c>
      <c r="E786" t="s">
        <v>3306</v>
      </c>
      <c r="F786">
        <v>113</v>
      </c>
      <c r="G786" t="s">
        <v>3349</v>
      </c>
      <c r="H786" t="s">
        <v>3029</v>
      </c>
      <c r="I786">
        <v>1</v>
      </c>
      <c r="J786" t="str">
        <f>VLOOKUP(A786,店舗コード!A:B,2,FALSE)</f>
        <v>10 ヒュッテ</v>
      </c>
      <c r="O786" s="2"/>
    </row>
    <row r="787" spans="1:15">
      <c r="A787" t="s">
        <v>2942</v>
      </c>
      <c r="B787" s="4" t="s">
        <v>2972</v>
      </c>
      <c r="C787" t="s">
        <v>3001</v>
      </c>
      <c r="D787">
        <v>23524</v>
      </c>
      <c r="E787" t="s">
        <v>3009</v>
      </c>
      <c r="F787">
        <v>46</v>
      </c>
      <c r="G787" t="s">
        <v>3195</v>
      </c>
      <c r="H787" t="s">
        <v>3002</v>
      </c>
      <c r="I787">
        <v>1</v>
      </c>
      <c r="J787" t="str">
        <f>VLOOKUP(A787,店舗コード!A:B,2,FALSE)</f>
        <v>08 ルクア大阪</v>
      </c>
      <c r="O787" s="2"/>
    </row>
    <row r="788" spans="1:15">
      <c r="A788">
        <v>6142</v>
      </c>
      <c r="B788" s="4" t="s">
        <v>3983</v>
      </c>
      <c r="C788" t="s">
        <v>3001</v>
      </c>
      <c r="D788">
        <v>77357</v>
      </c>
      <c r="E788" t="s">
        <v>3036</v>
      </c>
      <c r="F788">
        <v>30</v>
      </c>
      <c r="G788" t="s">
        <v>3310</v>
      </c>
      <c r="H788" t="s">
        <v>3270</v>
      </c>
      <c r="I788">
        <v>1</v>
      </c>
      <c r="J788" t="str">
        <f>VLOOKUP(A788,店舗コード!A:B,2,FALSE)</f>
        <v>16 6142</v>
      </c>
      <c r="O788" s="2"/>
    </row>
    <row r="789" spans="1:15">
      <c r="A789" t="s">
        <v>2993</v>
      </c>
      <c r="B789" s="4" t="s">
        <v>3437</v>
      </c>
      <c r="C789" t="s">
        <v>3001</v>
      </c>
      <c r="D789">
        <v>23200339</v>
      </c>
      <c r="E789" t="s">
        <v>3301</v>
      </c>
      <c r="F789">
        <v>662</v>
      </c>
      <c r="G789" t="s">
        <v>3320</v>
      </c>
      <c r="H789" t="s">
        <v>3002</v>
      </c>
      <c r="I789">
        <v>1</v>
      </c>
      <c r="J789" t="str">
        <f>VLOOKUP(A789,店舗コード!A:B,2,FALSE)</f>
        <v>15 大丸心斎橋</v>
      </c>
      <c r="O789" s="2"/>
    </row>
    <row r="790" spans="1:15">
      <c r="A790" t="s">
        <v>2944</v>
      </c>
      <c r="B790" s="4" t="s">
        <v>3360</v>
      </c>
      <c r="C790" t="s">
        <v>3001</v>
      </c>
      <c r="D790">
        <v>23785</v>
      </c>
      <c r="E790" t="s">
        <v>2007</v>
      </c>
      <c r="F790">
        <v>299</v>
      </c>
      <c r="G790" t="s">
        <v>3361</v>
      </c>
      <c r="H790" t="s">
        <v>3002</v>
      </c>
      <c r="I790">
        <v>1</v>
      </c>
      <c r="J790" t="str">
        <f>VLOOKUP(A790,店舗コード!A:B,2,FALSE)</f>
        <v>10 ヒュッテ</v>
      </c>
      <c r="O790" s="2"/>
    </row>
    <row r="791" spans="1:15">
      <c r="A791" t="s">
        <v>2944</v>
      </c>
      <c r="B791" s="4" t="s">
        <v>3984</v>
      </c>
      <c r="C791" t="s">
        <v>3001</v>
      </c>
      <c r="D791">
        <v>79258</v>
      </c>
      <c r="E791" t="s">
        <v>737</v>
      </c>
      <c r="F791">
        <v>633</v>
      </c>
      <c r="G791" t="s">
        <v>3347</v>
      </c>
      <c r="H791" t="s">
        <v>3040</v>
      </c>
      <c r="I791">
        <v>1</v>
      </c>
      <c r="J791" t="str">
        <f>VLOOKUP(A791,店舗コード!A:B,2,FALSE)</f>
        <v>10 ヒュッテ</v>
      </c>
      <c r="O791" s="2"/>
    </row>
    <row r="792" spans="1:15">
      <c r="A792" t="s">
        <v>2960</v>
      </c>
      <c r="B792" s="4" t="s">
        <v>3438</v>
      </c>
      <c r="C792" t="s">
        <v>3001</v>
      </c>
      <c r="D792">
        <v>23797</v>
      </c>
      <c r="E792" t="s">
        <v>2735</v>
      </c>
      <c r="F792">
        <v>115</v>
      </c>
      <c r="G792" t="s">
        <v>3375</v>
      </c>
      <c r="H792" t="s">
        <v>3002</v>
      </c>
      <c r="I792">
        <v>1</v>
      </c>
      <c r="J792" t="str">
        <f>VLOOKUP(A792,店舗コード!A:B,2,FALSE)</f>
        <v>13 京王新宿</v>
      </c>
      <c r="O792" s="2"/>
    </row>
    <row r="793" spans="1:15">
      <c r="A793" t="s">
        <v>2960</v>
      </c>
      <c r="B793" s="4" t="s">
        <v>2657</v>
      </c>
      <c r="C793" t="s">
        <v>3001</v>
      </c>
      <c r="D793">
        <v>23797</v>
      </c>
      <c r="E793" t="s">
        <v>2735</v>
      </c>
      <c r="F793">
        <v>560</v>
      </c>
      <c r="G793" t="s">
        <v>3421</v>
      </c>
      <c r="H793" t="s">
        <v>3002</v>
      </c>
      <c r="I793">
        <v>1</v>
      </c>
      <c r="J793" t="str">
        <f>VLOOKUP(A793,店舗コード!A:B,2,FALSE)</f>
        <v>13 京王新宿</v>
      </c>
      <c r="O793" s="2"/>
    </row>
    <row r="794" spans="1:15">
      <c r="A794" t="s">
        <v>1846</v>
      </c>
      <c r="B794" s="4" t="s">
        <v>2985</v>
      </c>
      <c r="C794" t="s">
        <v>3001</v>
      </c>
      <c r="D794">
        <v>23510</v>
      </c>
      <c r="E794" t="s">
        <v>86</v>
      </c>
      <c r="F794">
        <v>600</v>
      </c>
      <c r="G794" t="s">
        <v>3282</v>
      </c>
      <c r="H794" t="s">
        <v>3002</v>
      </c>
      <c r="I794">
        <v>1</v>
      </c>
      <c r="J794" t="str">
        <f>VLOOKUP(A794,店舗コード!A:B,2,FALSE)</f>
        <v>07 TOKYO</v>
      </c>
      <c r="O794" s="2"/>
    </row>
    <row r="795" spans="1:15">
      <c r="A795" t="s">
        <v>2942</v>
      </c>
      <c r="B795" s="4" t="s">
        <v>1891</v>
      </c>
      <c r="C795" t="s">
        <v>3001</v>
      </c>
      <c r="D795">
        <v>23165</v>
      </c>
      <c r="E795" t="s">
        <v>1890</v>
      </c>
      <c r="F795">
        <v>550</v>
      </c>
      <c r="G795" t="s">
        <v>2998</v>
      </c>
      <c r="H795" t="s">
        <v>3002</v>
      </c>
      <c r="I795">
        <v>1</v>
      </c>
      <c r="J795" t="str">
        <f>VLOOKUP(A795,店舗コード!A:B,2,FALSE)</f>
        <v>08 ルクア大阪</v>
      </c>
      <c r="O795" s="2"/>
    </row>
    <row r="796" spans="1:15">
      <c r="A796" t="s">
        <v>1846</v>
      </c>
      <c r="B796" s="4" t="s">
        <v>3342</v>
      </c>
      <c r="C796" t="s">
        <v>3001</v>
      </c>
      <c r="D796">
        <v>23200334</v>
      </c>
      <c r="E796" t="s">
        <v>3343</v>
      </c>
      <c r="F796" t="s">
        <v>3344</v>
      </c>
      <c r="G796" t="s">
        <v>3345</v>
      </c>
      <c r="H796" t="s">
        <v>3002</v>
      </c>
      <c r="I796">
        <v>1</v>
      </c>
      <c r="J796" t="str">
        <f>VLOOKUP(A796,店舗コード!A:B,2,FALSE)</f>
        <v>07 TOKYO</v>
      </c>
      <c r="O796" s="2"/>
    </row>
    <row r="797" spans="1:15">
      <c r="A797" t="s">
        <v>1846</v>
      </c>
      <c r="B797" s="4" t="s">
        <v>3194</v>
      </c>
      <c r="C797" t="s">
        <v>3001</v>
      </c>
      <c r="D797">
        <v>23505</v>
      </c>
      <c r="E797" t="s">
        <v>73</v>
      </c>
      <c r="F797">
        <v>228</v>
      </c>
      <c r="G797" t="s">
        <v>3329</v>
      </c>
      <c r="H797" t="s">
        <v>3002</v>
      </c>
      <c r="I797">
        <v>1</v>
      </c>
      <c r="J797" t="str">
        <f>VLOOKUP(A797,店舗コード!A:B,2,FALSE)</f>
        <v>07 TOKYO</v>
      </c>
      <c r="O797" s="2"/>
    </row>
    <row r="798" spans="1:15">
      <c r="A798" t="s">
        <v>2944</v>
      </c>
      <c r="B798" s="4" t="s">
        <v>2985</v>
      </c>
      <c r="C798" t="s">
        <v>3001</v>
      </c>
      <c r="D798">
        <v>23510</v>
      </c>
      <c r="E798" t="s">
        <v>86</v>
      </c>
      <c r="F798">
        <v>600</v>
      </c>
      <c r="G798" t="s">
        <v>3282</v>
      </c>
      <c r="H798" t="s">
        <v>3002</v>
      </c>
      <c r="I798">
        <v>1</v>
      </c>
      <c r="J798" t="str">
        <f>VLOOKUP(A798,店舗コード!A:B,2,FALSE)</f>
        <v>10 ヒュッテ</v>
      </c>
      <c r="O798" s="2"/>
    </row>
    <row r="799" spans="1:15">
      <c r="A799" t="s">
        <v>2953</v>
      </c>
      <c r="B799" s="4" t="s">
        <v>3985</v>
      </c>
      <c r="C799" t="s">
        <v>3001</v>
      </c>
      <c r="D799">
        <v>77352</v>
      </c>
      <c r="E799" t="s">
        <v>664</v>
      </c>
      <c r="F799">
        <v>633</v>
      </c>
      <c r="G799" t="s">
        <v>3347</v>
      </c>
      <c r="H799" t="s">
        <v>3002</v>
      </c>
      <c r="I799">
        <v>1</v>
      </c>
      <c r="J799" t="str">
        <f>VLOOKUP(A799,店舗コード!A:B,2,FALSE)</f>
        <v>04 名古屋</v>
      </c>
      <c r="O799" s="2"/>
    </row>
    <row r="800" spans="1:15">
      <c r="A800" t="s">
        <v>2942</v>
      </c>
      <c r="B800" s="4" t="s">
        <v>3887</v>
      </c>
      <c r="C800" t="s">
        <v>3001</v>
      </c>
      <c r="D800">
        <v>23525</v>
      </c>
      <c r="E800" t="s">
        <v>3012</v>
      </c>
      <c r="F800">
        <v>620</v>
      </c>
      <c r="G800" t="s">
        <v>3026</v>
      </c>
      <c r="H800" t="s">
        <v>3002</v>
      </c>
      <c r="I800">
        <v>1</v>
      </c>
      <c r="J800" t="str">
        <f>VLOOKUP(A800,店舗コード!A:B,2,FALSE)</f>
        <v>08 ルクア大阪</v>
      </c>
      <c r="O800" s="2"/>
    </row>
    <row r="801" spans="1:15">
      <c r="A801" t="s">
        <v>2942</v>
      </c>
      <c r="B801" s="4" t="s">
        <v>3976</v>
      </c>
      <c r="C801" t="s">
        <v>3001</v>
      </c>
      <c r="D801">
        <v>24215</v>
      </c>
      <c r="E801" t="s">
        <v>326</v>
      </c>
      <c r="F801">
        <v>228</v>
      </c>
      <c r="G801" t="s">
        <v>3329</v>
      </c>
      <c r="H801" t="s">
        <v>3002</v>
      </c>
      <c r="I801">
        <v>1</v>
      </c>
      <c r="J801" t="str">
        <f>VLOOKUP(A801,店舗コード!A:B,2,FALSE)</f>
        <v>08 ルクア大阪</v>
      </c>
      <c r="O801" s="2"/>
    </row>
    <row r="802" spans="1:15">
      <c r="A802" t="s">
        <v>2993</v>
      </c>
      <c r="B802" s="4" t="s">
        <v>116</v>
      </c>
      <c r="C802" t="s">
        <v>3001</v>
      </c>
      <c r="D802">
        <v>23510</v>
      </c>
      <c r="E802" t="s">
        <v>86</v>
      </c>
      <c r="F802">
        <v>540</v>
      </c>
      <c r="G802" t="s">
        <v>3024</v>
      </c>
      <c r="H802" t="s">
        <v>3002</v>
      </c>
      <c r="I802">
        <v>1</v>
      </c>
      <c r="J802" t="str">
        <f>VLOOKUP(A802,店舗コード!A:B,2,FALSE)</f>
        <v>15 大丸心斎橋</v>
      </c>
      <c r="O802" s="2"/>
    </row>
    <row r="803" spans="1:15">
      <c r="A803">
        <v>6142</v>
      </c>
      <c r="B803" s="4" t="s">
        <v>3521</v>
      </c>
      <c r="C803" t="s">
        <v>3001</v>
      </c>
      <c r="D803">
        <v>23100160</v>
      </c>
      <c r="E803" t="s">
        <v>3522</v>
      </c>
      <c r="F803">
        <v>620</v>
      </c>
      <c r="G803" t="s">
        <v>3026</v>
      </c>
      <c r="H803" t="s">
        <v>3002</v>
      </c>
      <c r="I803">
        <v>1</v>
      </c>
      <c r="J803" t="str">
        <f>VLOOKUP(A803,店舗コード!A:B,2,FALSE)</f>
        <v>16 6142</v>
      </c>
      <c r="O803" s="2"/>
    </row>
    <row r="804" spans="1:15">
      <c r="A804">
        <v>6142</v>
      </c>
      <c r="B804" s="4" t="s">
        <v>3448</v>
      </c>
      <c r="C804" t="s">
        <v>3001</v>
      </c>
      <c r="D804">
        <v>23200341</v>
      </c>
      <c r="E804" t="s">
        <v>3332</v>
      </c>
      <c r="F804">
        <v>37</v>
      </c>
      <c r="G804" t="s">
        <v>3302</v>
      </c>
      <c r="H804" t="s">
        <v>3002</v>
      </c>
      <c r="I804">
        <v>1</v>
      </c>
      <c r="J804" t="str">
        <f>VLOOKUP(A804,店舗コード!A:B,2,FALSE)</f>
        <v>16 6142</v>
      </c>
      <c r="O804" s="2"/>
    </row>
    <row r="805" spans="1:15">
      <c r="A805" t="s">
        <v>2960</v>
      </c>
      <c r="B805" s="4" t="s">
        <v>2976</v>
      </c>
      <c r="C805" t="s">
        <v>3001</v>
      </c>
      <c r="D805">
        <v>23510</v>
      </c>
      <c r="E805" t="s">
        <v>86</v>
      </c>
      <c r="F805" t="s">
        <v>3021</v>
      </c>
      <c r="G805" t="s">
        <v>3022</v>
      </c>
      <c r="H805" t="s">
        <v>3002</v>
      </c>
      <c r="I805">
        <v>1</v>
      </c>
      <c r="J805" t="str">
        <f>VLOOKUP(A805,店舗コード!A:B,2,FALSE)</f>
        <v>13 京王新宿</v>
      </c>
      <c r="O805" s="2"/>
    </row>
    <row r="806" spans="1:15">
      <c r="A806" t="s">
        <v>2960</v>
      </c>
      <c r="B806" s="4" t="s">
        <v>3198</v>
      </c>
      <c r="C806" t="s">
        <v>3001</v>
      </c>
      <c r="D806">
        <v>23223</v>
      </c>
      <c r="E806" t="s">
        <v>3016</v>
      </c>
      <c r="F806">
        <v>207</v>
      </c>
      <c r="G806" t="s">
        <v>3376</v>
      </c>
      <c r="H806" t="s">
        <v>3002</v>
      </c>
      <c r="I806">
        <v>1</v>
      </c>
      <c r="J806" t="str">
        <f>VLOOKUP(A806,店舗コード!A:B,2,FALSE)</f>
        <v>13 京王新宿</v>
      </c>
      <c r="O806" s="2"/>
    </row>
    <row r="807" spans="1:15">
      <c r="A807" t="s">
        <v>2942</v>
      </c>
      <c r="B807" s="4" t="s">
        <v>3447</v>
      </c>
      <c r="C807" t="s">
        <v>3001</v>
      </c>
      <c r="D807">
        <v>77357</v>
      </c>
      <c r="E807" t="s">
        <v>3036</v>
      </c>
      <c r="F807">
        <v>232</v>
      </c>
      <c r="G807" t="s">
        <v>3366</v>
      </c>
      <c r="H807" t="s">
        <v>3190</v>
      </c>
      <c r="I807">
        <v>1</v>
      </c>
      <c r="J807" t="str">
        <f>VLOOKUP(A807,店舗コード!A:B,2,FALSE)</f>
        <v>08 ルクア大阪</v>
      </c>
      <c r="O807" s="2"/>
    </row>
    <row r="808" spans="1:15">
      <c r="A808" t="s">
        <v>2942</v>
      </c>
      <c r="B808" s="4" t="s">
        <v>3203</v>
      </c>
      <c r="C808" t="s">
        <v>3001</v>
      </c>
      <c r="D808">
        <v>23222</v>
      </c>
      <c r="E808" t="s">
        <v>3193</v>
      </c>
      <c r="F808">
        <v>543</v>
      </c>
      <c r="G808" t="s">
        <v>3188</v>
      </c>
      <c r="H808" t="s">
        <v>3002</v>
      </c>
      <c r="I808">
        <v>1</v>
      </c>
      <c r="J808" t="str">
        <f>VLOOKUP(A808,店舗コード!A:B,2,FALSE)</f>
        <v>08 ルクア大阪</v>
      </c>
      <c r="O808" s="2"/>
    </row>
    <row r="809" spans="1:15">
      <c r="A809" t="s">
        <v>2953</v>
      </c>
      <c r="B809" s="4" t="s">
        <v>1555</v>
      </c>
      <c r="C809" t="s">
        <v>3001</v>
      </c>
      <c r="D809">
        <v>23510</v>
      </c>
      <c r="E809" t="s">
        <v>86</v>
      </c>
      <c r="F809">
        <v>46</v>
      </c>
      <c r="G809" t="s">
        <v>3045</v>
      </c>
      <c r="H809" t="s">
        <v>3002</v>
      </c>
      <c r="I809">
        <v>1</v>
      </c>
      <c r="J809" t="str">
        <f>VLOOKUP(A809,店舗コード!A:B,2,FALSE)</f>
        <v>04 名古屋</v>
      </c>
      <c r="O809" s="2"/>
    </row>
    <row r="810" spans="1:15">
      <c r="A810" t="s">
        <v>2980</v>
      </c>
      <c r="B810" s="4" t="s">
        <v>3011</v>
      </c>
      <c r="C810" t="s">
        <v>3001</v>
      </c>
      <c r="D810">
        <v>23510</v>
      </c>
      <c r="E810" t="s">
        <v>86</v>
      </c>
      <c r="F810">
        <v>302</v>
      </c>
      <c r="G810" t="s">
        <v>3273</v>
      </c>
      <c r="H810" t="s">
        <v>3002</v>
      </c>
      <c r="I810">
        <v>1</v>
      </c>
      <c r="J810" t="str">
        <f>VLOOKUP(A810,店舗コード!A:B,2,FALSE)</f>
        <v>17 玉川高島屋</v>
      </c>
      <c r="O810" s="2"/>
    </row>
    <row r="811" spans="1:15">
      <c r="A811" t="s">
        <v>2980</v>
      </c>
      <c r="B811" s="4" t="s">
        <v>3826</v>
      </c>
      <c r="C811" t="s">
        <v>3001</v>
      </c>
      <c r="D811">
        <v>81280</v>
      </c>
      <c r="E811" t="s">
        <v>3827</v>
      </c>
      <c r="F811">
        <v>118</v>
      </c>
      <c r="G811" t="s">
        <v>3035</v>
      </c>
      <c r="H811" t="s">
        <v>2999</v>
      </c>
      <c r="I811">
        <v>1</v>
      </c>
      <c r="J811" t="str">
        <f>VLOOKUP(A811,店舗コード!A:B,2,FALSE)</f>
        <v>17 玉川高島屋</v>
      </c>
      <c r="O811" s="2"/>
    </row>
    <row r="812" spans="1:15">
      <c r="A812" t="s">
        <v>1846</v>
      </c>
      <c r="B812" s="4" t="s">
        <v>3986</v>
      </c>
      <c r="C812" t="s">
        <v>3001</v>
      </c>
      <c r="D812">
        <v>12100004</v>
      </c>
      <c r="E812" t="s">
        <v>3724</v>
      </c>
      <c r="F812">
        <v>550</v>
      </c>
      <c r="G812" t="s">
        <v>2998</v>
      </c>
      <c r="H812" t="s">
        <v>3270</v>
      </c>
      <c r="I812">
        <v>1</v>
      </c>
      <c r="J812" t="str">
        <f>VLOOKUP(A812,店舗コード!A:B,2,FALSE)</f>
        <v>07 TOKYO</v>
      </c>
      <c r="O812" s="2"/>
    </row>
    <row r="813" spans="1:15">
      <c r="A813" t="s">
        <v>1846</v>
      </c>
      <c r="B813" s="4" t="s">
        <v>3987</v>
      </c>
      <c r="C813" t="s">
        <v>3001</v>
      </c>
      <c r="D813">
        <v>12600268</v>
      </c>
      <c r="E813" t="s">
        <v>3027</v>
      </c>
      <c r="F813">
        <v>113</v>
      </c>
      <c r="G813" t="s">
        <v>3349</v>
      </c>
      <c r="H813" t="s">
        <v>3030</v>
      </c>
      <c r="I813">
        <v>1</v>
      </c>
      <c r="J813" t="str">
        <f>VLOOKUP(A813,店舗コード!A:B,2,FALSE)</f>
        <v>07 TOKYO</v>
      </c>
      <c r="O813" s="2"/>
    </row>
    <row r="814" spans="1:15">
      <c r="A814" t="s">
        <v>1846</v>
      </c>
      <c r="B814" s="4" t="s">
        <v>3518</v>
      </c>
      <c r="C814" t="s">
        <v>3001</v>
      </c>
      <c r="D814">
        <v>87310</v>
      </c>
      <c r="E814" t="s">
        <v>3201</v>
      </c>
      <c r="F814">
        <v>550</v>
      </c>
      <c r="G814" t="s">
        <v>2998</v>
      </c>
      <c r="H814" t="s">
        <v>3030</v>
      </c>
      <c r="I814">
        <v>1</v>
      </c>
      <c r="J814" t="str">
        <f>VLOOKUP(A814,店舗コード!A:B,2,FALSE)</f>
        <v>07 TOKYO</v>
      </c>
      <c r="O814" s="2"/>
    </row>
    <row r="815" spans="1:15">
      <c r="A815" t="s">
        <v>2980</v>
      </c>
      <c r="B815" s="4" t="s">
        <v>3401</v>
      </c>
      <c r="C815" t="s">
        <v>3001</v>
      </c>
      <c r="D815">
        <v>23524</v>
      </c>
      <c r="E815" t="s">
        <v>3009</v>
      </c>
      <c r="F815">
        <v>664</v>
      </c>
      <c r="G815" t="s">
        <v>3015</v>
      </c>
      <c r="H815" t="s">
        <v>3002</v>
      </c>
      <c r="I815">
        <v>1</v>
      </c>
      <c r="J815" t="str">
        <f>VLOOKUP(A815,店舗コード!A:B,2,FALSE)</f>
        <v>17 玉川高島屋</v>
      </c>
      <c r="O815" s="2"/>
    </row>
    <row r="816" spans="1:15">
      <c r="A816" t="s">
        <v>2960</v>
      </c>
      <c r="B816" s="4" t="s">
        <v>2974</v>
      </c>
      <c r="C816" t="s">
        <v>3001</v>
      </c>
      <c r="D816">
        <v>23346</v>
      </c>
      <c r="E816" t="s">
        <v>3041</v>
      </c>
      <c r="F816">
        <v>662</v>
      </c>
      <c r="G816" t="s">
        <v>3320</v>
      </c>
      <c r="H816" t="s">
        <v>3002</v>
      </c>
      <c r="I816">
        <v>1</v>
      </c>
      <c r="J816" t="str">
        <f>VLOOKUP(A816,店舗コード!A:B,2,FALSE)</f>
        <v>13 京王新宿</v>
      </c>
      <c r="O816" s="2"/>
    </row>
    <row r="817" spans="1:15">
      <c r="A817" t="s">
        <v>3140</v>
      </c>
      <c r="B817" s="4" t="s">
        <v>3988</v>
      </c>
      <c r="C817" t="s">
        <v>3001</v>
      </c>
      <c r="D817">
        <v>23225</v>
      </c>
      <c r="E817" t="s">
        <v>3330</v>
      </c>
      <c r="F817">
        <v>543</v>
      </c>
      <c r="G817" t="s">
        <v>3188</v>
      </c>
      <c r="H817" t="s">
        <v>3002</v>
      </c>
      <c r="I817">
        <v>1</v>
      </c>
      <c r="J817" t="str">
        <f>VLOOKUP(A817,店舗コード!A:B,2,FALSE)</f>
        <v>20 NARITA</v>
      </c>
      <c r="O817" s="2"/>
    </row>
    <row r="818" spans="1:15">
      <c r="A818" t="s">
        <v>1846</v>
      </c>
      <c r="B818" s="4" t="s">
        <v>3768</v>
      </c>
      <c r="C818" t="s">
        <v>3001</v>
      </c>
      <c r="D818">
        <v>23344</v>
      </c>
      <c r="E818" t="s">
        <v>3018</v>
      </c>
      <c r="F818">
        <v>228</v>
      </c>
      <c r="G818" t="s">
        <v>3329</v>
      </c>
      <c r="H818" t="s">
        <v>3002</v>
      </c>
      <c r="I818">
        <v>1</v>
      </c>
      <c r="J818" t="str">
        <f>VLOOKUP(A818,店舗コード!A:B,2,FALSE)</f>
        <v>07 TOKYO</v>
      </c>
      <c r="O818" s="2"/>
    </row>
    <row r="819" spans="1:15">
      <c r="A819" t="s">
        <v>2942</v>
      </c>
      <c r="B819" s="4" t="s">
        <v>3420</v>
      </c>
      <c r="C819" t="s">
        <v>3001</v>
      </c>
      <c r="D819">
        <v>23223</v>
      </c>
      <c r="E819" t="s">
        <v>3016</v>
      </c>
      <c r="F819">
        <v>620</v>
      </c>
      <c r="G819" t="s">
        <v>3026</v>
      </c>
      <c r="H819" t="s">
        <v>3002</v>
      </c>
      <c r="I819">
        <v>1</v>
      </c>
      <c r="J819" t="str">
        <f>VLOOKUP(A819,店舗コード!A:B,2,FALSE)</f>
        <v>08 ルクア大阪</v>
      </c>
      <c r="O819" s="2"/>
    </row>
    <row r="820" spans="1:15">
      <c r="A820">
        <v>6142</v>
      </c>
      <c r="B820" s="4" t="s">
        <v>232</v>
      </c>
      <c r="C820" t="s">
        <v>3001</v>
      </c>
      <c r="D820">
        <v>23565</v>
      </c>
      <c r="E820" t="s">
        <v>220</v>
      </c>
      <c r="F820">
        <v>633</v>
      </c>
      <c r="G820" t="s">
        <v>3347</v>
      </c>
      <c r="H820" t="s">
        <v>3002</v>
      </c>
      <c r="I820">
        <v>1</v>
      </c>
      <c r="J820" t="str">
        <f>VLOOKUP(A820,店舗コード!A:B,2,FALSE)</f>
        <v>16 6142</v>
      </c>
      <c r="O820" s="2"/>
    </row>
    <row r="821" spans="1:15">
      <c r="A821" t="s">
        <v>2953</v>
      </c>
      <c r="B821" s="4" t="s">
        <v>360</v>
      </c>
      <c r="C821" t="s">
        <v>3001</v>
      </c>
      <c r="D821">
        <v>24221</v>
      </c>
      <c r="E821" t="s">
        <v>361</v>
      </c>
      <c r="F821">
        <v>30</v>
      </c>
      <c r="G821" t="s">
        <v>3310</v>
      </c>
      <c r="H821" t="s">
        <v>3002</v>
      </c>
      <c r="I821">
        <v>1</v>
      </c>
      <c r="J821" t="str">
        <f>VLOOKUP(A821,店舗コード!A:B,2,FALSE)</f>
        <v>04 名古屋</v>
      </c>
      <c r="O821" s="2"/>
    </row>
    <row r="822" spans="1:15">
      <c r="A822" t="s">
        <v>1846</v>
      </c>
      <c r="B822" s="4" t="s">
        <v>3989</v>
      </c>
      <c r="C822" t="s">
        <v>3001</v>
      </c>
      <c r="D822">
        <v>23222</v>
      </c>
      <c r="E822" t="s">
        <v>3193</v>
      </c>
      <c r="F822">
        <v>221</v>
      </c>
      <c r="G822" t="s">
        <v>3290</v>
      </c>
      <c r="H822" t="s">
        <v>3002</v>
      </c>
      <c r="I822">
        <v>1</v>
      </c>
      <c r="J822" t="str">
        <f>VLOOKUP(A822,店舗コード!A:B,2,FALSE)</f>
        <v>07 TOKYO</v>
      </c>
      <c r="O822" s="2"/>
    </row>
    <row r="823" spans="1:15">
      <c r="A823" t="s">
        <v>1846</v>
      </c>
      <c r="B823" s="4" t="s">
        <v>3465</v>
      </c>
      <c r="C823" t="s">
        <v>3001</v>
      </c>
      <c r="D823">
        <v>23200300</v>
      </c>
      <c r="E823" t="s">
        <v>3466</v>
      </c>
      <c r="F823">
        <v>37</v>
      </c>
      <c r="G823" t="s">
        <v>3302</v>
      </c>
      <c r="H823" t="s">
        <v>3002</v>
      </c>
      <c r="I823">
        <v>1</v>
      </c>
      <c r="J823" t="str">
        <f>VLOOKUP(A823,店舗コード!A:B,2,FALSE)</f>
        <v>07 TOKYO</v>
      </c>
      <c r="O823" s="2"/>
    </row>
    <row r="824" spans="1:15">
      <c r="A824" t="s">
        <v>1846</v>
      </c>
      <c r="B824" s="4" t="s">
        <v>182</v>
      </c>
      <c r="C824" t="s">
        <v>3001</v>
      </c>
      <c r="D824">
        <v>23561</v>
      </c>
      <c r="E824" t="s">
        <v>172</v>
      </c>
      <c r="F824">
        <v>312</v>
      </c>
      <c r="G824" t="s">
        <v>3003</v>
      </c>
      <c r="H824" t="s">
        <v>3002</v>
      </c>
      <c r="I824">
        <v>1</v>
      </c>
      <c r="J824" t="str">
        <f>VLOOKUP(A824,店舗コード!A:B,2,FALSE)</f>
        <v>07 TOKYO</v>
      </c>
      <c r="O824" s="2"/>
    </row>
    <row r="825" spans="1:15">
      <c r="A825" t="s">
        <v>2980</v>
      </c>
      <c r="B825" s="4" t="s">
        <v>3209</v>
      </c>
      <c r="C825" t="s">
        <v>3001</v>
      </c>
      <c r="D825">
        <v>23524</v>
      </c>
      <c r="E825" t="s">
        <v>3009</v>
      </c>
      <c r="F825">
        <v>326</v>
      </c>
      <c r="G825" t="s">
        <v>3013</v>
      </c>
      <c r="H825" t="s">
        <v>3002</v>
      </c>
      <c r="I825">
        <v>1</v>
      </c>
      <c r="J825" t="str">
        <f>VLOOKUP(A825,店舗コード!A:B,2,FALSE)</f>
        <v>17 玉川高島屋</v>
      </c>
      <c r="O825" s="2"/>
    </row>
    <row r="826" spans="1:15">
      <c r="A826" t="s">
        <v>2944</v>
      </c>
      <c r="B826" s="4" t="s">
        <v>3011</v>
      </c>
      <c r="C826" t="s">
        <v>3001</v>
      </c>
      <c r="D826">
        <v>23510</v>
      </c>
      <c r="E826" t="s">
        <v>86</v>
      </c>
      <c r="F826">
        <v>302</v>
      </c>
      <c r="G826" t="s">
        <v>3273</v>
      </c>
      <c r="H826" t="s">
        <v>3002</v>
      </c>
      <c r="I826">
        <v>1</v>
      </c>
      <c r="J826" t="str">
        <f>VLOOKUP(A826,店舗コード!A:B,2,FALSE)</f>
        <v>10 ヒュッテ</v>
      </c>
      <c r="O826" s="2"/>
    </row>
    <row r="827" spans="1:15">
      <c r="A827" t="s">
        <v>1846</v>
      </c>
      <c r="B827" s="4" t="s">
        <v>3286</v>
      </c>
      <c r="C827" t="s">
        <v>3001</v>
      </c>
      <c r="D827">
        <v>23797</v>
      </c>
      <c r="E827" t="s">
        <v>3287</v>
      </c>
      <c r="F827">
        <v>302</v>
      </c>
      <c r="G827" t="s">
        <v>3273</v>
      </c>
      <c r="H827" t="s">
        <v>3002</v>
      </c>
      <c r="I827">
        <v>1</v>
      </c>
      <c r="J827" t="str">
        <f>VLOOKUP(A827,店舗コード!A:B,2,FALSE)</f>
        <v>07 TOKYO</v>
      </c>
      <c r="O827" s="2"/>
    </row>
    <row r="828" spans="1:15">
      <c r="A828" t="s">
        <v>1846</v>
      </c>
      <c r="B828" s="4" t="s">
        <v>3990</v>
      </c>
      <c r="C828" t="s">
        <v>3001</v>
      </c>
      <c r="D828">
        <v>77357</v>
      </c>
      <c r="E828" t="s">
        <v>3036</v>
      </c>
      <c r="F828">
        <v>633</v>
      </c>
      <c r="G828" t="s">
        <v>3347</v>
      </c>
      <c r="H828" t="s">
        <v>3190</v>
      </c>
      <c r="I828">
        <v>1</v>
      </c>
      <c r="J828" t="str">
        <f>VLOOKUP(A828,店舗コード!A:B,2,FALSE)</f>
        <v>07 TOKYO</v>
      </c>
      <c r="O828" s="2"/>
    </row>
    <row r="829" spans="1:15">
      <c r="A829" t="s">
        <v>1846</v>
      </c>
      <c r="B829" s="4" t="s">
        <v>3423</v>
      </c>
      <c r="C829" t="s">
        <v>3001</v>
      </c>
      <c r="D829">
        <v>87310</v>
      </c>
      <c r="E829" t="s">
        <v>3201</v>
      </c>
      <c r="F829">
        <v>633</v>
      </c>
      <c r="G829" t="s">
        <v>3347</v>
      </c>
      <c r="H829" t="s">
        <v>3030</v>
      </c>
      <c r="I829">
        <v>1</v>
      </c>
      <c r="J829" t="str">
        <f>VLOOKUP(A829,店舗コード!A:B,2,FALSE)</f>
        <v>07 TOKYO</v>
      </c>
      <c r="O829" s="2"/>
    </row>
    <row r="830" spans="1:15">
      <c r="A830" t="s">
        <v>2980</v>
      </c>
      <c r="B830" s="4" t="s">
        <v>3533</v>
      </c>
      <c r="C830" t="s">
        <v>3001</v>
      </c>
      <c r="D830">
        <v>23200395</v>
      </c>
      <c r="E830" t="s">
        <v>3304</v>
      </c>
      <c r="F830">
        <v>664</v>
      </c>
      <c r="G830" t="s">
        <v>3015</v>
      </c>
      <c r="H830" t="s">
        <v>3002</v>
      </c>
      <c r="I830">
        <v>1</v>
      </c>
      <c r="J830" t="str">
        <f>VLOOKUP(A830,店舗コード!A:B,2,FALSE)</f>
        <v>17 玉川高島屋</v>
      </c>
      <c r="O830" s="2"/>
    </row>
    <row r="831" spans="1:15">
      <c r="A831" t="s">
        <v>1846</v>
      </c>
      <c r="B831" s="4" t="s">
        <v>2630</v>
      </c>
      <c r="C831" t="s">
        <v>3001</v>
      </c>
      <c r="D831">
        <v>27240</v>
      </c>
      <c r="E831" t="s">
        <v>2616</v>
      </c>
      <c r="F831">
        <v>638</v>
      </c>
      <c r="G831" t="s">
        <v>3872</v>
      </c>
      <c r="H831" t="s">
        <v>3002</v>
      </c>
      <c r="I831">
        <v>1</v>
      </c>
      <c r="J831" t="str">
        <f>VLOOKUP(A831,店舗コード!A:B,2,FALSE)</f>
        <v>07 TOKYO</v>
      </c>
      <c r="O831" s="2"/>
    </row>
    <row r="832" spans="1:15">
      <c r="A832" t="s">
        <v>1846</v>
      </c>
      <c r="B832" s="4" t="s">
        <v>3885</v>
      </c>
      <c r="C832" t="s">
        <v>3001</v>
      </c>
      <c r="D832">
        <v>77410</v>
      </c>
      <c r="E832" t="s">
        <v>3318</v>
      </c>
      <c r="F832">
        <v>550</v>
      </c>
      <c r="G832" t="s">
        <v>2998</v>
      </c>
      <c r="H832" t="s">
        <v>3002</v>
      </c>
      <c r="I832">
        <v>1</v>
      </c>
      <c r="J832" t="str">
        <f>VLOOKUP(A832,店舗コード!A:B,2,FALSE)</f>
        <v>07 TOKYO</v>
      </c>
      <c r="O832" s="2"/>
    </row>
    <row r="833" spans="1:15">
      <c r="A833" t="s">
        <v>2980</v>
      </c>
      <c r="B833" s="4" t="s">
        <v>3470</v>
      </c>
      <c r="C833" t="s">
        <v>3001</v>
      </c>
      <c r="D833">
        <v>23200338</v>
      </c>
      <c r="E833" t="s">
        <v>3370</v>
      </c>
      <c r="F833" t="s">
        <v>3471</v>
      </c>
      <c r="G833" t="s">
        <v>3472</v>
      </c>
      <c r="H833" t="s">
        <v>3002</v>
      </c>
      <c r="I833">
        <v>1</v>
      </c>
      <c r="J833" t="str">
        <f>VLOOKUP(A833,店舗コード!A:B,2,FALSE)</f>
        <v>17 玉川高島屋</v>
      </c>
      <c r="O833" s="2"/>
    </row>
    <row r="834" spans="1:15">
      <c r="A834" t="s">
        <v>2993</v>
      </c>
      <c r="B834" s="4" t="s">
        <v>2965</v>
      </c>
      <c r="C834" t="s">
        <v>3001</v>
      </c>
      <c r="D834">
        <v>23510</v>
      </c>
      <c r="E834" t="s">
        <v>86</v>
      </c>
      <c r="F834">
        <v>424</v>
      </c>
      <c r="G834" t="s">
        <v>3017</v>
      </c>
      <c r="H834" t="s">
        <v>3002</v>
      </c>
      <c r="I834">
        <v>1</v>
      </c>
      <c r="J834" t="str">
        <f>VLOOKUP(A834,店舗コード!A:B,2,FALSE)</f>
        <v>15 大丸心斎橋</v>
      </c>
      <c r="O834" s="2"/>
    </row>
    <row r="835" spans="1:15">
      <c r="A835" t="s">
        <v>3140</v>
      </c>
      <c r="B835" s="4" t="s">
        <v>2963</v>
      </c>
      <c r="C835" t="s">
        <v>3001</v>
      </c>
      <c r="D835">
        <v>23510</v>
      </c>
      <c r="E835" t="s">
        <v>86</v>
      </c>
      <c r="F835">
        <v>457</v>
      </c>
      <c r="G835" t="s">
        <v>3019</v>
      </c>
      <c r="H835" t="s">
        <v>3002</v>
      </c>
      <c r="I835">
        <v>1</v>
      </c>
      <c r="J835" t="str">
        <f>VLOOKUP(A835,店舗コード!A:B,2,FALSE)</f>
        <v>20 NARITA</v>
      </c>
      <c r="O835" s="2"/>
    </row>
    <row r="836" spans="1:15">
      <c r="A836" t="s">
        <v>2980</v>
      </c>
      <c r="B836" s="4" t="s">
        <v>2971</v>
      </c>
      <c r="C836" t="s">
        <v>3001</v>
      </c>
      <c r="D836">
        <v>23524</v>
      </c>
      <c r="E836" t="s">
        <v>3009</v>
      </c>
      <c r="F836">
        <v>501</v>
      </c>
      <c r="G836" t="s">
        <v>2992</v>
      </c>
      <c r="H836" t="s">
        <v>3002</v>
      </c>
      <c r="I836">
        <v>1</v>
      </c>
      <c r="J836" t="str">
        <f>VLOOKUP(A836,店舗コード!A:B,2,FALSE)</f>
        <v>17 玉川高島屋</v>
      </c>
      <c r="O836" s="2"/>
    </row>
    <row r="837" spans="1:15">
      <c r="A837" t="s">
        <v>2942</v>
      </c>
      <c r="B837" s="4" t="s">
        <v>360</v>
      </c>
      <c r="C837" t="s">
        <v>3001</v>
      </c>
      <c r="D837">
        <v>24221</v>
      </c>
      <c r="E837" t="s">
        <v>361</v>
      </c>
      <c r="F837">
        <v>30</v>
      </c>
      <c r="G837" t="s">
        <v>3310</v>
      </c>
      <c r="H837" t="s">
        <v>3002</v>
      </c>
      <c r="I837">
        <v>1</v>
      </c>
      <c r="J837" t="str">
        <f>VLOOKUP(A837,店舗コード!A:B,2,FALSE)</f>
        <v>08 ルクア大阪</v>
      </c>
      <c r="O837" s="2"/>
    </row>
    <row r="838" spans="1:15">
      <c r="A838" t="s">
        <v>1846</v>
      </c>
      <c r="B838" s="4" t="s">
        <v>3412</v>
      </c>
      <c r="C838" t="s">
        <v>3001</v>
      </c>
      <c r="D838">
        <v>23200337</v>
      </c>
      <c r="E838" t="s">
        <v>3042</v>
      </c>
      <c r="F838">
        <v>550</v>
      </c>
      <c r="G838" t="s">
        <v>2998</v>
      </c>
      <c r="H838" t="s">
        <v>3002</v>
      </c>
      <c r="I838">
        <v>1</v>
      </c>
      <c r="J838" t="str">
        <f>VLOOKUP(A838,店舗コード!A:B,2,FALSE)</f>
        <v>07 TOKYO</v>
      </c>
      <c r="O838" s="2"/>
    </row>
    <row r="839" spans="1:15">
      <c r="A839" t="s">
        <v>1846</v>
      </c>
      <c r="B839" s="4" t="s">
        <v>99</v>
      </c>
      <c r="C839" t="s">
        <v>3001</v>
      </c>
      <c r="D839">
        <v>23510</v>
      </c>
      <c r="E839" t="s">
        <v>86</v>
      </c>
      <c r="F839">
        <v>312</v>
      </c>
      <c r="G839" t="s">
        <v>3003</v>
      </c>
      <c r="H839" t="s">
        <v>3002</v>
      </c>
      <c r="I839">
        <v>1</v>
      </c>
      <c r="J839" t="str">
        <f>VLOOKUP(A839,店舗コード!A:B,2,FALSE)</f>
        <v>07 TOKYO</v>
      </c>
      <c r="O839" s="2"/>
    </row>
    <row r="840" spans="1:15">
      <c r="A840" t="s">
        <v>2942</v>
      </c>
      <c r="B840" s="4" t="s">
        <v>3198</v>
      </c>
      <c r="C840" t="s">
        <v>3001</v>
      </c>
      <c r="D840">
        <v>23223</v>
      </c>
      <c r="E840" t="s">
        <v>3016</v>
      </c>
      <c r="F840">
        <v>207</v>
      </c>
      <c r="G840" t="s">
        <v>3376</v>
      </c>
      <c r="H840" t="s">
        <v>3002</v>
      </c>
      <c r="I840">
        <v>1</v>
      </c>
      <c r="J840" t="str">
        <f>VLOOKUP(A840,店舗コード!A:B,2,FALSE)</f>
        <v>08 ルクア大阪</v>
      </c>
      <c r="O840" s="2"/>
    </row>
    <row r="841" spans="1:15">
      <c r="A841" t="s">
        <v>2942</v>
      </c>
      <c r="B841" s="4" t="s">
        <v>3991</v>
      </c>
      <c r="C841" t="s">
        <v>3001</v>
      </c>
      <c r="D841">
        <v>77277</v>
      </c>
      <c r="E841" t="s">
        <v>3480</v>
      </c>
      <c r="F841">
        <v>625</v>
      </c>
      <c r="G841" t="s">
        <v>3450</v>
      </c>
      <c r="H841" t="s">
        <v>3030</v>
      </c>
      <c r="I841">
        <v>1</v>
      </c>
      <c r="J841" t="str">
        <f>VLOOKUP(A841,店舗コード!A:B,2,FALSE)</f>
        <v>08 ルクア大阪</v>
      </c>
      <c r="O841" s="2"/>
    </row>
    <row r="842" spans="1:15">
      <c r="A842" t="s">
        <v>2942</v>
      </c>
      <c r="B842" s="4" t="s">
        <v>3884</v>
      </c>
      <c r="C842" t="s">
        <v>3001</v>
      </c>
      <c r="D842">
        <v>87039</v>
      </c>
      <c r="E842" t="s">
        <v>3306</v>
      </c>
      <c r="F842">
        <v>620</v>
      </c>
      <c r="G842" t="s">
        <v>3026</v>
      </c>
      <c r="H842" t="s">
        <v>3030</v>
      </c>
      <c r="I842">
        <v>1</v>
      </c>
      <c r="J842" t="str">
        <f>VLOOKUP(A842,店舗コード!A:B,2,FALSE)</f>
        <v>08 ルクア大阪</v>
      </c>
      <c r="O842" s="2"/>
    </row>
    <row r="843" spans="1:15">
      <c r="A843" t="s">
        <v>1846</v>
      </c>
      <c r="B843" s="4" t="s">
        <v>2976</v>
      </c>
      <c r="C843" t="s">
        <v>3001</v>
      </c>
      <c r="D843">
        <v>23510</v>
      </c>
      <c r="E843" t="s">
        <v>86</v>
      </c>
      <c r="F843" t="s">
        <v>3021</v>
      </c>
      <c r="G843" t="s">
        <v>3022</v>
      </c>
      <c r="H843" t="s">
        <v>3002</v>
      </c>
      <c r="I843">
        <v>1</v>
      </c>
      <c r="J843" t="str">
        <f>VLOOKUP(A843,店舗コード!A:B,2,FALSE)</f>
        <v>07 TOKYO</v>
      </c>
      <c r="O843" s="2"/>
    </row>
    <row r="844" spans="1:15">
      <c r="A844" t="s">
        <v>2980</v>
      </c>
      <c r="B844" s="4" t="s">
        <v>3802</v>
      </c>
      <c r="C844" t="s">
        <v>3001</v>
      </c>
      <c r="D844">
        <v>23347</v>
      </c>
      <c r="E844" t="s">
        <v>3787</v>
      </c>
      <c r="F844">
        <v>577</v>
      </c>
      <c r="G844" t="s">
        <v>3199</v>
      </c>
      <c r="H844" t="s">
        <v>3002</v>
      </c>
      <c r="I844">
        <v>1</v>
      </c>
      <c r="J844" t="str">
        <f>VLOOKUP(A844,店舗コード!A:B,2,FALSE)</f>
        <v>17 玉川高島屋</v>
      </c>
      <c r="O844" s="2"/>
    </row>
    <row r="845" spans="1:15">
      <c r="A845" t="s">
        <v>2980</v>
      </c>
      <c r="B845" s="4" t="s">
        <v>3980</v>
      </c>
      <c r="C845" t="s">
        <v>3001</v>
      </c>
      <c r="D845">
        <v>12500171</v>
      </c>
      <c r="E845" t="s">
        <v>3488</v>
      </c>
      <c r="F845">
        <v>550</v>
      </c>
      <c r="G845" t="s">
        <v>2998</v>
      </c>
      <c r="H845" t="s">
        <v>2999</v>
      </c>
      <c r="I845">
        <v>-1</v>
      </c>
      <c r="J845" t="str">
        <f>VLOOKUP(A845,店舗コード!A:B,2,FALSE)</f>
        <v>17 玉川高島屋</v>
      </c>
      <c r="O845" s="2"/>
    </row>
    <row r="846" spans="1:15">
      <c r="A846" t="s">
        <v>2980</v>
      </c>
      <c r="B846" s="4" t="s">
        <v>3980</v>
      </c>
      <c r="C846" t="s">
        <v>3001</v>
      </c>
      <c r="D846">
        <v>12500171</v>
      </c>
      <c r="E846" t="s">
        <v>3488</v>
      </c>
      <c r="F846">
        <v>550</v>
      </c>
      <c r="G846" t="s">
        <v>2998</v>
      </c>
      <c r="H846" t="s">
        <v>2999</v>
      </c>
      <c r="I846">
        <v>1</v>
      </c>
      <c r="J846" t="str">
        <f>VLOOKUP(A846,店舗コード!A:B,2,FALSE)</f>
        <v>17 玉川高島屋</v>
      </c>
      <c r="O846" s="2"/>
    </row>
    <row r="847" spans="1:15">
      <c r="A847" t="s">
        <v>1846</v>
      </c>
      <c r="B847" s="4" t="s">
        <v>371</v>
      </c>
      <c r="C847" t="s">
        <v>3001</v>
      </c>
      <c r="D847">
        <v>24221</v>
      </c>
      <c r="E847" t="s">
        <v>361</v>
      </c>
      <c r="F847">
        <v>550</v>
      </c>
      <c r="G847" t="s">
        <v>2998</v>
      </c>
      <c r="H847" t="s">
        <v>3002</v>
      </c>
      <c r="I847">
        <v>1</v>
      </c>
      <c r="J847" t="str">
        <f>VLOOKUP(A847,店舗コード!A:B,2,FALSE)</f>
        <v>07 TOKYO</v>
      </c>
      <c r="O847" s="2"/>
    </row>
    <row r="848" spans="1:15">
      <c r="A848" t="s">
        <v>2942</v>
      </c>
      <c r="B848" s="4" t="s">
        <v>2623</v>
      </c>
      <c r="C848" t="s">
        <v>3001</v>
      </c>
      <c r="D848">
        <v>23505</v>
      </c>
      <c r="E848" t="s">
        <v>73</v>
      </c>
      <c r="F848">
        <v>550</v>
      </c>
      <c r="G848" t="s">
        <v>2998</v>
      </c>
      <c r="H848" t="s">
        <v>3002</v>
      </c>
      <c r="I848">
        <v>1</v>
      </c>
      <c r="J848" t="str">
        <f>VLOOKUP(A848,店舗コード!A:B,2,FALSE)</f>
        <v>08 ルクア大阪</v>
      </c>
      <c r="O848" s="2"/>
    </row>
    <row r="849" spans="1:15">
      <c r="A849" t="s">
        <v>2993</v>
      </c>
      <c r="B849" s="4" t="s">
        <v>3342</v>
      </c>
      <c r="C849" t="s">
        <v>3001</v>
      </c>
      <c r="D849">
        <v>23200334</v>
      </c>
      <c r="E849" t="s">
        <v>3343</v>
      </c>
      <c r="F849" t="s">
        <v>3344</v>
      </c>
      <c r="G849" t="s">
        <v>3345</v>
      </c>
      <c r="H849" t="s">
        <v>3002</v>
      </c>
      <c r="I849">
        <v>1</v>
      </c>
      <c r="J849" t="str">
        <f>VLOOKUP(A849,店舗コード!A:B,2,FALSE)</f>
        <v>15 大丸心斎橋</v>
      </c>
      <c r="O849" s="2"/>
    </row>
    <row r="850" spans="1:15">
      <c r="A850" t="s">
        <v>2993</v>
      </c>
      <c r="B850" s="4" t="s">
        <v>2984</v>
      </c>
      <c r="C850" t="s">
        <v>3001</v>
      </c>
      <c r="D850">
        <v>23505</v>
      </c>
      <c r="E850" t="s">
        <v>73</v>
      </c>
      <c r="F850">
        <v>160</v>
      </c>
      <c r="G850" t="s">
        <v>3010</v>
      </c>
      <c r="H850" t="s">
        <v>3002</v>
      </c>
      <c r="I850">
        <v>1</v>
      </c>
      <c r="J850" t="str">
        <f>VLOOKUP(A850,店舗コード!A:B,2,FALSE)</f>
        <v>15 大丸心斎橋</v>
      </c>
      <c r="O850" s="2"/>
    </row>
    <row r="851" spans="1:15">
      <c r="A851" t="s">
        <v>2953</v>
      </c>
      <c r="B851" s="4" t="s">
        <v>3813</v>
      </c>
      <c r="C851" t="s">
        <v>3001</v>
      </c>
      <c r="D851">
        <v>23200248</v>
      </c>
      <c r="E851" t="s">
        <v>3814</v>
      </c>
      <c r="F851">
        <v>0</v>
      </c>
      <c r="G851" t="s">
        <v>3815</v>
      </c>
      <c r="H851" t="s">
        <v>3002</v>
      </c>
      <c r="I851">
        <v>1</v>
      </c>
      <c r="J851" t="str">
        <f>VLOOKUP(A851,店舗コード!A:B,2,FALSE)</f>
        <v>04 名古屋</v>
      </c>
      <c r="O851" s="2"/>
    </row>
    <row r="852" spans="1:15">
      <c r="A852" t="s">
        <v>2942</v>
      </c>
      <c r="B852" s="4" t="s">
        <v>3992</v>
      </c>
      <c r="C852" t="s">
        <v>3001</v>
      </c>
      <c r="D852">
        <v>12600268</v>
      </c>
      <c r="E852" t="s">
        <v>3027</v>
      </c>
      <c r="F852">
        <v>244</v>
      </c>
      <c r="G852" t="s">
        <v>3295</v>
      </c>
      <c r="H852" t="s">
        <v>3029</v>
      </c>
      <c r="I852">
        <v>1</v>
      </c>
      <c r="J852" t="str">
        <f>VLOOKUP(A852,店舗コード!A:B,2,FALSE)</f>
        <v>08 ルクア大阪</v>
      </c>
      <c r="O852" s="2"/>
    </row>
    <row r="853" spans="1:15">
      <c r="A853" t="s">
        <v>2942</v>
      </c>
      <c r="B853" s="4" t="s">
        <v>3510</v>
      </c>
      <c r="C853" t="s">
        <v>3001</v>
      </c>
      <c r="D853">
        <v>23796</v>
      </c>
      <c r="E853" t="s">
        <v>3034</v>
      </c>
      <c r="F853">
        <v>221</v>
      </c>
      <c r="G853" t="s">
        <v>3290</v>
      </c>
      <c r="H853" t="s">
        <v>3002</v>
      </c>
      <c r="I853">
        <v>1</v>
      </c>
      <c r="J853" t="str">
        <f>VLOOKUP(A853,店舗コード!A:B,2,FALSE)</f>
        <v>08 ルクア大阪</v>
      </c>
      <c r="O853" s="2"/>
    </row>
    <row r="854" spans="1:15">
      <c r="A854" t="s">
        <v>2942</v>
      </c>
      <c r="B854" s="4" t="s">
        <v>3990</v>
      </c>
      <c r="C854" t="s">
        <v>3001</v>
      </c>
      <c r="D854">
        <v>77357</v>
      </c>
      <c r="E854" t="s">
        <v>3036</v>
      </c>
      <c r="F854">
        <v>633</v>
      </c>
      <c r="G854" t="s">
        <v>3347</v>
      </c>
      <c r="H854" t="s">
        <v>3190</v>
      </c>
      <c r="I854">
        <v>1</v>
      </c>
      <c r="J854" t="str">
        <f>VLOOKUP(A854,店舗コード!A:B,2,FALSE)</f>
        <v>08 ルクア大阪</v>
      </c>
      <c r="O854" s="2"/>
    </row>
    <row r="855" spans="1:15">
      <c r="A855" t="s">
        <v>2993</v>
      </c>
      <c r="B855" s="4" t="s">
        <v>3425</v>
      </c>
      <c r="C855" t="s">
        <v>3001</v>
      </c>
      <c r="D855">
        <v>23200303</v>
      </c>
      <c r="E855" t="s">
        <v>3387</v>
      </c>
      <c r="F855">
        <v>37</v>
      </c>
      <c r="G855" t="s">
        <v>3302</v>
      </c>
      <c r="H855" t="s">
        <v>3002</v>
      </c>
      <c r="I855">
        <v>1</v>
      </c>
      <c r="J855" t="str">
        <f>VLOOKUP(A855,店舗コード!A:B,2,FALSE)</f>
        <v>15 大丸心斎橋</v>
      </c>
      <c r="O855" s="2"/>
    </row>
    <row r="856" spans="1:15">
      <c r="A856" t="s">
        <v>2960</v>
      </c>
      <c r="B856" s="4" t="s">
        <v>3888</v>
      </c>
      <c r="C856" t="s">
        <v>3001</v>
      </c>
      <c r="D856">
        <v>23200337</v>
      </c>
      <c r="E856" t="s">
        <v>3042</v>
      </c>
      <c r="F856">
        <v>300</v>
      </c>
      <c r="G856" t="s">
        <v>3314</v>
      </c>
      <c r="H856" t="s">
        <v>3002</v>
      </c>
      <c r="I856">
        <v>1</v>
      </c>
      <c r="J856" t="str">
        <f>VLOOKUP(A856,店舗コード!A:B,2,FALSE)</f>
        <v>13 京王新宿</v>
      </c>
      <c r="O856" s="2"/>
    </row>
    <row r="857" spans="1:15">
      <c r="A857" t="s">
        <v>3140</v>
      </c>
      <c r="B857" s="4" t="s">
        <v>3536</v>
      </c>
      <c r="C857" t="s">
        <v>3001</v>
      </c>
      <c r="D857">
        <v>23561</v>
      </c>
      <c r="E857" t="s">
        <v>172</v>
      </c>
      <c r="F857">
        <v>600</v>
      </c>
      <c r="G857" t="s">
        <v>3282</v>
      </c>
      <c r="H857" t="s">
        <v>3002</v>
      </c>
      <c r="I857">
        <v>1</v>
      </c>
      <c r="J857" t="str">
        <f>VLOOKUP(A857,店舗コード!A:B,2,FALSE)</f>
        <v>20 NARITA</v>
      </c>
      <c r="O857" s="2"/>
    </row>
    <row r="858" spans="1:15">
      <c r="A858" t="s">
        <v>2980</v>
      </c>
      <c r="B858" s="4" t="s">
        <v>3048</v>
      </c>
      <c r="C858" t="s">
        <v>3001</v>
      </c>
      <c r="D858">
        <v>23200408</v>
      </c>
      <c r="E858" t="s">
        <v>3377</v>
      </c>
      <c r="F858" t="s">
        <v>3378</v>
      </c>
      <c r="G858" t="s">
        <v>3379</v>
      </c>
      <c r="H858" t="s">
        <v>3002</v>
      </c>
      <c r="I858">
        <v>1</v>
      </c>
      <c r="J858" t="str">
        <f>VLOOKUP(A858,店舗コード!A:B,2,FALSE)</f>
        <v>17 玉川高島屋</v>
      </c>
      <c r="O858" s="2"/>
    </row>
    <row r="859" spans="1:15">
      <c r="A859" t="s">
        <v>3140</v>
      </c>
      <c r="B859" s="4" t="s">
        <v>3285</v>
      </c>
      <c r="C859" t="s">
        <v>3001</v>
      </c>
      <c r="D859">
        <v>23561</v>
      </c>
      <c r="E859" t="s">
        <v>172</v>
      </c>
      <c r="F859" t="s">
        <v>3005</v>
      </c>
      <c r="G859" t="s">
        <v>3006</v>
      </c>
      <c r="H859" t="s">
        <v>3002</v>
      </c>
      <c r="I859">
        <v>1</v>
      </c>
      <c r="J859" t="str">
        <f>VLOOKUP(A859,店舗コード!A:B,2,FALSE)</f>
        <v>20 NARITA</v>
      </c>
      <c r="O859" s="2"/>
    </row>
    <row r="860" spans="1:15">
      <c r="A860" t="s">
        <v>2942</v>
      </c>
      <c r="B860" s="4" t="s">
        <v>3355</v>
      </c>
      <c r="C860" t="s">
        <v>3001</v>
      </c>
      <c r="D860">
        <v>23565</v>
      </c>
      <c r="E860" t="s">
        <v>220</v>
      </c>
      <c r="F860">
        <v>238</v>
      </c>
      <c r="G860" t="s">
        <v>3288</v>
      </c>
      <c r="H860" t="s">
        <v>3002</v>
      </c>
      <c r="I860">
        <v>1</v>
      </c>
      <c r="J860" t="str">
        <f>VLOOKUP(A860,店舗コード!A:B,2,FALSE)</f>
        <v>08 ルクア大阪</v>
      </c>
      <c r="O860" s="2"/>
    </row>
    <row r="861" spans="1:15">
      <c r="A861" t="s">
        <v>2942</v>
      </c>
      <c r="B861" s="4" t="s">
        <v>733</v>
      </c>
      <c r="C861" t="s">
        <v>3001</v>
      </c>
      <c r="D861">
        <v>79060</v>
      </c>
      <c r="E861" t="s">
        <v>734</v>
      </c>
      <c r="H861" t="s">
        <v>3002</v>
      </c>
      <c r="I861">
        <v>1</v>
      </c>
      <c r="J861" t="str">
        <f>VLOOKUP(A861,店舗コード!A:B,2,FALSE)</f>
        <v>08 ルクア大阪</v>
      </c>
      <c r="O861" s="2"/>
    </row>
    <row r="862" spans="1:15">
      <c r="H862"/>
      <c r="J862" t="e">
        <f>VLOOKUP(A862,店舗コード!A:B,2,FALSE)</f>
        <v>#N/A</v>
      </c>
      <c r="O862" s="2"/>
    </row>
    <row r="863" spans="1:15">
      <c r="H863"/>
      <c r="J863" t="e">
        <f>VLOOKUP(A863,店舗コード!A:B,2,FALSE)</f>
        <v>#N/A</v>
      </c>
      <c r="O863" s="2"/>
    </row>
    <row r="864" spans="1:15">
      <c r="H864"/>
      <c r="J864" t="e">
        <f>VLOOKUP(A864,店舗コード!A:B,2,FALSE)</f>
        <v>#N/A</v>
      </c>
      <c r="O864" s="2"/>
    </row>
    <row r="865" spans="8:15">
      <c r="H865"/>
      <c r="J865" t="e">
        <f>VLOOKUP(A865,店舗コード!A:B,2,FALSE)</f>
        <v>#N/A</v>
      </c>
      <c r="O865" s="2"/>
    </row>
    <row r="866" spans="8:15">
      <c r="H866"/>
      <c r="J866" t="e">
        <f>VLOOKUP(A866,店舗コード!A:B,2,FALSE)</f>
        <v>#N/A</v>
      </c>
      <c r="O866" s="2"/>
    </row>
    <row r="867" spans="8:15">
      <c r="H867"/>
      <c r="J867" t="e">
        <f>VLOOKUP(A867,店舗コード!A:B,2,FALSE)</f>
        <v>#N/A</v>
      </c>
      <c r="O867" s="2"/>
    </row>
    <row r="868" spans="8:15">
      <c r="H868"/>
      <c r="J868" t="e">
        <f>VLOOKUP(A868,店舗コード!A:B,2,FALSE)</f>
        <v>#N/A</v>
      </c>
      <c r="O868" s="2"/>
    </row>
    <row r="869" spans="8:15">
      <c r="H869"/>
      <c r="J869" t="e">
        <f>VLOOKUP(A869,店舗コード!A:B,2,FALSE)</f>
        <v>#N/A</v>
      </c>
      <c r="O869" s="2"/>
    </row>
    <row r="870" spans="8:15">
      <c r="H870"/>
      <c r="J870" t="e">
        <f>VLOOKUP(A870,店舗コード!A:B,2,FALSE)</f>
        <v>#N/A</v>
      </c>
      <c r="O870" s="2"/>
    </row>
    <row r="871" spans="8:15">
      <c r="H871"/>
      <c r="J871" t="e">
        <f>VLOOKUP(A871,店舗コード!A:B,2,FALSE)</f>
        <v>#N/A</v>
      </c>
      <c r="O871" s="2"/>
    </row>
    <row r="872" spans="8:15">
      <c r="H872"/>
      <c r="J872" t="e">
        <f>VLOOKUP(A872,店舗コード!A:B,2,FALSE)</f>
        <v>#N/A</v>
      </c>
      <c r="O872" s="2"/>
    </row>
    <row r="873" spans="8:15">
      <c r="H873"/>
      <c r="J873" t="e">
        <f>VLOOKUP(A873,店舗コード!A:B,2,FALSE)</f>
        <v>#N/A</v>
      </c>
      <c r="O873" s="2"/>
    </row>
    <row r="874" spans="8:15">
      <c r="H874"/>
      <c r="J874" t="e">
        <f>VLOOKUP(A874,店舗コード!A:B,2,FALSE)</f>
        <v>#N/A</v>
      </c>
      <c r="O874" s="2"/>
    </row>
    <row r="875" spans="8:15">
      <c r="H875"/>
      <c r="J875" t="e">
        <f>VLOOKUP(A875,店舗コード!A:B,2,FALSE)</f>
        <v>#N/A</v>
      </c>
      <c r="O875" s="2"/>
    </row>
    <row r="876" spans="8:15">
      <c r="H876"/>
      <c r="J876" t="e">
        <f>VLOOKUP(A876,店舗コード!A:B,2,FALSE)</f>
        <v>#N/A</v>
      </c>
      <c r="O876" s="2"/>
    </row>
    <row r="877" spans="8:15">
      <c r="H877"/>
      <c r="J877" t="e">
        <f>VLOOKUP(A877,店舗コード!A:B,2,FALSE)</f>
        <v>#N/A</v>
      </c>
      <c r="O877" s="2"/>
    </row>
    <row r="878" spans="8:15">
      <c r="H878"/>
      <c r="J878" t="e">
        <f>VLOOKUP(A878,店舗コード!A:B,2,FALSE)</f>
        <v>#N/A</v>
      </c>
      <c r="O878" s="2"/>
    </row>
    <row r="879" spans="8:15">
      <c r="H879"/>
      <c r="J879" t="e">
        <f>VLOOKUP(A879,店舗コード!A:B,2,FALSE)</f>
        <v>#N/A</v>
      </c>
      <c r="O879" s="2"/>
    </row>
    <row r="880" spans="8:15">
      <c r="H880"/>
      <c r="J880" t="e">
        <f>VLOOKUP(A880,店舗コード!A:B,2,FALSE)</f>
        <v>#N/A</v>
      </c>
      <c r="O880" s="2"/>
    </row>
    <row r="881" spans="8:15">
      <c r="H881"/>
      <c r="J881" t="e">
        <f>VLOOKUP(A881,店舗コード!A:B,2,FALSE)</f>
        <v>#N/A</v>
      </c>
      <c r="O881" s="2"/>
    </row>
    <row r="882" spans="8:15">
      <c r="H882"/>
      <c r="J882" t="e">
        <f>VLOOKUP(A882,店舗コード!A:B,2,FALSE)</f>
        <v>#N/A</v>
      </c>
      <c r="O882" s="2"/>
    </row>
    <row r="883" spans="8:15">
      <c r="H883"/>
      <c r="J883" t="e">
        <f>VLOOKUP(A883,店舗コード!A:B,2,FALSE)</f>
        <v>#N/A</v>
      </c>
      <c r="O883" s="2"/>
    </row>
    <row r="884" spans="8:15">
      <c r="H884"/>
      <c r="J884" t="e">
        <f>VLOOKUP(A884,店舗コード!A:B,2,FALSE)</f>
        <v>#N/A</v>
      </c>
      <c r="O884" s="2"/>
    </row>
    <row r="885" spans="8:15">
      <c r="H885"/>
      <c r="J885" t="e">
        <f>VLOOKUP(A885,店舗コード!A:B,2,FALSE)</f>
        <v>#N/A</v>
      </c>
      <c r="O885" s="2"/>
    </row>
    <row r="886" spans="8:15">
      <c r="H886"/>
      <c r="J886" t="e">
        <f>VLOOKUP(A886,店舗コード!A:B,2,FALSE)</f>
        <v>#N/A</v>
      </c>
      <c r="O886" s="2"/>
    </row>
    <row r="887" spans="8:15">
      <c r="H887"/>
      <c r="J887" t="e">
        <f>VLOOKUP(A887,店舗コード!A:B,2,FALSE)</f>
        <v>#N/A</v>
      </c>
      <c r="O887" s="2"/>
    </row>
    <row r="888" spans="8:15">
      <c r="H888"/>
      <c r="J888" t="e">
        <f>VLOOKUP(A888,店舗コード!A:B,2,FALSE)</f>
        <v>#N/A</v>
      </c>
      <c r="O888" s="2"/>
    </row>
    <row r="889" spans="8:15">
      <c r="H889"/>
      <c r="J889" t="e">
        <f>VLOOKUP(A889,店舗コード!A:B,2,FALSE)</f>
        <v>#N/A</v>
      </c>
      <c r="O889" s="2"/>
    </row>
    <row r="890" spans="8:15">
      <c r="H890"/>
      <c r="J890" t="e">
        <f>VLOOKUP(A890,店舗コード!A:B,2,FALSE)</f>
        <v>#N/A</v>
      </c>
      <c r="O890" s="2"/>
    </row>
    <row r="891" spans="8:15">
      <c r="H891"/>
      <c r="J891" t="e">
        <f>VLOOKUP(A891,店舗コード!A:B,2,FALSE)</f>
        <v>#N/A</v>
      </c>
      <c r="O891" s="2"/>
    </row>
    <row r="892" spans="8:15">
      <c r="H892"/>
      <c r="J892" t="e">
        <f>VLOOKUP(A892,店舗コード!A:B,2,FALSE)</f>
        <v>#N/A</v>
      </c>
      <c r="O892" s="2"/>
    </row>
    <row r="893" spans="8:15">
      <c r="H893"/>
      <c r="J893" t="e">
        <f>VLOOKUP(A893,店舗コード!A:B,2,FALSE)</f>
        <v>#N/A</v>
      </c>
      <c r="O893" s="2"/>
    </row>
    <row r="894" spans="8:15">
      <c r="H894"/>
      <c r="J894" t="e">
        <f>VLOOKUP(A894,店舗コード!A:B,2,FALSE)</f>
        <v>#N/A</v>
      </c>
      <c r="O894" s="2"/>
    </row>
    <row r="895" spans="8:15">
      <c r="H895"/>
      <c r="J895" t="e">
        <f>VLOOKUP(A895,店舗コード!A:B,2,FALSE)</f>
        <v>#N/A</v>
      </c>
      <c r="O895" s="2"/>
    </row>
    <row r="896" spans="8:15">
      <c r="H896"/>
      <c r="J896" t="e">
        <f>VLOOKUP(A896,店舗コード!A:B,2,FALSE)</f>
        <v>#N/A</v>
      </c>
      <c r="O896" s="2"/>
    </row>
    <row r="897" spans="8:15">
      <c r="H897"/>
      <c r="J897" t="e">
        <f>VLOOKUP(A897,店舗コード!A:B,2,FALSE)</f>
        <v>#N/A</v>
      </c>
      <c r="O897" s="2"/>
    </row>
    <row r="898" spans="8:15">
      <c r="H898"/>
      <c r="J898" t="e">
        <f>VLOOKUP(A898,店舗コード!A:B,2,FALSE)</f>
        <v>#N/A</v>
      </c>
      <c r="O898" s="2"/>
    </row>
    <row r="899" spans="8:15">
      <c r="H899"/>
      <c r="J899" t="e">
        <f>VLOOKUP(A899,店舗コード!A:B,2,FALSE)</f>
        <v>#N/A</v>
      </c>
      <c r="O899" s="2"/>
    </row>
    <row r="900" spans="8:15">
      <c r="H900"/>
      <c r="J900" t="e">
        <f>VLOOKUP(A900,店舗コード!A:B,2,FALSE)</f>
        <v>#N/A</v>
      </c>
      <c r="O900" s="2"/>
    </row>
    <row r="901" spans="8:15">
      <c r="H901"/>
      <c r="J901" t="e">
        <f>VLOOKUP(A901,店舗コード!A:B,2,FALSE)</f>
        <v>#N/A</v>
      </c>
      <c r="O901" s="2"/>
    </row>
    <row r="902" spans="8:15">
      <c r="H902"/>
      <c r="J902" t="e">
        <f>VLOOKUP(A902,店舗コード!A:B,2,FALSE)</f>
        <v>#N/A</v>
      </c>
      <c r="O902" s="2"/>
    </row>
    <row r="903" spans="8:15">
      <c r="H903"/>
      <c r="J903" t="e">
        <f>VLOOKUP(A903,店舗コード!A:B,2,FALSE)</f>
        <v>#N/A</v>
      </c>
      <c r="O903" s="2"/>
    </row>
    <row r="904" spans="8:15">
      <c r="H904"/>
      <c r="J904" t="e">
        <f>VLOOKUP(A904,店舗コード!A:B,2,FALSE)</f>
        <v>#N/A</v>
      </c>
      <c r="O904" s="2"/>
    </row>
    <row r="905" spans="8:15">
      <c r="H905"/>
      <c r="J905" t="e">
        <f>VLOOKUP(A905,店舗コード!A:B,2,FALSE)</f>
        <v>#N/A</v>
      </c>
      <c r="O905" s="2"/>
    </row>
    <row r="906" spans="8:15">
      <c r="H906"/>
      <c r="J906" t="e">
        <f>VLOOKUP(A906,店舗コード!A:B,2,FALSE)</f>
        <v>#N/A</v>
      </c>
      <c r="O906" s="2"/>
    </row>
    <row r="907" spans="8:15">
      <c r="H907"/>
      <c r="J907" t="e">
        <f>VLOOKUP(A907,店舗コード!A:B,2,FALSE)</f>
        <v>#N/A</v>
      </c>
      <c r="O907" s="2"/>
    </row>
    <row r="908" spans="8:15">
      <c r="H908"/>
      <c r="J908" t="e">
        <f>VLOOKUP(A908,店舗コード!A:B,2,FALSE)</f>
        <v>#N/A</v>
      </c>
      <c r="O908" s="2"/>
    </row>
    <row r="909" spans="8:15">
      <c r="H909"/>
      <c r="J909" t="e">
        <f>VLOOKUP(A909,店舗コード!A:B,2,FALSE)</f>
        <v>#N/A</v>
      </c>
      <c r="O909" s="2"/>
    </row>
    <row r="910" spans="8:15">
      <c r="H910"/>
      <c r="J910" t="e">
        <f>VLOOKUP(A910,店舗コード!A:B,2,FALSE)</f>
        <v>#N/A</v>
      </c>
      <c r="O910" s="2"/>
    </row>
    <row r="911" spans="8:15">
      <c r="H911"/>
      <c r="J911" t="e">
        <f>VLOOKUP(A911,店舗コード!A:B,2,FALSE)</f>
        <v>#N/A</v>
      </c>
      <c r="O911" s="2"/>
    </row>
    <row r="912" spans="8:15">
      <c r="H912"/>
      <c r="J912" t="e">
        <f>VLOOKUP(A912,店舗コード!A:B,2,FALSE)</f>
        <v>#N/A</v>
      </c>
      <c r="O912" s="2"/>
    </row>
    <row r="913" spans="8:15">
      <c r="H913"/>
      <c r="J913" t="e">
        <f>VLOOKUP(A913,店舗コード!A:B,2,FALSE)</f>
        <v>#N/A</v>
      </c>
      <c r="O913" s="2"/>
    </row>
    <row r="914" spans="8:15">
      <c r="H914"/>
      <c r="J914" t="e">
        <f>VLOOKUP(A914,店舗コード!A:B,2,FALSE)</f>
        <v>#N/A</v>
      </c>
      <c r="O914" s="2"/>
    </row>
    <row r="915" spans="8:15">
      <c r="H915"/>
      <c r="J915" t="e">
        <f>VLOOKUP(A915,店舗コード!A:B,2,FALSE)</f>
        <v>#N/A</v>
      </c>
      <c r="O915" s="2"/>
    </row>
    <row r="916" spans="8:15">
      <c r="H916"/>
      <c r="J916" t="e">
        <f>VLOOKUP(A916,店舗コード!A:B,2,FALSE)</f>
        <v>#N/A</v>
      </c>
      <c r="O916" s="2"/>
    </row>
    <row r="917" spans="8:15">
      <c r="H917"/>
      <c r="J917" t="e">
        <f>VLOOKUP(A917,店舗コード!A:B,2,FALSE)</f>
        <v>#N/A</v>
      </c>
      <c r="O917" s="2"/>
    </row>
    <row r="918" spans="8:15">
      <c r="H918"/>
      <c r="J918" t="e">
        <f>VLOOKUP(A918,店舗コード!A:B,2,FALSE)</f>
        <v>#N/A</v>
      </c>
      <c r="O918" s="2"/>
    </row>
    <row r="919" spans="8:15">
      <c r="H919"/>
      <c r="J919" t="e">
        <f>VLOOKUP(A919,店舗コード!A:B,2,FALSE)</f>
        <v>#N/A</v>
      </c>
      <c r="O919" s="2"/>
    </row>
    <row r="920" spans="8:15">
      <c r="H920"/>
      <c r="J920" t="e">
        <f>VLOOKUP(A920,店舗コード!A:B,2,FALSE)</f>
        <v>#N/A</v>
      </c>
      <c r="O920" s="2"/>
    </row>
    <row r="921" spans="8:15">
      <c r="H921"/>
      <c r="J921" t="e">
        <f>VLOOKUP(A921,店舗コード!A:B,2,FALSE)</f>
        <v>#N/A</v>
      </c>
      <c r="O921" s="2"/>
    </row>
    <row r="922" spans="8:15">
      <c r="H922"/>
      <c r="J922" t="e">
        <f>VLOOKUP(A922,店舗コード!A:B,2,FALSE)</f>
        <v>#N/A</v>
      </c>
      <c r="O922" s="2"/>
    </row>
    <row r="923" spans="8:15">
      <c r="H923"/>
      <c r="J923" t="e">
        <f>VLOOKUP(A923,店舗コード!A:B,2,FALSE)</f>
        <v>#N/A</v>
      </c>
      <c r="O923" s="2"/>
    </row>
    <row r="924" spans="8:15">
      <c r="H924"/>
      <c r="J924" t="e">
        <f>VLOOKUP(A924,店舗コード!A:B,2,FALSE)</f>
        <v>#N/A</v>
      </c>
      <c r="O924" s="2"/>
    </row>
    <row r="925" spans="8:15">
      <c r="H925"/>
      <c r="J925" t="e">
        <f>VLOOKUP(A925,店舗コード!A:B,2,FALSE)</f>
        <v>#N/A</v>
      </c>
      <c r="O925" s="2"/>
    </row>
    <row r="926" spans="8:15">
      <c r="H926"/>
      <c r="J926" t="e">
        <f>VLOOKUP(A926,店舗コード!A:B,2,FALSE)</f>
        <v>#N/A</v>
      </c>
      <c r="O926" s="2"/>
    </row>
    <row r="927" spans="8:15">
      <c r="H927"/>
      <c r="J927" t="e">
        <f>VLOOKUP(A927,店舗コード!A:B,2,FALSE)</f>
        <v>#N/A</v>
      </c>
      <c r="O927" s="2"/>
    </row>
    <row r="928" spans="8:15">
      <c r="H928"/>
      <c r="J928" t="e">
        <f>VLOOKUP(A928,店舗コード!A:B,2,FALSE)</f>
        <v>#N/A</v>
      </c>
      <c r="O928" s="2"/>
    </row>
    <row r="929" spans="8:15">
      <c r="H929"/>
      <c r="J929" t="e">
        <f>VLOOKUP(A929,店舗コード!A:B,2,FALSE)</f>
        <v>#N/A</v>
      </c>
      <c r="O929" s="2"/>
    </row>
    <row r="930" spans="8:15">
      <c r="H930"/>
      <c r="J930" t="e">
        <f>VLOOKUP(A930,店舗コード!A:B,2,FALSE)</f>
        <v>#N/A</v>
      </c>
      <c r="O930" s="2"/>
    </row>
    <row r="931" spans="8:15">
      <c r="H931"/>
      <c r="J931" t="e">
        <f>VLOOKUP(A931,店舗コード!A:B,2,FALSE)</f>
        <v>#N/A</v>
      </c>
      <c r="O931" s="2"/>
    </row>
    <row r="932" spans="8:15">
      <c r="H932"/>
      <c r="J932" t="e">
        <f>VLOOKUP(A932,店舗コード!A:B,2,FALSE)</f>
        <v>#N/A</v>
      </c>
      <c r="O932" s="2"/>
    </row>
    <row r="933" spans="8:15">
      <c r="H933"/>
      <c r="J933" t="e">
        <f>VLOOKUP(A933,店舗コード!A:B,2,FALSE)</f>
        <v>#N/A</v>
      </c>
      <c r="O933" s="2"/>
    </row>
    <row r="934" spans="8:15">
      <c r="H934"/>
      <c r="J934" t="e">
        <f>VLOOKUP(A934,店舗コード!A:B,2,FALSE)</f>
        <v>#N/A</v>
      </c>
      <c r="O934" s="2"/>
    </row>
    <row r="935" spans="8:15">
      <c r="H935"/>
      <c r="J935" t="e">
        <f>VLOOKUP(A935,店舗コード!A:B,2,FALSE)</f>
        <v>#N/A</v>
      </c>
      <c r="O935" s="2"/>
    </row>
    <row r="936" spans="8:15">
      <c r="H936"/>
      <c r="J936" t="e">
        <f>VLOOKUP(A936,店舗コード!A:B,2,FALSE)</f>
        <v>#N/A</v>
      </c>
      <c r="O936" s="2"/>
    </row>
    <row r="937" spans="8:15">
      <c r="H937"/>
      <c r="J937" t="e">
        <f>VLOOKUP(A937,店舗コード!A:B,2,FALSE)</f>
        <v>#N/A</v>
      </c>
      <c r="O937" s="2"/>
    </row>
    <row r="938" spans="8:15">
      <c r="H938"/>
      <c r="J938" t="e">
        <f>VLOOKUP(A938,店舗コード!A:B,2,FALSE)</f>
        <v>#N/A</v>
      </c>
      <c r="O938" s="2"/>
    </row>
    <row r="939" spans="8:15">
      <c r="H939"/>
      <c r="J939" t="e">
        <f>VLOOKUP(A939,店舗コード!A:B,2,FALSE)</f>
        <v>#N/A</v>
      </c>
      <c r="O939" s="2"/>
    </row>
    <row r="940" spans="8:15">
      <c r="H940"/>
      <c r="J940" t="e">
        <f>VLOOKUP(A940,店舗コード!A:B,2,FALSE)</f>
        <v>#N/A</v>
      </c>
      <c r="O940" s="2"/>
    </row>
    <row r="941" spans="8:15">
      <c r="H941"/>
      <c r="J941" t="e">
        <f>VLOOKUP(A941,店舗コード!A:B,2,FALSE)</f>
        <v>#N/A</v>
      </c>
      <c r="O941" s="2"/>
    </row>
    <row r="942" spans="8:15">
      <c r="H942"/>
      <c r="J942" t="e">
        <f>VLOOKUP(A942,店舗コード!A:B,2,FALSE)</f>
        <v>#N/A</v>
      </c>
      <c r="O942" s="2"/>
    </row>
    <row r="943" spans="8:15">
      <c r="H943"/>
      <c r="J943" t="e">
        <f>VLOOKUP(A943,店舗コード!A:B,2,FALSE)</f>
        <v>#N/A</v>
      </c>
      <c r="O943" s="2"/>
    </row>
    <row r="944" spans="8:15">
      <c r="H944"/>
      <c r="J944" t="e">
        <f>VLOOKUP(A944,店舗コード!A:B,2,FALSE)</f>
        <v>#N/A</v>
      </c>
      <c r="O944" s="2"/>
    </row>
    <row r="945" spans="8:15">
      <c r="H945"/>
      <c r="J945" t="e">
        <f>VLOOKUP(A945,店舗コード!A:B,2,FALSE)</f>
        <v>#N/A</v>
      </c>
      <c r="O945" s="2"/>
    </row>
    <row r="946" spans="8:15">
      <c r="H946"/>
      <c r="J946" t="e">
        <f>VLOOKUP(A946,店舗コード!A:B,2,FALSE)</f>
        <v>#N/A</v>
      </c>
      <c r="O946" s="2"/>
    </row>
    <row r="947" spans="8:15">
      <c r="H947"/>
      <c r="J947" t="e">
        <f>VLOOKUP(A947,店舗コード!A:B,2,FALSE)</f>
        <v>#N/A</v>
      </c>
      <c r="O947" s="2"/>
    </row>
    <row r="948" spans="8:15">
      <c r="H948"/>
      <c r="J948" t="e">
        <f>VLOOKUP(A948,店舗コード!A:B,2,FALSE)</f>
        <v>#N/A</v>
      </c>
      <c r="O948" s="2"/>
    </row>
    <row r="949" spans="8:15">
      <c r="H949"/>
      <c r="J949" t="e">
        <f>VLOOKUP(A949,店舗コード!A:B,2,FALSE)</f>
        <v>#N/A</v>
      </c>
      <c r="O949" s="2"/>
    </row>
    <row r="950" spans="8:15">
      <c r="H950"/>
      <c r="J950" t="e">
        <f>VLOOKUP(A950,店舗コード!A:B,2,FALSE)</f>
        <v>#N/A</v>
      </c>
      <c r="O950" s="2"/>
    </row>
    <row r="951" spans="8:15">
      <c r="H951"/>
      <c r="J951" t="e">
        <f>VLOOKUP(A951,店舗コード!A:B,2,FALSE)</f>
        <v>#N/A</v>
      </c>
      <c r="O951" s="2"/>
    </row>
    <row r="952" spans="8:15">
      <c r="H952"/>
      <c r="J952" t="e">
        <f>VLOOKUP(A952,店舗コード!A:B,2,FALSE)</f>
        <v>#N/A</v>
      </c>
      <c r="O952" s="2"/>
    </row>
    <row r="953" spans="8:15">
      <c r="H953"/>
      <c r="J953" t="e">
        <f>VLOOKUP(A953,店舗コード!A:B,2,FALSE)</f>
        <v>#N/A</v>
      </c>
      <c r="O953" s="2"/>
    </row>
    <row r="954" spans="8:15">
      <c r="H954"/>
      <c r="J954" t="e">
        <f>VLOOKUP(A954,店舗コード!A:B,2,FALSE)</f>
        <v>#N/A</v>
      </c>
      <c r="O954" s="2"/>
    </row>
    <row r="955" spans="8:15">
      <c r="H955"/>
      <c r="J955" t="e">
        <f>VLOOKUP(A955,店舗コード!A:B,2,FALSE)</f>
        <v>#N/A</v>
      </c>
      <c r="O955" s="2"/>
    </row>
    <row r="956" spans="8:15">
      <c r="H956"/>
      <c r="J956" t="e">
        <f>VLOOKUP(A956,店舗コード!A:B,2,FALSE)</f>
        <v>#N/A</v>
      </c>
      <c r="O956" s="2"/>
    </row>
    <row r="957" spans="8:15">
      <c r="H957"/>
      <c r="J957" t="e">
        <f>VLOOKUP(A957,店舗コード!A:B,2,FALSE)</f>
        <v>#N/A</v>
      </c>
      <c r="O957" s="2"/>
    </row>
    <row r="958" spans="8:15">
      <c r="H958"/>
      <c r="J958" t="e">
        <f>VLOOKUP(A958,店舗コード!A:B,2,FALSE)</f>
        <v>#N/A</v>
      </c>
      <c r="O958" s="2"/>
    </row>
    <row r="959" spans="8:15">
      <c r="H959"/>
      <c r="J959" t="e">
        <f>VLOOKUP(A959,店舗コード!A:B,2,FALSE)</f>
        <v>#N/A</v>
      </c>
      <c r="O959" s="2"/>
    </row>
    <row r="960" spans="8:15">
      <c r="H960"/>
      <c r="J960" t="e">
        <f>VLOOKUP(A960,店舗コード!A:B,2,FALSE)</f>
        <v>#N/A</v>
      </c>
      <c r="O960" s="2"/>
    </row>
    <row r="961" spans="8:15">
      <c r="H961"/>
      <c r="J961" t="e">
        <f>VLOOKUP(A961,店舗コード!A:B,2,FALSE)</f>
        <v>#N/A</v>
      </c>
      <c r="O961" s="2"/>
    </row>
    <row r="962" spans="8:15">
      <c r="H962"/>
      <c r="J962" t="e">
        <f>VLOOKUP(A962,店舗コード!A:B,2,FALSE)</f>
        <v>#N/A</v>
      </c>
      <c r="O962" s="2"/>
    </row>
    <row r="963" spans="8:15">
      <c r="H963"/>
      <c r="J963" t="e">
        <f>VLOOKUP(A963,店舗コード!A:B,2,FALSE)</f>
        <v>#N/A</v>
      </c>
      <c r="O963" s="2"/>
    </row>
    <row r="964" spans="8:15">
      <c r="H964"/>
      <c r="J964" t="e">
        <f>VLOOKUP(A964,店舗コード!A:B,2,FALSE)</f>
        <v>#N/A</v>
      </c>
      <c r="O964" s="2"/>
    </row>
    <row r="965" spans="8:15">
      <c r="H965"/>
      <c r="J965" t="e">
        <f>VLOOKUP(A965,店舗コード!A:B,2,FALSE)</f>
        <v>#N/A</v>
      </c>
      <c r="O965" s="2"/>
    </row>
    <row r="966" spans="8:15">
      <c r="H966"/>
      <c r="J966" t="e">
        <f>VLOOKUP(A966,店舗コード!A:B,2,FALSE)</f>
        <v>#N/A</v>
      </c>
      <c r="O966" s="2"/>
    </row>
    <row r="967" spans="8:15">
      <c r="H967"/>
      <c r="J967" t="e">
        <f>VLOOKUP(A967,店舗コード!A:B,2,FALSE)</f>
        <v>#N/A</v>
      </c>
      <c r="O967" s="2"/>
    </row>
    <row r="968" spans="8:15">
      <c r="H968"/>
      <c r="J968" t="e">
        <f>VLOOKUP(A968,店舗コード!A:B,2,FALSE)</f>
        <v>#N/A</v>
      </c>
      <c r="O968" s="2"/>
    </row>
    <row r="969" spans="8:15">
      <c r="H969"/>
      <c r="J969" t="e">
        <f>VLOOKUP(A969,店舗コード!A:B,2,FALSE)</f>
        <v>#N/A</v>
      </c>
      <c r="O969" s="2"/>
    </row>
    <row r="970" spans="8:15">
      <c r="H970"/>
      <c r="J970" t="e">
        <f>VLOOKUP(A970,店舗コード!A:B,2,FALSE)</f>
        <v>#N/A</v>
      </c>
      <c r="O970" s="2"/>
    </row>
    <row r="971" spans="8:15">
      <c r="H971"/>
      <c r="J971" t="e">
        <f>VLOOKUP(A971,店舗コード!A:B,2,FALSE)</f>
        <v>#N/A</v>
      </c>
      <c r="O971" s="2"/>
    </row>
    <row r="972" spans="8:15">
      <c r="H972"/>
      <c r="J972" t="e">
        <f>VLOOKUP(A972,店舗コード!A:B,2,FALSE)</f>
        <v>#N/A</v>
      </c>
      <c r="O972" s="2"/>
    </row>
    <row r="973" spans="8:15">
      <c r="H973"/>
      <c r="J973" t="e">
        <f>VLOOKUP(A973,店舗コード!A:B,2,FALSE)</f>
        <v>#N/A</v>
      </c>
      <c r="O973" s="2"/>
    </row>
    <row r="974" spans="8:15">
      <c r="H974"/>
      <c r="J974" t="e">
        <f>VLOOKUP(A974,店舗コード!A:B,2,FALSE)</f>
        <v>#N/A</v>
      </c>
      <c r="O974" s="2"/>
    </row>
    <row r="975" spans="8:15">
      <c r="H975"/>
      <c r="J975" t="e">
        <f>VLOOKUP(A975,店舗コード!A:B,2,FALSE)</f>
        <v>#N/A</v>
      </c>
      <c r="O975" s="2"/>
    </row>
    <row r="976" spans="8:15">
      <c r="H976"/>
      <c r="J976" t="e">
        <f>VLOOKUP(A976,店舗コード!A:B,2,FALSE)</f>
        <v>#N/A</v>
      </c>
      <c r="O976" s="2"/>
    </row>
    <row r="977" spans="8:15">
      <c r="H977"/>
      <c r="J977" t="e">
        <f>VLOOKUP(A977,店舗コード!A:B,2,FALSE)</f>
        <v>#N/A</v>
      </c>
      <c r="O977" s="2"/>
    </row>
    <row r="978" spans="8:15">
      <c r="H978"/>
      <c r="J978" t="e">
        <f>VLOOKUP(A978,店舗コード!A:B,2,FALSE)</f>
        <v>#N/A</v>
      </c>
      <c r="O978" s="2"/>
    </row>
    <row r="979" spans="8:15">
      <c r="H979"/>
      <c r="J979" t="e">
        <f>VLOOKUP(A979,店舗コード!A:B,2,FALSE)</f>
        <v>#N/A</v>
      </c>
      <c r="O979" s="2"/>
    </row>
    <row r="980" spans="8:15">
      <c r="H980"/>
      <c r="J980" t="e">
        <f>VLOOKUP(A980,店舗コード!A:B,2,FALSE)</f>
        <v>#N/A</v>
      </c>
      <c r="O980" s="2"/>
    </row>
    <row r="981" spans="8:15">
      <c r="H981"/>
      <c r="J981" t="e">
        <f>VLOOKUP(A981,店舗コード!A:B,2,FALSE)</f>
        <v>#N/A</v>
      </c>
      <c r="O981" s="2"/>
    </row>
    <row r="982" spans="8:15">
      <c r="H982"/>
      <c r="J982" t="e">
        <f>VLOOKUP(A982,店舗コード!A:B,2,FALSE)</f>
        <v>#N/A</v>
      </c>
      <c r="O982" s="2"/>
    </row>
    <row r="983" spans="8:15">
      <c r="H983"/>
      <c r="J983" t="e">
        <f>VLOOKUP(A983,店舗コード!A:B,2,FALSE)</f>
        <v>#N/A</v>
      </c>
      <c r="O983" s="2"/>
    </row>
    <row r="984" spans="8:15">
      <c r="H984"/>
      <c r="J984" t="e">
        <f>VLOOKUP(A984,店舗コード!A:B,2,FALSE)</f>
        <v>#N/A</v>
      </c>
      <c r="O984" s="2"/>
    </row>
    <row r="985" spans="8:15">
      <c r="H985"/>
      <c r="J985" t="e">
        <f>VLOOKUP(A985,店舗コード!A:B,2,FALSE)</f>
        <v>#N/A</v>
      </c>
      <c r="O985" s="2"/>
    </row>
    <row r="986" spans="8:15">
      <c r="H986"/>
      <c r="J986" t="e">
        <f>VLOOKUP(A986,店舗コード!A:B,2,FALSE)</f>
        <v>#N/A</v>
      </c>
      <c r="O986" s="2"/>
    </row>
    <row r="987" spans="8:15">
      <c r="H987"/>
      <c r="J987" t="e">
        <f>VLOOKUP(A987,店舗コード!A:B,2,FALSE)</f>
        <v>#N/A</v>
      </c>
      <c r="O987" s="2"/>
    </row>
    <row r="988" spans="8:15">
      <c r="H988"/>
      <c r="J988" t="e">
        <f>VLOOKUP(A988,店舗コード!A:B,2,FALSE)</f>
        <v>#N/A</v>
      </c>
      <c r="O988" s="2"/>
    </row>
    <row r="989" spans="8:15">
      <c r="H989"/>
      <c r="J989" t="e">
        <f>VLOOKUP(A989,店舗コード!A:B,2,FALSE)</f>
        <v>#N/A</v>
      </c>
      <c r="O989" s="2"/>
    </row>
    <row r="990" spans="8:15">
      <c r="H990"/>
      <c r="J990" t="e">
        <f>VLOOKUP(A990,店舗コード!A:B,2,FALSE)</f>
        <v>#N/A</v>
      </c>
      <c r="O990" s="2"/>
    </row>
    <row r="991" spans="8:15">
      <c r="H991"/>
      <c r="J991" t="e">
        <f>VLOOKUP(A991,店舗コード!A:B,2,FALSE)</f>
        <v>#N/A</v>
      </c>
      <c r="O991" s="2"/>
    </row>
    <row r="992" spans="8:15">
      <c r="H992"/>
      <c r="J992" t="e">
        <f>VLOOKUP(A992,店舗コード!A:B,2,FALSE)</f>
        <v>#N/A</v>
      </c>
      <c r="O992" s="2"/>
    </row>
    <row r="993" spans="8:15">
      <c r="H993"/>
      <c r="J993" t="e">
        <f>VLOOKUP(A993,店舗コード!A:B,2,FALSE)</f>
        <v>#N/A</v>
      </c>
      <c r="O993" s="2"/>
    </row>
    <row r="994" spans="8:15">
      <c r="H994"/>
      <c r="J994" t="e">
        <f>VLOOKUP(A994,店舗コード!A:B,2,FALSE)</f>
        <v>#N/A</v>
      </c>
      <c r="O994" s="2"/>
    </row>
    <row r="995" spans="8:15">
      <c r="H995"/>
      <c r="J995" t="e">
        <f>VLOOKUP(A995,店舗コード!A:B,2,FALSE)</f>
        <v>#N/A</v>
      </c>
      <c r="O995" s="2"/>
    </row>
    <row r="996" spans="8:15">
      <c r="H996"/>
      <c r="J996" t="e">
        <f>VLOOKUP(A996,店舗コード!A:B,2,FALSE)</f>
        <v>#N/A</v>
      </c>
      <c r="O996" s="2"/>
    </row>
    <row r="997" spans="8:15">
      <c r="H997"/>
      <c r="J997" t="e">
        <f>VLOOKUP(A997,店舗コード!A:B,2,FALSE)</f>
        <v>#N/A</v>
      </c>
      <c r="O997" s="2"/>
    </row>
    <row r="998" spans="8:15">
      <c r="H998"/>
      <c r="J998" t="e">
        <f>VLOOKUP(A998,店舗コード!A:B,2,FALSE)</f>
        <v>#N/A</v>
      </c>
      <c r="O998" s="2"/>
    </row>
    <row r="999" spans="8:15">
      <c r="H999"/>
      <c r="J999" t="e">
        <f>VLOOKUP(A999,店舗コード!A:B,2,FALSE)</f>
        <v>#N/A</v>
      </c>
      <c r="O999" s="2"/>
    </row>
    <row r="1000" spans="8:15">
      <c r="H1000"/>
      <c r="J1000" t="e">
        <f>VLOOKUP(A1000,店舗コード!A:B,2,FALSE)</f>
        <v>#N/A</v>
      </c>
      <c r="O1000" s="2"/>
    </row>
    <row r="1001" spans="8:15">
      <c r="H1001"/>
      <c r="J1001" t="e">
        <f>VLOOKUP(A1001,店舗コード!A:B,2,FALSE)</f>
        <v>#N/A</v>
      </c>
      <c r="O1001" s="2"/>
    </row>
    <row r="1002" spans="8:15">
      <c r="H1002"/>
      <c r="J1002" t="e">
        <f>VLOOKUP(A1002,店舗コード!A:B,2,FALSE)</f>
        <v>#N/A</v>
      </c>
      <c r="O1002" s="2"/>
    </row>
    <row r="1003" spans="8:15">
      <c r="H1003"/>
      <c r="J1003" t="e">
        <f>VLOOKUP(A1003,店舗コード!A:B,2,FALSE)</f>
        <v>#N/A</v>
      </c>
      <c r="O1003" s="2"/>
    </row>
    <row r="1004" spans="8:15">
      <c r="H1004"/>
      <c r="J1004" t="e">
        <f>VLOOKUP(A1004,店舗コード!A:B,2,FALSE)</f>
        <v>#N/A</v>
      </c>
      <c r="O1004" s="2"/>
    </row>
    <row r="1005" spans="8:15">
      <c r="H1005"/>
      <c r="J1005" t="e">
        <f>VLOOKUP(A1005,店舗コード!A:B,2,FALSE)</f>
        <v>#N/A</v>
      </c>
      <c r="O1005" s="2"/>
    </row>
    <row r="1006" spans="8:15">
      <c r="H1006"/>
      <c r="J1006" t="e">
        <f>VLOOKUP(A1006,店舗コード!A:B,2,FALSE)</f>
        <v>#N/A</v>
      </c>
      <c r="O1006" s="2"/>
    </row>
    <row r="1007" spans="8:15">
      <c r="H1007"/>
      <c r="J1007" t="e">
        <f>VLOOKUP(A1007,店舗コード!A:B,2,FALSE)</f>
        <v>#N/A</v>
      </c>
      <c r="O1007" s="2"/>
    </row>
    <row r="1008" spans="8:15">
      <c r="H1008"/>
      <c r="J1008" t="e">
        <f>VLOOKUP(A1008,店舗コード!A:B,2,FALSE)</f>
        <v>#N/A</v>
      </c>
      <c r="O1008" s="2"/>
    </row>
    <row r="1009" spans="8:15">
      <c r="H1009"/>
      <c r="J1009" t="e">
        <f>VLOOKUP(A1009,店舗コード!A:B,2,FALSE)</f>
        <v>#N/A</v>
      </c>
      <c r="O1009" s="2"/>
    </row>
    <row r="1010" spans="8:15">
      <c r="H1010"/>
      <c r="J1010" t="e">
        <f>VLOOKUP(A1010,店舗コード!A:B,2,FALSE)</f>
        <v>#N/A</v>
      </c>
      <c r="O1010" s="2"/>
    </row>
    <row r="1011" spans="8:15">
      <c r="H1011"/>
      <c r="J1011" t="e">
        <f>VLOOKUP(A1011,店舗コード!A:B,2,FALSE)</f>
        <v>#N/A</v>
      </c>
      <c r="O1011" s="2"/>
    </row>
    <row r="1012" spans="8:15">
      <c r="H1012"/>
      <c r="J1012" t="e">
        <f>VLOOKUP(A1012,店舗コード!A:B,2,FALSE)</f>
        <v>#N/A</v>
      </c>
      <c r="O1012" s="2"/>
    </row>
    <row r="1013" spans="8:15">
      <c r="H1013"/>
      <c r="J1013" t="e">
        <f>VLOOKUP(A1013,店舗コード!A:B,2,FALSE)</f>
        <v>#N/A</v>
      </c>
      <c r="O1013" s="2"/>
    </row>
    <row r="1014" spans="8:15">
      <c r="H1014"/>
      <c r="J1014" t="e">
        <f>VLOOKUP(A1014,店舗コード!A:B,2,FALSE)</f>
        <v>#N/A</v>
      </c>
      <c r="O1014" s="2"/>
    </row>
    <row r="1015" spans="8:15">
      <c r="H1015"/>
      <c r="J1015" t="e">
        <f>VLOOKUP(A1015,店舗コード!A:B,2,FALSE)</f>
        <v>#N/A</v>
      </c>
      <c r="O1015" s="2"/>
    </row>
    <row r="1016" spans="8:15">
      <c r="H1016"/>
      <c r="J1016" t="e">
        <f>VLOOKUP(A1016,店舗コード!A:B,2,FALSE)</f>
        <v>#N/A</v>
      </c>
      <c r="O1016" s="2"/>
    </row>
    <row r="1017" spans="8:15">
      <c r="H1017"/>
      <c r="J1017" t="e">
        <f>VLOOKUP(A1017,店舗コード!A:B,2,FALSE)</f>
        <v>#N/A</v>
      </c>
      <c r="O1017" s="2"/>
    </row>
    <row r="1018" spans="8:15">
      <c r="H1018"/>
      <c r="J1018" t="e">
        <f>VLOOKUP(A1018,店舗コード!A:B,2,FALSE)</f>
        <v>#N/A</v>
      </c>
      <c r="O1018" s="2"/>
    </row>
    <row r="1019" spans="8:15">
      <c r="H1019"/>
      <c r="J1019" t="e">
        <f>VLOOKUP(A1019,店舗コード!A:B,2,FALSE)</f>
        <v>#N/A</v>
      </c>
      <c r="O1019" s="2"/>
    </row>
    <row r="1020" spans="8:15">
      <c r="H1020"/>
      <c r="J1020" t="e">
        <f>VLOOKUP(A1020,店舗コード!A:B,2,FALSE)</f>
        <v>#N/A</v>
      </c>
      <c r="O1020" s="2"/>
    </row>
    <row r="1021" spans="8:15">
      <c r="H1021"/>
      <c r="J1021" t="e">
        <f>VLOOKUP(A1021,店舗コード!A:B,2,FALSE)</f>
        <v>#N/A</v>
      </c>
      <c r="O1021" s="2"/>
    </row>
    <row r="1022" spans="8:15">
      <c r="H1022"/>
      <c r="J1022" t="e">
        <f>VLOOKUP(A1022,店舗コード!A:B,2,FALSE)</f>
        <v>#N/A</v>
      </c>
      <c r="O1022" s="2"/>
    </row>
    <row r="1023" spans="8:15">
      <c r="H1023"/>
      <c r="J1023" t="e">
        <f>VLOOKUP(A1023,店舗コード!A:B,2,FALSE)</f>
        <v>#N/A</v>
      </c>
      <c r="O1023" s="2"/>
    </row>
    <row r="1024" spans="8:15">
      <c r="H1024"/>
      <c r="J1024" t="e">
        <f>VLOOKUP(A1024,店舗コード!A:B,2,FALSE)</f>
        <v>#N/A</v>
      </c>
      <c r="O1024" s="2"/>
    </row>
    <row r="1025" spans="8:15">
      <c r="H1025"/>
      <c r="J1025" t="e">
        <f>VLOOKUP(A1025,店舗コード!A:B,2,FALSE)</f>
        <v>#N/A</v>
      </c>
      <c r="O1025" s="2"/>
    </row>
    <row r="1026" spans="8:15">
      <c r="H1026"/>
      <c r="J1026" t="e">
        <f>VLOOKUP(A1026,店舗コード!A:B,2,FALSE)</f>
        <v>#N/A</v>
      </c>
      <c r="O1026" s="2"/>
    </row>
    <row r="1027" spans="8:15">
      <c r="H1027"/>
      <c r="J1027" t="e">
        <f>VLOOKUP(A1027,店舗コード!A:B,2,FALSE)</f>
        <v>#N/A</v>
      </c>
      <c r="O1027" s="2"/>
    </row>
    <row r="1028" spans="8:15">
      <c r="H1028"/>
      <c r="J1028" t="e">
        <f>VLOOKUP(A1028,店舗コード!A:B,2,FALSE)</f>
        <v>#N/A</v>
      </c>
      <c r="O1028" s="2"/>
    </row>
    <row r="1029" spans="8:15">
      <c r="H1029"/>
      <c r="J1029" t="e">
        <f>VLOOKUP(A1029,店舗コード!A:B,2,FALSE)</f>
        <v>#N/A</v>
      </c>
      <c r="O1029" s="2"/>
    </row>
    <row r="1030" spans="8:15">
      <c r="H1030"/>
      <c r="J1030" t="e">
        <f>VLOOKUP(A1030,店舗コード!A:B,2,FALSE)</f>
        <v>#N/A</v>
      </c>
      <c r="O1030" s="2"/>
    </row>
    <row r="1031" spans="8:15">
      <c r="H1031"/>
      <c r="J1031" t="e">
        <f>VLOOKUP(A1031,店舗コード!A:B,2,FALSE)</f>
        <v>#N/A</v>
      </c>
      <c r="O1031" s="2"/>
    </row>
    <row r="1032" spans="8:15">
      <c r="H1032"/>
      <c r="J1032" t="e">
        <f>VLOOKUP(A1032,店舗コード!A:B,2,FALSE)</f>
        <v>#N/A</v>
      </c>
      <c r="O1032" s="2"/>
    </row>
    <row r="1033" spans="8:15">
      <c r="H1033"/>
      <c r="J1033" t="e">
        <f>VLOOKUP(A1033,店舗コード!A:B,2,FALSE)</f>
        <v>#N/A</v>
      </c>
      <c r="O1033" s="2"/>
    </row>
    <row r="1034" spans="8:15">
      <c r="H1034"/>
      <c r="J1034" t="e">
        <f>VLOOKUP(A1034,店舗コード!A:B,2,FALSE)</f>
        <v>#N/A</v>
      </c>
      <c r="O1034" s="2"/>
    </row>
    <row r="1035" spans="8:15">
      <c r="H1035"/>
      <c r="J1035" t="e">
        <f>VLOOKUP(A1035,店舗コード!A:B,2,FALSE)</f>
        <v>#N/A</v>
      </c>
      <c r="O1035" s="2"/>
    </row>
    <row r="1036" spans="8:15">
      <c r="H1036"/>
      <c r="J1036" t="e">
        <f>VLOOKUP(A1036,店舗コード!A:B,2,FALSE)</f>
        <v>#N/A</v>
      </c>
      <c r="O1036" s="2"/>
    </row>
    <row r="1037" spans="8:15">
      <c r="H1037"/>
      <c r="J1037" t="e">
        <f>VLOOKUP(A1037,店舗コード!A:B,2,FALSE)</f>
        <v>#N/A</v>
      </c>
      <c r="O1037" s="2"/>
    </row>
    <row r="1038" spans="8:15">
      <c r="H1038"/>
      <c r="J1038" t="e">
        <f>VLOOKUP(A1038,店舗コード!A:B,2,FALSE)</f>
        <v>#N/A</v>
      </c>
      <c r="O1038" s="2"/>
    </row>
    <row r="1039" spans="8:15">
      <c r="H1039"/>
      <c r="J1039" t="e">
        <f>VLOOKUP(A1039,店舗コード!A:B,2,FALSE)</f>
        <v>#N/A</v>
      </c>
      <c r="O1039" s="2"/>
    </row>
    <row r="1040" spans="8:15">
      <c r="H1040"/>
      <c r="J1040" t="e">
        <f>VLOOKUP(A1040,店舗コード!A:B,2,FALSE)</f>
        <v>#N/A</v>
      </c>
      <c r="O1040" s="2"/>
    </row>
    <row r="1041" spans="8:15">
      <c r="H1041"/>
      <c r="J1041" t="e">
        <f>VLOOKUP(A1041,店舗コード!A:B,2,FALSE)</f>
        <v>#N/A</v>
      </c>
      <c r="O1041" s="2"/>
    </row>
    <row r="1042" spans="8:15">
      <c r="H1042"/>
      <c r="J1042" t="e">
        <f>VLOOKUP(A1042,店舗コード!A:B,2,FALSE)</f>
        <v>#N/A</v>
      </c>
      <c r="O1042" s="2"/>
    </row>
    <row r="1043" spans="8:15">
      <c r="H1043"/>
      <c r="J1043" t="e">
        <f>VLOOKUP(A1043,店舗コード!A:B,2,FALSE)</f>
        <v>#N/A</v>
      </c>
      <c r="O1043" s="2"/>
    </row>
    <row r="1044" spans="8:15">
      <c r="H1044"/>
      <c r="J1044" t="e">
        <f>VLOOKUP(A1044,店舗コード!A:B,2,FALSE)</f>
        <v>#N/A</v>
      </c>
      <c r="O1044" s="2"/>
    </row>
    <row r="1045" spans="8:15">
      <c r="H1045"/>
      <c r="J1045" t="e">
        <f>VLOOKUP(A1045,店舗コード!A:B,2,FALSE)</f>
        <v>#N/A</v>
      </c>
      <c r="O1045" s="2"/>
    </row>
    <row r="1046" spans="8:15">
      <c r="H1046"/>
      <c r="J1046" t="e">
        <f>VLOOKUP(A1046,店舗コード!A:B,2,FALSE)</f>
        <v>#N/A</v>
      </c>
      <c r="O1046" s="2"/>
    </row>
    <row r="1047" spans="8:15">
      <c r="H1047"/>
      <c r="J1047" t="e">
        <f>VLOOKUP(A1047,店舗コード!A:B,2,FALSE)</f>
        <v>#N/A</v>
      </c>
      <c r="O1047" s="2"/>
    </row>
    <row r="1048" spans="8:15">
      <c r="H1048"/>
      <c r="J1048" t="e">
        <f>VLOOKUP(A1048,店舗コード!A:B,2,FALSE)</f>
        <v>#N/A</v>
      </c>
      <c r="O1048" s="2"/>
    </row>
    <row r="1049" spans="8:15">
      <c r="H1049"/>
      <c r="J1049" t="e">
        <f>VLOOKUP(A1049,店舗コード!A:B,2,FALSE)</f>
        <v>#N/A</v>
      </c>
      <c r="O1049" s="2"/>
    </row>
    <row r="1050" spans="8:15">
      <c r="H1050"/>
      <c r="J1050" t="e">
        <f>VLOOKUP(A1050,店舗コード!A:B,2,FALSE)</f>
        <v>#N/A</v>
      </c>
      <c r="O1050" s="2"/>
    </row>
    <row r="1051" spans="8:15">
      <c r="H1051"/>
      <c r="J1051" t="e">
        <f>VLOOKUP(A1051,店舗コード!A:B,2,FALSE)</f>
        <v>#N/A</v>
      </c>
      <c r="O1051" s="2"/>
    </row>
    <row r="1052" spans="8:15">
      <c r="H1052"/>
      <c r="J1052" t="e">
        <f>VLOOKUP(A1052,店舗コード!A:B,2,FALSE)</f>
        <v>#N/A</v>
      </c>
      <c r="O1052" s="2"/>
    </row>
    <row r="1053" spans="8:15">
      <c r="H1053"/>
      <c r="J1053" t="e">
        <f>VLOOKUP(A1053,店舗コード!A:B,2,FALSE)</f>
        <v>#N/A</v>
      </c>
      <c r="O1053" s="2"/>
    </row>
    <row r="1054" spans="8:15">
      <c r="H1054"/>
      <c r="J1054" t="e">
        <f>VLOOKUP(A1054,店舗コード!A:B,2,FALSE)</f>
        <v>#N/A</v>
      </c>
      <c r="O1054" s="2"/>
    </row>
    <row r="1055" spans="8:15">
      <c r="H1055"/>
      <c r="J1055" t="e">
        <f>VLOOKUP(A1055,店舗コード!A:B,2,FALSE)</f>
        <v>#N/A</v>
      </c>
      <c r="O1055" s="2"/>
    </row>
    <row r="1056" spans="8:15">
      <c r="H1056"/>
      <c r="J1056" t="e">
        <f>VLOOKUP(A1056,店舗コード!A:B,2,FALSE)</f>
        <v>#N/A</v>
      </c>
      <c r="O1056" s="2"/>
    </row>
    <row r="1057" spans="8:15">
      <c r="H1057"/>
      <c r="J1057" t="e">
        <f>VLOOKUP(A1057,店舗コード!A:B,2,FALSE)</f>
        <v>#N/A</v>
      </c>
      <c r="O1057" s="2"/>
    </row>
    <row r="1058" spans="8:15">
      <c r="H1058"/>
      <c r="J1058" t="e">
        <f>VLOOKUP(A1058,店舗コード!A:B,2,FALSE)</f>
        <v>#N/A</v>
      </c>
      <c r="O1058" s="2"/>
    </row>
    <row r="1059" spans="8:15">
      <c r="H1059"/>
      <c r="J1059" t="e">
        <f>VLOOKUP(A1059,店舗コード!A:B,2,FALSE)</f>
        <v>#N/A</v>
      </c>
      <c r="O1059" s="2"/>
    </row>
    <row r="1060" spans="8:15">
      <c r="H1060"/>
      <c r="J1060" t="e">
        <f>VLOOKUP(A1060,店舗コード!A:B,2,FALSE)</f>
        <v>#N/A</v>
      </c>
      <c r="O1060" s="2"/>
    </row>
    <row r="1061" spans="8:15">
      <c r="H1061"/>
      <c r="J1061" t="e">
        <f>VLOOKUP(A1061,店舗コード!A:B,2,FALSE)</f>
        <v>#N/A</v>
      </c>
      <c r="O1061" s="2"/>
    </row>
    <row r="1062" spans="8:15">
      <c r="H1062"/>
      <c r="J1062" t="e">
        <f>VLOOKUP(A1062,店舗コード!A:B,2,FALSE)</f>
        <v>#N/A</v>
      </c>
      <c r="O1062" s="2"/>
    </row>
    <row r="1063" spans="8:15">
      <c r="H1063"/>
      <c r="J1063" t="e">
        <f>VLOOKUP(A1063,店舗コード!A:B,2,FALSE)</f>
        <v>#N/A</v>
      </c>
      <c r="O1063" s="2"/>
    </row>
    <row r="1064" spans="8:15">
      <c r="H1064"/>
      <c r="J1064" t="e">
        <f>VLOOKUP(A1064,店舗コード!A:B,2,FALSE)</f>
        <v>#N/A</v>
      </c>
      <c r="O1064" s="2"/>
    </row>
    <row r="1065" spans="8:15">
      <c r="H1065"/>
      <c r="J1065" t="e">
        <f>VLOOKUP(A1065,店舗コード!A:B,2,FALSE)</f>
        <v>#N/A</v>
      </c>
      <c r="O1065" s="2"/>
    </row>
    <row r="1066" spans="8:15">
      <c r="H1066"/>
      <c r="J1066" t="e">
        <f>VLOOKUP(A1066,店舗コード!A:B,2,FALSE)</f>
        <v>#N/A</v>
      </c>
      <c r="O1066" s="2"/>
    </row>
    <row r="1067" spans="8:15">
      <c r="H1067"/>
      <c r="J1067" t="e">
        <f>VLOOKUP(A1067,店舗コード!A:B,2,FALSE)</f>
        <v>#N/A</v>
      </c>
      <c r="O1067" s="2"/>
    </row>
    <row r="1068" spans="8:15">
      <c r="H1068"/>
      <c r="J1068" t="e">
        <f>VLOOKUP(A1068,店舗コード!A:B,2,FALSE)</f>
        <v>#N/A</v>
      </c>
      <c r="O1068" s="2"/>
    </row>
    <row r="1069" spans="8:15">
      <c r="H1069"/>
      <c r="J1069" t="e">
        <f>VLOOKUP(A1069,店舗コード!A:B,2,FALSE)</f>
        <v>#N/A</v>
      </c>
      <c r="O1069" s="2"/>
    </row>
    <row r="1070" spans="8:15">
      <c r="H1070"/>
      <c r="J1070" t="e">
        <f>VLOOKUP(A1070,店舗コード!A:B,2,FALSE)</f>
        <v>#N/A</v>
      </c>
      <c r="O1070" s="2"/>
    </row>
    <row r="1071" spans="8:15">
      <c r="H1071"/>
      <c r="J1071" t="e">
        <f>VLOOKUP(A1071,店舗コード!A:B,2,FALSE)</f>
        <v>#N/A</v>
      </c>
      <c r="O1071" s="2"/>
    </row>
    <row r="1072" spans="8:15">
      <c r="H1072"/>
      <c r="J1072" t="e">
        <f>VLOOKUP(A1072,店舗コード!A:B,2,FALSE)</f>
        <v>#N/A</v>
      </c>
      <c r="O1072" s="2"/>
    </row>
    <row r="1073" spans="8:15">
      <c r="H1073"/>
      <c r="J1073" t="e">
        <f>VLOOKUP(A1073,店舗コード!A:B,2,FALSE)</f>
        <v>#N/A</v>
      </c>
      <c r="O1073" s="2"/>
    </row>
    <row r="1074" spans="8:15">
      <c r="H1074"/>
      <c r="J1074" t="e">
        <f>VLOOKUP(A1074,店舗コード!A:B,2,FALSE)</f>
        <v>#N/A</v>
      </c>
      <c r="O1074" s="2"/>
    </row>
    <row r="1075" spans="8:15">
      <c r="H1075"/>
      <c r="J1075" t="e">
        <f>VLOOKUP(A1075,店舗コード!A:B,2,FALSE)</f>
        <v>#N/A</v>
      </c>
      <c r="O1075" s="2"/>
    </row>
    <row r="1076" spans="8:15">
      <c r="H1076"/>
      <c r="J1076" t="e">
        <f>VLOOKUP(A1076,店舗コード!A:B,2,FALSE)</f>
        <v>#N/A</v>
      </c>
      <c r="O1076" s="2"/>
    </row>
    <row r="1077" spans="8:15">
      <c r="H1077"/>
      <c r="J1077" t="e">
        <f>VLOOKUP(A1077,店舗コード!A:B,2,FALSE)</f>
        <v>#N/A</v>
      </c>
      <c r="O1077" s="2"/>
    </row>
    <row r="1078" spans="8:15">
      <c r="H1078"/>
      <c r="J1078" t="e">
        <f>VLOOKUP(A1078,店舗コード!A:B,2,FALSE)</f>
        <v>#N/A</v>
      </c>
      <c r="O1078" s="2"/>
    </row>
    <row r="1079" spans="8:15">
      <c r="H1079"/>
      <c r="J1079" t="e">
        <f>VLOOKUP(A1079,店舗コード!A:B,2,FALSE)</f>
        <v>#N/A</v>
      </c>
      <c r="O1079" s="2"/>
    </row>
    <row r="1080" spans="8:15">
      <c r="H1080"/>
      <c r="J1080" t="e">
        <f>VLOOKUP(A1080,店舗コード!A:B,2,FALSE)</f>
        <v>#N/A</v>
      </c>
      <c r="O1080" s="2"/>
    </row>
    <row r="1081" spans="8:15">
      <c r="H1081"/>
      <c r="J1081" t="e">
        <f>VLOOKUP(A1081,店舗コード!A:B,2,FALSE)</f>
        <v>#N/A</v>
      </c>
      <c r="O1081" s="2"/>
    </row>
    <row r="1082" spans="8:15">
      <c r="H1082"/>
      <c r="J1082" t="e">
        <f>VLOOKUP(A1082,店舗コード!A:B,2,FALSE)</f>
        <v>#N/A</v>
      </c>
      <c r="O1082" s="2"/>
    </row>
    <row r="1083" spans="8:15">
      <c r="H1083"/>
      <c r="J1083" t="e">
        <f>VLOOKUP(A1083,店舗コード!A:B,2,FALSE)</f>
        <v>#N/A</v>
      </c>
      <c r="O1083" s="2"/>
    </row>
    <row r="1084" spans="8:15">
      <c r="H1084"/>
      <c r="J1084" t="e">
        <f>VLOOKUP(A1084,店舗コード!A:B,2,FALSE)</f>
        <v>#N/A</v>
      </c>
      <c r="O1084" s="2"/>
    </row>
    <row r="1085" spans="8:15">
      <c r="H1085"/>
      <c r="J1085" t="e">
        <f>VLOOKUP(A1085,店舗コード!A:B,2,FALSE)</f>
        <v>#N/A</v>
      </c>
      <c r="O1085" s="2"/>
    </row>
    <row r="1086" spans="8:15">
      <c r="J1086" t="e">
        <f>VLOOKUP(A1086,店舗コード!A:B,2,FALSE)</f>
        <v>#N/A</v>
      </c>
    </row>
    <row r="1087" spans="8:15">
      <c r="J1087" t="e">
        <f>VLOOKUP(A1087,店舗コード!A:B,2,FALSE)</f>
        <v>#N/A</v>
      </c>
    </row>
    <row r="1088" spans="8:15">
      <c r="J1088" t="e">
        <f>VLOOKUP(A1088,店舗コード!A:B,2,FALSE)</f>
        <v>#N/A</v>
      </c>
    </row>
    <row r="1089" spans="10:10">
      <c r="J1089" t="e">
        <f>VLOOKUP(A1089,店舗コード!A:B,2,FALSE)</f>
        <v>#N/A</v>
      </c>
    </row>
    <row r="1090" spans="10:10">
      <c r="J1090" t="e">
        <f>VLOOKUP(A1090,店舗コード!A:B,2,FALSE)</f>
        <v>#N/A</v>
      </c>
    </row>
    <row r="1091" spans="10:10">
      <c r="J1091" t="e">
        <f>VLOOKUP(A1091,店舗コード!A:B,2,FALSE)</f>
        <v>#N/A</v>
      </c>
    </row>
    <row r="1092" spans="10:10">
      <c r="J1092" t="e">
        <f>VLOOKUP(A1092,店舗コード!A:B,2,FALSE)</f>
        <v>#N/A</v>
      </c>
    </row>
    <row r="1093" spans="10:10">
      <c r="J1093" t="e">
        <f>VLOOKUP(A1093,店舗コード!A:B,2,FALSE)</f>
        <v>#N/A</v>
      </c>
    </row>
    <row r="1094" spans="10:10">
      <c r="J1094" t="e">
        <f>VLOOKUP(A1094,店舗コード!A:B,2,FALSE)</f>
        <v>#N/A</v>
      </c>
    </row>
    <row r="1095" spans="10:10">
      <c r="J1095" t="e">
        <f>VLOOKUP(A1095,店舗コード!A:B,2,FALSE)</f>
        <v>#N/A</v>
      </c>
    </row>
    <row r="1096" spans="10:10">
      <c r="J1096" t="e">
        <f>VLOOKUP(A1096,店舗コード!A:B,2,FALSE)</f>
        <v>#N/A</v>
      </c>
    </row>
    <row r="1097" spans="10:10">
      <c r="J1097" t="e">
        <f>VLOOKUP(A1097,店舗コード!A:B,2,FALSE)</f>
        <v>#N/A</v>
      </c>
    </row>
    <row r="1098" spans="10:10">
      <c r="J1098" t="e">
        <f>VLOOKUP(A1098,店舗コード!A:B,2,FALSE)</f>
        <v>#N/A</v>
      </c>
    </row>
    <row r="1099" spans="10:10">
      <c r="J1099" t="e">
        <f>VLOOKUP(A1099,店舗コード!A:B,2,FALSE)</f>
        <v>#N/A</v>
      </c>
    </row>
    <row r="1100" spans="10:10">
      <c r="J1100" t="e">
        <f>VLOOKUP(A1100,店舗コード!A:B,2,FALSE)</f>
        <v>#N/A</v>
      </c>
    </row>
    <row r="1101" spans="10:10">
      <c r="J1101" t="e">
        <f>VLOOKUP(A1101,店舗コード!A:B,2,FALSE)</f>
        <v>#N/A</v>
      </c>
    </row>
    <row r="1102" spans="10:10">
      <c r="J1102" t="e">
        <f>VLOOKUP(A1102,店舗コード!A:B,2,FALSE)</f>
        <v>#N/A</v>
      </c>
    </row>
    <row r="1103" spans="10:10">
      <c r="J1103" t="e">
        <f>VLOOKUP(A1103,店舗コード!A:B,2,FALSE)</f>
        <v>#N/A</v>
      </c>
    </row>
    <row r="1104" spans="10:10">
      <c r="J1104" t="e">
        <f>VLOOKUP(A1104,店舗コード!A:B,2,FALSE)</f>
        <v>#N/A</v>
      </c>
    </row>
    <row r="1105" spans="10:10">
      <c r="J1105" t="e">
        <f>VLOOKUP(A1105,店舗コード!A:B,2,FALSE)</f>
        <v>#N/A</v>
      </c>
    </row>
    <row r="1106" spans="10:10">
      <c r="J1106" t="e">
        <f>VLOOKUP(A1106,店舗コード!A:B,2,FALSE)</f>
        <v>#N/A</v>
      </c>
    </row>
    <row r="1107" spans="10:10">
      <c r="J1107" t="e">
        <f>VLOOKUP(A1107,店舗コード!A:B,2,FALSE)</f>
        <v>#N/A</v>
      </c>
    </row>
    <row r="1108" spans="10:10">
      <c r="J1108" t="e">
        <f>VLOOKUP(A1108,店舗コード!A:B,2,FALSE)</f>
        <v>#N/A</v>
      </c>
    </row>
    <row r="1109" spans="10:10">
      <c r="J1109" t="e">
        <f>VLOOKUP(A1109,店舗コード!A:B,2,FALSE)</f>
        <v>#N/A</v>
      </c>
    </row>
    <row r="1110" spans="10:10">
      <c r="J1110" t="e">
        <f>VLOOKUP(A1110,店舗コード!A:B,2,FALSE)</f>
        <v>#N/A</v>
      </c>
    </row>
    <row r="1111" spans="10:10">
      <c r="J1111" t="e">
        <f>VLOOKUP(A1111,店舗コード!A:B,2,FALSE)</f>
        <v>#N/A</v>
      </c>
    </row>
    <row r="1112" spans="10:10">
      <c r="J1112" t="e">
        <f>VLOOKUP(A1112,店舗コード!A:B,2,FALSE)</f>
        <v>#N/A</v>
      </c>
    </row>
    <row r="1113" spans="10:10">
      <c r="J1113" t="e">
        <f>VLOOKUP(A1113,店舗コード!A:B,2,FALSE)</f>
        <v>#N/A</v>
      </c>
    </row>
    <row r="1114" spans="10:10">
      <c r="J1114" t="e">
        <f>VLOOKUP(A1114,店舗コード!A:B,2,FALSE)</f>
        <v>#N/A</v>
      </c>
    </row>
    <row r="1115" spans="10:10">
      <c r="J1115" t="e">
        <f>VLOOKUP(A1115,店舗コード!A:B,2,FALSE)</f>
        <v>#N/A</v>
      </c>
    </row>
    <row r="1116" spans="10:10">
      <c r="J1116" t="e">
        <f>VLOOKUP(A1116,店舗コード!A:B,2,FALSE)</f>
        <v>#N/A</v>
      </c>
    </row>
    <row r="1117" spans="10:10">
      <c r="J1117" t="e">
        <f>VLOOKUP(A1117,店舗コード!A:B,2,FALSE)</f>
        <v>#N/A</v>
      </c>
    </row>
    <row r="1118" spans="10:10">
      <c r="J1118" t="e">
        <f>VLOOKUP(A1118,店舗コード!A:B,2,FALSE)</f>
        <v>#N/A</v>
      </c>
    </row>
    <row r="1119" spans="10:10">
      <c r="J1119" t="e">
        <f>VLOOKUP(A1119,店舗コード!A:B,2,FALSE)</f>
        <v>#N/A</v>
      </c>
    </row>
    <row r="1120" spans="10:10">
      <c r="J1120" t="e">
        <f>VLOOKUP(A1120,店舗コード!A:B,2,FALSE)</f>
        <v>#N/A</v>
      </c>
    </row>
    <row r="1121" spans="10:10">
      <c r="J1121" t="e">
        <f>VLOOKUP(A1121,店舗コード!A:B,2,FALSE)</f>
        <v>#N/A</v>
      </c>
    </row>
    <row r="1122" spans="10:10">
      <c r="J1122" t="e">
        <f>VLOOKUP(A1122,店舗コード!A:B,2,FALSE)</f>
        <v>#N/A</v>
      </c>
    </row>
    <row r="1123" spans="10:10">
      <c r="J1123" t="e">
        <f>VLOOKUP(A1123,店舗コード!A:B,2,FALSE)</f>
        <v>#N/A</v>
      </c>
    </row>
    <row r="1124" spans="10:10">
      <c r="J1124" t="e">
        <f>VLOOKUP(A1124,店舗コード!A:B,2,FALSE)</f>
        <v>#N/A</v>
      </c>
    </row>
    <row r="1125" spans="10:10">
      <c r="J1125" t="e">
        <f>VLOOKUP(A1125,店舗コード!A:B,2,FALSE)</f>
        <v>#N/A</v>
      </c>
    </row>
    <row r="1126" spans="10:10">
      <c r="J1126" t="e">
        <f>VLOOKUP(A1126,店舗コード!A:B,2,FALSE)</f>
        <v>#N/A</v>
      </c>
    </row>
    <row r="1127" spans="10:10">
      <c r="J1127" t="e">
        <f>VLOOKUP(A1127,店舗コード!A:B,2,FALSE)</f>
        <v>#N/A</v>
      </c>
    </row>
    <row r="1128" spans="10:10">
      <c r="J1128" t="e">
        <f>VLOOKUP(A1128,店舗コード!A:B,2,FALSE)</f>
        <v>#N/A</v>
      </c>
    </row>
    <row r="1129" spans="10:10">
      <c r="J1129" t="e">
        <f>VLOOKUP(A1129,店舗コード!A:B,2,FALSE)</f>
        <v>#N/A</v>
      </c>
    </row>
    <row r="1130" spans="10:10">
      <c r="J1130" t="e">
        <f>VLOOKUP(A1130,店舗コード!A:B,2,FALSE)</f>
        <v>#N/A</v>
      </c>
    </row>
    <row r="1131" spans="10:10">
      <c r="J1131" t="e">
        <f>VLOOKUP(A1131,店舗コード!A:B,2,FALSE)</f>
        <v>#N/A</v>
      </c>
    </row>
    <row r="1132" spans="10:10">
      <c r="J1132" t="e">
        <f>VLOOKUP(A1132,店舗コード!A:B,2,FALSE)</f>
        <v>#N/A</v>
      </c>
    </row>
    <row r="1133" spans="10:10">
      <c r="J1133" t="e">
        <f>VLOOKUP(A1133,店舗コード!A:B,2,FALSE)</f>
        <v>#N/A</v>
      </c>
    </row>
    <row r="1134" spans="10:10">
      <c r="J1134" t="e">
        <f>VLOOKUP(A1134,店舗コード!A:B,2,FALSE)</f>
        <v>#N/A</v>
      </c>
    </row>
    <row r="1135" spans="10:10">
      <c r="J1135" t="e">
        <f>VLOOKUP(A1135,店舗コード!A:B,2,FALSE)</f>
        <v>#N/A</v>
      </c>
    </row>
    <row r="1136" spans="10:10">
      <c r="J1136" t="e">
        <f>VLOOKUP(A1136,店舗コード!A:B,2,FALSE)</f>
        <v>#N/A</v>
      </c>
    </row>
    <row r="1137" spans="10:10">
      <c r="J1137" t="e">
        <f>VLOOKUP(A1137,店舗コード!A:B,2,FALSE)</f>
        <v>#N/A</v>
      </c>
    </row>
    <row r="1138" spans="10:10">
      <c r="J1138" t="e">
        <f>VLOOKUP(A1138,店舗コード!A:B,2,FALSE)</f>
        <v>#N/A</v>
      </c>
    </row>
    <row r="1139" spans="10:10">
      <c r="J1139" t="e">
        <f>VLOOKUP(A1139,店舗コード!A:B,2,FALSE)</f>
        <v>#N/A</v>
      </c>
    </row>
    <row r="1140" spans="10:10">
      <c r="J1140" t="e">
        <f>VLOOKUP(A1140,店舗コード!A:B,2,FALSE)</f>
        <v>#N/A</v>
      </c>
    </row>
    <row r="1141" spans="10:10">
      <c r="J1141" t="e">
        <f>VLOOKUP(A1141,店舗コード!A:B,2,FALSE)</f>
        <v>#N/A</v>
      </c>
    </row>
    <row r="1142" spans="10:10">
      <c r="J1142" t="e">
        <f>VLOOKUP(A1142,店舗コード!A:B,2,FALSE)</f>
        <v>#N/A</v>
      </c>
    </row>
    <row r="1143" spans="10:10">
      <c r="J1143" t="e">
        <f>VLOOKUP(A1143,店舗コード!A:B,2,FALSE)</f>
        <v>#N/A</v>
      </c>
    </row>
    <row r="1144" spans="10:10">
      <c r="J1144" t="e">
        <f>VLOOKUP(A1144,店舗コード!A:B,2,FALSE)</f>
        <v>#N/A</v>
      </c>
    </row>
    <row r="1145" spans="10:10">
      <c r="J1145" t="e">
        <f>VLOOKUP(A1145,店舗コード!A:B,2,FALSE)</f>
        <v>#N/A</v>
      </c>
    </row>
    <row r="1146" spans="10:10">
      <c r="J1146" t="e">
        <f>VLOOKUP(A1146,店舗コード!A:B,2,FALSE)</f>
        <v>#N/A</v>
      </c>
    </row>
    <row r="1147" spans="10:10">
      <c r="J1147" t="e">
        <f>VLOOKUP(A1147,店舗コード!A:B,2,FALSE)</f>
        <v>#N/A</v>
      </c>
    </row>
    <row r="1148" spans="10:10">
      <c r="J1148" t="e">
        <f>VLOOKUP(A1148,店舗コード!A:B,2,FALSE)</f>
        <v>#N/A</v>
      </c>
    </row>
    <row r="1149" spans="10:10">
      <c r="J1149" t="e">
        <f>VLOOKUP(A1149,店舗コード!A:B,2,FALSE)</f>
        <v>#N/A</v>
      </c>
    </row>
    <row r="1150" spans="10:10">
      <c r="J1150" t="e">
        <f>VLOOKUP(A1150,店舗コード!A:B,2,FALSE)</f>
        <v>#N/A</v>
      </c>
    </row>
    <row r="1151" spans="10:10">
      <c r="J1151" t="e">
        <f>VLOOKUP(A1151,店舗コード!A:B,2,FALSE)</f>
        <v>#N/A</v>
      </c>
    </row>
    <row r="1152" spans="10:10">
      <c r="J1152" t="e">
        <f>VLOOKUP(A1152,店舗コード!A:B,2,FALSE)</f>
        <v>#N/A</v>
      </c>
    </row>
    <row r="1153" spans="10:10">
      <c r="J1153" t="e">
        <f>VLOOKUP(A1153,店舗コード!A:B,2,FALSE)</f>
        <v>#N/A</v>
      </c>
    </row>
    <row r="1154" spans="10:10">
      <c r="J1154" t="e">
        <f>VLOOKUP(A1154,店舗コード!A:B,2,FALSE)</f>
        <v>#N/A</v>
      </c>
    </row>
    <row r="1155" spans="10:10">
      <c r="J1155" t="e">
        <f>VLOOKUP(A1155,店舗コード!A:B,2,FALSE)</f>
        <v>#N/A</v>
      </c>
    </row>
    <row r="1156" spans="10:10">
      <c r="J1156" t="e">
        <f>VLOOKUP(A1156,店舗コード!A:B,2,FALSE)</f>
        <v>#N/A</v>
      </c>
    </row>
    <row r="1157" spans="10:10">
      <c r="J1157" t="e">
        <f>VLOOKUP(A1157,店舗コード!A:B,2,FALSE)</f>
        <v>#N/A</v>
      </c>
    </row>
    <row r="1158" spans="10:10">
      <c r="J1158" t="e">
        <f>VLOOKUP(A1158,店舗コード!A:B,2,FALSE)</f>
        <v>#N/A</v>
      </c>
    </row>
    <row r="1159" spans="10:10">
      <c r="J1159" t="e">
        <f>VLOOKUP(A1159,店舗コード!A:B,2,FALSE)</f>
        <v>#N/A</v>
      </c>
    </row>
    <row r="1160" spans="10:10">
      <c r="J1160" t="e">
        <f>VLOOKUP(A1160,店舗コード!A:B,2,FALSE)</f>
        <v>#N/A</v>
      </c>
    </row>
    <row r="1161" spans="10:10">
      <c r="J1161" t="e">
        <f>VLOOKUP(A1161,店舗コード!A:B,2,FALSE)</f>
        <v>#N/A</v>
      </c>
    </row>
    <row r="1162" spans="10:10">
      <c r="J1162" t="e">
        <f>VLOOKUP(A1162,店舗コード!A:B,2,FALSE)</f>
        <v>#N/A</v>
      </c>
    </row>
    <row r="1163" spans="10:10">
      <c r="J1163" t="e">
        <f>VLOOKUP(A1163,店舗コード!A:B,2,FALSE)</f>
        <v>#N/A</v>
      </c>
    </row>
    <row r="1164" spans="10:10">
      <c r="J1164" t="e">
        <f>VLOOKUP(A1164,店舗コード!A:B,2,FALSE)</f>
        <v>#N/A</v>
      </c>
    </row>
    <row r="1165" spans="10:10">
      <c r="J1165" t="e">
        <f>VLOOKUP(A1165,店舗コード!A:B,2,FALSE)</f>
        <v>#N/A</v>
      </c>
    </row>
    <row r="1166" spans="10:10">
      <c r="J1166" t="e">
        <f>VLOOKUP(A1166,店舗コード!A:B,2,FALSE)</f>
        <v>#N/A</v>
      </c>
    </row>
    <row r="1167" spans="10:10">
      <c r="J1167" t="e">
        <f>VLOOKUP(A1167,店舗コード!A:B,2,FALSE)</f>
        <v>#N/A</v>
      </c>
    </row>
    <row r="1168" spans="10:10">
      <c r="J1168" t="e">
        <f>VLOOKUP(A1168,店舗コード!A:B,2,FALSE)</f>
        <v>#N/A</v>
      </c>
    </row>
    <row r="1169" spans="10:10">
      <c r="J1169" t="e">
        <f>VLOOKUP(A1169,店舗コード!A:B,2,FALSE)</f>
        <v>#N/A</v>
      </c>
    </row>
    <row r="1170" spans="10:10">
      <c r="J1170" t="e">
        <f>VLOOKUP(A1170,店舗コード!A:B,2,FALSE)</f>
        <v>#N/A</v>
      </c>
    </row>
    <row r="1171" spans="10:10">
      <c r="J1171" t="e">
        <f>VLOOKUP(A1171,店舗コード!A:B,2,FALSE)</f>
        <v>#N/A</v>
      </c>
    </row>
    <row r="1172" spans="10:10">
      <c r="J1172" t="e">
        <f>VLOOKUP(A1172,店舗コード!A:B,2,FALSE)</f>
        <v>#N/A</v>
      </c>
    </row>
    <row r="1173" spans="10:10">
      <c r="J1173" t="e">
        <f>VLOOKUP(A1173,店舗コード!A:B,2,FALSE)</f>
        <v>#N/A</v>
      </c>
    </row>
    <row r="1174" spans="10:10">
      <c r="J1174" t="e">
        <f>VLOOKUP(A1174,店舗コード!A:B,2,FALSE)</f>
        <v>#N/A</v>
      </c>
    </row>
    <row r="1175" spans="10:10">
      <c r="J1175" t="e">
        <f>VLOOKUP(A1175,店舗コード!A:B,2,FALSE)</f>
        <v>#N/A</v>
      </c>
    </row>
    <row r="1176" spans="10:10">
      <c r="J1176" t="e">
        <f>VLOOKUP(A1176,店舗コード!A:B,2,FALSE)</f>
        <v>#N/A</v>
      </c>
    </row>
    <row r="1177" spans="10:10">
      <c r="J1177" t="e">
        <f>VLOOKUP(A1177,店舗コード!A:B,2,FALSE)</f>
        <v>#N/A</v>
      </c>
    </row>
    <row r="1178" spans="10:10">
      <c r="J1178" t="e">
        <f>VLOOKUP(A1178,店舗コード!A:B,2,FALSE)</f>
        <v>#N/A</v>
      </c>
    </row>
    <row r="1179" spans="10:10">
      <c r="J1179" t="e">
        <f>VLOOKUP(A1179,店舗コード!A:B,2,FALSE)</f>
        <v>#N/A</v>
      </c>
    </row>
    <row r="1180" spans="10:10">
      <c r="J1180" t="e">
        <f>VLOOKUP(A1180,店舗コード!A:B,2,FALSE)</f>
        <v>#N/A</v>
      </c>
    </row>
    <row r="1181" spans="10:10">
      <c r="J1181" t="e">
        <f>VLOOKUP(A1181,店舗コード!A:B,2,FALSE)</f>
        <v>#N/A</v>
      </c>
    </row>
    <row r="1182" spans="10:10">
      <c r="J1182" t="e">
        <f>VLOOKUP(A1182,店舗コード!A:B,2,FALSE)</f>
        <v>#N/A</v>
      </c>
    </row>
  </sheetData>
  <autoFilter ref="A1:P1259" xr:uid="{00000000-0009-0000-0000-000000000000}"/>
  <phoneticPr fontId="22"/>
  <conditionalFormatting sqref="B77:B87">
    <cfRule type="duplicateValues" dxfId="1" priority="3"/>
  </conditionalFormatting>
  <conditionalFormatting sqref="H1:H1048576"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92D050"/>
  </sheetPr>
  <dimension ref="A1:N728"/>
  <sheetViews>
    <sheetView topLeftCell="A4" workbookViewId="0">
      <pane ySplit="3" topLeftCell="A430" activePane="bottomLeft" state="frozen"/>
      <selection activeCell="A4" sqref="A4"/>
      <selection pane="bottomLeft" activeCell="I440" sqref="I440"/>
    </sheetView>
  </sheetViews>
  <sheetFormatPr defaultRowHeight="12"/>
  <cols>
    <col min="1" max="1" width="18.77734375" bestFit="1" customWidth="1"/>
    <col min="2" max="2" width="13" style="3" bestFit="1" customWidth="1"/>
    <col min="3" max="3" width="10.109375" style="3" bestFit="1" customWidth="1"/>
    <col min="4" max="4" width="13.33203125" style="3" bestFit="1" customWidth="1"/>
    <col min="5" max="5" width="10.109375" style="3" bestFit="1" customWidth="1"/>
    <col min="6" max="6" width="11.77734375" style="3" bestFit="1" customWidth="1"/>
    <col min="7" max="7" width="13.88671875" style="3" bestFit="1" customWidth="1"/>
    <col min="8" max="8" width="8.109375" style="3" bestFit="1" customWidth="1"/>
    <col min="9" max="9" width="13.88671875" style="3" bestFit="1" customWidth="1"/>
    <col min="10" max="10" width="10.5546875" style="3" bestFit="1" customWidth="1"/>
    <col min="11" max="12" width="6" bestFit="1" customWidth="1"/>
    <col min="13" max="14" width="6.5546875" bestFit="1" customWidth="1"/>
    <col min="15" max="15" width="33.88671875" bestFit="1" customWidth="1"/>
    <col min="16" max="16" width="45.109375" bestFit="1" customWidth="1"/>
    <col min="17" max="17" width="48.5546875" bestFit="1" customWidth="1"/>
  </cols>
  <sheetData>
    <row r="1" spans="1:14" hidden="1"/>
    <row r="2" spans="1:14" hidden="1"/>
    <row r="3" spans="1:14" hidden="1"/>
    <row r="4" spans="1:14">
      <c r="A4" t="s">
        <v>2968</v>
      </c>
      <c r="B4" s="3" t="str">
        <f>TRIM(MID(B6,3,10))</f>
        <v>名古屋</v>
      </c>
      <c r="C4" s="3" t="str">
        <f t="shared" ref="C4:K4" si="0">TRIM(MID(C6,3,10))</f>
        <v>TOKYO</v>
      </c>
      <c r="D4" s="3" t="str">
        <f t="shared" si="0"/>
        <v>ルクア大阪</v>
      </c>
      <c r="E4" s="3" t="str">
        <f t="shared" si="0"/>
        <v>ヒュッテ</v>
      </c>
      <c r="F4" s="3" t="str">
        <f t="shared" si="0"/>
        <v>京王新宿</v>
      </c>
      <c r="G4" s="3" t="str">
        <f>TRIM(MID(G6,3,10))</f>
        <v>大丸心斎橋</v>
      </c>
      <c r="H4" s="3">
        <f>TRIM(MID(H6,3,10))*1</f>
        <v>6142</v>
      </c>
      <c r="I4" s="3" t="str">
        <f t="shared" si="0"/>
        <v>玉川高島屋</v>
      </c>
      <c r="J4" s="3" t="str">
        <f t="shared" si="0"/>
        <v>NARITA</v>
      </c>
      <c r="K4" s="3" t="str">
        <f t="shared" si="0"/>
        <v/>
      </c>
      <c r="L4" s="3" t="str">
        <f t="shared" ref="L4:M4" si="1">MID(L6,3,10)</f>
        <v/>
      </c>
      <c r="M4" s="3" t="str">
        <f t="shared" si="1"/>
        <v/>
      </c>
      <c r="N4" s="3">
        <v>1</v>
      </c>
    </row>
    <row r="5" spans="1:14">
      <c r="A5" s="5" t="s">
        <v>1853</v>
      </c>
      <c r="B5" s="6" t="s">
        <v>1852</v>
      </c>
    </row>
    <row r="6" spans="1:14">
      <c r="A6" s="5" t="s">
        <v>1851</v>
      </c>
      <c r="B6" s="3" t="s">
        <v>3534</v>
      </c>
      <c r="C6" s="3" t="s">
        <v>2946</v>
      </c>
      <c r="D6" s="3" t="s">
        <v>3000</v>
      </c>
      <c r="E6" s="3" t="s">
        <v>2949</v>
      </c>
      <c r="F6" s="3" t="s">
        <v>3535</v>
      </c>
      <c r="G6" s="3" t="s">
        <v>3046</v>
      </c>
      <c r="H6" s="3" t="s">
        <v>3217</v>
      </c>
      <c r="I6" s="3" t="s">
        <v>3218</v>
      </c>
      <c r="J6" s="3" t="s">
        <v>3142</v>
      </c>
    </row>
    <row r="7" spans="1:14">
      <c r="A7" s="4" t="s">
        <v>3271</v>
      </c>
      <c r="B7" s="29"/>
      <c r="C7" s="29"/>
      <c r="D7" s="29"/>
      <c r="E7" s="29"/>
      <c r="F7" s="29">
        <v>1</v>
      </c>
      <c r="G7" s="29"/>
      <c r="H7" s="29"/>
      <c r="I7" s="29"/>
      <c r="J7" s="29"/>
    </row>
    <row r="8" spans="1:14">
      <c r="A8" s="4" t="s">
        <v>3011</v>
      </c>
      <c r="B8" s="29">
        <v>1</v>
      </c>
      <c r="C8" s="29">
        <v>8</v>
      </c>
      <c r="D8" s="29">
        <v>3</v>
      </c>
      <c r="E8" s="29">
        <v>2</v>
      </c>
      <c r="F8" s="29">
        <v>2</v>
      </c>
      <c r="G8" s="29">
        <v>1</v>
      </c>
      <c r="H8" s="29">
        <v>1</v>
      </c>
      <c r="I8" s="29">
        <v>4</v>
      </c>
      <c r="J8" s="29">
        <v>2</v>
      </c>
    </row>
    <row r="9" spans="1:14">
      <c r="A9" s="4" t="s">
        <v>2970</v>
      </c>
      <c r="B9" s="29">
        <v>1</v>
      </c>
      <c r="C9" s="29">
        <v>1</v>
      </c>
      <c r="D9" s="29">
        <v>1</v>
      </c>
      <c r="E9" s="29"/>
      <c r="F9" s="29"/>
      <c r="G9" s="29"/>
      <c r="H9" s="29"/>
      <c r="I9" s="29"/>
      <c r="J9" s="29">
        <v>1</v>
      </c>
    </row>
    <row r="10" spans="1:14">
      <c r="A10" s="4" t="s">
        <v>2614</v>
      </c>
      <c r="B10" s="29"/>
      <c r="C10" s="29"/>
      <c r="D10" s="29">
        <v>2</v>
      </c>
      <c r="E10" s="29"/>
      <c r="F10" s="29"/>
      <c r="G10" s="29"/>
      <c r="H10" s="29">
        <v>1</v>
      </c>
      <c r="I10" s="29"/>
      <c r="J10" s="29">
        <v>1</v>
      </c>
    </row>
    <row r="11" spans="1:14">
      <c r="A11" s="4" t="s">
        <v>2964</v>
      </c>
      <c r="B11" s="29"/>
      <c r="C11" s="29"/>
      <c r="D11" s="29"/>
      <c r="E11" s="29"/>
      <c r="F11" s="29"/>
      <c r="G11" s="29"/>
      <c r="H11" s="29">
        <v>1</v>
      </c>
      <c r="I11" s="29"/>
      <c r="J11" s="29"/>
    </row>
    <row r="12" spans="1:14">
      <c r="A12" s="4" t="s">
        <v>3277</v>
      </c>
      <c r="B12" s="29"/>
      <c r="C12" s="29">
        <v>2</v>
      </c>
      <c r="D12" s="29">
        <v>2</v>
      </c>
      <c r="E12" s="29">
        <v>1</v>
      </c>
      <c r="F12" s="29"/>
      <c r="G12" s="29"/>
      <c r="H12" s="29"/>
      <c r="I12" s="29"/>
      <c r="J12" s="29">
        <v>1</v>
      </c>
    </row>
    <row r="13" spans="1:14">
      <c r="A13" s="4" t="s">
        <v>3279</v>
      </c>
      <c r="B13" s="29"/>
      <c r="C13" s="29">
        <v>1</v>
      </c>
      <c r="D13" s="29">
        <v>2</v>
      </c>
      <c r="E13" s="29"/>
      <c r="F13" s="29"/>
      <c r="G13" s="29"/>
      <c r="H13" s="29"/>
      <c r="I13" s="29"/>
      <c r="J13" s="29"/>
    </row>
    <row r="14" spans="1:14">
      <c r="A14" s="4" t="s">
        <v>3186</v>
      </c>
      <c r="B14" s="29"/>
      <c r="C14" s="29">
        <v>1</v>
      </c>
      <c r="D14" s="29"/>
      <c r="E14" s="29"/>
      <c r="F14" s="29">
        <v>1</v>
      </c>
      <c r="G14" s="29"/>
      <c r="H14" s="29"/>
      <c r="I14" s="29"/>
      <c r="J14" s="29"/>
    </row>
    <row r="15" spans="1:14">
      <c r="A15" s="4" t="s">
        <v>133</v>
      </c>
      <c r="B15" s="29"/>
      <c r="C15" s="29">
        <v>1</v>
      </c>
      <c r="D15" s="29"/>
      <c r="E15" s="29"/>
      <c r="F15" s="29">
        <v>1</v>
      </c>
      <c r="G15" s="29">
        <v>1</v>
      </c>
      <c r="H15" s="29">
        <v>1</v>
      </c>
      <c r="I15" s="29"/>
      <c r="J15" s="29"/>
    </row>
    <row r="16" spans="1:14">
      <c r="A16" s="4" t="s">
        <v>3187</v>
      </c>
      <c r="B16" s="29"/>
      <c r="C16" s="29">
        <v>2</v>
      </c>
      <c r="D16" s="29"/>
      <c r="E16" s="29"/>
      <c r="F16" s="29"/>
      <c r="G16" s="29"/>
      <c r="H16" s="29">
        <v>1</v>
      </c>
      <c r="I16" s="29"/>
      <c r="J16" s="29">
        <v>1</v>
      </c>
    </row>
    <row r="17" spans="1:10">
      <c r="A17" s="4" t="s">
        <v>1893</v>
      </c>
      <c r="B17" s="29"/>
      <c r="C17" s="29"/>
      <c r="D17" s="29">
        <v>1</v>
      </c>
      <c r="E17" s="29"/>
      <c r="F17" s="29"/>
      <c r="G17" s="29"/>
      <c r="H17" s="29"/>
      <c r="I17" s="29"/>
      <c r="J17" s="29">
        <v>1</v>
      </c>
    </row>
    <row r="18" spans="1:10">
      <c r="A18" s="4" t="s">
        <v>2975</v>
      </c>
      <c r="B18" s="29"/>
      <c r="C18" s="29">
        <v>1</v>
      </c>
      <c r="D18" s="29">
        <v>1</v>
      </c>
      <c r="E18" s="29"/>
      <c r="F18" s="29"/>
      <c r="G18" s="29">
        <v>1</v>
      </c>
      <c r="H18" s="29"/>
      <c r="I18" s="29">
        <v>1</v>
      </c>
      <c r="J18" s="29">
        <v>1</v>
      </c>
    </row>
    <row r="19" spans="1:10">
      <c r="A19" s="4" t="s">
        <v>3281</v>
      </c>
      <c r="B19" s="29"/>
      <c r="C19" s="29">
        <v>2</v>
      </c>
      <c r="D19" s="29">
        <v>2</v>
      </c>
      <c r="E19" s="29"/>
      <c r="F19" s="29"/>
      <c r="G19" s="29"/>
      <c r="H19" s="29"/>
      <c r="I19" s="29"/>
      <c r="J19" s="29"/>
    </row>
    <row r="20" spans="1:10">
      <c r="A20" s="4" t="s">
        <v>2985</v>
      </c>
      <c r="B20" s="29"/>
      <c r="C20" s="29">
        <v>2</v>
      </c>
      <c r="D20" s="29"/>
      <c r="E20" s="29">
        <v>1</v>
      </c>
      <c r="F20" s="29">
        <v>1</v>
      </c>
      <c r="G20" s="29">
        <v>1</v>
      </c>
      <c r="H20" s="29"/>
      <c r="I20" s="29"/>
      <c r="J20" s="29">
        <v>1</v>
      </c>
    </row>
    <row r="21" spans="1:10">
      <c r="A21" s="4" t="s">
        <v>3283</v>
      </c>
      <c r="B21" s="29"/>
      <c r="C21" s="29">
        <v>2</v>
      </c>
      <c r="D21" s="29"/>
      <c r="E21" s="29"/>
      <c r="F21" s="29"/>
      <c r="G21" s="29"/>
      <c r="H21" s="29"/>
      <c r="I21" s="29"/>
      <c r="J21" s="29">
        <v>1</v>
      </c>
    </row>
    <row r="22" spans="1:10">
      <c r="A22" s="4" t="s">
        <v>3004</v>
      </c>
      <c r="B22" s="29">
        <v>1</v>
      </c>
      <c r="C22" s="29"/>
      <c r="D22" s="29"/>
      <c r="E22" s="29">
        <v>1</v>
      </c>
      <c r="F22" s="29"/>
      <c r="G22" s="29"/>
      <c r="H22" s="29">
        <v>2</v>
      </c>
      <c r="I22" s="29"/>
      <c r="J22" s="29">
        <v>2</v>
      </c>
    </row>
    <row r="23" spans="1:10">
      <c r="A23" s="4" t="s">
        <v>2976</v>
      </c>
      <c r="B23" s="29">
        <v>1</v>
      </c>
      <c r="C23" s="29">
        <v>4</v>
      </c>
      <c r="D23" s="29">
        <v>1</v>
      </c>
      <c r="E23" s="29">
        <v>3</v>
      </c>
      <c r="F23" s="29">
        <v>4</v>
      </c>
      <c r="G23" s="29"/>
      <c r="H23" s="29"/>
      <c r="I23" s="29">
        <v>2</v>
      </c>
      <c r="J23" s="29">
        <v>2</v>
      </c>
    </row>
    <row r="24" spans="1:10">
      <c r="A24" s="4" t="s">
        <v>3285</v>
      </c>
      <c r="B24" s="29"/>
      <c r="C24" s="29">
        <v>1</v>
      </c>
      <c r="D24" s="29">
        <v>2</v>
      </c>
      <c r="E24" s="29"/>
      <c r="F24" s="29"/>
      <c r="G24" s="29">
        <v>1</v>
      </c>
      <c r="H24" s="29"/>
      <c r="I24" s="29"/>
      <c r="J24" s="29">
        <v>1</v>
      </c>
    </row>
    <row r="25" spans="1:10">
      <c r="A25" s="4" t="s">
        <v>2984</v>
      </c>
      <c r="B25" s="29"/>
      <c r="C25" s="29">
        <v>1</v>
      </c>
      <c r="D25" s="29"/>
      <c r="E25" s="29"/>
      <c r="F25" s="29"/>
      <c r="G25" s="29">
        <v>2</v>
      </c>
      <c r="H25" s="29"/>
      <c r="I25" s="29"/>
      <c r="J25" s="29"/>
    </row>
    <row r="26" spans="1:10">
      <c r="A26" s="4" t="s">
        <v>3286</v>
      </c>
      <c r="B26" s="29"/>
      <c r="C26" s="29">
        <v>1</v>
      </c>
      <c r="D26" s="29"/>
      <c r="E26" s="29"/>
      <c r="F26" s="29"/>
      <c r="G26" s="29"/>
      <c r="H26" s="29">
        <v>2</v>
      </c>
      <c r="I26" s="29"/>
      <c r="J26" s="29"/>
    </row>
    <row r="27" spans="1:10">
      <c r="A27" s="4" t="s">
        <v>99</v>
      </c>
      <c r="B27" s="29">
        <v>1</v>
      </c>
      <c r="C27" s="29">
        <v>2</v>
      </c>
      <c r="D27" s="29">
        <v>3</v>
      </c>
      <c r="E27" s="29">
        <v>1</v>
      </c>
      <c r="F27" s="29">
        <v>2</v>
      </c>
      <c r="G27" s="29"/>
      <c r="H27" s="29"/>
      <c r="I27" s="29">
        <v>1</v>
      </c>
      <c r="J27" s="29">
        <v>3</v>
      </c>
    </row>
    <row r="28" spans="1:10">
      <c r="A28" s="4" t="s">
        <v>3189</v>
      </c>
      <c r="B28" s="29">
        <v>1</v>
      </c>
      <c r="C28" s="29"/>
      <c r="D28" s="29">
        <v>1</v>
      </c>
      <c r="E28" s="29"/>
      <c r="F28" s="29"/>
      <c r="G28" s="29"/>
      <c r="H28" s="29"/>
      <c r="I28" s="29"/>
      <c r="J28" s="29"/>
    </row>
    <row r="29" spans="1:10">
      <c r="A29" s="4" t="s">
        <v>120</v>
      </c>
      <c r="B29" s="29">
        <v>1</v>
      </c>
      <c r="C29" s="29">
        <v>1</v>
      </c>
      <c r="D29" s="29"/>
      <c r="E29" s="29"/>
      <c r="F29" s="29"/>
      <c r="G29" s="29"/>
      <c r="H29" s="29"/>
      <c r="I29" s="29">
        <v>1</v>
      </c>
      <c r="J29" s="29"/>
    </row>
    <row r="30" spans="1:10">
      <c r="A30" s="4" t="s">
        <v>3289</v>
      </c>
      <c r="B30" s="29"/>
      <c r="C30" s="29">
        <v>2</v>
      </c>
      <c r="D30" s="29">
        <v>2</v>
      </c>
      <c r="E30" s="29"/>
      <c r="F30" s="29">
        <v>1</v>
      </c>
      <c r="G30" s="29"/>
      <c r="H30" s="29"/>
      <c r="I30" s="29"/>
      <c r="J30" s="29"/>
    </row>
    <row r="31" spans="1:10">
      <c r="A31" s="4" t="s">
        <v>3291</v>
      </c>
      <c r="B31" s="29"/>
      <c r="C31" s="29"/>
      <c r="D31" s="29">
        <v>4</v>
      </c>
      <c r="E31" s="29"/>
      <c r="F31" s="29"/>
      <c r="G31" s="29"/>
      <c r="H31" s="29">
        <v>1</v>
      </c>
      <c r="I31" s="29"/>
      <c r="J31" s="29">
        <v>2</v>
      </c>
    </row>
    <row r="32" spans="1:10">
      <c r="A32" s="4" t="s">
        <v>3296</v>
      </c>
      <c r="B32" s="29"/>
      <c r="C32" s="29"/>
      <c r="D32" s="29">
        <v>1</v>
      </c>
      <c r="E32" s="29"/>
      <c r="F32" s="29"/>
      <c r="G32" s="29"/>
      <c r="H32" s="29"/>
      <c r="I32" s="29"/>
      <c r="J32" s="29"/>
    </row>
    <row r="33" spans="1:10">
      <c r="A33" s="4" t="s">
        <v>3299</v>
      </c>
      <c r="B33" s="29"/>
      <c r="C33" s="29"/>
      <c r="D33" s="29"/>
      <c r="E33" s="29"/>
      <c r="F33" s="29"/>
      <c r="G33" s="29"/>
      <c r="H33" s="29"/>
      <c r="I33" s="29">
        <v>1</v>
      </c>
      <c r="J33" s="29">
        <v>1</v>
      </c>
    </row>
    <row r="34" spans="1:10">
      <c r="A34" s="4" t="s">
        <v>3300</v>
      </c>
      <c r="B34" s="29">
        <v>1</v>
      </c>
      <c r="C34" s="29"/>
      <c r="D34" s="29">
        <v>1</v>
      </c>
      <c r="E34" s="29"/>
      <c r="F34" s="29"/>
      <c r="G34" s="29"/>
      <c r="H34" s="29"/>
      <c r="I34" s="29"/>
      <c r="J34" s="29"/>
    </row>
    <row r="35" spans="1:10">
      <c r="A35" s="4" t="s">
        <v>3303</v>
      </c>
      <c r="B35" s="29"/>
      <c r="C35" s="29">
        <v>2</v>
      </c>
      <c r="D35" s="29">
        <v>1</v>
      </c>
      <c r="E35" s="29"/>
      <c r="F35" s="29"/>
      <c r="G35" s="29"/>
      <c r="H35" s="29"/>
      <c r="I35" s="29"/>
      <c r="J35" s="29">
        <v>3</v>
      </c>
    </row>
    <row r="36" spans="1:10">
      <c r="A36" s="4" t="s">
        <v>3305</v>
      </c>
      <c r="B36" s="29"/>
      <c r="C36" s="29"/>
      <c r="D36" s="29"/>
      <c r="E36" s="29"/>
      <c r="F36" s="29"/>
      <c r="G36" s="29"/>
      <c r="H36" s="29"/>
      <c r="I36" s="29">
        <v>1</v>
      </c>
      <c r="J36" s="29"/>
    </row>
    <row r="37" spans="1:10">
      <c r="A37" s="4" t="s">
        <v>116</v>
      </c>
      <c r="B37" s="29"/>
      <c r="C37" s="29">
        <v>1</v>
      </c>
      <c r="D37" s="29">
        <v>1</v>
      </c>
      <c r="E37" s="29"/>
      <c r="F37" s="29"/>
      <c r="G37" s="29">
        <v>2</v>
      </c>
      <c r="H37" s="29"/>
      <c r="I37" s="29">
        <v>1</v>
      </c>
      <c r="J37" s="29"/>
    </row>
    <row r="38" spans="1:10">
      <c r="A38" s="4" t="s">
        <v>3308</v>
      </c>
      <c r="B38" s="29"/>
      <c r="C38" s="29">
        <v>1</v>
      </c>
      <c r="D38" s="29"/>
      <c r="E38" s="29"/>
      <c r="F38" s="29"/>
      <c r="G38" s="29"/>
      <c r="H38" s="29"/>
      <c r="I38" s="29"/>
      <c r="J38" s="29"/>
    </row>
    <row r="39" spans="1:10">
      <c r="A39" s="4" t="s">
        <v>104</v>
      </c>
      <c r="B39" s="29"/>
      <c r="C39" s="29"/>
      <c r="D39" s="29"/>
      <c r="E39" s="29">
        <v>1</v>
      </c>
      <c r="F39" s="29">
        <v>3</v>
      </c>
      <c r="G39" s="29">
        <v>3</v>
      </c>
      <c r="H39" s="29">
        <v>2</v>
      </c>
      <c r="I39" s="29"/>
      <c r="J39" s="29"/>
    </row>
    <row r="40" spans="1:10">
      <c r="A40" s="4" t="s">
        <v>3309</v>
      </c>
      <c r="B40" s="29"/>
      <c r="C40" s="29"/>
      <c r="D40" s="29">
        <v>2</v>
      </c>
      <c r="E40" s="29">
        <v>1</v>
      </c>
      <c r="F40" s="29"/>
      <c r="G40" s="29">
        <v>2</v>
      </c>
      <c r="H40" s="29"/>
      <c r="I40" s="29"/>
      <c r="J40" s="29">
        <v>1</v>
      </c>
    </row>
    <row r="41" spans="1:10">
      <c r="A41" s="4" t="s">
        <v>2965</v>
      </c>
      <c r="B41" s="29"/>
      <c r="C41" s="29">
        <v>2</v>
      </c>
      <c r="D41" s="29">
        <v>3</v>
      </c>
      <c r="E41" s="29"/>
      <c r="F41" s="29"/>
      <c r="G41" s="29">
        <v>1</v>
      </c>
      <c r="H41" s="29"/>
      <c r="I41" s="29"/>
      <c r="J41" s="29"/>
    </row>
    <row r="42" spans="1:10">
      <c r="A42" s="4" t="s">
        <v>3312</v>
      </c>
      <c r="B42" s="29"/>
      <c r="C42" s="29"/>
      <c r="D42" s="29"/>
      <c r="E42" s="29"/>
      <c r="F42" s="29"/>
      <c r="G42" s="29"/>
      <c r="H42" s="29"/>
      <c r="I42" s="29"/>
      <c r="J42" s="29">
        <v>1</v>
      </c>
    </row>
    <row r="43" spans="1:10">
      <c r="A43" s="4" t="s">
        <v>2979</v>
      </c>
      <c r="B43" s="29"/>
      <c r="C43" s="29"/>
      <c r="D43" s="29"/>
      <c r="E43" s="29"/>
      <c r="F43" s="29"/>
      <c r="G43" s="29">
        <v>1</v>
      </c>
      <c r="H43" s="29"/>
      <c r="I43" s="29"/>
      <c r="J43" s="29"/>
    </row>
    <row r="44" spans="1:10">
      <c r="A44" s="4" t="s">
        <v>733</v>
      </c>
      <c r="B44" s="29"/>
      <c r="C44" s="29">
        <v>1</v>
      </c>
      <c r="D44" s="29">
        <v>5</v>
      </c>
      <c r="E44" s="29"/>
      <c r="F44" s="29"/>
      <c r="G44" s="29">
        <v>1</v>
      </c>
      <c r="H44" s="29"/>
      <c r="I44" s="29"/>
      <c r="J44" s="29"/>
    </row>
    <row r="45" spans="1:10">
      <c r="A45" s="4" t="s">
        <v>3315</v>
      </c>
      <c r="B45" s="29"/>
      <c r="C45" s="29"/>
      <c r="D45" s="29"/>
      <c r="E45" s="29"/>
      <c r="F45" s="29"/>
      <c r="G45" s="29"/>
      <c r="H45" s="29"/>
      <c r="I45" s="29"/>
      <c r="J45" s="29">
        <v>1</v>
      </c>
    </row>
    <row r="46" spans="1:10">
      <c r="A46" s="4" t="s">
        <v>2607</v>
      </c>
      <c r="B46" s="29"/>
      <c r="C46" s="29">
        <v>1</v>
      </c>
      <c r="D46" s="29"/>
      <c r="E46" s="29"/>
      <c r="F46" s="29"/>
      <c r="G46" s="29"/>
      <c r="H46" s="29"/>
      <c r="I46" s="29"/>
      <c r="J46" s="29">
        <v>1</v>
      </c>
    </row>
    <row r="47" spans="1:10">
      <c r="A47" s="4" t="s">
        <v>2974</v>
      </c>
      <c r="B47" s="29"/>
      <c r="C47" s="29"/>
      <c r="D47" s="29"/>
      <c r="E47" s="29"/>
      <c r="F47" s="29">
        <v>1</v>
      </c>
      <c r="G47" s="29"/>
      <c r="H47" s="29"/>
      <c r="I47" s="29"/>
      <c r="J47" s="29"/>
    </row>
    <row r="48" spans="1:10">
      <c r="A48" s="4" t="s">
        <v>3321</v>
      </c>
      <c r="B48" s="29"/>
      <c r="C48" s="29">
        <v>2</v>
      </c>
      <c r="D48" s="29"/>
      <c r="E48" s="29"/>
      <c r="F48" s="29"/>
      <c r="G48" s="29"/>
      <c r="H48" s="29"/>
      <c r="I48" s="29"/>
      <c r="J48" s="29"/>
    </row>
    <row r="49" spans="1:10">
      <c r="A49" s="4" t="s">
        <v>3322</v>
      </c>
      <c r="B49" s="29"/>
      <c r="C49" s="29"/>
      <c r="D49" s="29"/>
      <c r="E49" s="29"/>
      <c r="F49" s="29"/>
      <c r="G49" s="29"/>
      <c r="H49" s="29"/>
      <c r="I49" s="29"/>
      <c r="J49" s="29">
        <v>1</v>
      </c>
    </row>
    <row r="50" spans="1:10">
      <c r="A50" s="4" t="s">
        <v>3325</v>
      </c>
      <c r="B50" s="29"/>
      <c r="C50" s="29"/>
      <c r="D50" s="29"/>
      <c r="E50" s="29"/>
      <c r="F50" s="29">
        <v>1</v>
      </c>
      <c r="G50" s="29"/>
      <c r="H50" s="29"/>
      <c r="I50" s="29"/>
      <c r="J50" s="29"/>
    </row>
    <row r="51" spans="1:10">
      <c r="A51" s="4" t="s">
        <v>3192</v>
      </c>
      <c r="B51" s="29"/>
      <c r="C51" s="29"/>
      <c r="D51" s="29">
        <v>1</v>
      </c>
      <c r="E51" s="29"/>
      <c r="F51" s="29"/>
      <c r="G51" s="29"/>
      <c r="H51" s="29"/>
      <c r="I51" s="29"/>
      <c r="J51" s="29"/>
    </row>
    <row r="52" spans="1:10">
      <c r="A52" s="4" t="s">
        <v>3326</v>
      </c>
      <c r="B52" s="29">
        <v>1</v>
      </c>
      <c r="C52" s="29"/>
      <c r="D52" s="29"/>
      <c r="E52" s="29"/>
      <c r="F52" s="29"/>
      <c r="G52" s="29"/>
      <c r="H52" s="29"/>
      <c r="I52" s="29"/>
      <c r="J52" s="29">
        <v>1</v>
      </c>
    </row>
    <row r="53" spans="1:10">
      <c r="A53" s="4" t="s">
        <v>3328</v>
      </c>
      <c r="B53" s="29">
        <v>1</v>
      </c>
      <c r="C53" s="29"/>
      <c r="D53" s="29"/>
      <c r="E53" s="29"/>
      <c r="F53" s="29"/>
      <c r="G53" s="29"/>
      <c r="H53" s="29"/>
      <c r="I53" s="29"/>
      <c r="J53" s="29"/>
    </row>
    <row r="54" spans="1:10">
      <c r="A54" s="4" t="s">
        <v>88</v>
      </c>
      <c r="B54" s="29"/>
      <c r="C54" s="29">
        <v>1</v>
      </c>
      <c r="D54" s="29"/>
      <c r="E54" s="29"/>
      <c r="F54" s="29"/>
      <c r="G54" s="29">
        <v>2</v>
      </c>
      <c r="H54" s="29"/>
      <c r="I54" s="29">
        <v>1</v>
      </c>
      <c r="J54" s="29"/>
    </row>
    <row r="55" spans="1:10">
      <c r="A55" s="4" t="s">
        <v>187</v>
      </c>
      <c r="B55" s="29">
        <v>1</v>
      </c>
      <c r="C55" s="29">
        <v>1</v>
      </c>
      <c r="D55" s="29"/>
      <c r="E55" s="29"/>
      <c r="F55" s="29"/>
      <c r="G55" s="29"/>
      <c r="H55" s="29"/>
      <c r="I55" s="29"/>
      <c r="J55" s="29"/>
    </row>
    <row r="56" spans="1:10">
      <c r="A56" s="4" t="s">
        <v>1972</v>
      </c>
      <c r="B56" s="29">
        <v>1</v>
      </c>
      <c r="C56" s="29">
        <v>1</v>
      </c>
      <c r="D56" s="29"/>
      <c r="E56" s="29"/>
      <c r="F56" s="29"/>
      <c r="G56" s="29"/>
      <c r="H56" s="29"/>
      <c r="I56" s="29"/>
      <c r="J56" s="29"/>
    </row>
    <row r="57" spans="1:10">
      <c r="A57" s="4" t="s">
        <v>3336</v>
      </c>
      <c r="B57" s="29"/>
      <c r="C57" s="29"/>
      <c r="D57" s="29">
        <v>1</v>
      </c>
      <c r="E57" s="29"/>
      <c r="F57" s="29"/>
      <c r="G57" s="29"/>
      <c r="H57" s="29"/>
      <c r="I57" s="29"/>
      <c r="J57" s="29"/>
    </row>
    <row r="58" spans="1:10">
      <c r="A58" s="4" t="s">
        <v>228</v>
      </c>
      <c r="B58" s="29"/>
      <c r="C58" s="29"/>
      <c r="D58" s="29"/>
      <c r="E58" s="29"/>
      <c r="F58" s="29"/>
      <c r="G58" s="29"/>
      <c r="H58" s="29"/>
      <c r="I58" s="29">
        <v>1</v>
      </c>
      <c r="J58" s="29">
        <v>1</v>
      </c>
    </row>
    <row r="59" spans="1:10">
      <c r="A59" s="4" t="s">
        <v>3194</v>
      </c>
      <c r="B59" s="29"/>
      <c r="C59" s="29">
        <v>1</v>
      </c>
      <c r="D59" s="29"/>
      <c r="E59" s="29">
        <v>1</v>
      </c>
      <c r="F59" s="29"/>
      <c r="G59" s="29"/>
      <c r="H59" s="29"/>
      <c r="I59" s="29"/>
      <c r="J59" s="29"/>
    </row>
    <row r="60" spans="1:10">
      <c r="A60" s="4" t="s">
        <v>3339</v>
      </c>
      <c r="B60" s="29"/>
      <c r="C60" s="29">
        <v>3</v>
      </c>
      <c r="D60" s="29">
        <v>1</v>
      </c>
      <c r="E60" s="29"/>
      <c r="F60" s="29"/>
      <c r="G60" s="29">
        <v>2</v>
      </c>
      <c r="H60" s="29"/>
      <c r="I60" s="29">
        <v>2</v>
      </c>
      <c r="J60" s="29">
        <v>1</v>
      </c>
    </row>
    <row r="61" spans="1:10">
      <c r="A61" s="4" t="s">
        <v>1561</v>
      </c>
      <c r="B61" s="29"/>
      <c r="C61" s="29"/>
      <c r="D61" s="29"/>
      <c r="E61" s="29"/>
      <c r="F61" s="29"/>
      <c r="G61" s="29"/>
      <c r="H61" s="29"/>
      <c r="I61" s="29"/>
      <c r="J61" s="29">
        <v>1</v>
      </c>
    </row>
    <row r="62" spans="1:10">
      <c r="A62" s="4" t="s">
        <v>371</v>
      </c>
      <c r="B62" s="29"/>
      <c r="C62" s="29">
        <v>1</v>
      </c>
      <c r="D62" s="29"/>
      <c r="E62" s="29"/>
      <c r="F62" s="29">
        <v>1</v>
      </c>
      <c r="G62" s="29"/>
      <c r="H62" s="29"/>
      <c r="I62" s="29"/>
      <c r="J62" s="29"/>
    </row>
    <row r="63" spans="1:10">
      <c r="A63" s="4" t="s">
        <v>3340</v>
      </c>
      <c r="B63" s="29"/>
      <c r="C63" s="29"/>
      <c r="D63" s="29"/>
      <c r="E63" s="29"/>
      <c r="F63" s="29"/>
      <c r="G63" s="29">
        <v>1</v>
      </c>
      <c r="H63" s="29"/>
      <c r="I63" s="29"/>
      <c r="J63" s="29"/>
    </row>
    <row r="64" spans="1:10">
      <c r="A64" s="4" t="s">
        <v>2611</v>
      </c>
      <c r="B64" s="29">
        <v>1</v>
      </c>
      <c r="C64" s="29">
        <v>2</v>
      </c>
      <c r="D64" s="29"/>
      <c r="E64" s="29"/>
      <c r="F64" s="29"/>
      <c r="G64" s="29">
        <v>1</v>
      </c>
      <c r="H64" s="29"/>
      <c r="I64" s="29"/>
      <c r="J64" s="29"/>
    </row>
    <row r="65" spans="1:10">
      <c r="A65" s="4" t="s">
        <v>3341</v>
      </c>
      <c r="B65" s="29"/>
      <c r="C65" s="29"/>
      <c r="D65" s="29"/>
      <c r="E65" s="29"/>
      <c r="F65" s="29"/>
      <c r="G65" s="29">
        <v>1</v>
      </c>
      <c r="H65" s="29"/>
      <c r="I65" s="29"/>
      <c r="J65" s="29"/>
    </row>
    <row r="66" spans="1:10">
      <c r="A66" s="4" t="s">
        <v>3342</v>
      </c>
      <c r="B66" s="29"/>
      <c r="C66" s="29">
        <v>1</v>
      </c>
      <c r="D66" s="29"/>
      <c r="E66" s="29"/>
      <c r="F66" s="29"/>
      <c r="G66" s="29">
        <v>1</v>
      </c>
      <c r="H66" s="29"/>
      <c r="I66" s="29"/>
      <c r="J66" s="29"/>
    </row>
    <row r="67" spans="1:10">
      <c r="A67" s="4" t="s">
        <v>3346</v>
      </c>
      <c r="B67" s="29"/>
      <c r="C67" s="29"/>
      <c r="D67" s="29"/>
      <c r="E67" s="29"/>
      <c r="F67" s="29">
        <v>1</v>
      </c>
      <c r="G67" s="29"/>
      <c r="H67" s="29"/>
      <c r="I67" s="29">
        <v>1</v>
      </c>
      <c r="J67" s="29"/>
    </row>
    <row r="68" spans="1:10">
      <c r="A68" s="4" t="s">
        <v>3196</v>
      </c>
      <c r="B68" s="29"/>
      <c r="C68" s="29"/>
      <c r="D68" s="29">
        <v>1</v>
      </c>
      <c r="E68" s="29">
        <v>1</v>
      </c>
      <c r="F68" s="29"/>
      <c r="G68" s="29"/>
      <c r="H68" s="29">
        <v>1</v>
      </c>
      <c r="I68" s="29">
        <v>1</v>
      </c>
      <c r="J68" s="29"/>
    </row>
    <row r="69" spans="1:10">
      <c r="A69" s="4" t="s">
        <v>91</v>
      </c>
      <c r="B69" s="29">
        <v>1</v>
      </c>
      <c r="C69" s="29"/>
      <c r="D69" s="29">
        <v>1</v>
      </c>
      <c r="E69" s="29"/>
      <c r="F69" s="29"/>
      <c r="G69" s="29">
        <v>1</v>
      </c>
      <c r="H69" s="29"/>
      <c r="I69" s="29"/>
      <c r="J69" s="29"/>
    </row>
    <row r="70" spans="1:10">
      <c r="A70" s="4" t="s">
        <v>3350</v>
      </c>
      <c r="B70" s="29"/>
      <c r="C70" s="29"/>
      <c r="D70" s="29">
        <v>1</v>
      </c>
      <c r="E70" s="29"/>
      <c r="F70" s="29"/>
      <c r="G70" s="29"/>
      <c r="H70" s="29"/>
      <c r="I70" s="29"/>
      <c r="J70" s="29">
        <v>1</v>
      </c>
    </row>
    <row r="71" spans="1:10">
      <c r="A71" s="4" t="s">
        <v>3351</v>
      </c>
      <c r="B71" s="29"/>
      <c r="C71" s="29">
        <v>1</v>
      </c>
      <c r="D71" s="29"/>
      <c r="E71" s="29"/>
      <c r="F71" s="29">
        <v>1</v>
      </c>
      <c r="G71" s="29"/>
      <c r="H71" s="29">
        <v>1</v>
      </c>
      <c r="I71" s="29"/>
      <c r="J71" s="29">
        <v>2</v>
      </c>
    </row>
    <row r="72" spans="1:10">
      <c r="A72" s="4" t="s">
        <v>662</v>
      </c>
      <c r="B72" s="29"/>
      <c r="C72" s="29"/>
      <c r="D72" s="29"/>
      <c r="E72" s="29"/>
      <c r="F72" s="29"/>
      <c r="G72" s="29">
        <v>1</v>
      </c>
      <c r="H72" s="29"/>
      <c r="I72" s="29"/>
      <c r="J72" s="29"/>
    </row>
    <row r="73" spans="1:10">
      <c r="A73" s="4" t="s">
        <v>3354</v>
      </c>
      <c r="B73" s="29"/>
      <c r="C73" s="29"/>
      <c r="D73" s="29">
        <v>1</v>
      </c>
      <c r="E73" s="29">
        <v>1</v>
      </c>
      <c r="F73" s="29">
        <v>1</v>
      </c>
      <c r="G73" s="29"/>
      <c r="H73" s="29"/>
      <c r="I73" s="29"/>
      <c r="J73" s="29"/>
    </row>
    <row r="74" spans="1:10">
      <c r="A74" s="4" t="s">
        <v>3355</v>
      </c>
      <c r="B74" s="29"/>
      <c r="C74" s="29"/>
      <c r="D74" s="29">
        <v>1</v>
      </c>
      <c r="E74" s="29"/>
      <c r="F74" s="29"/>
      <c r="G74" s="29"/>
      <c r="H74" s="29"/>
      <c r="I74" s="29"/>
      <c r="J74" s="29"/>
    </row>
    <row r="75" spans="1:10">
      <c r="A75" s="4" t="s">
        <v>3356</v>
      </c>
      <c r="B75" s="29"/>
      <c r="C75" s="29"/>
      <c r="D75" s="29">
        <v>1</v>
      </c>
      <c r="E75" s="29"/>
      <c r="F75" s="29"/>
      <c r="G75" s="29"/>
      <c r="H75" s="29"/>
      <c r="I75" s="29"/>
      <c r="J75" s="29"/>
    </row>
    <row r="76" spans="1:10">
      <c r="A76" s="4" t="s">
        <v>190</v>
      </c>
      <c r="B76" s="29"/>
      <c r="C76" s="29"/>
      <c r="D76" s="29"/>
      <c r="E76" s="29"/>
      <c r="F76" s="29">
        <v>1</v>
      </c>
      <c r="G76" s="29"/>
      <c r="H76" s="29"/>
      <c r="I76" s="29"/>
      <c r="J76" s="29"/>
    </row>
    <row r="77" spans="1:10">
      <c r="A77" s="4" t="s">
        <v>3357</v>
      </c>
      <c r="B77" s="29">
        <v>1</v>
      </c>
      <c r="C77" s="29"/>
      <c r="D77" s="29"/>
      <c r="E77" s="29"/>
      <c r="F77" s="29"/>
      <c r="G77" s="29"/>
      <c r="H77" s="29"/>
      <c r="I77" s="29">
        <v>1</v>
      </c>
      <c r="J77" s="29"/>
    </row>
    <row r="78" spans="1:10">
      <c r="A78" s="4" t="s">
        <v>3360</v>
      </c>
      <c r="B78" s="29"/>
      <c r="C78" s="29"/>
      <c r="D78" s="29">
        <v>1</v>
      </c>
      <c r="E78" s="29">
        <v>1</v>
      </c>
      <c r="F78" s="29"/>
      <c r="G78" s="29"/>
      <c r="H78" s="29"/>
      <c r="I78" s="29">
        <v>1</v>
      </c>
      <c r="J78" s="29"/>
    </row>
    <row r="79" spans="1:10">
      <c r="A79" s="4" t="s">
        <v>3049</v>
      </c>
      <c r="B79" s="29"/>
      <c r="C79" s="29">
        <v>2</v>
      </c>
      <c r="D79" s="29"/>
      <c r="E79" s="29">
        <v>1</v>
      </c>
      <c r="F79" s="29"/>
      <c r="G79" s="29"/>
      <c r="H79" s="29"/>
      <c r="I79" s="29"/>
      <c r="J79" s="29"/>
    </row>
    <row r="80" spans="1:10">
      <c r="A80" s="4" t="s">
        <v>360</v>
      </c>
      <c r="B80" s="29">
        <v>1</v>
      </c>
      <c r="C80" s="29"/>
      <c r="D80" s="29">
        <v>1</v>
      </c>
      <c r="E80" s="29"/>
      <c r="F80" s="29"/>
      <c r="G80" s="29"/>
      <c r="H80" s="29"/>
      <c r="I80" s="29"/>
      <c r="J80" s="29"/>
    </row>
    <row r="81" spans="1:10">
      <c r="A81" s="4" t="s">
        <v>3363</v>
      </c>
      <c r="B81" s="29">
        <v>1</v>
      </c>
      <c r="C81" s="29"/>
      <c r="D81" s="29"/>
      <c r="E81" s="29"/>
      <c r="F81" s="29"/>
      <c r="G81" s="29"/>
      <c r="H81" s="29"/>
      <c r="I81" s="29"/>
      <c r="J81" s="29"/>
    </row>
    <row r="82" spans="1:10">
      <c r="A82" s="4" t="s">
        <v>3367</v>
      </c>
      <c r="B82" s="29"/>
      <c r="C82" s="29"/>
      <c r="D82" s="29">
        <v>2</v>
      </c>
      <c r="E82" s="29"/>
      <c r="F82" s="29">
        <v>1</v>
      </c>
      <c r="G82" s="29"/>
      <c r="H82" s="29"/>
      <c r="I82" s="29"/>
      <c r="J82" s="29">
        <v>1</v>
      </c>
    </row>
    <row r="83" spans="1:10">
      <c r="A83" s="4" t="s">
        <v>3369</v>
      </c>
      <c r="B83" s="29"/>
      <c r="C83" s="29"/>
      <c r="D83" s="29"/>
      <c r="E83" s="29"/>
      <c r="F83" s="29">
        <v>1</v>
      </c>
      <c r="G83" s="29"/>
      <c r="H83" s="29"/>
      <c r="I83" s="29"/>
      <c r="J83" s="29"/>
    </row>
    <row r="84" spans="1:10">
      <c r="A84" s="4" t="s">
        <v>3371</v>
      </c>
      <c r="B84" s="29"/>
      <c r="C84" s="29"/>
      <c r="D84" s="29">
        <v>2</v>
      </c>
      <c r="E84" s="29"/>
      <c r="F84" s="29"/>
      <c r="G84" s="29"/>
      <c r="H84" s="29"/>
      <c r="I84" s="29"/>
      <c r="J84" s="29">
        <v>1</v>
      </c>
    </row>
    <row r="85" spans="1:10">
      <c r="A85" s="4" t="s">
        <v>3373</v>
      </c>
      <c r="B85" s="29"/>
      <c r="C85" s="29"/>
      <c r="D85" s="29">
        <v>1</v>
      </c>
      <c r="E85" s="29"/>
      <c r="F85" s="29"/>
      <c r="G85" s="29"/>
      <c r="H85" s="29"/>
      <c r="I85" s="29"/>
      <c r="J85" s="29"/>
    </row>
    <row r="86" spans="1:10">
      <c r="A86" s="4" t="s">
        <v>202</v>
      </c>
      <c r="B86" s="29"/>
      <c r="C86" s="29">
        <v>1</v>
      </c>
      <c r="D86" s="29"/>
      <c r="E86" s="29"/>
      <c r="F86" s="29"/>
      <c r="G86" s="29"/>
      <c r="H86" s="29"/>
      <c r="I86" s="29"/>
      <c r="J86" s="29">
        <v>1</v>
      </c>
    </row>
    <row r="87" spans="1:10">
      <c r="A87" s="4" t="s">
        <v>2969</v>
      </c>
      <c r="B87" s="29">
        <v>1</v>
      </c>
      <c r="C87" s="29">
        <v>1</v>
      </c>
      <c r="D87" s="29"/>
      <c r="E87" s="29"/>
      <c r="F87" s="29"/>
      <c r="G87" s="29"/>
      <c r="H87" s="29"/>
      <c r="I87" s="29">
        <v>1</v>
      </c>
      <c r="J87" s="29"/>
    </row>
    <row r="88" spans="1:10">
      <c r="A88" s="4" t="s">
        <v>118</v>
      </c>
      <c r="B88" s="29"/>
      <c r="C88" s="29">
        <v>1</v>
      </c>
      <c r="D88" s="29"/>
      <c r="E88" s="29"/>
      <c r="F88" s="29"/>
      <c r="G88" s="29">
        <v>1</v>
      </c>
      <c r="H88" s="29"/>
      <c r="I88" s="29"/>
      <c r="J88" s="29"/>
    </row>
    <row r="89" spans="1:10">
      <c r="A89" s="4" t="s">
        <v>3374</v>
      </c>
      <c r="B89" s="29"/>
      <c r="C89" s="29"/>
      <c r="D89" s="29"/>
      <c r="E89" s="29">
        <v>1</v>
      </c>
      <c r="F89" s="29"/>
      <c r="G89" s="29"/>
      <c r="H89" s="29"/>
      <c r="I89" s="29"/>
      <c r="J89" s="29">
        <v>1</v>
      </c>
    </row>
    <row r="90" spans="1:10">
      <c r="A90" s="4" t="s">
        <v>3198</v>
      </c>
      <c r="B90" s="29"/>
      <c r="C90" s="29"/>
      <c r="D90" s="29">
        <v>1</v>
      </c>
      <c r="E90" s="29"/>
      <c r="F90" s="29">
        <v>1</v>
      </c>
      <c r="G90" s="29"/>
      <c r="H90" s="29"/>
      <c r="I90" s="29"/>
      <c r="J90" s="29"/>
    </row>
    <row r="91" spans="1:10">
      <c r="A91" s="4" t="s">
        <v>3048</v>
      </c>
      <c r="B91" s="29"/>
      <c r="C91" s="29">
        <v>1</v>
      </c>
      <c r="D91" s="29"/>
      <c r="E91" s="29"/>
      <c r="F91" s="29"/>
      <c r="G91" s="29"/>
      <c r="H91" s="29"/>
      <c r="I91" s="29">
        <v>1</v>
      </c>
      <c r="J91" s="29"/>
    </row>
    <row r="92" spans="1:10">
      <c r="A92" s="4" t="s">
        <v>3382</v>
      </c>
      <c r="B92" s="29"/>
      <c r="C92" s="29"/>
      <c r="D92" s="29">
        <v>1</v>
      </c>
      <c r="E92" s="29"/>
      <c r="F92" s="29"/>
      <c r="G92" s="29"/>
      <c r="H92" s="29"/>
      <c r="I92" s="29"/>
      <c r="J92" s="29"/>
    </row>
    <row r="93" spans="1:10">
      <c r="A93" s="4" t="s">
        <v>3384</v>
      </c>
      <c r="B93" s="29"/>
      <c r="C93" s="29">
        <v>2</v>
      </c>
      <c r="D93" s="29">
        <v>1</v>
      </c>
      <c r="E93" s="29"/>
      <c r="F93" s="29"/>
      <c r="G93" s="29"/>
      <c r="H93" s="29">
        <v>1</v>
      </c>
      <c r="I93" s="29"/>
      <c r="J93" s="29">
        <v>1</v>
      </c>
    </row>
    <row r="94" spans="1:10">
      <c r="A94" s="4" t="s">
        <v>3385</v>
      </c>
      <c r="B94" s="29"/>
      <c r="C94" s="29"/>
      <c r="D94" s="29"/>
      <c r="E94" s="29"/>
      <c r="F94" s="29"/>
      <c r="G94" s="29">
        <v>1</v>
      </c>
      <c r="H94" s="29"/>
      <c r="I94" s="29"/>
      <c r="J94" s="29"/>
    </row>
    <row r="95" spans="1:10">
      <c r="A95" s="4" t="s">
        <v>3386</v>
      </c>
      <c r="B95" s="29"/>
      <c r="C95" s="29">
        <v>1</v>
      </c>
      <c r="D95" s="29"/>
      <c r="E95" s="29"/>
      <c r="F95" s="29"/>
      <c r="G95" s="29"/>
      <c r="H95" s="29"/>
      <c r="I95" s="29"/>
      <c r="J95" s="29"/>
    </row>
    <row r="96" spans="1:10">
      <c r="A96" s="4" t="s">
        <v>3390</v>
      </c>
      <c r="B96" s="29"/>
      <c r="C96" s="29"/>
      <c r="D96" s="29">
        <v>2</v>
      </c>
      <c r="E96" s="29"/>
      <c r="F96" s="29">
        <v>1</v>
      </c>
      <c r="G96" s="29"/>
      <c r="H96" s="29"/>
      <c r="I96" s="29"/>
      <c r="J96" s="29"/>
    </row>
    <row r="97" spans="1:10">
      <c r="A97" s="4" t="s">
        <v>339</v>
      </c>
      <c r="B97" s="29"/>
      <c r="C97" s="29"/>
      <c r="D97" s="29"/>
      <c r="E97" s="29">
        <v>1</v>
      </c>
      <c r="F97" s="29"/>
      <c r="G97" s="29"/>
      <c r="H97" s="29"/>
      <c r="I97" s="29"/>
      <c r="J97" s="29"/>
    </row>
    <row r="98" spans="1:10">
      <c r="A98" s="4" t="s">
        <v>3394</v>
      </c>
      <c r="B98" s="29"/>
      <c r="C98" s="29">
        <v>1</v>
      </c>
      <c r="D98" s="29"/>
      <c r="E98" s="29"/>
      <c r="F98" s="29"/>
      <c r="G98" s="29"/>
      <c r="H98" s="29"/>
      <c r="I98" s="29">
        <v>1</v>
      </c>
      <c r="J98" s="29"/>
    </row>
    <row r="99" spans="1:10">
      <c r="A99" s="4" t="s">
        <v>2977</v>
      </c>
      <c r="B99" s="29"/>
      <c r="C99" s="29">
        <v>2</v>
      </c>
      <c r="D99" s="29"/>
      <c r="E99" s="29"/>
      <c r="F99" s="29"/>
      <c r="G99" s="29"/>
      <c r="H99" s="29"/>
      <c r="I99" s="29"/>
      <c r="J99" s="29"/>
    </row>
    <row r="100" spans="1:10">
      <c r="A100" s="4" t="s">
        <v>3202</v>
      </c>
      <c r="B100" s="29"/>
      <c r="C100" s="29"/>
      <c r="D100" s="29"/>
      <c r="E100" s="29"/>
      <c r="F100" s="29"/>
      <c r="G100" s="29">
        <v>1</v>
      </c>
      <c r="H100" s="29"/>
      <c r="I100" s="29"/>
      <c r="J100" s="29"/>
    </row>
    <row r="101" spans="1:10">
      <c r="A101" s="4" t="s">
        <v>3396</v>
      </c>
      <c r="B101" s="29"/>
      <c r="C101" s="29"/>
      <c r="D101" s="29"/>
      <c r="E101" s="29"/>
      <c r="F101" s="29"/>
      <c r="G101" s="29"/>
      <c r="H101" s="29"/>
      <c r="I101" s="29"/>
      <c r="J101" s="29">
        <v>3</v>
      </c>
    </row>
    <row r="102" spans="1:10">
      <c r="A102" s="4" t="s">
        <v>3397</v>
      </c>
      <c r="B102" s="29">
        <v>1</v>
      </c>
      <c r="C102" s="29"/>
      <c r="D102" s="29"/>
      <c r="E102" s="29"/>
      <c r="F102" s="29"/>
      <c r="G102" s="29"/>
      <c r="H102" s="29"/>
      <c r="I102" s="29"/>
      <c r="J102" s="29"/>
    </row>
    <row r="103" spans="1:10">
      <c r="A103" s="4" t="s">
        <v>3400</v>
      </c>
      <c r="B103" s="29"/>
      <c r="C103" s="29"/>
      <c r="D103" s="29"/>
      <c r="E103" s="29">
        <v>1</v>
      </c>
      <c r="F103" s="29"/>
      <c r="G103" s="29"/>
      <c r="H103" s="29"/>
      <c r="I103" s="29"/>
      <c r="J103" s="29"/>
    </row>
    <row r="104" spans="1:10">
      <c r="A104" s="4" t="s">
        <v>3401</v>
      </c>
      <c r="B104" s="29">
        <v>1</v>
      </c>
      <c r="C104" s="29">
        <v>1</v>
      </c>
      <c r="D104" s="29"/>
      <c r="E104" s="29"/>
      <c r="F104" s="29"/>
      <c r="G104" s="29"/>
      <c r="H104" s="29"/>
      <c r="I104" s="29">
        <v>1</v>
      </c>
      <c r="J104" s="29"/>
    </row>
    <row r="105" spans="1:10">
      <c r="A105" s="4" t="s">
        <v>3203</v>
      </c>
      <c r="B105" s="29"/>
      <c r="C105" s="29"/>
      <c r="D105" s="29">
        <v>2</v>
      </c>
      <c r="E105" s="29"/>
      <c r="F105" s="29"/>
      <c r="G105" s="29"/>
      <c r="H105" s="29"/>
      <c r="I105" s="29"/>
      <c r="J105" s="29"/>
    </row>
    <row r="106" spans="1:10">
      <c r="A106" s="4" t="s">
        <v>3402</v>
      </c>
      <c r="B106" s="29"/>
      <c r="C106" s="29"/>
      <c r="D106" s="29"/>
      <c r="E106" s="29"/>
      <c r="F106" s="29"/>
      <c r="G106" s="29"/>
      <c r="H106" s="29"/>
      <c r="I106" s="29">
        <v>-1</v>
      </c>
      <c r="J106" s="29"/>
    </row>
    <row r="107" spans="1:10">
      <c r="A107" s="4" t="s">
        <v>3406</v>
      </c>
      <c r="B107" s="29"/>
      <c r="C107" s="29"/>
      <c r="D107" s="29">
        <v>1</v>
      </c>
      <c r="E107" s="29"/>
      <c r="F107" s="29"/>
      <c r="G107" s="29"/>
      <c r="H107" s="29"/>
      <c r="I107" s="29"/>
      <c r="J107" s="29">
        <v>1</v>
      </c>
    </row>
    <row r="108" spans="1:10">
      <c r="A108" s="4" t="s">
        <v>3408</v>
      </c>
      <c r="B108" s="29"/>
      <c r="C108" s="29"/>
      <c r="D108" s="29"/>
      <c r="E108" s="29">
        <v>1</v>
      </c>
      <c r="F108" s="29"/>
      <c r="G108" s="29"/>
      <c r="H108" s="29"/>
      <c r="I108" s="29"/>
      <c r="J108" s="29"/>
    </row>
    <row r="109" spans="1:10">
      <c r="A109" s="4" t="s">
        <v>3412</v>
      </c>
      <c r="B109" s="29"/>
      <c r="C109" s="29">
        <v>1</v>
      </c>
      <c r="D109" s="29">
        <v>3</v>
      </c>
      <c r="E109" s="29"/>
      <c r="F109" s="29"/>
      <c r="G109" s="29">
        <v>1</v>
      </c>
      <c r="H109" s="29"/>
      <c r="I109" s="29">
        <v>3</v>
      </c>
      <c r="J109" s="29"/>
    </row>
    <row r="110" spans="1:10">
      <c r="A110" s="4" t="s">
        <v>3413</v>
      </c>
      <c r="B110" s="29"/>
      <c r="C110" s="29">
        <v>2</v>
      </c>
      <c r="D110" s="29"/>
      <c r="E110" s="29"/>
      <c r="F110" s="29"/>
      <c r="G110" s="29"/>
      <c r="H110" s="29">
        <v>1</v>
      </c>
      <c r="I110" s="29"/>
      <c r="J110" s="29">
        <v>1</v>
      </c>
    </row>
    <row r="111" spans="1:10">
      <c r="A111" s="4" t="s">
        <v>731</v>
      </c>
      <c r="B111" s="29"/>
      <c r="C111" s="29">
        <v>3</v>
      </c>
      <c r="D111" s="29">
        <v>1</v>
      </c>
      <c r="E111" s="29">
        <v>2</v>
      </c>
      <c r="F111" s="29">
        <v>2</v>
      </c>
      <c r="G111" s="29">
        <v>2</v>
      </c>
      <c r="H111" s="29"/>
      <c r="I111" s="29"/>
      <c r="J111" s="29"/>
    </row>
    <row r="112" spans="1:10">
      <c r="A112" s="4" t="s">
        <v>2971</v>
      </c>
      <c r="B112" s="29"/>
      <c r="C112" s="29">
        <v>1</v>
      </c>
      <c r="D112" s="29">
        <v>1</v>
      </c>
      <c r="E112" s="29"/>
      <c r="F112" s="29"/>
      <c r="G112" s="29">
        <v>1</v>
      </c>
      <c r="H112" s="29"/>
      <c r="I112" s="29">
        <v>1</v>
      </c>
      <c r="J112" s="29"/>
    </row>
    <row r="113" spans="1:10">
      <c r="A113" s="4" t="s">
        <v>3204</v>
      </c>
      <c r="B113" s="29"/>
      <c r="C113" s="29">
        <v>1</v>
      </c>
      <c r="D113" s="29"/>
      <c r="E113" s="29"/>
      <c r="F113" s="29"/>
      <c r="G113" s="29"/>
      <c r="H113" s="29"/>
      <c r="I113" s="29"/>
      <c r="J113" s="29"/>
    </row>
    <row r="114" spans="1:10">
      <c r="A114" s="4" t="s">
        <v>127</v>
      </c>
      <c r="B114" s="29"/>
      <c r="C114" s="29">
        <v>1</v>
      </c>
      <c r="D114" s="29"/>
      <c r="E114" s="29"/>
      <c r="F114" s="29">
        <v>1</v>
      </c>
      <c r="G114" s="29"/>
      <c r="H114" s="29"/>
      <c r="I114" s="29"/>
      <c r="J114" s="29"/>
    </row>
    <row r="115" spans="1:10">
      <c r="A115" s="4" t="s">
        <v>3416</v>
      </c>
      <c r="B115" s="29">
        <v>1</v>
      </c>
      <c r="C115" s="29">
        <v>2</v>
      </c>
      <c r="D115" s="29"/>
      <c r="E115" s="29"/>
      <c r="F115" s="29"/>
      <c r="G115" s="29"/>
      <c r="H115" s="29"/>
      <c r="I115" s="29">
        <v>1</v>
      </c>
      <c r="J115" s="29"/>
    </row>
    <row r="116" spans="1:10">
      <c r="A116" s="4" t="s">
        <v>3417</v>
      </c>
      <c r="B116" s="29"/>
      <c r="C116" s="29">
        <v>1</v>
      </c>
      <c r="D116" s="29"/>
      <c r="E116" s="29"/>
      <c r="F116" s="29"/>
      <c r="G116" s="29"/>
      <c r="H116" s="29"/>
      <c r="I116" s="29"/>
      <c r="J116" s="29"/>
    </row>
    <row r="117" spans="1:10">
      <c r="A117" s="4" t="s">
        <v>3418</v>
      </c>
      <c r="B117" s="29"/>
      <c r="C117" s="29"/>
      <c r="D117" s="29">
        <v>1</v>
      </c>
      <c r="E117" s="29"/>
      <c r="F117" s="29"/>
      <c r="G117" s="29"/>
      <c r="H117" s="29"/>
      <c r="I117" s="29"/>
      <c r="J117" s="29"/>
    </row>
    <row r="118" spans="1:10">
      <c r="A118" s="4" t="s">
        <v>2986</v>
      </c>
      <c r="B118" s="29"/>
      <c r="C118" s="29"/>
      <c r="D118" s="29"/>
      <c r="E118" s="29"/>
      <c r="F118" s="29"/>
      <c r="G118" s="29"/>
      <c r="H118" s="29">
        <v>1</v>
      </c>
      <c r="I118" s="29"/>
      <c r="J118" s="29"/>
    </row>
    <row r="119" spans="1:10">
      <c r="A119" s="4" t="s">
        <v>232</v>
      </c>
      <c r="B119" s="29"/>
      <c r="C119" s="29">
        <v>2</v>
      </c>
      <c r="D119" s="29"/>
      <c r="E119" s="29"/>
      <c r="F119" s="29"/>
      <c r="G119" s="29">
        <v>1</v>
      </c>
      <c r="H119" s="29">
        <v>1</v>
      </c>
      <c r="I119" s="29"/>
      <c r="J119" s="29">
        <v>1</v>
      </c>
    </row>
    <row r="120" spans="1:10">
      <c r="A120" s="4" t="s">
        <v>3420</v>
      </c>
      <c r="B120" s="29"/>
      <c r="C120" s="29">
        <v>1</v>
      </c>
      <c r="D120" s="29">
        <v>1</v>
      </c>
      <c r="E120" s="29"/>
      <c r="F120" s="29"/>
      <c r="G120" s="29"/>
      <c r="H120" s="29">
        <v>1</v>
      </c>
      <c r="I120" s="29"/>
      <c r="J120" s="29"/>
    </row>
    <row r="121" spans="1:10">
      <c r="A121" s="4" t="s">
        <v>2657</v>
      </c>
      <c r="B121" s="29"/>
      <c r="C121" s="29"/>
      <c r="D121" s="29">
        <v>1</v>
      </c>
      <c r="E121" s="29"/>
      <c r="F121" s="29">
        <v>1</v>
      </c>
      <c r="G121" s="29"/>
      <c r="H121" s="29"/>
      <c r="I121" s="29"/>
      <c r="J121" s="29">
        <v>2</v>
      </c>
    </row>
    <row r="122" spans="1:10">
      <c r="A122" s="4" t="s">
        <v>372</v>
      </c>
      <c r="B122" s="29"/>
      <c r="C122" s="29">
        <v>1</v>
      </c>
      <c r="D122" s="29"/>
      <c r="E122" s="29"/>
      <c r="F122" s="29"/>
      <c r="G122" s="29"/>
      <c r="H122" s="29"/>
      <c r="I122" s="29"/>
      <c r="J122" s="29"/>
    </row>
    <row r="123" spans="1:10">
      <c r="A123" s="4" t="s">
        <v>3422</v>
      </c>
      <c r="B123" s="29"/>
      <c r="C123" s="29"/>
      <c r="D123" s="29">
        <v>1</v>
      </c>
      <c r="E123" s="29"/>
      <c r="F123" s="29"/>
      <c r="G123" s="29"/>
      <c r="H123" s="29"/>
      <c r="I123" s="29"/>
      <c r="J123" s="29"/>
    </row>
    <row r="124" spans="1:10">
      <c r="A124" s="4" t="s">
        <v>2014</v>
      </c>
      <c r="B124" s="29"/>
      <c r="C124" s="29">
        <v>1</v>
      </c>
      <c r="D124" s="29"/>
      <c r="E124" s="29"/>
      <c r="F124" s="29"/>
      <c r="G124" s="29"/>
      <c r="H124" s="29"/>
      <c r="I124" s="29"/>
      <c r="J124" s="29"/>
    </row>
    <row r="125" spans="1:10">
      <c r="A125" s="4" t="s">
        <v>3423</v>
      </c>
      <c r="B125" s="29"/>
      <c r="C125" s="29">
        <v>1</v>
      </c>
      <c r="D125" s="29"/>
      <c r="E125" s="29"/>
      <c r="F125" s="29"/>
      <c r="G125" s="29"/>
      <c r="H125" s="29"/>
      <c r="I125" s="29"/>
      <c r="J125" s="29"/>
    </row>
    <row r="126" spans="1:10">
      <c r="A126" s="4" t="s">
        <v>3425</v>
      </c>
      <c r="B126" s="29">
        <v>1</v>
      </c>
      <c r="C126" s="29">
        <v>2</v>
      </c>
      <c r="D126" s="29">
        <v>2</v>
      </c>
      <c r="E126" s="29"/>
      <c r="F126" s="29"/>
      <c r="G126" s="29">
        <v>2</v>
      </c>
      <c r="H126" s="29"/>
      <c r="I126" s="29"/>
      <c r="J126" s="29"/>
    </row>
    <row r="127" spans="1:10">
      <c r="A127" s="4" t="s">
        <v>3205</v>
      </c>
      <c r="B127" s="29"/>
      <c r="C127" s="29"/>
      <c r="D127" s="29"/>
      <c r="E127" s="29"/>
      <c r="F127" s="29"/>
      <c r="G127" s="29"/>
      <c r="H127" s="29"/>
      <c r="I127" s="29">
        <v>1</v>
      </c>
      <c r="J127" s="29"/>
    </row>
    <row r="128" spans="1:10">
      <c r="A128" s="4" t="s">
        <v>2648</v>
      </c>
      <c r="B128" s="29"/>
      <c r="C128" s="29"/>
      <c r="D128" s="29">
        <v>1</v>
      </c>
      <c r="E128" s="29"/>
      <c r="F128" s="29"/>
      <c r="G128" s="29"/>
      <c r="H128" s="29"/>
      <c r="I128" s="29">
        <v>1</v>
      </c>
      <c r="J128" s="29"/>
    </row>
    <row r="129" spans="1:10">
      <c r="A129" s="4" t="s">
        <v>3429</v>
      </c>
      <c r="B129" s="29"/>
      <c r="C129" s="29"/>
      <c r="D129" s="29"/>
      <c r="E129" s="29">
        <v>1</v>
      </c>
      <c r="F129" s="29"/>
      <c r="G129" s="29"/>
      <c r="H129" s="29"/>
      <c r="I129" s="29"/>
      <c r="J129" s="29"/>
    </row>
    <row r="130" spans="1:10">
      <c r="A130" s="4" t="s">
        <v>2183</v>
      </c>
      <c r="B130" s="29">
        <v>1</v>
      </c>
      <c r="C130" s="29"/>
      <c r="D130" s="29"/>
      <c r="E130" s="29"/>
      <c r="F130" s="29"/>
      <c r="G130" s="29"/>
      <c r="H130" s="29"/>
      <c r="I130" s="29"/>
      <c r="J130" s="29"/>
    </row>
    <row r="131" spans="1:10">
      <c r="A131" s="4" t="s">
        <v>3434</v>
      </c>
      <c r="B131" s="29">
        <v>1</v>
      </c>
      <c r="C131" s="29"/>
      <c r="D131" s="29"/>
      <c r="E131" s="29"/>
      <c r="F131" s="29"/>
      <c r="G131" s="29"/>
      <c r="H131" s="29"/>
      <c r="I131" s="29"/>
      <c r="J131" s="29"/>
    </row>
    <row r="132" spans="1:10">
      <c r="A132" s="4" t="s">
        <v>2623</v>
      </c>
      <c r="B132" s="29"/>
      <c r="C132" s="29"/>
      <c r="D132" s="29">
        <v>2</v>
      </c>
      <c r="E132" s="29"/>
      <c r="F132" s="29"/>
      <c r="G132" s="29">
        <v>1</v>
      </c>
      <c r="H132" s="29"/>
      <c r="I132" s="29"/>
      <c r="J132" s="29"/>
    </row>
    <row r="133" spans="1:10">
      <c r="A133" s="4" t="s">
        <v>3437</v>
      </c>
      <c r="B133" s="29"/>
      <c r="C133" s="29"/>
      <c r="D133" s="29"/>
      <c r="E133" s="29"/>
      <c r="F133" s="29"/>
      <c r="G133" s="29">
        <v>1</v>
      </c>
      <c r="H133" s="29"/>
      <c r="I133" s="29"/>
      <c r="J133" s="29"/>
    </row>
    <row r="134" spans="1:10">
      <c r="A134" s="4" t="s">
        <v>3438</v>
      </c>
      <c r="B134" s="29">
        <v>1</v>
      </c>
      <c r="C134" s="29">
        <v>1</v>
      </c>
      <c r="D134" s="29"/>
      <c r="E134" s="29"/>
      <c r="F134" s="29">
        <v>1</v>
      </c>
      <c r="G134" s="29"/>
      <c r="H134" s="29">
        <v>1</v>
      </c>
      <c r="I134" s="29"/>
      <c r="J134" s="29"/>
    </row>
    <row r="135" spans="1:10">
      <c r="A135" s="4" t="s">
        <v>2621</v>
      </c>
      <c r="B135" s="29"/>
      <c r="C135" s="29"/>
      <c r="D135" s="29"/>
      <c r="E135" s="29"/>
      <c r="F135" s="29"/>
      <c r="G135" s="29"/>
      <c r="H135" s="29"/>
      <c r="I135" s="29">
        <v>1</v>
      </c>
      <c r="J135" s="29">
        <v>1</v>
      </c>
    </row>
    <row r="136" spans="1:10">
      <c r="A136" s="4" t="s">
        <v>2646</v>
      </c>
      <c r="B136" s="29"/>
      <c r="C136" s="29"/>
      <c r="D136" s="29"/>
      <c r="E136" s="29"/>
      <c r="F136" s="29"/>
      <c r="G136" s="29"/>
      <c r="H136" s="29"/>
      <c r="I136" s="29"/>
      <c r="J136" s="29">
        <v>2</v>
      </c>
    </row>
    <row r="137" spans="1:10">
      <c r="A137" s="4" t="s">
        <v>3441</v>
      </c>
      <c r="B137" s="29"/>
      <c r="C137" s="29"/>
      <c r="D137" s="29"/>
      <c r="E137" s="29">
        <v>1</v>
      </c>
      <c r="F137" s="29"/>
      <c r="G137" s="29">
        <v>0</v>
      </c>
      <c r="H137" s="29"/>
      <c r="I137" s="29"/>
      <c r="J137" s="29"/>
    </row>
    <row r="138" spans="1:10">
      <c r="A138" s="4" t="s">
        <v>3443</v>
      </c>
      <c r="B138" s="29"/>
      <c r="C138" s="29">
        <v>2</v>
      </c>
      <c r="D138" s="29"/>
      <c r="E138" s="29"/>
      <c r="F138" s="29"/>
      <c r="G138" s="29"/>
      <c r="H138" s="29"/>
      <c r="I138" s="29"/>
      <c r="J138" s="29">
        <v>1</v>
      </c>
    </row>
    <row r="139" spans="1:10">
      <c r="A139" s="4" t="s">
        <v>3445</v>
      </c>
      <c r="B139" s="29"/>
      <c r="C139" s="29">
        <v>1</v>
      </c>
      <c r="D139" s="29"/>
      <c r="E139" s="29"/>
      <c r="F139" s="29"/>
      <c r="G139" s="29"/>
      <c r="H139" s="29"/>
      <c r="I139" s="29"/>
      <c r="J139" s="29"/>
    </row>
    <row r="140" spans="1:10">
      <c r="A140" s="4" t="s">
        <v>3446</v>
      </c>
      <c r="B140" s="29"/>
      <c r="C140" s="29"/>
      <c r="D140" s="29">
        <v>1</v>
      </c>
      <c r="E140" s="29"/>
      <c r="F140" s="29"/>
      <c r="G140" s="29"/>
      <c r="H140" s="29"/>
      <c r="I140" s="29"/>
      <c r="J140" s="29"/>
    </row>
    <row r="141" spans="1:10">
      <c r="A141" s="4" t="s">
        <v>2983</v>
      </c>
      <c r="B141" s="29"/>
      <c r="C141" s="29">
        <v>2</v>
      </c>
      <c r="D141" s="29"/>
      <c r="E141" s="29"/>
      <c r="F141" s="29"/>
      <c r="G141" s="29"/>
      <c r="H141" s="29"/>
      <c r="I141" s="29"/>
      <c r="J141" s="29"/>
    </row>
    <row r="142" spans="1:10">
      <c r="A142" s="4" t="s">
        <v>3447</v>
      </c>
      <c r="B142" s="29">
        <v>1</v>
      </c>
      <c r="C142" s="29"/>
      <c r="D142" s="29">
        <v>2</v>
      </c>
      <c r="E142" s="29"/>
      <c r="F142" s="29"/>
      <c r="G142" s="29"/>
      <c r="H142" s="29">
        <v>1</v>
      </c>
      <c r="I142" s="29">
        <v>1</v>
      </c>
      <c r="J142" s="29"/>
    </row>
    <row r="143" spans="1:10">
      <c r="A143" s="4" t="s">
        <v>3448</v>
      </c>
      <c r="B143" s="29">
        <v>1</v>
      </c>
      <c r="C143" s="29"/>
      <c r="D143" s="29"/>
      <c r="E143" s="29"/>
      <c r="F143" s="29"/>
      <c r="G143" s="29"/>
      <c r="H143" s="29">
        <v>1</v>
      </c>
      <c r="I143" s="29"/>
      <c r="J143" s="29"/>
    </row>
    <row r="144" spans="1:10">
      <c r="A144" s="4" t="s">
        <v>229</v>
      </c>
      <c r="B144" s="29"/>
      <c r="C144" s="29">
        <v>1</v>
      </c>
      <c r="D144" s="29"/>
      <c r="E144" s="29"/>
      <c r="F144" s="29"/>
      <c r="G144" s="29"/>
      <c r="H144" s="29"/>
      <c r="I144" s="29">
        <v>1</v>
      </c>
      <c r="J144" s="29"/>
    </row>
    <row r="145" spans="1:10">
      <c r="A145" s="4" t="s">
        <v>3449</v>
      </c>
      <c r="B145" s="29"/>
      <c r="C145" s="29"/>
      <c r="D145" s="29"/>
      <c r="E145" s="29">
        <v>1</v>
      </c>
      <c r="F145" s="29"/>
      <c r="G145" s="29"/>
      <c r="H145" s="29"/>
      <c r="I145" s="29"/>
      <c r="J145" s="29"/>
    </row>
    <row r="146" spans="1:10">
      <c r="A146" s="4" t="s">
        <v>3451</v>
      </c>
      <c r="B146" s="29">
        <v>1</v>
      </c>
      <c r="C146" s="29"/>
      <c r="D146" s="29"/>
      <c r="E146" s="29"/>
      <c r="F146" s="29"/>
      <c r="G146" s="29"/>
      <c r="H146" s="29"/>
      <c r="I146" s="29">
        <v>1</v>
      </c>
      <c r="J146" s="29"/>
    </row>
    <row r="147" spans="1:10">
      <c r="A147" s="4" t="s">
        <v>3452</v>
      </c>
      <c r="B147" s="29">
        <v>1</v>
      </c>
      <c r="C147" s="29"/>
      <c r="D147" s="29"/>
      <c r="E147" s="29"/>
      <c r="F147" s="29"/>
      <c r="G147" s="29"/>
      <c r="H147" s="29"/>
      <c r="I147" s="29"/>
      <c r="J147" s="29"/>
    </row>
    <row r="148" spans="1:10">
      <c r="A148" s="4" t="s">
        <v>3455</v>
      </c>
      <c r="B148" s="29"/>
      <c r="C148" s="29"/>
      <c r="D148" s="29">
        <v>1</v>
      </c>
      <c r="E148" s="29"/>
      <c r="F148" s="29">
        <v>1</v>
      </c>
      <c r="G148" s="29">
        <v>1</v>
      </c>
      <c r="H148" s="29">
        <v>1</v>
      </c>
      <c r="I148" s="29"/>
      <c r="J148" s="29">
        <v>2</v>
      </c>
    </row>
    <row r="149" spans="1:10">
      <c r="A149" s="4" t="s">
        <v>3456</v>
      </c>
      <c r="B149" s="29"/>
      <c r="C149" s="29"/>
      <c r="D149" s="29"/>
      <c r="E149" s="29"/>
      <c r="F149" s="29"/>
      <c r="G149" s="29"/>
      <c r="H149" s="29"/>
      <c r="I149" s="29"/>
      <c r="J149" s="29">
        <v>1</v>
      </c>
    </row>
    <row r="150" spans="1:10">
      <c r="A150" s="4" t="s">
        <v>3458</v>
      </c>
      <c r="B150" s="29">
        <v>1</v>
      </c>
      <c r="C150" s="29"/>
      <c r="D150" s="29"/>
      <c r="E150" s="29"/>
      <c r="F150" s="29"/>
      <c r="G150" s="29"/>
      <c r="H150" s="29"/>
      <c r="I150" s="29"/>
      <c r="J150" s="29"/>
    </row>
    <row r="151" spans="1:10">
      <c r="A151" s="4" t="s">
        <v>3459</v>
      </c>
      <c r="B151" s="29">
        <v>1</v>
      </c>
      <c r="C151" s="29"/>
      <c r="D151" s="29"/>
      <c r="E151" s="29"/>
      <c r="F151" s="29"/>
      <c r="G151" s="29"/>
      <c r="H151" s="29"/>
      <c r="I151" s="29"/>
      <c r="J151" s="29"/>
    </row>
    <row r="152" spans="1:10">
      <c r="A152" s="4" t="s">
        <v>3462</v>
      </c>
      <c r="B152" s="29"/>
      <c r="C152" s="29"/>
      <c r="D152" s="29"/>
      <c r="E152" s="29"/>
      <c r="F152" s="29"/>
      <c r="G152" s="29"/>
      <c r="H152" s="29"/>
      <c r="I152" s="29"/>
      <c r="J152" s="29">
        <v>1</v>
      </c>
    </row>
    <row r="153" spans="1:10">
      <c r="A153" s="4" t="s">
        <v>3465</v>
      </c>
      <c r="B153" s="29"/>
      <c r="C153" s="29">
        <v>1</v>
      </c>
      <c r="D153" s="29"/>
      <c r="E153" s="29"/>
      <c r="F153" s="29"/>
      <c r="G153" s="29"/>
      <c r="H153" s="29"/>
      <c r="I153" s="29"/>
      <c r="J153" s="29"/>
    </row>
    <row r="154" spans="1:10">
      <c r="A154" s="4" t="s">
        <v>3468</v>
      </c>
      <c r="B154" s="29"/>
      <c r="C154" s="29">
        <v>1</v>
      </c>
      <c r="D154" s="29"/>
      <c r="E154" s="29"/>
      <c r="F154" s="29"/>
      <c r="G154" s="29"/>
      <c r="H154" s="29"/>
      <c r="I154" s="29"/>
      <c r="J154" s="29"/>
    </row>
    <row r="155" spans="1:10">
      <c r="A155" s="4" t="s">
        <v>3470</v>
      </c>
      <c r="B155" s="29"/>
      <c r="C155" s="29"/>
      <c r="D155" s="29"/>
      <c r="E155" s="29"/>
      <c r="F155" s="29"/>
      <c r="G155" s="29"/>
      <c r="H155" s="29"/>
      <c r="I155" s="29">
        <v>1</v>
      </c>
      <c r="J155" s="29"/>
    </row>
    <row r="156" spans="1:10">
      <c r="A156" s="4" t="s">
        <v>3473</v>
      </c>
      <c r="B156" s="29"/>
      <c r="C156" s="29">
        <v>1</v>
      </c>
      <c r="D156" s="29">
        <v>1</v>
      </c>
      <c r="E156" s="29"/>
      <c r="F156" s="29"/>
      <c r="G156" s="29"/>
      <c r="H156" s="29"/>
      <c r="I156" s="29"/>
      <c r="J156" s="29"/>
    </row>
    <row r="157" spans="1:10">
      <c r="A157" s="4" t="s">
        <v>2963</v>
      </c>
      <c r="B157" s="29"/>
      <c r="C157" s="29">
        <v>2</v>
      </c>
      <c r="D157" s="29"/>
      <c r="E157" s="29">
        <v>2</v>
      </c>
      <c r="F157" s="29"/>
      <c r="G157" s="29">
        <v>2</v>
      </c>
      <c r="H157" s="29"/>
      <c r="I157" s="29">
        <v>2</v>
      </c>
      <c r="J157" s="29">
        <v>1</v>
      </c>
    </row>
    <row r="158" spans="1:10">
      <c r="A158" s="4" t="s">
        <v>3474</v>
      </c>
      <c r="B158" s="29"/>
      <c r="C158" s="29"/>
      <c r="D158" s="29">
        <v>1</v>
      </c>
      <c r="E158" s="29"/>
      <c r="F158" s="29"/>
      <c r="G158" s="29"/>
      <c r="H158" s="29"/>
      <c r="I158" s="29"/>
      <c r="J158" s="29">
        <v>2</v>
      </c>
    </row>
    <row r="159" spans="1:10">
      <c r="A159" s="4" t="s">
        <v>3475</v>
      </c>
      <c r="B159" s="29"/>
      <c r="C159" s="29"/>
      <c r="D159" s="29"/>
      <c r="E159" s="29"/>
      <c r="F159" s="29"/>
      <c r="G159" s="29"/>
      <c r="H159" s="29"/>
      <c r="I159" s="29"/>
      <c r="J159" s="29">
        <v>2</v>
      </c>
    </row>
    <row r="160" spans="1:10">
      <c r="A160" s="4" t="s">
        <v>3476</v>
      </c>
      <c r="B160" s="29"/>
      <c r="C160" s="29"/>
      <c r="D160" s="29"/>
      <c r="E160" s="29"/>
      <c r="F160" s="29"/>
      <c r="G160" s="29"/>
      <c r="H160" s="29">
        <v>1</v>
      </c>
      <c r="I160" s="29"/>
      <c r="J160" s="29"/>
    </row>
    <row r="161" spans="1:10">
      <c r="A161" s="4" t="s">
        <v>3479</v>
      </c>
      <c r="B161" s="29"/>
      <c r="C161" s="29"/>
      <c r="D161" s="29"/>
      <c r="E161" s="29"/>
      <c r="F161" s="29"/>
      <c r="G161" s="29"/>
      <c r="H161" s="29">
        <v>1</v>
      </c>
      <c r="I161" s="29"/>
      <c r="J161" s="29"/>
    </row>
    <row r="162" spans="1:10">
      <c r="A162" s="4" t="s">
        <v>3484</v>
      </c>
      <c r="B162" s="29"/>
      <c r="C162" s="29"/>
      <c r="D162" s="29"/>
      <c r="E162" s="29"/>
      <c r="F162" s="29"/>
      <c r="G162" s="29"/>
      <c r="H162" s="29"/>
      <c r="I162" s="29"/>
      <c r="J162" s="29">
        <v>2</v>
      </c>
    </row>
    <row r="163" spans="1:10">
      <c r="A163" s="4" t="s">
        <v>210</v>
      </c>
      <c r="B163" s="29"/>
      <c r="C163" s="29"/>
      <c r="D163" s="29"/>
      <c r="E163" s="29"/>
      <c r="F163" s="29">
        <v>1</v>
      </c>
      <c r="G163" s="29"/>
      <c r="H163" s="29"/>
      <c r="I163" s="29"/>
      <c r="J163" s="29"/>
    </row>
    <row r="164" spans="1:10">
      <c r="A164" s="4" t="s">
        <v>3486</v>
      </c>
      <c r="B164" s="29"/>
      <c r="C164" s="29"/>
      <c r="D164" s="29">
        <v>1</v>
      </c>
      <c r="E164" s="29"/>
      <c r="F164" s="29"/>
      <c r="G164" s="29"/>
      <c r="H164" s="29"/>
      <c r="I164" s="29"/>
      <c r="J164" s="29"/>
    </row>
    <row r="165" spans="1:10">
      <c r="A165" s="4" t="s">
        <v>3032</v>
      </c>
      <c r="B165" s="29"/>
      <c r="C165" s="29">
        <v>1</v>
      </c>
      <c r="D165" s="29">
        <v>1</v>
      </c>
      <c r="E165" s="29"/>
      <c r="F165" s="29"/>
      <c r="G165" s="29">
        <v>1</v>
      </c>
      <c r="H165" s="29"/>
      <c r="I165" s="29"/>
      <c r="J165" s="29"/>
    </row>
    <row r="166" spans="1:10">
      <c r="A166" s="4" t="s">
        <v>3487</v>
      </c>
      <c r="B166" s="29"/>
      <c r="C166" s="29">
        <v>1</v>
      </c>
      <c r="D166" s="29">
        <v>1</v>
      </c>
      <c r="E166" s="29"/>
      <c r="F166" s="29"/>
      <c r="G166" s="29"/>
      <c r="H166" s="29"/>
      <c r="I166" s="29"/>
      <c r="J166" s="29"/>
    </row>
    <row r="167" spans="1:10">
      <c r="A167" s="4" t="s">
        <v>3489</v>
      </c>
      <c r="B167" s="29"/>
      <c r="C167" s="29"/>
      <c r="D167" s="29">
        <v>1</v>
      </c>
      <c r="E167" s="29"/>
      <c r="F167" s="29"/>
      <c r="G167" s="29"/>
      <c r="H167" s="29"/>
      <c r="I167" s="29"/>
      <c r="J167" s="29"/>
    </row>
    <row r="168" spans="1:10">
      <c r="A168" s="4" t="s">
        <v>325</v>
      </c>
      <c r="B168" s="29"/>
      <c r="C168" s="29"/>
      <c r="D168" s="29"/>
      <c r="E168" s="29"/>
      <c r="F168" s="29"/>
      <c r="G168" s="29"/>
      <c r="H168" s="29"/>
      <c r="I168" s="29">
        <v>1</v>
      </c>
      <c r="J168" s="29"/>
    </row>
    <row r="169" spans="1:10">
      <c r="A169" s="4" t="s">
        <v>3492</v>
      </c>
      <c r="B169" s="29"/>
      <c r="C169" s="29"/>
      <c r="D169" s="29">
        <v>1</v>
      </c>
      <c r="E169" s="29">
        <v>1</v>
      </c>
      <c r="F169" s="29"/>
      <c r="G169" s="29"/>
      <c r="H169" s="29"/>
      <c r="I169" s="29"/>
      <c r="J169" s="29"/>
    </row>
    <row r="170" spans="1:10">
      <c r="A170" s="4" t="s">
        <v>3493</v>
      </c>
      <c r="B170" s="29"/>
      <c r="C170" s="29">
        <v>1</v>
      </c>
      <c r="D170" s="29"/>
      <c r="E170" s="29"/>
      <c r="F170" s="29"/>
      <c r="G170" s="29"/>
      <c r="H170" s="29"/>
      <c r="I170" s="29"/>
      <c r="J170" s="29"/>
    </row>
    <row r="171" spans="1:10">
      <c r="A171" s="4" t="s">
        <v>1555</v>
      </c>
      <c r="B171" s="29">
        <v>1</v>
      </c>
      <c r="C171" s="29"/>
      <c r="D171" s="29"/>
      <c r="E171" s="29"/>
      <c r="F171" s="29"/>
      <c r="G171" s="29"/>
      <c r="H171" s="29"/>
      <c r="I171" s="29"/>
      <c r="J171" s="29"/>
    </row>
    <row r="172" spans="1:10">
      <c r="A172" s="4" t="s">
        <v>3495</v>
      </c>
      <c r="B172" s="29"/>
      <c r="C172" s="29">
        <v>1</v>
      </c>
      <c r="D172" s="29"/>
      <c r="E172" s="29"/>
      <c r="F172" s="29"/>
      <c r="G172" s="29"/>
      <c r="H172" s="29"/>
      <c r="I172" s="29"/>
      <c r="J172" s="29"/>
    </row>
    <row r="173" spans="1:10">
      <c r="A173" s="4" t="s">
        <v>3496</v>
      </c>
      <c r="B173" s="29"/>
      <c r="C173" s="29"/>
      <c r="D173" s="29"/>
      <c r="E173" s="29"/>
      <c r="F173" s="29"/>
      <c r="G173" s="29"/>
      <c r="H173" s="29">
        <v>1</v>
      </c>
      <c r="I173" s="29"/>
      <c r="J173" s="29"/>
    </row>
    <row r="174" spans="1:10">
      <c r="A174" s="4" t="s">
        <v>3498</v>
      </c>
      <c r="B174" s="29"/>
      <c r="C174" s="29"/>
      <c r="D174" s="29">
        <v>1</v>
      </c>
      <c r="E174" s="29"/>
      <c r="F174" s="29"/>
      <c r="G174" s="29"/>
      <c r="H174" s="29"/>
      <c r="I174" s="29"/>
      <c r="J174" s="29"/>
    </row>
    <row r="175" spans="1:10">
      <c r="A175" s="4" t="s">
        <v>199</v>
      </c>
      <c r="B175" s="29"/>
      <c r="C175" s="29">
        <v>1</v>
      </c>
      <c r="D175" s="29"/>
      <c r="E175" s="29"/>
      <c r="F175" s="29"/>
      <c r="G175" s="29"/>
      <c r="H175" s="29"/>
      <c r="I175" s="29"/>
      <c r="J175" s="29"/>
    </row>
    <row r="176" spans="1:10">
      <c r="A176" s="4" t="s">
        <v>3500</v>
      </c>
      <c r="B176" s="29"/>
      <c r="C176" s="29"/>
      <c r="D176" s="29">
        <v>1</v>
      </c>
      <c r="E176" s="29"/>
      <c r="F176" s="29"/>
      <c r="G176" s="29"/>
      <c r="H176" s="29"/>
      <c r="I176" s="29"/>
      <c r="J176" s="29"/>
    </row>
    <row r="177" spans="1:10">
      <c r="A177" s="4" t="s">
        <v>3501</v>
      </c>
      <c r="B177" s="29"/>
      <c r="C177" s="29">
        <v>1</v>
      </c>
      <c r="D177" s="29"/>
      <c r="E177" s="29"/>
      <c r="F177" s="29"/>
      <c r="G177" s="29"/>
      <c r="H177" s="29"/>
      <c r="I177" s="29"/>
      <c r="J177" s="29"/>
    </row>
    <row r="178" spans="1:10">
      <c r="A178" s="4" t="s">
        <v>346</v>
      </c>
      <c r="B178" s="29">
        <v>1</v>
      </c>
      <c r="C178" s="29"/>
      <c r="D178" s="29"/>
      <c r="E178" s="29"/>
      <c r="F178" s="29"/>
      <c r="G178" s="29">
        <v>1</v>
      </c>
      <c r="H178" s="29"/>
      <c r="I178" s="29"/>
      <c r="J178" s="29"/>
    </row>
    <row r="179" spans="1:10">
      <c r="A179" s="4" t="s">
        <v>107</v>
      </c>
      <c r="B179" s="29"/>
      <c r="C179" s="29"/>
      <c r="D179" s="29"/>
      <c r="E179" s="29"/>
      <c r="F179" s="29">
        <v>2</v>
      </c>
      <c r="G179" s="29">
        <v>2</v>
      </c>
      <c r="H179" s="29"/>
      <c r="I179" s="29"/>
      <c r="J179" s="29"/>
    </row>
    <row r="180" spans="1:10">
      <c r="A180" s="4" t="s">
        <v>3502</v>
      </c>
      <c r="B180" s="29"/>
      <c r="C180" s="29">
        <v>1</v>
      </c>
      <c r="D180" s="29"/>
      <c r="E180" s="29"/>
      <c r="F180" s="29"/>
      <c r="G180" s="29">
        <v>1</v>
      </c>
      <c r="H180" s="29">
        <v>1</v>
      </c>
      <c r="I180" s="29"/>
      <c r="J180" s="29"/>
    </row>
    <row r="181" spans="1:10">
      <c r="A181" s="4" t="s">
        <v>3503</v>
      </c>
      <c r="B181" s="29">
        <v>1</v>
      </c>
      <c r="C181" s="29"/>
      <c r="D181" s="29"/>
      <c r="E181" s="29"/>
      <c r="F181" s="29"/>
      <c r="G181" s="29"/>
      <c r="H181" s="29"/>
      <c r="I181" s="29"/>
      <c r="J181" s="29">
        <v>1</v>
      </c>
    </row>
    <row r="182" spans="1:10">
      <c r="A182" s="4" t="s">
        <v>2601</v>
      </c>
      <c r="B182" s="29"/>
      <c r="C182" s="29"/>
      <c r="D182" s="29"/>
      <c r="E182" s="29"/>
      <c r="F182" s="29"/>
      <c r="G182" s="29">
        <v>1</v>
      </c>
      <c r="H182" s="29"/>
      <c r="I182" s="29"/>
      <c r="J182" s="29"/>
    </row>
    <row r="183" spans="1:10">
      <c r="A183" s="4" t="s">
        <v>3504</v>
      </c>
      <c r="B183" s="29"/>
      <c r="C183" s="29">
        <v>1</v>
      </c>
      <c r="D183" s="29"/>
      <c r="E183" s="29"/>
      <c r="F183" s="29"/>
      <c r="G183" s="29"/>
      <c r="H183" s="29"/>
      <c r="I183" s="29"/>
      <c r="J183" s="29"/>
    </row>
    <row r="184" spans="1:10">
      <c r="A184" s="4" t="s">
        <v>3505</v>
      </c>
      <c r="B184" s="29"/>
      <c r="C184" s="29">
        <v>1</v>
      </c>
      <c r="D184" s="29"/>
      <c r="E184" s="29"/>
      <c r="F184" s="29"/>
      <c r="G184" s="29"/>
      <c r="H184" s="29"/>
      <c r="I184" s="29"/>
      <c r="J184" s="29"/>
    </row>
    <row r="185" spans="1:10">
      <c r="A185" s="4" t="s">
        <v>204</v>
      </c>
      <c r="B185" s="29"/>
      <c r="C185" s="29"/>
      <c r="D185" s="29">
        <v>1</v>
      </c>
      <c r="E185" s="29"/>
      <c r="F185" s="29"/>
      <c r="G185" s="29"/>
      <c r="H185" s="29"/>
      <c r="I185" s="29"/>
      <c r="J185" s="29">
        <v>1</v>
      </c>
    </row>
    <row r="186" spans="1:10">
      <c r="A186" s="4" t="s">
        <v>3510</v>
      </c>
      <c r="B186" s="29"/>
      <c r="C186" s="29"/>
      <c r="D186" s="29">
        <v>1</v>
      </c>
      <c r="E186" s="29"/>
      <c r="F186" s="29"/>
      <c r="G186" s="29"/>
      <c r="H186" s="29"/>
      <c r="I186" s="29"/>
      <c r="J186" s="29"/>
    </row>
    <row r="187" spans="1:10">
      <c r="A187" s="4" t="s">
        <v>3511</v>
      </c>
      <c r="B187" s="29">
        <v>1</v>
      </c>
      <c r="C187" s="29"/>
      <c r="D187" s="29"/>
      <c r="E187" s="29"/>
      <c r="F187" s="29"/>
      <c r="G187" s="29"/>
      <c r="H187" s="29"/>
      <c r="I187" s="29"/>
      <c r="J187" s="29"/>
    </row>
    <row r="188" spans="1:10">
      <c r="A188" s="4" t="s">
        <v>3209</v>
      </c>
      <c r="B188" s="29"/>
      <c r="C188" s="29">
        <v>1</v>
      </c>
      <c r="D188" s="29"/>
      <c r="E188" s="29"/>
      <c r="F188" s="29"/>
      <c r="G188" s="29"/>
      <c r="H188" s="29"/>
      <c r="I188" s="29">
        <v>1</v>
      </c>
      <c r="J188" s="29"/>
    </row>
    <row r="189" spans="1:10">
      <c r="A189" s="4" t="s">
        <v>3513</v>
      </c>
      <c r="B189" s="29"/>
      <c r="C189" s="29">
        <v>1</v>
      </c>
      <c r="D189" s="29"/>
      <c r="E189" s="29">
        <v>1</v>
      </c>
      <c r="F189" s="29"/>
      <c r="G189" s="29"/>
      <c r="H189" s="29"/>
      <c r="I189" s="29"/>
      <c r="J189" s="29"/>
    </row>
    <row r="190" spans="1:10">
      <c r="A190" s="4" t="s">
        <v>182</v>
      </c>
      <c r="B190" s="29"/>
      <c r="C190" s="29">
        <v>3</v>
      </c>
      <c r="D190" s="29">
        <v>1</v>
      </c>
      <c r="E190" s="29"/>
      <c r="F190" s="29"/>
      <c r="G190" s="29"/>
      <c r="H190" s="29"/>
      <c r="I190" s="29"/>
      <c r="J190" s="29"/>
    </row>
    <row r="191" spans="1:10">
      <c r="A191" s="4" t="s">
        <v>3514</v>
      </c>
      <c r="B191" s="29"/>
      <c r="C191" s="29"/>
      <c r="D191" s="29"/>
      <c r="E191" s="29">
        <v>1</v>
      </c>
      <c r="F191" s="29"/>
      <c r="G191" s="29"/>
      <c r="H191" s="29"/>
      <c r="I191" s="29"/>
      <c r="J191" s="29"/>
    </row>
    <row r="192" spans="1:10">
      <c r="A192" s="4" t="s">
        <v>3516</v>
      </c>
      <c r="B192" s="29"/>
      <c r="C192" s="29"/>
      <c r="D192" s="29"/>
      <c r="E192" s="29"/>
      <c r="F192" s="29"/>
      <c r="G192" s="29"/>
      <c r="H192" s="29">
        <v>1</v>
      </c>
      <c r="I192" s="29"/>
      <c r="J192" s="29"/>
    </row>
    <row r="193" spans="1:10">
      <c r="A193" s="4" t="s">
        <v>3517</v>
      </c>
      <c r="B193" s="29"/>
      <c r="C193" s="29">
        <v>1</v>
      </c>
      <c r="D193" s="29"/>
      <c r="E193" s="29"/>
      <c r="F193" s="29"/>
      <c r="G193" s="29"/>
      <c r="H193" s="29"/>
      <c r="I193" s="29"/>
      <c r="J193" s="29">
        <v>1</v>
      </c>
    </row>
    <row r="194" spans="1:10">
      <c r="A194" s="4" t="s">
        <v>2978</v>
      </c>
      <c r="B194" s="29"/>
      <c r="C194" s="29">
        <v>1</v>
      </c>
      <c r="D194" s="29"/>
      <c r="E194" s="29"/>
      <c r="F194" s="29"/>
      <c r="G194" s="29"/>
      <c r="H194" s="29"/>
      <c r="I194" s="29"/>
      <c r="J194" s="29"/>
    </row>
    <row r="195" spans="1:10">
      <c r="A195" s="4" t="s">
        <v>3518</v>
      </c>
      <c r="B195" s="29"/>
      <c r="C195" s="29">
        <v>1</v>
      </c>
      <c r="D195" s="29"/>
      <c r="E195" s="29"/>
      <c r="F195" s="29"/>
      <c r="G195" s="29"/>
      <c r="H195" s="29"/>
      <c r="I195" s="29"/>
      <c r="J195" s="29"/>
    </row>
    <row r="196" spans="1:10">
      <c r="A196" s="4" t="s">
        <v>3519</v>
      </c>
      <c r="B196" s="29"/>
      <c r="C196" s="29"/>
      <c r="D196" s="29">
        <v>1</v>
      </c>
      <c r="E196" s="29"/>
      <c r="F196" s="29"/>
      <c r="G196" s="29"/>
      <c r="H196" s="29"/>
      <c r="I196" s="29"/>
      <c r="J196" s="29"/>
    </row>
    <row r="197" spans="1:10">
      <c r="A197" s="4" t="s">
        <v>1891</v>
      </c>
      <c r="B197" s="29"/>
      <c r="C197" s="29"/>
      <c r="D197" s="29">
        <v>1</v>
      </c>
      <c r="E197" s="29"/>
      <c r="F197" s="29">
        <v>1</v>
      </c>
      <c r="G197" s="29"/>
      <c r="H197" s="29"/>
      <c r="I197" s="29"/>
      <c r="J197" s="29"/>
    </row>
    <row r="198" spans="1:10">
      <c r="A198" s="4" t="s">
        <v>2008</v>
      </c>
      <c r="B198" s="29"/>
      <c r="C198" s="29"/>
      <c r="D198" s="29">
        <v>1</v>
      </c>
      <c r="E198" s="29"/>
      <c r="F198" s="29"/>
      <c r="G198" s="29"/>
      <c r="H198" s="29"/>
      <c r="I198" s="29"/>
      <c r="J198" s="29"/>
    </row>
    <row r="199" spans="1:10">
      <c r="A199" s="4" t="s">
        <v>3521</v>
      </c>
      <c r="B199" s="29"/>
      <c r="C199" s="29"/>
      <c r="D199" s="29"/>
      <c r="E199" s="29"/>
      <c r="F199" s="29">
        <v>1</v>
      </c>
      <c r="G199" s="29"/>
      <c r="H199" s="29">
        <v>1</v>
      </c>
      <c r="I199" s="29"/>
      <c r="J199" s="29"/>
    </row>
    <row r="200" spans="1:10">
      <c r="A200" s="4" t="s">
        <v>3523</v>
      </c>
      <c r="B200" s="29"/>
      <c r="C200" s="29"/>
      <c r="D200" s="29">
        <v>1</v>
      </c>
      <c r="E200" s="29"/>
      <c r="F200" s="29"/>
      <c r="G200" s="29"/>
      <c r="H200" s="29"/>
      <c r="I200" s="29"/>
      <c r="J200" s="29"/>
    </row>
    <row r="201" spans="1:10">
      <c r="A201" s="4" t="s">
        <v>174</v>
      </c>
      <c r="B201" s="29"/>
      <c r="C201" s="29"/>
      <c r="D201" s="29"/>
      <c r="E201" s="29"/>
      <c r="F201" s="29"/>
      <c r="G201" s="29"/>
      <c r="H201" s="29"/>
      <c r="I201" s="29"/>
      <c r="J201" s="29">
        <v>1</v>
      </c>
    </row>
    <row r="202" spans="1:10">
      <c r="A202" s="4" t="s">
        <v>3525</v>
      </c>
      <c r="B202" s="29"/>
      <c r="C202" s="29"/>
      <c r="D202" s="29"/>
      <c r="E202" s="29"/>
      <c r="F202" s="29">
        <v>1</v>
      </c>
      <c r="G202" s="29"/>
      <c r="H202" s="29"/>
      <c r="I202" s="29"/>
      <c r="J202" s="29"/>
    </row>
    <row r="203" spans="1:10">
      <c r="A203" s="4" t="s">
        <v>3526</v>
      </c>
      <c r="B203" s="29"/>
      <c r="C203" s="29"/>
      <c r="D203" s="29"/>
      <c r="E203" s="29"/>
      <c r="F203" s="29"/>
      <c r="G203" s="29"/>
      <c r="H203" s="29"/>
      <c r="I203" s="29">
        <v>1</v>
      </c>
      <c r="J203" s="29"/>
    </row>
    <row r="204" spans="1:10">
      <c r="A204" s="4" t="s">
        <v>3527</v>
      </c>
      <c r="B204" s="29"/>
      <c r="C204" s="29"/>
      <c r="D204" s="29">
        <v>1</v>
      </c>
      <c r="E204" s="29"/>
      <c r="F204" s="29"/>
      <c r="G204" s="29"/>
      <c r="H204" s="29"/>
      <c r="I204" s="29"/>
      <c r="J204" s="29"/>
    </row>
    <row r="205" spans="1:10">
      <c r="A205" s="4" t="s">
        <v>3529</v>
      </c>
      <c r="B205" s="29"/>
      <c r="C205" s="29"/>
      <c r="D205" s="29">
        <v>1</v>
      </c>
      <c r="E205" s="29"/>
      <c r="F205" s="29"/>
      <c r="G205" s="29">
        <v>1</v>
      </c>
      <c r="H205" s="29"/>
      <c r="I205" s="29"/>
      <c r="J205" s="29">
        <v>1</v>
      </c>
    </row>
    <row r="206" spans="1:10">
      <c r="A206" s="4" t="s">
        <v>3531</v>
      </c>
      <c r="B206" s="29"/>
      <c r="C206" s="29"/>
      <c r="D206" s="29"/>
      <c r="E206" s="29"/>
      <c r="F206" s="29"/>
      <c r="G206" s="29"/>
      <c r="H206" s="29"/>
      <c r="I206" s="29">
        <v>1</v>
      </c>
      <c r="J206" s="29"/>
    </row>
    <row r="207" spans="1:10">
      <c r="A207" s="4" t="s">
        <v>3532</v>
      </c>
      <c r="B207" s="29"/>
      <c r="C207" s="29">
        <v>1</v>
      </c>
      <c r="D207" s="29"/>
      <c r="E207" s="29"/>
      <c r="F207" s="29"/>
      <c r="G207" s="29"/>
      <c r="H207" s="29"/>
      <c r="I207" s="29"/>
      <c r="J207" s="29"/>
    </row>
    <row r="208" spans="1:10">
      <c r="A208" s="4" t="s">
        <v>3210</v>
      </c>
      <c r="B208" s="29">
        <v>1</v>
      </c>
      <c r="C208" s="29">
        <v>1</v>
      </c>
      <c r="D208" s="29">
        <v>1</v>
      </c>
      <c r="E208" s="29"/>
      <c r="F208" s="29"/>
      <c r="G208" s="29"/>
      <c r="H208" s="29"/>
      <c r="I208" s="29"/>
      <c r="J208" s="29"/>
    </row>
    <row r="209" spans="1:10">
      <c r="A209" s="4" t="s">
        <v>3533</v>
      </c>
      <c r="B209" s="29">
        <v>1</v>
      </c>
      <c r="C209" s="29"/>
      <c r="D209" s="29"/>
      <c r="E209" s="29"/>
      <c r="F209" s="29"/>
      <c r="G209" s="29"/>
      <c r="H209" s="29"/>
      <c r="I209" s="29">
        <v>1</v>
      </c>
      <c r="J209" s="29">
        <v>1</v>
      </c>
    </row>
    <row r="210" spans="1:10">
      <c r="A210" s="4" t="s">
        <v>3735</v>
      </c>
      <c r="B210" s="29">
        <v>2</v>
      </c>
      <c r="C210" s="29"/>
      <c r="D210" s="29"/>
      <c r="E210" s="29"/>
      <c r="F210" s="29"/>
      <c r="G210" s="29"/>
      <c r="H210" s="29"/>
      <c r="I210" s="29"/>
      <c r="J210" s="29"/>
    </row>
    <row r="211" spans="1:10">
      <c r="A211" s="4" t="s">
        <v>331</v>
      </c>
      <c r="B211" s="29"/>
      <c r="C211" s="29"/>
      <c r="D211" s="29">
        <v>1</v>
      </c>
      <c r="E211" s="29"/>
      <c r="F211" s="29"/>
      <c r="G211" s="29"/>
      <c r="H211" s="29"/>
      <c r="I211" s="29"/>
      <c r="J211" s="29"/>
    </row>
    <row r="212" spans="1:10">
      <c r="A212" s="4" t="s">
        <v>307</v>
      </c>
      <c r="B212" s="29">
        <v>1</v>
      </c>
      <c r="C212" s="29"/>
      <c r="D212" s="29"/>
      <c r="E212" s="29">
        <v>1</v>
      </c>
      <c r="F212" s="29"/>
      <c r="G212" s="29"/>
      <c r="H212" s="29"/>
      <c r="I212" s="29"/>
      <c r="J212" s="29"/>
    </row>
    <row r="213" spans="1:10">
      <c r="A213" s="4" t="s">
        <v>3736</v>
      </c>
      <c r="B213" s="29">
        <v>1</v>
      </c>
      <c r="C213" s="29">
        <v>1</v>
      </c>
      <c r="D213" s="29"/>
      <c r="E213" s="29"/>
      <c r="F213" s="29"/>
      <c r="G213" s="29"/>
      <c r="H213" s="29"/>
      <c r="I213" s="29"/>
      <c r="J213" s="29"/>
    </row>
    <row r="214" spans="1:10">
      <c r="A214" s="4" t="s">
        <v>3738</v>
      </c>
      <c r="B214" s="29">
        <v>1</v>
      </c>
      <c r="C214" s="29"/>
      <c r="D214" s="29"/>
      <c r="E214" s="29"/>
      <c r="F214" s="29"/>
      <c r="G214" s="29"/>
      <c r="H214" s="29"/>
      <c r="I214" s="29"/>
      <c r="J214" s="29"/>
    </row>
    <row r="215" spans="1:10">
      <c r="A215" s="4" t="s">
        <v>3739</v>
      </c>
      <c r="B215" s="29"/>
      <c r="C215" s="29"/>
      <c r="D215" s="29"/>
      <c r="E215" s="29"/>
      <c r="F215" s="29"/>
      <c r="G215" s="29"/>
      <c r="H215" s="29">
        <v>1</v>
      </c>
      <c r="I215" s="29"/>
      <c r="J215" s="29"/>
    </row>
    <row r="216" spans="1:10">
      <c r="A216" s="4" t="s">
        <v>3740</v>
      </c>
      <c r="B216" s="29"/>
      <c r="C216" s="29"/>
      <c r="D216" s="29">
        <v>1</v>
      </c>
      <c r="E216" s="29"/>
      <c r="F216" s="29"/>
      <c r="G216" s="29"/>
      <c r="H216" s="29">
        <v>1</v>
      </c>
      <c r="I216" s="29"/>
      <c r="J216" s="29"/>
    </row>
    <row r="217" spans="1:10">
      <c r="A217" s="4" t="s">
        <v>3741</v>
      </c>
      <c r="B217" s="29">
        <v>1</v>
      </c>
      <c r="C217" s="29"/>
      <c r="D217" s="29"/>
      <c r="E217" s="29"/>
      <c r="F217" s="29"/>
      <c r="G217" s="29"/>
      <c r="H217" s="29"/>
      <c r="I217" s="29"/>
      <c r="J217" s="29"/>
    </row>
    <row r="218" spans="1:10">
      <c r="A218" s="4" t="s">
        <v>2016</v>
      </c>
      <c r="B218" s="29"/>
      <c r="C218" s="29"/>
      <c r="D218" s="29">
        <v>1</v>
      </c>
      <c r="E218" s="29"/>
      <c r="F218" s="29"/>
      <c r="G218" s="29"/>
      <c r="H218" s="29"/>
      <c r="I218" s="29">
        <v>1</v>
      </c>
      <c r="J218" s="29">
        <v>1</v>
      </c>
    </row>
    <row r="219" spans="1:10">
      <c r="A219" s="4" t="s">
        <v>3743</v>
      </c>
      <c r="B219" s="29"/>
      <c r="C219" s="29"/>
      <c r="D219" s="29"/>
      <c r="E219" s="29"/>
      <c r="F219" s="29"/>
      <c r="G219" s="29"/>
      <c r="H219" s="29">
        <v>1</v>
      </c>
      <c r="I219" s="29"/>
      <c r="J219" s="29"/>
    </row>
    <row r="220" spans="1:10">
      <c r="A220" s="4" t="s">
        <v>3744</v>
      </c>
      <c r="B220" s="29"/>
      <c r="C220" s="29"/>
      <c r="D220" s="29">
        <v>1</v>
      </c>
      <c r="E220" s="29"/>
      <c r="F220" s="29"/>
      <c r="G220" s="29"/>
      <c r="H220" s="29"/>
      <c r="I220" s="29"/>
      <c r="J220" s="29"/>
    </row>
    <row r="221" spans="1:10">
      <c r="A221" s="4" t="s">
        <v>3745</v>
      </c>
      <c r="B221" s="29"/>
      <c r="C221" s="29"/>
      <c r="D221" s="29">
        <v>1</v>
      </c>
      <c r="E221" s="29"/>
      <c r="F221" s="29"/>
      <c r="G221" s="29"/>
      <c r="H221" s="29"/>
      <c r="I221" s="29"/>
      <c r="J221" s="29"/>
    </row>
    <row r="222" spans="1:10">
      <c r="A222" s="4" t="s">
        <v>3746</v>
      </c>
      <c r="B222" s="29"/>
      <c r="C222" s="29"/>
      <c r="D222" s="29">
        <v>1</v>
      </c>
      <c r="E222" s="29"/>
      <c r="F222" s="29"/>
      <c r="G222" s="29"/>
      <c r="H222" s="29"/>
      <c r="I222" s="29"/>
      <c r="J222" s="29"/>
    </row>
    <row r="223" spans="1:10">
      <c r="A223" s="4" t="s">
        <v>3220</v>
      </c>
      <c r="B223" s="29"/>
      <c r="C223" s="29"/>
      <c r="D223" s="29">
        <v>1</v>
      </c>
      <c r="E223" s="29"/>
      <c r="F223" s="29"/>
      <c r="G223" s="29"/>
      <c r="H223" s="29"/>
      <c r="I223" s="29"/>
      <c r="J223" s="29"/>
    </row>
    <row r="224" spans="1:10">
      <c r="A224" s="4" t="s">
        <v>3747</v>
      </c>
      <c r="B224" s="29"/>
      <c r="C224" s="29">
        <v>1</v>
      </c>
      <c r="D224" s="29"/>
      <c r="E224" s="29"/>
      <c r="F224" s="29"/>
      <c r="G224" s="29"/>
      <c r="H224" s="29"/>
      <c r="I224" s="29"/>
      <c r="J224" s="29"/>
    </row>
    <row r="225" spans="1:10">
      <c r="A225" s="4" t="s">
        <v>2973</v>
      </c>
      <c r="B225" s="29"/>
      <c r="C225" s="29"/>
      <c r="D225" s="29">
        <v>1</v>
      </c>
      <c r="E225" s="29"/>
      <c r="F225" s="29"/>
      <c r="G225" s="29"/>
      <c r="H225" s="29"/>
      <c r="I225" s="29"/>
      <c r="J225" s="29"/>
    </row>
    <row r="226" spans="1:10">
      <c r="A226" s="4" t="s">
        <v>3268</v>
      </c>
      <c r="B226" s="29"/>
      <c r="C226" s="29">
        <v>1</v>
      </c>
      <c r="D226" s="29"/>
      <c r="E226" s="29"/>
      <c r="F226" s="29"/>
      <c r="G226" s="29"/>
      <c r="H226" s="29"/>
      <c r="I226" s="29"/>
      <c r="J226" s="29"/>
    </row>
    <row r="227" spans="1:10">
      <c r="A227" s="4" t="s">
        <v>3749</v>
      </c>
      <c r="B227" s="29"/>
      <c r="C227" s="29"/>
      <c r="D227" s="29"/>
      <c r="E227" s="29"/>
      <c r="F227" s="29"/>
      <c r="G227" s="29">
        <v>1</v>
      </c>
      <c r="H227" s="29"/>
      <c r="I227" s="29"/>
      <c r="J227" s="29"/>
    </row>
    <row r="228" spans="1:10">
      <c r="A228" s="4" t="s">
        <v>3751</v>
      </c>
      <c r="B228" s="29"/>
      <c r="C228" s="29"/>
      <c r="D228" s="29"/>
      <c r="E228" s="29"/>
      <c r="F228" s="29"/>
      <c r="G228" s="29">
        <v>1</v>
      </c>
      <c r="H228" s="29"/>
      <c r="I228" s="29"/>
      <c r="J228" s="29"/>
    </row>
    <row r="229" spans="1:10">
      <c r="A229" s="4" t="s">
        <v>3245</v>
      </c>
      <c r="B229" s="29"/>
      <c r="C229" s="29"/>
      <c r="D229" s="29"/>
      <c r="E229" s="29"/>
      <c r="F229" s="29"/>
      <c r="G229" s="29"/>
      <c r="H229" s="29">
        <v>1</v>
      </c>
      <c r="I229" s="29"/>
      <c r="J229" s="29"/>
    </row>
    <row r="230" spans="1:10">
      <c r="A230" s="4" t="s">
        <v>3753</v>
      </c>
      <c r="B230" s="29"/>
      <c r="C230" s="29">
        <v>1</v>
      </c>
      <c r="D230" s="29"/>
      <c r="E230" s="29"/>
      <c r="F230" s="29"/>
      <c r="G230" s="29"/>
      <c r="H230" s="29"/>
      <c r="I230" s="29"/>
      <c r="J230" s="29">
        <v>2</v>
      </c>
    </row>
    <row r="231" spans="1:10">
      <c r="A231" s="4" t="s">
        <v>3754</v>
      </c>
      <c r="B231" s="29"/>
      <c r="C231" s="29">
        <v>1</v>
      </c>
      <c r="D231" s="29">
        <v>1</v>
      </c>
      <c r="E231" s="29"/>
      <c r="F231" s="29"/>
      <c r="G231" s="29">
        <v>1</v>
      </c>
      <c r="H231" s="29"/>
      <c r="I231" s="29"/>
      <c r="J231" s="29"/>
    </row>
    <row r="232" spans="1:10">
      <c r="A232" s="4" t="s">
        <v>3755</v>
      </c>
      <c r="B232" s="29"/>
      <c r="C232" s="29"/>
      <c r="D232" s="29"/>
      <c r="E232" s="29"/>
      <c r="F232" s="29"/>
      <c r="G232" s="29">
        <v>1</v>
      </c>
      <c r="H232" s="29"/>
      <c r="I232" s="29"/>
      <c r="J232" s="29"/>
    </row>
    <row r="233" spans="1:10">
      <c r="A233" s="4" t="s">
        <v>3757</v>
      </c>
      <c r="B233" s="29"/>
      <c r="C233" s="29"/>
      <c r="D233" s="29"/>
      <c r="E233" s="29">
        <v>1</v>
      </c>
      <c r="F233" s="29"/>
      <c r="G233" s="29"/>
      <c r="H233" s="29"/>
      <c r="I233" s="29"/>
      <c r="J233" s="29">
        <v>1</v>
      </c>
    </row>
    <row r="234" spans="1:10">
      <c r="A234" s="4" t="s">
        <v>3539</v>
      </c>
      <c r="B234" s="29"/>
      <c r="C234" s="29">
        <v>1</v>
      </c>
      <c r="D234" s="29"/>
      <c r="E234" s="29"/>
      <c r="F234" s="29"/>
      <c r="G234" s="29"/>
      <c r="H234" s="29">
        <v>1</v>
      </c>
      <c r="I234" s="29"/>
      <c r="J234" s="29"/>
    </row>
    <row r="235" spans="1:10">
      <c r="A235" s="4" t="s">
        <v>3760</v>
      </c>
      <c r="B235" s="29">
        <v>1</v>
      </c>
      <c r="C235" s="29"/>
      <c r="D235" s="29"/>
      <c r="E235" s="29"/>
      <c r="F235" s="29"/>
      <c r="G235" s="29"/>
      <c r="H235" s="29"/>
      <c r="I235" s="29"/>
      <c r="J235" s="29"/>
    </row>
    <row r="236" spans="1:10">
      <c r="A236" s="4" t="s">
        <v>2033</v>
      </c>
      <c r="B236" s="29"/>
      <c r="C236" s="29">
        <v>1</v>
      </c>
      <c r="D236" s="29"/>
      <c r="E236" s="29"/>
      <c r="F236" s="29">
        <v>1</v>
      </c>
      <c r="G236" s="29"/>
      <c r="H236" s="29"/>
      <c r="I236" s="29"/>
      <c r="J236" s="29"/>
    </row>
    <row r="237" spans="1:10">
      <c r="A237" s="4" t="s">
        <v>3540</v>
      </c>
      <c r="B237" s="29"/>
      <c r="C237" s="29">
        <v>1</v>
      </c>
      <c r="D237" s="29"/>
      <c r="E237" s="29"/>
      <c r="F237" s="29"/>
      <c r="G237" s="29"/>
      <c r="H237" s="29"/>
      <c r="I237" s="29"/>
      <c r="J237" s="29"/>
    </row>
    <row r="238" spans="1:10">
      <c r="A238" s="4" t="s">
        <v>3762</v>
      </c>
      <c r="B238" s="29"/>
      <c r="C238" s="29"/>
      <c r="D238" s="29">
        <v>1</v>
      </c>
      <c r="E238" s="29"/>
      <c r="F238" s="29"/>
      <c r="G238" s="29"/>
      <c r="H238" s="29"/>
      <c r="I238" s="29"/>
      <c r="J238" s="29"/>
    </row>
    <row r="239" spans="1:10">
      <c r="A239" s="4" t="s">
        <v>1881</v>
      </c>
      <c r="B239" s="29"/>
      <c r="C239" s="29"/>
      <c r="D239" s="29"/>
      <c r="E239" s="29"/>
      <c r="F239" s="29"/>
      <c r="G239" s="29"/>
      <c r="H239" s="29">
        <v>1</v>
      </c>
      <c r="I239" s="29"/>
      <c r="J239" s="29"/>
    </row>
    <row r="240" spans="1:10">
      <c r="A240" s="4">
        <v>8118811848</v>
      </c>
      <c r="B240" s="29"/>
      <c r="C240" s="29"/>
      <c r="D240" s="29"/>
      <c r="E240" s="29"/>
      <c r="F240" s="29"/>
      <c r="G240" s="29"/>
      <c r="H240" s="29">
        <v>1</v>
      </c>
      <c r="I240" s="29"/>
      <c r="J240" s="29"/>
    </row>
    <row r="241" spans="1:10">
      <c r="A241" s="4" t="s">
        <v>3214</v>
      </c>
      <c r="B241" s="29"/>
      <c r="C241" s="29"/>
      <c r="D241" s="29"/>
      <c r="E241" s="29"/>
      <c r="F241" s="29">
        <v>0</v>
      </c>
      <c r="G241" s="29"/>
      <c r="H241" s="29"/>
      <c r="I241" s="29"/>
      <c r="J241" s="29"/>
    </row>
    <row r="242" spans="1:10">
      <c r="A242" s="4" t="s">
        <v>2652</v>
      </c>
      <c r="B242" s="29"/>
      <c r="C242" s="29"/>
      <c r="D242" s="29">
        <v>1</v>
      </c>
      <c r="E242" s="29"/>
      <c r="F242" s="29"/>
      <c r="G242" s="29"/>
      <c r="H242" s="29"/>
      <c r="I242" s="29"/>
      <c r="J242" s="29">
        <v>1</v>
      </c>
    </row>
    <row r="243" spans="1:10">
      <c r="A243" s="4" t="s">
        <v>3764</v>
      </c>
      <c r="B243" s="29"/>
      <c r="C243" s="29"/>
      <c r="D243" s="29"/>
      <c r="E243" s="29"/>
      <c r="F243" s="29">
        <v>1</v>
      </c>
      <c r="G243" s="29"/>
      <c r="H243" s="29"/>
      <c r="I243" s="29"/>
      <c r="J243" s="29"/>
    </row>
    <row r="244" spans="1:10">
      <c r="A244" s="4" t="s">
        <v>3766</v>
      </c>
      <c r="B244" s="29"/>
      <c r="C244" s="29"/>
      <c r="D244" s="29"/>
      <c r="E244" s="29">
        <v>1</v>
      </c>
      <c r="F244" s="29"/>
      <c r="G244" s="29"/>
      <c r="H244" s="29"/>
      <c r="I244" s="29"/>
      <c r="J244" s="29"/>
    </row>
    <row r="245" spans="1:10">
      <c r="A245" s="4" t="s">
        <v>3255</v>
      </c>
      <c r="B245" s="29"/>
      <c r="C245" s="29"/>
      <c r="D245" s="29"/>
      <c r="E245" s="29">
        <v>1</v>
      </c>
      <c r="F245" s="29"/>
      <c r="G245" s="29"/>
      <c r="H245" s="29">
        <v>1</v>
      </c>
      <c r="I245" s="29"/>
      <c r="J245" s="29"/>
    </row>
    <row r="246" spans="1:10">
      <c r="A246" s="4" t="s">
        <v>2711</v>
      </c>
      <c r="B246" s="29"/>
      <c r="C246" s="29">
        <v>1</v>
      </c>
      <c r="D246" s="29"/>
      <c r="E246" s="29">
        <v>1</v>
      </c>
      <c r="F246" s="29"/>
      <c r="G246" s="29"/>
      <c r="H246" s="29"/>
      <c r="I246" s="29"/>
      <c r="J246" s="29"/>
    </row>
    <row r="247" spans="1:10">
      <c r="A247" s="4" t="s">
        <v>3768</v>
      </c>
      <c r="B247" s="29"/>
      <c r="C247" s="29">
        <v>2</v>
      </c>
      <c r="D247" s="29"/>
      <c r="E247" s="29"/>
      <c r="F247" s="29"/>
      <c r="G247" s="29"/>
      <c r="H247" s="29"/>
      <c r="I247" s="29"/>
      <c r="J247" s="29">
        <v>1</v>
      </c>
    </row>
    <row r="248" spans="1:10">
      <c r="A248" s="4" t="s">
        <v>2037</v>
      </c>
      <c r="B248" s="29"/>
      <c r="C248" s="29"/>
      <c r="D248" s="29"/>
      <c r="E248" s="29"/>
      <c r="F248" s="29">
        <v>-1</v>
      </c>
      <c r="G248" s="29"/>
      <c r="H248" s="29"/>
      <c r="I248" s="29"/>
      <c r="J248" s="29"/>
    </row>
    <row r="249" spans="1:10">
      <c r="A249" s="4" t="s">
        <v>3769</v>
      </c>
      <c r="B249" s="29"/>
      <c r="C249" s="29"/>
      <c r="D249" s="29">
        <v>1</v>
      </c>
      <c r="E249" s="29"/>
      <c r="F249" s="29"/>
      <c r="G249" s="29"/>
      <c r="H249" s="29"/>
      <c r="I249" s="29"/>
      <c r="J249" s="29"/>
    </row>
    <row r="250" spans="1:10">
      <c r="A250" s="4" t="s">
        <v>3537</v>
      </c>
      <c r="B250" s="29"/>
      <c r="C250" s="29">
        <v>1</v>
      </c>
      <c r="D250" s="29">
        <v>1</v>
      </c>
      <c r="E250" s="29"/>
      <c r="F250" s="29"/>
      <c r="G250" s="29"/>
      <c r="H250" s="29"/>
      <c r="I250" s="29"/>
      <c r="J250" s="29"/>
    </row>
    <row r="251" spans="1:10">
      <c r="A251" s="4" t="s">
        <v>3771</v>
      </c>
      <c r="B251" s="29"/>
      <c r="C251" s="29"/>
      <c r="D251" s="29"/>
      <c r="E251" s="29"/>
      <c r="F251" s="29">
        <v>1</v>
      </c>
      <c r="G251" s="29"/>
      <c r="H251" s="29"/>
      <c r="I251" s="29"/>
      <c r="J251" s="29"/>
    </row>
    <row r="252" spans="1:10">
      <c r="A252" s="4" t="s">
        <v>3772</v>
      </c>
      <c r="B252" s="29"/>
      <c r="C252" s="29"/>
      <c r="D252" s="29"/>
      <c r="E252" s="29"/>
      <c r="F252" s="29">
        <v>1</v>
      </c>
      <c r="G252" s="29"/>
      <c r="H252" s="29"/>
      <c r="I252" s="29"/>
      <c r="J252" s="29"/>
    </row>
    <row r="253" spans="1:10">
      <c r="A253" s="4" t="s">
        <v>3773</v>
      </c>
      <c r="B253" s="29"/>
      <c r="C253" s="29"/>
      <c r="D253" s="29"/>
      <c r="E253" s="29"/>
      <c r="F253" s="29"/>
      <c r="G253" s="29">
        <v>1</v>
      </c>
      <c r="H253" s="29"/>
      <c r="I253" s="29"/>
      <c r="J253" s="29"/>
    </row>
    <row r="254" spans="1:10">
      <c r="A254" s="4" t="s">
        <v>3775</v>
      </c>
      <c r="B254" s="29"/>
      <c r="C254" s="29"/>
      <c r="D254" s="29"/>
      <c r="E254" s="29"/>
      <c r="F254" s="29"/>
      <c r="G254" s="29"/>
      <c r="H254" s="29"/>
      <c r="I254" s="29"/>
      <c r="J254" s="29">
        <v>1</v>
      </c>
    </row>
    <row r="255" spans="1:10">
      <c r="A255" s="4" t="s">
        <v>3778</v>
      </c>
      <c r="B255" s="29"/>
      <c r="C255" s="29"/>
      <c r="D255" s="29"/>
      <c r="E255" s="29"/>
      <c r="F255" s="29"/>
      <c r="G255" s="29"/>
      <c r="H255" s="29"/>
      <c r="I255" s="29"/>
      <c r="J255" s="29">
        <v>2</v>
      </c>
    </row>
    <row r="256" spans="1:10">
      <c r="A256" s="4" t="s">
        <v>3779</v>
      </c>
      <c r="B256" s="29"/>
      <c r="C256" s="29"/>
      <c r="D256" s="29">
        <v>1</v>
      </c>
      <c r="E256" s="29"/>
      <c r="F256" s="29">
        <v>1</v>
      </c>
      <c r="G256" s="29"/>
      <c r="H256" s="29"/>
      <c r="I256" s="29"/>
      <c r="J256" s="29"/>
    </row>
    <row r="257" spans="1:10">
      <c r="A257" s="4" t="s">
        <v>3780</v>
      </c>
      <c r="B257" s="29"/>
      <c r="C257" s="29">
        <v>1</v>
      </c>
      <c r="D257" s="29"/>
      <c r="E257" s="29">
        <v>1</v>
      </c>
      <c r="F257" s="29"/>
      <c r="G257" s="29"/>
      <c r="H257" s="29"/>
      <c r="I257" s="29"/>
      <c r="J257" s="29"/>
    </row>
    <row r="258" spans="1:10">
      <c r="A258" s="4" t="s">
        <v>3211</v>
      </c>
      <c r="B258" s="29"/>
      <c r="C258" s="29"/>
      <c r="D258" s="29">
        <v>1</v>
      </c>
      <c r="E258" s="29"/>
      <c r="F258" s="29">
        <v>1</v>
      </c>
      <c r="G258" s="29"/>
      <c r="H258" s="29">
        <v>1</v>
      </c>
      <c r="I258" s="29">
        <v>1</v>
      </c>
      <c r="J258" s="29">
        <v>1</v>
      </c>
    </row>
    <row r="259" spans="1:10">
      <c r="A259" s="4" t="s">
        <v>3782</v>
      </c>
      <c r="B259" s="29"/>
      <c r="C259" s="29">
        <v>1</v>
      </c>
      <c r="D259" s="29"/>
      <c r="E259" s="29"/>
      <c r="F259" s="29"/>
      <c r="G259" s="29"/>
      <c r="H259" s="29"/>
      <c r="I259" s="29"/>
      <c r="J259" s="29"/>
    </row>
    <row r="260" spans="1:10">
      <c r="A260" s="4" t="s">
        <v>333</v>
      </c>
      <c r="B260" s="29"/>
      <c r="C260" s="29"/>
      <c r="D260" s="29">
        <v>1</v>
      </c>
      <c r="E260" s="29"/>
      <c r="F260" s="29"/>
      <c r="G260" s="29"/>
      <c r="H260" s="29">
        <v>1</v>
      </c>
      <c r="I260" s="29">
        <v>1</v>
      </c>
      <c r="J260" s="29"/>
    </row>
    <row r="261" spans="1:10">
      <c r="A261" s="4" t="s">
        <v>3783</v>
      </c>
      <c r="B261" s="29"/>
      <c r="C261" s="29"/>
      <c r="D261" s="29"/>
      <c r="E261" s="29"/>
      <c r="F261" s="29"/>
      <c r="G261" s="29">
        <v>1</v>
      </c>
      <c r="H261" s="29"/>
      <c r="I261" s="29"/>
      <c r="J261" s="29"/>
    </row>
    <row r="262" spans="1:10">
      <c r="A262" s="4" t="s">
        <v>3784</v>
      </c>
      <c r="B262" s="29"/>
      <c r="C262" s="29">
        <v>1</v>
      </c>
      <c r="D262" s="29"/>
      <c r="E262" s="29"/>
      <c r="F262" s="29"/>
      <c r="G262" s="29"/>
      <c r="H262" s="29"/>
      <c r="I262" s="29"/>
      <c r="J262" s="29">
        <v>1</v>
      </c>
    </row>
    <row r="263" spans="1:10">
      <c r="A263" s="4" t="s">
        <v>3785</v>
      </c>
      <c r="B263" s="29">
        <v>1</v>
      </c>
      <c r="C263" s="29"/>
      <c r="D263" s="29"/>
      <c r="E263" s="29"/>
      <c r="F263" s="29"/>
      <c r="G263" s="29"/>
      <c r="H263" s="29"/>
      <c r="I263" s="29"/>
      <c r="J263" s="29">
        <v>1</v>
      </c>
    </row>
    <row r="264" spans="1:10">
      <c r="A264" s="4" t="s">
        <v>3786</v>
      </c>
      <c r="B264" s="29"/>
      <c r="C264" s="29"/>
      <c r="D264" s="29"/>
      <c r="E264" s="29"/>
      <c r="F264" s="29"/>
      <c r="G264" s="29"/>
      <c r="H264" s="29">
        <v>1</v>
      </c>
      <c r="I264" s="29"/>
      <c r="J264" s="29"/>
    </row>
    <row r="265" spans="1:10">
      <c r="A265" s="4" t="s">
        <v>3788</v>
      </c>
      <c r="B265" s="29"/>
      <c r="C265" s="29"/>
      <c r="D265" s="29"/>
      <c r="E265" s="29">
        <v>1</v>
      </c>
      <c r="F265" s="29"/>
      <c r="G265" s="29">
        <v>1</v>
      </c>
      <c r="H265" s="29">
        <v>1</v>
      </c>
      <c r="I265" s="29"/>
      <c r="J265" s="29"/>
    </row>
    <row r="266" spans="1:10">
      <c r="A266" s="4" t="s">
        <v>3219</v>
      </c>
      <c r="B266" s="29"/>
      <c r="C266" s="29"/>
      <c r="D266" s="29"/>
      <c r="E266" s="29"/>
      <c r="F266" s="29"/>
      <c r="G266" s="29">
        <v>1</v>
      </c>
      <c r="H266" s="29"/>
      <c r="I266" s="29"/>
      <c r="J266" s="29"/>
    </row>
    <row r="267" spans="1:10">
      <c r="A267" s="4" t="s">
        <v>2142</v>
      </c>
      <c r="B267" s="29"/>
      <c r="C267" s="29"/>
      <c r="D267" s="29"/>
      <c r="E267" s="29"/>
      <c r="F267" s="29"/>
      <c r="G267" s="29">
        <v>1</v>
      </c>
      <c r="H267" s="29"/>
      <c r="I267" s="29"/>
      <c r="J267" s="29"/>
    </row>
    <row r="268" spans="1:10">
      <c r="A268" s="4" t="s">
        <v>3789</v>
      </c>
      <c r="B268" s="29"/>
      <c r="C268" s="29"/>
      <c r="D268" s="29">
        <v>1</v>
      </c>
      <c r="E268" s="29"/>
      <c r="F268" s="29"/>
      <c r="G268" s="29"/>
      <c r="H268" s="29"/>
      <c r="I268" s="29"/>
      <c r="J268" s="29"/>
    </row>
    <row r="269" spans="1:10">
      <c r="A269" s="4" t="s">
        <v>3791</v>
      </c>
      <c r="B269" s="29"/>
      <c r="C269" s="29"/>
      <c r="D269" s="29">
        <v>1</v>
      </c>
      <c r="E269" s="29"/>
      <c r="F269" s="29"/>
      <c r="G269" s="29"/>
      <c r="H269" s="29"/>
      <c r="I269" s="29"/>
      <c r="J269" s="29"/>
    </row>
    <row r="270" spans="1:10">
      <c r="A270" s="4" t="s">
        <v>3792</v>
      </c>
      <c r="B270" s="29"/>
      <c r="C270" s="29"/>
      <c r="D270" s="29"/>
      <c r="E270" s="29"/>
      <c r="F270" s="29"/>
      <c r="G270" s="29"/>
      <c r="H270" s="29">
        <v>1</v>
      </c>
      <c r="I270" s="29"/>
      <c r="J270" s="29"/>
    </row>
    <row r="271" spans="1:10">
      <c r="A271" s="4" t="s">
        <v>3793</v>
      </c>
      <c r="B271" s="29">
        <v>1</v>
      </c>
      <c r="C271" s="29"/>
      <c r="D271" s="29"/>
      <c r="E271" s="29"/>
      <c r="F271" s="29"/>
      <c r="G271" s="29"/>
      <c r="H271" s="29"/>
      <c r="I271" s="29"/>
      <c r="J271" s="29"/>
    </row>
    <row r="272" spans="1:10">
      <c r="A272" s="4" t="s">
        <v>3795</v>
      </c>
      <c r="B272" s="29"/>
      <c r="C272" s="29"/>
      <c r="D272" s="29"/>
      <c r="E272" s="29">
        <v>1</v>
      </c>
      <c r="F272" s="29"/>
      <c r="G272" s="29">
        <v>1</v>
      </c>
      <c r="H272" s="29"/>
      <c r="I272" s="29">
        <v>1</v>
      </c>
      <c r="J272" s="29"/>
    </row>
    <row r="273" spans="1:10">
      <c r="A273" s="4" t="s">
        <v>3797</v>
      </c>
      <c r="B273" s="29"/>
      <c r="C273" s="29"/>
      <c r="D273" s="29"/>
      <c r="E273" s="29"/>
      <c r="F273" s="29"/>
      <c r="G273" s="29"/>
      <c r="H273" s="29"/>
      <c r="I273" s="29"/>
      <c r="J273" s="29">
        <v>1</v>
      </c>
    </row>
    <row r="274" spans="1:10">
      <c r="A274" s="4" t="s">
        <v>3799</v>
      </c>
      <c r="B274" s="29"/>
      <c r="C274" s="29"/>
      <c r="D274" s="29"/>
      <c r="E274" s="29"/>
      <c r="F274" s="29"/>
      <c r="G274" s="29"/>
      <c r="H274" s="29"/>
      <c r="I274" s="29">
        <v>1</v>
      </c>
      <c r="J274" s="29"/>
    </row>
    <row r="275" spans="1:10">
      <c r="A275" s="4" t="s">
        <v>3800</v>
      </c>
      <c r="B275" s="29"/>
      <c r="C275" s="29">
        <v>1</v>
      </c>
      <c r="D275" s="29"/>
      <c r="E275" s="29"/>
      <c r="F275" s="29"/>
      <c r="G275" s="29"/>
      <c r="H275" s="29"/>
      <c r="I275" s="29"/>
      <c r="J275" s="29"/>
    </row>
    <row r="276" spans="1:10">
      <c r="A276" s="4" t="s">
        <v>3802</v>
      </c>
      <c r="B276" s="29"/>
      <c r="C276" s="29"/>
      <c r="D276" s="29"/>
      <c r="E276" s="29"/>
      <c r="F276" s="29"/>
      <c r="G276" s="29"/>
      <c r="H276" s="29">
        <v>1</v>
      </c>
      <c r="I276" s="29">
        <v>1</v>
      </c>
      <c r="J276" s="29"/>
    </row>
    <row r="277" spans="1:10">
      <c r="A277" s="4" t="s">
        <v>3803</v>
      </c>
      <c r="B277" s="29"/>
      <c r="C277" s="29"/>
      <c r="D277" s="29"/>
      <c r="E277" s="29"/>
      <c r="F277" s="29"/>
      <c r="G277" s="29"/>
      <c r="H277" s="29">
        <v>1</v>
      </c>
      <c r="I277" s="29"/>
      <c r="J277" s="29"/>
    </row>
    <row r="278" spans="1:10">
      <c r="A278" s="4" t="s">
        <v>3804</v>
      </c>
      <c r="B278" s="29"/>
      <c r="C278" s="29">
        <v>1</v>
      </c>
      <c r="D278" s="29"/>
      <c r="E278" s="29"/>
      <c r="F278" s="29"/>
      <c r="G278" s="29"/>
      <c r="H278" s="29"/>
      <c r="I278" s="29"/>
      <c r="J278" s="29"/>
    </row>
    <row r="279" spans="1:10">
      <c r="A279" s="4" t="s">
        <v>3805</v>
      </c>
      <c r="B279" s="29"/>
      <c r="C279" s="29">
        <v>1</v>
      </c>
      <c r="D279" s="29"/>
      <c r="E279" s="29"/>
      <c r="F279" s="29"/>
      <c r="G279" s="29"/>
      <c r="H279" s="29"/>
      <c r="I279" s="29"/>
      <c r="J279" s="29"/>
    </row>
    <row r="280" spans="1:10">
      <c r="A280" s="4" t="s">
        <v>3806</v>
      </c>
      <c r="B280" s="29"/>
      <c r="C280" s="29"/>
      <c r="D280" s="29"/>
      <c r="E280" s="29"/>
      <c r="F280" s="29"/>
      <c r="G280" s="29"/>
      <c r="H280" s="29"/>
      <c r="I280" s="29"/>
      <c r="J280" s="29">
        <v>1</v>
      </c>
    </row>
    <row r="281" spans="1:10">
      <c r="A281" s="4">
        <v>8689203052</v>
      </c>
      <c r="B281" s="29">
        <v>1</v>
      </c>
      <c r="C281" s="29">
        <v>1</v>
      </c>
      <c r="D281" s="29"/>
      <c r="E281" s="29"/>
      <c r="F281" s="29"/>
      <c r="G281" s="29"/>
      <c r="H281" s="29"/>
      <c r="I281" s="29"/>
      <c r="J281" s="29"/>
    </row>
    <row r="282" spans="1:10">
      <c r="A282" s="4" t="s">
        <v>3807</v>
      </c>
      <c r="B282" s="29"/>
      <c r="C282" s="29">
        <v>1</v>
      </c>
      <c r="D282" s="29"/>
      <c r="E282" s="29"/>
      <c r="F282" s="29"/>
      <c r="G282" s="29"/>
      <c r="H282" s="29"/>
      <c r="I282" s="29"/>
      <c r="J282" s="29"/>
    </row>
    <row r="283" spans="1:10">
      <c r="A283" s="4" t="s">
        <v>3809</v>
      </c>
      <c r="B283" s="29"/>
      <c r="C283" s="29">
        <v>1</v>
      </c>
      <c r="D283" s="29"/>
      <c r="E283" s="29"/>
      <c r="F283" s="29"/>
      <c r="G283" s="29"/>
      <c r="H283" s="29"/>
      <c r="I283" s="29"/>
      <c r="J283" s="29"/>
    </row>
    <row r="284" spans="1:10">
      <c r="A284" s="4" t="s">
        <v>3231</v>
      </c>
      <c r="B284" s="29"/>
      <c r="C284" s="29">
        <v>1</v>
      </c>
      <c r="D284" s="29">
        <v>1</v>
      </c>
      <c r="E284" s="29"/>
      <c r="F284" s="29"/>
      <c r="G284" s="29"/>
      <c r="H284" s="29"/>
      <c r="I284" s="29"/>
      <c r="J284" s="29"/>
    </row>
    <row r="285" spans="1:10">
      <c r="A285" s="4" t="s">
        <v>85</v>
      </c>
      <c r="B285" s="29"/>
      <c r="C285" s="29">
        <v>1</v>
      </c>
      <c r="D285" s="29">
        <v>1</v>
      </c>
      <c r="E285" s="29"/>
      <c r="F285" s="29"/>
      <c r="G285" s="29"/>
      <c r="H285" s="29">
        <v>1</v>
      </c>
      <c r="I285" s="29"/>
      <c r="J285" s="29">
        <v>1</v>
      </c>
    </row>
    <row r="286" spans="1:10">
      <c r="A286" s="4" t="s">
        <v>3810</v>
      </c>
      <c r="B286" s="29"/>
      <c r="C286" s="29">
        <v>1</v>
      </c>
      <c r="D286" s="29"/>
      <c r="E286" s="29"/>
      <c r="F286" s="29"/>
      <c r="G286" s="29"/>
      <c r="H286" s="29"/>
      <c r="I286" s="29"/>
      <c r="J286" s="29"/>
    </row>
    <row r="287" spans="1:10">
      <c r="A287" s="4" t="s">
        <v>3812</v>
      </c>
      <c r="B287" s="29"/>
      <c r="C287" s="29"/>
      <c r="D287" s="29">
        <v>1</v>
      </c>
      <c r="E287" s="29"/>
      <c r="F287" s="29"/>
      <c r="G287" s="29"/>
      <c r="H287" s="29"/>
      <c r="I287" s="29"/>
      <c r="J287" s="29"/>
    </row>
    <row r="288" spans="1:10">
      <c r="A288" s="4" t="s">
        <v>3813</v>
      </c>
      <c r="B288" s="29">
        <v>1</v>
      </c>
      <c r="C288" s="29">
        <v>1</v>
      </c>
      <c r="D288" s="29">
        <v>1</v>
      </c>
      <c r="E288" s="29"/>
      <c r="F288" s="29"/>
      <c r="G288" s="29"/>
      <c r="H288" s="29"/>
      <c r="I288" s="29"/>
      <c r="J288" s="29"/>
    </row>
    <row r="289" spans="1:10">
      <c r="A289" s="4" t="s">
        <v>3816</v>
      </c>
      <c r="B289" s="29">
        <v>1</v>
      </c>
      <c r="C289" s="29"/>
      <c r="D289" s="29"/>
      <c r="E289" s="29"/>
      <c r="F289" s="29"/>
      <c r="G289" s="29"/>
      <c r="H289" s="29"/>
      <c r="I289" s="29"/>
      <c r="J289" s="29"/>
    </row>
    <row r="290" spans="1:10">
      <c r="A290" s="4" t="s">
        <v>3818</v>
      </c>
      <c r="B290" s="29"/>
      <c r="C290" s="29">
        <v>1</v>
      </c>
      <c r="D290" s="29"/>
      <c r="E290" s="29"/>
      <c r="F290" s="29"/>
      <c r="G290" s="29"/>
      <c r="H290" s="29"/>
      <c r="I290" s="29"/>
      <c r="J290" s="29"/>
    </row>
    <row r="291" spans="1:10">
      <c r="A291" s="4" t="s">
        <v>3819</v>
      </c>
      <c r="B291" s="29"/>
      <c r="C291" s="29"/>
      <c r="D291" s="29"/>
      <c r="E291" s="29"/>
      <c r="F291" s="29"/>
      <c r="G291" s="29"/>
      <c r="H291" s="29"/>
      <c r="I291" s="29"/>
      <c r="J291" s="29">
        <v>1</v>
      </c>
    </row>
    <row r="292" spans="1:10">
      <c r="A292" s="4" t="s">
        <v>3820</v>
      </c>
      <c r="B292" s="29"/>
      <c r="C292" s="29"/>
      <c r="D292" s="29">
        <v>1</v>
      </c>
      <c r="E292" s="29"/>
      <c r="F292" s="29"/>
      <c r="G292" s="29"/>
      <c r="H292" s="29"/>
      <c r="I292" s="29"/>
      <c r="J292" s="29"/>
    </row>
    <row r="293" spans="1:10">
      <c r="A293" s="4" t="s">
        <v>3821</v>
      </c>
      <c r="B293" s="29"/>
      <c r="C293" s="29">
        <v>1</v>
      </c>
      <c r="D293" s="29"/>
      <c r="E293" s="29"/>
      <c r="F293" s="29"/>
      <c r="G293" s="29"/>
      <c r="H293" s="29"/>
      <c r="I293" s="29"/>
      <c r="J293" s="29"/>
    </row>
    <row r="294" spans="1:10">
      <c r="A294" s="4" t="s">
        <v>3822</v>
      </c>
      <c r="B294" s="29"/>
      <c r="C294" s="29"/>
      <c r="D294" s="29"/>
      <c r="E294" s="29"/>
      <c r="F294" s="29"/>
      <c r="G294" s="29"/>
      <c r="H294" s="29"/>
      <c r="I294" s="29"/>
      <c r="J294" s="29">
        <v>1</v>
      </c>
    </row>
    <row r="295" spans="1:10">
      <c r="A295" s="4" t="s">
        <v>3824</v>
      </c>
      <c r="B295" s="29"/>
      <c r="C295" s="29"/>
      <c r="D295" s="29"/>
      <c r="E295" s="29"/>
      <c r="F295" s="29"/>
      <c r="G295" s="29"/>
      <c r="H295" s="29"/>
      <c r="I295" s="29"/>
      <c r="J295" s="29">
        <v>1</v>
      </c>
    </row>
    <row r="296" spans="1:10">
      <c r="A296" s="4" t="s">
        <v>3826</v>
      </c>
      <c r="B296" s="29"/>
      <c r="C296" s="29"/>
      <c r="D296" s="29"/>
      <c r="E296" s="29"/>
      <c r="F296" s="29"/>
      <c r="G296" s="29">
        <v>1</v>
      </c>
      <c r="H296" s="29"/>
      <c r="I296" s="29">
        <v>1</v>
      </c>
      <c r="J296" s="29"/>
    </row>
    <row r="297" spans="1:10">
      <c r="A297" s="4" t="s">
        <v>3828</v>
      </c>
      <c r="B297" s="29"/>
      <c r="C297" s="29">
        <v>1</v>
      </c>
      <c r="D297" s="29"/>
      <c r="E297" s="29"/>
      <c r="F297" s="29"/>
      <c r="G297" s="29"/>
      <c r="H297" s="29">
        <v>1</v>
      </c>
      <c r="I297" s="29"/>
      <c r="J297" s="29">
        <v>1</v>
      </c>
    </row>
    <row r="298" spans="1:10">
      <c r="A298" s="4" t="s">
        <v>3829</v>
      </c>
      <c r="B298" s="29">
        <v>1</v>
      </c>
      <c r="C298" s="29"/>
      <c r="D298" s="29"/>
      <c r="E298" s="29"/>
      <c r="F298" s="29"/>
      <c r="G298" s="29"/>
      <c r="H298" s="29"/>
      <c r="I298" s="29"/>
      <c r="J298" s="29"/>
    </row>
    <row r="299" spans="1:10">
      <c r="A299" s="4" t="s">
        <v>3830</v>
      </c>
      <c r="B299" s="29"/>
      <c r="C299" s="29"/>
      <c r="D299" s="29"/>
      <c r="E299" s="29"/>
      <c r="F299" s="29"/>
      <c r="G299" s="29">
        <v>1</v>
      </c>
      <c r="H299" s="29"/>
      <c r="I299" s="29"/>
      <c r="J299" s="29"/>
    </row>
    <row r="300" spans="1:10">
      <c r="A300" s="4" t="s">
        <v>1908</v>
      </c>
      <c r="B300" s="29"/>
      <c r="C300" s="29"/>
      <c r="D300" s="29">
        <v>1</v>
      </c>
      <c r="E300" s="29"/>
      <c r="F300" s="29"/>
      <c r="G300" s="29"/>
      <c r="H300" s="29"/>
      <c r="I300" s="29"/>
      <c r="J300" s="29"/>
    </row>
    <row r="301" spans="1:10">
      <c r="A301" s="4" t="s">
        <v>3147</v>
      </c>
      <c r="B301" s="29"/>
      <c r="C301" s="29"/>
      <c r="D301" s="29"/>
      <c r="E301" s="29"/>
      <c r="F301" s="29"/>
      <c r="G301" s="29"/>
      <c r="H301" s="29">
        <v>1</v>
      </c>
      <c r="I301" s="29"/>
      <c r="J301" s="29"/>
    </row>
    <row r="302" spans="1:10">
      <c r="A302" s="4" t="s">
        <v>3831</v>
      </c>
      <c r="B302" s="29">
        <v>1</v>
      </c>
      <c r="C302" s="29"/>
      <c r="D302" s="29"/>
      <c r="E302" s="29"/>
      <c r="F302" s="29"/>
      <c r="G302" s="29"/>
      <c r="H302" s="29"/>
      <c r="I302" s="29"/>
      <c r="J302" s="29"/>
    </row>
    <row r="303" spans="1:10">
      <c r="A303" s="4">
        <v>8689211852</v>
      </c>
      <c r="B303" s="29">
        <v>1</v>
      </c>
      <c r="C303" s="29"/>
      <c r="D303" s="29"/>
      <c r="E303" s="29"/>
      <c r="F303" s="29"/>
      <c r="G303" s="29"/>
      <c r="H303" s="29"/>
      <c r="I303" s="29"/>
      <c r="J303" s="29"/>
    </row>
    <row r="304" spans="1:10">
      <c r="A304" s="4">
        <v>8689262552</v>
      </c>
      <c r="B304" s="29">
        <v>1</v>
      </c>
      <c r="C304" s="29"/>
      <c r="D304" s="29"/>
      <c r="E304" s="29"/>
      <c r="F304" s="29"/>
      <c r="G304" s="29"/>
      <c r="H304" s="29"/>
      <c r="I304" s="29"/>
      <c r="J304" s="29"/>
    </row>
    <row r="305" spans="1:10">
      <c r="A305" s="4" t="s">
        <v>3833</v>
      </c>
      <c r="B305" s="29"/>
      <c r="C305" s="29"/>
      <c r="D305" s="29"/>
      <c r="E305" s="29"/>
      <c r="F305" s="29">
        <v>1</v>
      </c>
      <c r="G305" s="29"/>
      <c r="H305" s="29"/>
      <c r="I305" s="29"/>
      <c r="J305" s="29"/>
    </row>
    <row r="306" spans="1:10">
      <c r="A306" s="4" t="s">
        <v>3834</v>
      </c>
      <c r="B306" s="29"/>
      <c r="C306" s="29"/>
      <c r="D306" s="29">
        <v>1</v>
      </c>
      <c r="E306" s="29"/>
      <c r="F306" s="29">
        <v>1</v>
      </c>
      <c r="G306" s="29"/>
      <c r="H306" s="29"/>
      <c r="I306" s="29"/>
      <c r="J306" s="29"/>
    </row>
    <row r="307" spans="1:10">
      <c r="A307" s="4" t="s">
        <v>3835</v>
      </c>
      <c r="B307" s="29"/>
      <c r="C307" s="29"/>
      <c r="D307" s="29"/>
      <c r="E307" s="29">
        <v>1</v>
      </c>
      <c r="F307" s="29"/>
      <c r="G307" s="29"/>
      <c r="H307" s="29"/>
      <c r="I307" s="29"/>
      <c r="J307" s="29"/>
    </row>
    <row r="308" spans="1:10">
      <c r="A308" s="4" t="s">
        <v>3837</v>
      </c>
      <c r="B308" s="29"/>
      <c r="C308" s="29"/>
      <c r="D308" s="29"/>
      <c r="E308" s="29">
        <v>1</v>
      </c>
      <c r="F308" s="29"/>
      <c r="G308" s="29"/>
      <c r="H308" s="29"/>
      <c r="I308" s="29"/>
      <c r="J308" s="29"/>
    </row>
    <row r="309" spans="1:10">
      <c r="A309" s="4" t="s">
        <v>3839</v>
      </c>
      <c r="B309" s="29"/>
      <c r="C309" s="29"/>
      <c r="D309" s="29">
        <v>1</v>
      </c>
      <c r="E309" s="29"/>
      <c r="F309" s="29"/>
      <c r="G309" s="29"/>
      <c r="H309" s="29"/>
      <c r="I309" s="29"/>
      <c r="J309" s="29"/>
    </row>
    <row r="310" spans="1:10">
      <c r="A310" s="4" t="s">
        <v>3842</v>
      </c>
      <c r="B310" s="29"/>
      <c r="C310" s="29"/>
      <c r="D310" s="29">
        <v>1</v>
      </c>
      <c r="E310" s="29"/>
      <c r="F310" s="29"/>
      <c r="G310" s="29"/>
      <c r="H310" s="29"/>
      <c r="I310" s="29"/>
      <c r="J310" s="29"/>
    </row>
    <row r="311" spans="1:10">
      <c r="A311" s="4" t="s">
        <v>3843</v>
      </c>
      <c r="B311" s="29">
        <v>1</v>
      </c>
      <c r="C311" s="29"/>
      <c r="D311" s="29"/>
      <c r="E311" s="29"/>
      <c r="F311" s="29"/>
      <c r="G311" s="29"/>
      <c r="H311" s="29"/>
      <c r="I311" s="29"/>
      <c r="J311" s="29"/>
    </row>
    <row r="312" spans="1:10">
      <c r="A312" s="4">
        <v>8689211848</v>
      </c>
      <c r="B312" s="29"/>
      <c r="C312" s="29"/>
      <c r="D312" s="29">
        <v>1</v>
      </c>
      <c r="E312" s="29"/>
      <c r="F312" s="29"/>
      <c r="G312" s="29"/>
      <c r="H312" s="29"/>
      <c r="I312" s="29"/>
      <c r="J312" s="29"/>
    </row>
    <row r="313" spans="1:10">
      <c r="A313" s="4" t="s">
        <v>3844</v>
      </c>
      <c r="B313" s="29"/>
      <c r="C313" s="29"/>
      <c r="D313" s="29"/>
      <c r="E313" s="29">
        <v>1</v>
      </c>
      <c r="F313" s="29"/>
      <c r="G313" s="29"/>
      <c r="H313" s="29"/>
      <c r="I313" s="29"/>
      <c r="J313" s="29"/>
    </row>
    <row r="314" spans="1:10">
      <c r="A314" s="4" t="s">
        <v>3845</v>
      </c>
      <c r="B314" s="29"/>
      <c r="C314" s="29"/>
      <c r="D314" s="29"/>
      <c r="E314" s="29">
        <v>1</v>
      </c>
      <c r="F314" s="29"/>
      <c r="G314" s="29"/>
      <c r="H314" s="29"/>
      <c r="I314" s="29"/>
      <c r="J314" s="29"/>
    </row>
    <row r="315" spans="1:10">
      <c r="A315" s="4" t="s">
        <v>3846</v>
      </c>
      <c r="B315" s="29"/>
      <c r="C315" s="29"/>
      <c r="D315" s="29"/>
      <c r="E315" s="29"/>
      <c r="F315" s="29">
        <v>1</v>
      </c>
      <c r="G315" s="29"/>
      <c r="H315" s="29"/>
      <c r="I315" s="29"/>
      <c r="J315" s="29"/>
    </row>
    <row r="316" spans="1:10">
      <c r="A316" s="4" t="s">
        <v>3848</v>
      </c>
      <c r="B316" s="29"/>
      <c r="C316" s="29"/>
      <c r="D316" s="29">
        <v>1</v>
      </c>
      <c r="E316" s="29"/>
      <c r="F316" s="29"/>
      <c r="G316" s="29"/>
      <c r="H316" s="29"/>
      <c r="I316" s="29"/>
      <c r="J316" s="29"/>
    </row>
    <row r="317" spans="1:10">
      <c r="A317" s="4" t="s">
        <v>3849</v>
      </c>
      <c r="B317" s="29"/>
      <c r="C317" s="29"/>
      <c r="D317" s="29">
        <v>1</v>
      </c>
      <c r="E317" s="29"/>
      <c r="F317" s="29"/>
      <c r="G317" s="29"/>
      <c r="H317" s="29"/>
      <c r="I317" s="29"/>
      <c r="J317" s="29"/>
    </row>
    <row r="318" spans="1:10">
      <c r="A318" s="4" t="s">
        <v>3850</v>
      </c>
      <c r="B318" s="29"/>
      <c r="C318" s="29"/>
      <c r="D318" s="29"/>
      <c r="E318" s="29"/>
      <c r="F318" s="29">
        <v>1</v>
      </c>
      <c r="G318" s="29"/>
      <c r="H318" s="29"/>
      <c r="I318" s="29"/>
      <c r="J318" s="29"/>
    </row>
    <row r="319" spans="1:10">
      <c r="A319" s="4" t="s">
        <v>3851</v>
      </c>
      <c r="B319" s="29">
        <v>1</v>
      </c>
      <c r="C319" s="29"/>
      <c r="D319" s="29"/>
      <c r="E319" s="29"/>
      <c r="F319" s="29"/>
      <c r="G319" s="29"/>
      <c r="H319" s="29"/>
      <c r="I319" s="29"/>
      <c r="J319" s="29"/>
    </row>
    <row r="320" spans="1:10">
      <c r="A320" s="4">
        <v>8689211846</v>
      </c>
      <c r="B320" s="29">
        <v>1</v>
      </c>
      <c r="C320" s="29"/>
      <c r="D320" s="29"/>
      <c r="E320" s="29"/>
      <c r="F320" s="29"/>
      <c r="G320" s="29"/>
      <c r="H320" s="29"/>
      <c r="I320" s="29"/>
      <c r="J320" s="29"/>
    </row>
    <row r="321" spans="1:10">
      <c r="A321" s="4" t="s">
        <v>3852</v>
      </c>
      <c r="B321" s="29">
        <v>1</v>
      </c>
      <c r="C321" s="29"/>
      <c r="D321" s="29"/>
      <c r="E321" s="29"/>
      <c r="F321" s="29"/>
      <c r="G321" s="29"/>
      <c r="H321" s="29"/>
      <c r="I321" s="29"/>
      <c r="J321" s="29"/>
    </row>
    <row r="322" spans="1:10">
      <c r="A322" s="4" t="s">
        <v>3853</v>
      </c>
      <c r="B322" s="29">
        <v>1</v>
      </c>
      <c r="C322" s="29"/>
      <c r="D322" s="29"/>
      <c r="E322" s="29"/>
      <c r="F322" s="29"/>
      <c r="G322" s="29"/>
      <c r="H322" s="29"/>
      <c r="I322" s="29"/>
      <c r="J322" s="29"/>
    </row>
    <row r="323" spans="1:10">
      <c r="A323" s="4" t="s">
        <v>2069</v>
      </c>
      <c r="B323" s="29"/>
      <c r="C323" s="29">
        <v>1</v>
      </c>
      <c r="D323" s="29"/>
      <c r="E323" s="29"/>
      <c r="F323" s="29"/>
      <c r="G323" s="29"/>
      <c r="H323" s="29"/>
      <c r="I323" s="29"/>
      <c r="J323" s="29"/>
    </row>
    <row r="324" spans="1:10">
      <c r="A324" s="4" t="s">
        <v>3854</v>
      </c>
      <c r="B324" s="29">
        <v>1</v>
      </c>
      <c r="C324" s="29"/>
      <c r="D324" s="29"/>
      <c r="E324" s="29"/>
      <c r="F324" s="29"/>
      <c r="G324" s="29"/>
      <c r="H324" s="29"/>
      <c r="I324" s="29"/>
      <c r="J324" s="29"/>
    </row>
    <row r="325" spans="1:10">
      <c r="A325" s="4" t="s">
        <v>3855</v>
      </c>
      <c r="B325" s="29">
        <v>1</v>
      </c>
      <c r="C325" s="29"/>
      <c r="D325" s="29"/>
      <c r="E325" s="29"/>
      <c r="F325" s="29"/>
      <c r="G325" s="29"/>
      <c r="H325" s="29"/>
      <c r="I325" s="29"/>
      <c r="J325" s="29"/>
    </row>
    <row r="326" spans="1:10">
      <c r="A326" s="4" t="s">
        <v>3856</v>
      </c>
      <c r="B326" s="29"/>
      <c r="C326" s="29"/>
      <c r="D326" s="29">
        <v>1</v>
      </c>
      <c r="E326" s="29"/>
      <c r="F326" s="29"/>
      <c r="G326" s="29"/>
      <c r="H326" s="29"/>
      <c r="I326" s="29"/>
      <c r="J326" s="29"/>
    </row>
    <row r="327" spans="1:10">
      <c r="A327" s="4" t="s">
        <v>3857</v>
      </c>
      <c r="B327" s="29"/>
      <c r="C327" s="29"/>
      <c r="D327" s="29">
        <v>1</v>
      </c>
      <c r="E327" s="29"/>
      <c r="F327" s="29"/>
      <c r="G327" s="29"/>
      <c r="H327" s="29"/>
      <c r="I327" s="29"/>
      <c r="J327" s="29"/>
    </row>
    <row r="328" spans="1:10">
      <c r="A328" s="4" t="s">
        <v>3858</v>
      </c>
      <c r="B328" s="29"/>
      <c r="C328" s="29"/>
      <c r="D328" s="29"/>
      <c r="E328" s="29"/>
      <c r="F328" s="29"/>
      <c r="G328" s="29"/>
      <c r="H328" s="29">
        <v>1</v>
      </c>
      <c r="I328" s="29"/>
      <c r="J328" s="29"/>
    </row>
    <row r="329" spans="1:10">
      <c r="A329" s="4" t="s">
        <v>3859</v>
      </c>
      <c r="B329" s="29"/>
      <c r="C329" s="29">
        <v>1</v>
      </c>
      <c r="D329" s="29"/>
      <c r="E329" s="29">
        <v>1</v>
      </c>
      <c r="F329" s="29"/>
      <c r="G329" s="29"/>
      <c r="H329" s="29"/>
      <c r="I329" s="29"/>
      <c r="J329" s="29"/>
    </row>
    <row r="330" spans="1:10">
      <c r="A330" s="4" t="s">
        <v>3861</v>
      </c>
      <c r="B330" s="29">
        <v>1</v>
      </c>
      <c r="C330" s="29"/>
      <c r="D330" s="29"/>
      <c r="E330" s="29"/>
      <c r="F330" s="29"/>
      <c r="G330" s="29"/>
      <c r="H330" s="29"/>
      <c r="I330" s="29"/>
      <c r="J330" s="29"/>
    </row>
    <row r="331" spans="1:10">
      <c r="A331" s="4" t="s">
        <v>3863</v>
      </c>
      <c r="B331" s="29">
        <v>1</v>
      </c>
      <c r="C331" s="29"/>
      <c r="D331" s="29">
        <v>1</v>
      </c>
      <c r="E331" s="29"/>
      <c r="F331" s="29"/>
      <c r="G331" s="29"/>
      <c r="H331" s="29"/>
      <c r="I331" s="29"/>
      <c r="J331" s="29"/>
    </row>
    <row r="332" spans="1:10">
      <c r="A332" s="4" t="s">
        <v>3865</v>
      </c>
      <c r="B332" s="29">
        <v>1</v>
      </c>
      <c r="C332" s="29"/>
      <c r="D332" s="29"/>
      <c r="E332" s="29"/>
      <c r="F332" s="29"/>
      <c r="G332" s="29"/>
      <c r="H332" s="29"/>
      <c r="I332" s="29"/>
      <c r="J332" s="29"/>
    </row>
    <row r="333" spans="1:10">
      <c r="A333" s="4">
        <v>8475619150</v>
      </c>
      <c r="B333" s="29">
        <v>1</v>
      </c>
      <c r="C333" s="29"/>
      <c r="D333" s="29"/>
      <c r="E333" s="29"/>
      <c r="F333" s="29"/>
      <c r="G333" s="29"/>
      <c r="H333" s="29"/>
      <c r="I333" s="29"/>
      <c r="J333" s="29"/>
    </row>
    <row r="334" spans="1:10">
      <c r="A334" s="4">
        <v>1220020755048</v>
      </c>
      <c r="B334" s="29">
        <v>1</v>
      </c>
      <c r="C334" s="29"/>
      <c r="D334" s="29"/>
      <c r="E334" s="29"/>
      <c r="F334" s="29"/>
      <c r="G334" s="29"/>
      <c r="H334" s="29"/>
      <c r="I334" s="29"/>
      <c r="J334" s="29"/>
    </row>
    <row r="335" spans="1:10">
      <c r="A335" s="4" t="s">
        <v>3869</v>
      </c>
      <c r="B335" s="29"/>
      <c r="C335" s="29"/>
      <c r="D335" s="29"/>
      <c r="E335" s="29"/>
      <c r="F335" s="29"/>
      <c r="G335" s="29"/>
      <c r="H335" s="29"/>
      <c r="I335" s="29">
        <v>1</v>
      </c>
      <c r="J335" s="29"/>
    </row>
    <row r="336" spans="1:10">
      <c r="A336" s="4" t="s">
        <v>3870</v>
      </c>
      <c r="B336" s="29"/>
      <c r="C336" s="29"/>
      <c r="D336" s="29"/>
      <c r="E336" s="29"/>
      <c r="F336" s="29">
        <v>1</v>
      </c>
      <c r="G336" s="29"/>
      <c r="H336" s="29"/>
      <c r="I336" s="29"/>
      <c r="J336" s="29"/>
    </row>
    <row r="337" spans="1:10">
      <c r="A337" s="4" t="s">
        <v>3873</v>
      </c>
      <c r="B337" s="29"/>
      <c r="C337" s="29"/>
      <c r="D337" s="29">
        <v>1</v>
      </c>
      <c r="E337" s="29">
        <v>1</v>
      </c>
      <c r="F337" s="29"/>
      <c r="G337" s="29"/>
      <c r="H337" s="29"/>
      <c r="I337" s="29"/>
      <c r="J337" s="29"/>
    </row>
    <row r="338" spans="1:10">
      <c r="A338" s="4" t="s">
        <v>3875</v>
      </c>
      <c r="B338" s="29"/>
      <c r="C338" s="29">
        <v>1</v>
      </c>
      <c r="D338" s="29"/>
      <c r="E338" s="29">
        <v>1</v>
      </c>
      <c r="F338" s="29"/>
      <c r="G338" s="29"/>
      <c r="H338" s="29"/>
      <c r="I338" s="29"/>
      <c r="J338" s="29"/>
    </row>
    <row r="339" spans="1:10">
      <c r="A339" s="4" t="s">
        <v>3877</v>
      </c>
      <c r="B339" s="29"/>
      <c r="C339" s="29"/>
      <c r="D339" s="29"/>
      <c r="E339" s="29">
        <v>1</v>
      </c>
      <c r="F339" s="29"/>
      <c r="G339" s="29"/>
      <c r="H339" s="29"/>
      <c r="I339" s="29"/>
      <c r="J339" s="29"/>
    </row>
    <row r="340" spans="1:10">
      <c r="A340" s="4" t="s">
        <v>3878</v>
      </c>
      <c r="B340" s="29"/>
      <c r="C340" s="29"/>
      <c r="D340" s="29"/>
      <c r="E340" s="29">
        <v>1</v>
      </c>
      <c r="F340" s="29"/>
      <c r="G340" s="29"/>
      <c r="H340" s="29"/>
      <c r="I340" s="29"/>
      <c r="J340" s="29"/>
    </row>
    <row r="341" spans="1:10">
      <c r="A341" s="4" t="s">
        <v>3880</v>
      </c>
      <c r="B341" s="29"/>
      <c r="C341" s="29"/>
      <c r="D341" s="29">
        <v>1</v>
      </c>
      <c r="E341" s="29"/>
      <c r="F341" s="29"/>
      <c r="G341" s="29"/>
      <c r="H341" s="29"/>
      <c r="I341" s="29"/>
      <c r="J341" s="29"/>
    </row>
    <row r="342" spans="1:10">
      <c r="A342" s="4" t="s">
        <v>2649</v>
      </c>
      <c r="B342" s="29"/>
      <c r="C342" s="29">
        <v>2</v>
      </c>
      <c r="D342" s="29"/>
      <c r="E342" s="29"/>
      <c r="F342" s="29"/>
      <c r="G342" s="29"/>
      <c r="H342" s="29"/>
      <c r="I342" s="29"/>
      <c r="J342" s="29"/>
    </row>
    <row r="343" spans="1:10">
      <c r="A343" s="4" t="s">
        <v>3882</v>
      </c>
      <c r="B343" s="29"/>
      <c r="C343" s="29">
        <v>1</v>
      </c>
      <c r="D343" s="29"/>
      <c r="E343" s="29"/>
      <c r="F343" s="29"/>
      <c r="G343" s="29"/>
      <c r="H343" s="29"/>
      <c r="I343" s="29"/>
      <c r="J343" s="29"/>
    </row>
    <row r="344" spans="1:10">
      <c r="A344" s="4" t="s">
        <v>3884</v>
      </c>
      <c r="B344" s="29"/>
      <c r="C344" s="29"/>
      <c r="D344" s="29">
        <v>1</v>
      </c>
      <c r="E344" s="29">
        <v>1</v>
      </c>
      <c r="F344" s="29"/>
      <c r="G344" s="29"/>
      <c r="H344" s="29"/>
      <c r="I344" s="29"/>
      <c r="J344" s="29"/>
    </row>
    <row r="345" spans="1:10">
      <c r="A345" s="4" t="s">
        <v>3885</v>
      </c>
      <c r="B345" s="29">
        <v>1</v>
      </c>
      <c r="C345" s="29">
        <v>1</v>
      </c>
      <c r="D345" s="29">
        <v>1</v>
      </c>
      <c r="E345" s="29"/>
      <c r="F345" s="29"/>
      <c r="G345" s="29"/>
      <c r="H345" s="29"/>
      <c r="I345" s="29"/>
      <c r="J345" s="29"/>
    </row>
    <row r="346" spans="1:10">
      <c r="A346" s="4" t="s">
        <v>3886</v>
      </c>
      <c r="B346" s="29"/>
      <c r="C346" s="29"/>
      <c r="D346" s="29"/>
      <c r="E346" s="29"/>
      <c r="F346" s="29"/>
      <c r="G346" s="29"/>
      <c r="H346" s="29">
        <v>1</v>
      </c>
      <c r="I346" s="29"/>
      <c r="J346" s="29"/>
    </row>
    <row r="347" spans="1:10">
      <c r="A347" s="4" t="s">
        <v>3887</v>
      </c>
      <c r="B347" s="29">
        <v>1</v>
      </c>
      <c r="C347" s="29"/>
      <c r="D347" s="29">
        <v>3</v>
      </c>
      <c r="E347" s="29"/>
      <c r="F347" s="29"/>
      <c r="G347" s="29"/>
      <c r="H347" s="29"/>
      <c r="I347" s="29"/>
      <c r="J347" s="29">
        <v>1</v>
      </c>
    </row>
    <row r="348" spans="1:10">
      <c r="A348" s="4" t="s">
        <v>3888</v>
      </c>
      <c r="B348" s="29"/>
      <c r="C348" s="29"/>
      <c r="D348" s="29"/>
      <c r="E348" s="29"/>
      <c r="F348" s="29">
        <v>2</v>
      </c>
      <c r="G348" s="29"/>
      <c r="H348" s="29"/>
      <c r="I348" s="29"/>
      <c r="J348" s="29"/>
    </row>
    <row r="349" spans="1:10">
      <c r="A349" s="4" t="s">
        <v>3889</v>
      </c>
      <c r="B349" s="29"/>
      <c r="C349" s="29"/>
      <c r="D349" s="29"/>
      <c r="E349" s="29">
        <v>1</v>
      </c>
      <c r="F349" s="29"/>
      <c r="G349" s="29"/>
      <c r="H349" s="29"/>
      <c r="I349" s="29"/>
      <c r="J349" s="29"/>
    </row>
    <row r="350" spans="1:10">
      <c r="A350" s="4" t="s">
        <v>3891</v>
      </c>
      <c r="B350" s="29"/>
      <c r="C350" s="29"/>
      <c r="D350" s="29"/>
      <c r="E350" s="29">
        <v>1</v>
      </c>
      <c r="F350" s="29"/>
      <c r="G350" s="29"/>
      <c r="H350" s="29"/>
      <c r="I350" s="29">
        <v>1</v>
      </c>
      <c r="J350" s="29"/>
    </row>
    <row r="351" spans="1:10">
      <c r="A351" s="4" t="s">
        <v>3892</v>
      </c>
      <c r="B351" s="29"/>
      <c r="C351" s="29"/>
      <c r="D351" s="29"/>
      <c r="E351" s="29">
        <v>1</v>
      </c>
      <c r="F351" s="29"/>
      <c r="G351" s="29"/>
      <c r="H351" s="29"/>
      <c r="I351" s="29"/>
      <c r="J351" s="29"/>
    </row>
    <row r="352" spans="1:10">
      <c r="A352" s="4" t="s">
        <v>1479</v>
      </c>
      <c r="B352" s="29">
        <v>1</v>
      </c>
      <c r="C352" s="29"/>
      <c r="D352" s="29"/>
      <c r="E352" s="29"/>
      <c r="F352" s="29"/>
      <c r="G352" s="29"/>
      <c r="H352" s="29"/>
      <c r="I352" s="29"/>
      <c r="J352" s="29"/>
    </row>
    <row r="353" spans="1:10">
      <c r="A353" s="4" t="s">
        <v>3894</v>
      </c>
      <c r="B353" s="29"/>
      <c r="C353" s="29"/>
      <c r="D353" s="29">
        <v>1</v>
      </c>
      <c r="E353" s="29"/>
      <c r="F353" s="29">
        <v>1</v>
      </c>
      <c r="G353" s="29"/>
      <c r="H353" s="29"/>
      <c r="I353" s="29"/>
      <c r="J353" s="29"/>
    </row>
    <row r="354" spans="1:10">
      <c r="A354" s="4" t="s">
        <v>3895</v>
      </c>
      <c r="B354" s="29"/>
      <c r="C354" s="29"/>
      <c r="D354" s="29"/>
      <c r="E354" s="29">
        <v>1</v>
      </c>
      <c r="F354" s="29"/>
      <c r="G354" s="29"/>
      <c r="H354" s="29"/>
      <c r="I354" s="29"/>
      <c r="J354" s="29"/>
    </row>
    <row r="355" spans="1:10">
      <c r="A355" s="4" t="s">
        <v>3897</v>
      </c>
      <c r="B355" s="29"/>
      <c r="C355" s="29">
        <v>1</v>
      </c>
      <c r="D355" s="29"/>
      <c r="E355" s="29"/>
      <c r="F355" s="29"/>
      <c r="G355" s="29"/>
      <c r="H355" s="29"/>
      <c r="I355" s="29"/>
      <c r="J355" s="29"/>
    </row>
    <row r="356" spans="1:10">
      <c r="A356" s="4" t="s">
        <v>735</v>
      </c>
      <c r="B356" s="29">
        <v>1</v>
      </c>
      <c r="C356" s="29">
        <v>2</v>
      </c>
      <c r="D356" s="29">
        <v>1</v>
      </c>
      <c r="E356" s="29">
        <v>1</v>
      </c>
      <c r="F356" s="29"/>
      <c r="G356" s="29">
        <v>1</v>
      </c>
      <c r="H356" s="29"/>
      <c r="I356" s="29"/>
      <c r="J356" s="29"/>
    </row>
    <row r="357" spans="1:10">
      <c r="A357" s="4" t="s">
        <v>1591</v>
      </c>
      <c r="B357" s="29"/>
      <c r="C357" s="29">
        <v>1</v>
      </c>
      <c r="D357" s="29"/>
      <c r="E357" s="29"/>
      <c r="F357" s="29"/>
      <c r="G357" s="29"/>
      <c r="H357" s="29"/>
      <c r="I357" s="29"/>
      <c r="J357" s="29"/>
    </row>
    <row r="358" spans="1:10">
      <c r="A358" s="4" t="s">
        <v>3899</v>
      </c>
      <c r="B358" s="29"/>
      <c r="C358" s="29"/>
      <c r="D358" s="29">
        <v>1</v>
      </c>
      <c r="E358" s="29"/>
      <c r="F358" s="29"/>
      <c r="G358" s="29"/>
      <c r="H358" s="29"/>
      <c r="I358" s="29"/>
      <c r="J358" s="29"/>
    </row>
    <row r="359" spans="1:10">
      <c r="A359" s="4">
        <v>8175203050</v>
      </c>
      <c r="B359" s="29">
        <v>1</v>
      </c>
      <c r="C359" s="29"/>
      <c r="D359" s="29"/>
      <c r="E359" s="29"/>
      <c r="F359" s="29"/>
      <c r="G359" s="29"/>
      <c r="H359" s="29"/>
      <c r="I359" s="29"/>
      <c r="J359" s="29"/>
    </row>
    <row r="360" spans="1:10">
      <c r="A360" s="4" t="s">
        <v>3901</v>
      </c>
      <c r="B360" s="29">
        <v>1</v>
      </c>
      <c r="C360" s="29"/>
      <c r="D360" s="29"/>
      <c r="E360" s="29"/>
      <c r="F360" s="29"/>
      <c r="G360" s="29"/>
      <c r="H360" s="29"/>
      <c r="I360" s="29"/>
      <c r="J360" s="29"/>
    </row>
    <row r="361" spans="1:10">
      <c r="A361" s="4" t="s">
        <v>3902</v>
      </c>
      <c r="B361" s="29"/>
      <c r="C361" s="29"/>
      <c r="D361" s="29">
        <v>1</v>
      </c>
      <c r="E361" s="29"/>
      <c r="F361" s="29"/>
      <c r="G361" s="29"/>
      <c r="H361" s="29"/>
      <c r="I361" s="29"/>
      <c r="J361" s="29"/>
    </row>
    <row r="362" spans="1:10">
      <c r="A362" s="4" t="s">
        <v>3903</v>
      </c>
      <c r="B362" s="29">
        <v>1</v>
      </c>
      <c r="C362" s="29"/>
      <c r="D362" s="29"/>
      <c r="E362" s="29"/>
      <c r="F362" s="29"/>
      <c r="G362" s="29"/>
      <c r="H362" s="29"/>
      <c r="I362" s="29"/>
      <c r="J362" s="29"/>
    </row>
    <row r="363" spans="1:10">
      <c r="A363" s="4" t="s">
        <v>3731</v>
      </c>
      <c r="B363" s="29">
        <v>1</v>
      </c>
      <c r="C363" s="29"/>
      <c r="D363" s="29"/>
      <c r="E363" s="29"/>
      <c r="F363" s="29"/>
      <c r="G363" s="29"/>
      <c r="H363" s="29"/>
      <c r="I363" s="29"/>
      <c r="J363" s="29"/>
    </row>
    <row r="364" spans="1:10">
      <c r="A364" s="4" t="s">
        <v>2736</v>
      </c>
      <c r="B364" s="29"/>
      <c r="C364" s="29"/>
      <c r="D364" s="29"/>
      <c r="E364" s="29"/>
      <c r="F364" s="29"/>
      <c r="G364" s="29">
        <v>1</v>
      </c>
      <c r="H364" s="29"/>
      <c r="I364" s="29"/>
      <c r="J364" s="29"/>
    </row>
    <row r="365" spans="1:10">
      <c r="A365" s="4" t="s">
        <v>3907</v>
      </c>
      <c r="B365" s="29"/>
      <c r="C365" s="29">
        <v>1</v>
      </c>
      <c r="D365" s="29"/>
      <c r="E365" s="29"/>
      <c r="F365" s="29"/>
      <c r="G365" s="29"/>
      <c r="H365" s="29"/>
      <c r="I365" s="29"/>
      <c r="J365" s="29"/>
    </row>
    <row r="366" spans="1:10">
      <c r="A366" s="4" t="s">
        <v>3909</v>
      </c>
      <c r="B366" s="29">
        <v>1</v>
      </c>
      <c r="C366" s="29"/>
      <c r="D366" s="29"/>
      <c r="E366" s="29"/>
      <c r="F366" s="29"/>
      <c r="G366" s="29"/>
      <c r="H366" s="29"/>
      <c r="I366" s="29"/>
      <c r="J366" s="29"/>
    </row>
    <row r="367" spans="1:10">
      <c r="A367" s="4" t="s">
        <v>3257</v>
      </c>
      <c r="B367" s="29">
        <v>1</v>
      </c>
      <c r="C367" s="29"/>
      <c r="D367" s="29"/>
      <c r="E367" s="29"/>
      <c r="F367" s="29"/>
      <c r="G367" s="29"/>
      <c r="H367" s="29"/>
      <c r="I367" s="29"/>
      <c r="J367" s="29"/>
    </row>
    <row r="368" spans="1:10">
      <c r="A368" s="4" t="s">
        <v>3910</v>
      </c>
      <c r="B368" s="29">
        <v>1</v>
      </c>
      <c r="C368" s="29"/>
      <c r="D368" s="29"/>
      <c r="E368" s="29"/>
      <c r="F368" s="29"/>
      <c r="G368" s="29"/>
      <c r="H368" s="29"/>
      <c r="I368" s="29"/>
      <c r="J368" s="29"/>
    </row>
    <row r="369" spans="1:10">
      <c r="A369" s="4" t="s">
        <v>3911</v>
      </c>
      <c r="B369" s="29">
        <v>1</v>
      </c>
      <c r="C369" s="29"/>
      <c r="D369" s="29"/>
      <c r="E369" s="29"/>
      <c r="F369" s="29"/>
      <c r="G369" s="29"/>
      <c r="H369" s="29"/>
      <c r="I369" s="29"/>
      <c r="J369" s="29"/>
    </row>
    <row r="370" spans="1:10">
      <c r="A370" s="4" t="s">
        <v>348</v>
      </c>
      <c r="B370" s="29">
        <v>1</v>
      </c>
      <c r="C370" s="29"/>
      <c r="D370" s="29"/>
      <c r="E370" s="29"/>
      <c r="F370" s="29"/>
      <c r="G370" s="29"/>
      <c r="H370" s="29"/>
      <c r="I370" s="29"/>
      <c r="J370" s="29"/>
    </row>
    <row r="371" spans="1:10">
      <c r="A371" s="4" t="s">
        <v>2194</v>
      </c>
      <c r="B371" s="29"/>
      <c r="C371" s="29"/>
      <c r="D371" s="29">
        <v>1</v>
      </c>
      <c r="E371" s="29"/>
      <c r="F371" s="29"/>
      <c r="G371" s="29"/>
      <c r="H371" s="29"/>
      <c r="I371" s="29"/>
      <c r="J371" s="29"/>
    </row>
    <row r="372" spans="1:10">
      <c r="A372" s="4" t="s">
        <v>3912</v>
      </c>
      <c r="B372" s="29">
        <v>1</v>
      </c>
      <c r="C372" s="29"/>
      <c r="D372" s="29"/>
      <c r="E372" s="29"/>
      <c r="F372" s="29"/>
      <c r="G372" s="29"/>
      <c r="H372" s="29"/>
      <c r="I372" s="29"/>
      <c r="J372" s="29"/>
    </row>
    <row r="373" spans="1:10">
      <c r="A373" s="4" t="s">
        <v>3914</v>
      </c>
      <c r="B373" s="29">
        <v>1</v>
      </c>
      <c r="C373" s="29"/>
      <c r="D373" s="29"/>
      <c r="E373" s="29"/>
      <c r="F373" s="29"/>
      <c r="G373" s="29"/>
      <c r="H373" s="29"/>
      <c r="I373" s="29"/>
      <c r="J373" s="29"/>
    </row>
    <row r="374" spans="1:10">
      <c r="A374" s="4" t="s">
        <v>3536</v>
      </c>
      <c r="B374" s="29">
        <v>1</v>
      </c>
      <c r="C374" s="29">
        <v>1</v>
      </c>
      <c r="D374" s="29">
        <v>1</v>
      </c>
      <c r="E374" s="29"/>
      <c r="F374" s="29"/>
      <c r="G374" s="29"/>
      <c r="H374" s="29"/>
      <c r="I374" s="29"/>
      <c r="J374" s="29">
        <v>1</v>
      </c>
    </row>
    <row r="375" spans="1:10">
      <c r="A375" s="4" t="s">
        <v>3916</v>
      </c>
      <c r="B375" s="29"/>
      <c r="C375" s="29">
        <v>1</v>
      </c>
      <c r="D375" s="29"/>
      <c r="E375" s="29"/>
      <c r="F375" s="29"/>
      <c r="G375" s="29"/>
      <c r="H375" s="29"/>
      <c r="I375" s="29"/>
      <c r="J375" s="29"/>
    </row>
    <row r="376" spans="1:10">
      <c r="A376" s="4" t="s">
        <v>3917</v>
      </c>
      <c r="B376" s="29"/>
      <c r="C376" s="29"/>
      <c r="D376" s="29"/>
      <c r="E376" s="29">
        <v>1</v>
      </c>
      <c r="F376" s="29"/>
      <c r="G376" s="29"/>
      <c r="H376" s="29"/>
      <c r="I376" s="29"/>
      <c r="J376" s="29"/>
    </row>
    <row r="377" spans="1:10">
      <c r="A377" s="4" t="s">
        <v>3919</v>
      </c>
      <c r="B377" s="29"/>
      <c r="C377" s="29"/>
      <c r="D377" s="29"/>
      <c r="E377" s="29">
        <v>1</v>
      </c>
      <c r="F377" s="29"/>
      <c r="G377" s="29"/>
      <c r="H377" s="29"/>
      <c r="I377" s="29"/>
      <c r="J377" s="29"/>
    </row>
    <row r="378" spans="1:10">
      <c r="A378" s="4" t="s">
        <v>2715</v>
      </c>
      <c r="B378" s="29"/>
      <c r="C378" s="29"/>
      <c r="D378" s="29">
        <v>1</v>
      </c>
      <c r="E378" s="29">
        <v>2</v>
      </c>
      <c r="F378" s="29"/>
      <c r="G378" s="29"/>
      <c r="H378" s="29"/>
      <c r="I378" s="29"/>
      <c r="J378" s="29"/>
    </row>
    <row r="379" spans="1:10">
      <c r="A379" s="4" t="s">
        <v>3921</v>
      </c>
      <c r="B379" s="29"/>
      <c r="C379" s="29"/>
      <c r="D379" s="29">
        <v>1</v>
      </c>
      <c r="E379" s="29">
        <v>1</v>
      </c>
      <c r="F379" s="29"/>
      <c r="G379" s="29"/>
      <c r="H379" s="29"/>
      <c r="I379" s="29"/>
      <c r="J379" s="29"/>
    </row>
    <row r="380" spans="1:10">
      <c r="A380" s="4" t="s">
        <v>2017</v>
      </c>
      <c r="B380" s="29"/>
      <c r="C380" s="29"/>
      <c r="D380" s="29"/>
      <c r="E380" s="29">
        <v>1</v>
      </c>
      <c r="F380" s="29"/>
      <c r="G380" s="29"/>
      <c r="H380" s="29"/>
      <c r="I380" s="29"/>
      <c r="J380" s="29"/>
    </row>
    <row r="381" spans="1:10">
      <c r="A381" s="4" t="s">
        <v>3922</v>
      </c>
      <c r="B381" s="29"/>
      <c r="C381" s="29"/>
      <c r="D381" s="29"/>
      <c r="E381" s="29">
        <v>1</v>
      </c>
      <c r="F381" s="29"/>
      <c r="G381" s="29"/>
      <c r="H381" s="29"/>
      <c r="I381" s="29"/>
      <c r="J381" s="29"/>
    </row>
    <row r="382" spans="1:10">
      <c r="A382" s="4" t="s">
        <v>3923</v>
      </c>
      <c r="B382" s="29"/>
      <c r="C382" s="29"/>
      <c r="D382" s="29"/>
      <c r="E382" s="29"/>
      <c r="F382" s="29"/>
      <c r="G382" s="29"/>
      <c r="H382" s="29"/>
      <c r="I382" s="29"/>
      <c r="J382" s="29">
        <v>1</v>
      </c>
    </row>
    <row r="383" spans="1:10">
      <c r="A383" s="4" t="s">
        <v>3924</v>
      </c>
      <c r="B383" s="29"/>
      <c r="C383" s="29"/>
      <c r="D383" s="29"/>
      <c r="E383" s="29">
        <v>1</v>
      </c>
      <c r="F383" s="29"/>
      <c r="G383" s="29"/>
      <c r="H383" s="29"/>
      <c r="I383" s="29"/>
      <c r="J383" s="29"/>
    </row>
    <row r="384" spans="1:10">
      <c r="A384" s="4" t="s">
        <v>2626</v>
      </c>
      <c r="B384" s="29"/>
      <c r="C384" s="29"/>
      <c r="D384" s="29"/>
      <c r="E384" s="29">
        <v>2</v>
      </c>
      <c r="F384" s="29"/>
      <c r="G384" s="29"/>
      <c r="H384" s="29"/>
      <c r="I384" s="29"/>
      <c r="J384" s="29"/>
    </row>
    <row r="385" spans="1:10">
      <c r="A385" s="4" t="s">
        <v>3925</v>
      </c>
      <c r="B385" s="29"/>
      <c r="C385" s="29"/>
      <c r="D385" s="29"/>
      <c r="E385" s="29">
        <v>1</v>
      </c>
      <c r="F385" s="29"/>
      <c r="G385" s="29"/>
      <c r="H385" s="29"/>
      <c r="I385" s="29"/>
      <c r="J385" s="29"/>
    </row>
    <row r="386" spans="1:10">
      <c r="A386" s="4" t="s">
        <v>3927</v>
      </c>
      <c r="B386" s="29"/>
      <c r="C386" s="29"/>
      <c r="D386" s="29">
        <v>1</v>
      </c>
      <c r="E386" s="29"/>
      <c r="F386" s="29"/>
      <c r="G386" s="29"/>
      <c r="H386" s="29"/>
      <c r="I386" s="29"/>
      <c r="J386" s="29"/>
    </row>
    <row r="387" spans="1:10">
      <c r="A387" s="4" t="s">
        <v>601</v>
      </c>
      <c r="B387" s="29"/>
      <c r="C387" s="29"/>
      <c r="D387" s="29">
        <v>1</v>
      </c>
      <c r="E387" s="29"/>
      <c r="F387" s="29"/>
      <c r="G387" s="29"/>
      <c r="H387" s="29"/>
      <c r="I387" s="29"/>
      <c r="J387" s="29"/>
    </row>
    <row r="388" spans="1:10">
      <c r="A388" s="4" t="s">
        <v>3928</v>
      </c>
      <c r="B388" s="29"/>
      <c r="C388" s="29"/>
      <c r="D388" s="29">
        <v>1</v>
      </c>
      <c r="E388" s="29"/>
      <c r="F388" s="29"/>
      <c r="G388" s="29"/>
      <c r="H388" s="29"/>
      <c r="I388" s="29"/>
      <c r="J388" s="29"/>
    </row>
    <row r="389" spans="1:10">
      <c r="A389" s="4" t="s">
        <v>3929</v>
      </c>
      <c r="B389" s="29">
        <v>1</v>
      </c>
      <c r="C389" s="29"/>
      <c r="D389" s="29"/>
      <c r="E389" s="29"/>
      <c r="F389" s="29"/>
      <c r="G389" s="29"/>
      <c r="H389" s="29"/>
      <c r="I389" s="29"/>
      <c r="J389" s="29"/>
    </row>
    <row r="390" spans="1:10">
      <c r="A390" s="4" t="s">
        <v>3930</v>
      </c>
      <c r="B390" s="29">
        <v>1</v>
      </c>
      <c r="C390" s="29"/>
      <c r="D390" s="29"/>
      <c r="E390" s="29"/>
      <c r="F390" s="29"/>
      <c r="G390" s="29"/>
      <c r="H390" s="29"/>
      <c r="I390" s="29"/>
      <c r="J390" s="29"/>
    </row>
    <row r="391" spans="1:10">
      <c r="A391" s="4" t="s">
        <v>3932</v>
      </c>
      <c r="B391" s="29"/>
      <c r="C391" s="29"/>
      <c r="D391" s="29">
        <v>1</v>
      </c>
      <c r="E391" s="29"/>
      <c r="F391" s="29"/>
      <c r="G391" s="29"/>
      <c r="H391" s="29"/>
      <c r="I391" s="29"/>
      <c r="J391" s="29"/>
    </row>
    <row r="392" spans="1:10">
      <c r="A392" s="4" t="s">
        <v>1877</v>
      </c>
      <c r="B392" s="29"/>
      <c r="C392" s="29"/>
      <c r="D392" s="29"/>
      <c r="E392" s="29"/>
      <c r="F392" s="29"/>
      <c r="G392" s="29"/>
      <c r="H392" s="29"/>
      <c r="I392" s="29">
        <v>1</v>
      </c>
      <c r="J392" s="29"/>
    </row>
    <row r="393" spans="1:10">
      <c r="A393" s="4" t="s">
        <v>648</v>
      </c>
      <c r="B393" s="29"/>
      <c r="C393" s="29"/>
      <c r="D393" s="29"/>
      <c r="E393" s="29">
        <v>1</v>
      </c>
      <c r="F393" s="29"/>
      <c r="G393" s="29"/>
      <c r="H393" s="29"/>
      <c r="I393" s="29"/>
      <c r="J393" s="29"/>
    </row>
    <row r="394" spans="1:10">
      <c r="A394" s="4" t="s">
        <v>3934</v>
      </c>
      <c r="B394" s="29"/>
      <c r="C394" s="29"/>
      <c r="D394" s="29"/>
      <c r="E394" s="29">
        <v>1</v>
      </c>
      <c r="F394" s="29"/>
      <c r="G394" s="29"/>
      <c r="H394" s="29"/>
      <c r="I394" s="29"/>
      <c r="J394" s="29"/>
    </row>
    <row r="395" spans="1:10">
      <c r="A395" s="4">
        <v>8118811844</v>
      </c>
      <c r="B395" s="29"/>
      <c r="C395" s="29"/>
      <c r="D395" s="29"/>
      <c r="E395" s="29">
        <v>1</v>
      </c>
      <c r="F395" s="29"/>
      <c r="G395" s="29"/>
      <c r="H395" s="29"/>
      <c r="I395" s="29"/>
      <c r="J395" s="29"/>
    </row>
    <row r="396" spans="1:10">
      <c r="A396" s="4" t="s">
        <v>2011</v>
      </c>
      <c r="B396" s="29"/>
      <c r="C396" s="29"/>
      <c r="D396" s="29"/>
      <c r="E396" s="29">
        <v>1</v>
      </c>
      <c r="F396" s="29"/>
      <c r="G396" s="29"/>
      <c r="H396" s="29"/>
      <c r="I396" s="29"/>
      <c r="J396" s="29"/>
    </row>
    <row r="397" spans="1:10">
      <c r="A397" s="4" t="s">
        <v>3936</v>
      </c>
      <c r="B397" s="29">
        <v>1</v>
      </c>
      <c r="C397" s="29"/>
      <c r="D397" s="29"/>
      <c r="E397" s="29"/>
      <c r="F397" s="29"/>
      <c r="G397" s="29"/>
      <c r="H397" s="29"/>
      <c r="I397" s="29"/>
      <c r="J397" s="29"/>
    </row>
    <row r="398" spans="1:10">
      <c r="A398" s="4" t="s">
        <v>3937</v>
      </c>
      <c r="B398" s="29">
        <v>1</v>
      </c>
      <c r="C398" s="29"/>
      <c r="D398" s="29"/>
      <c r="E398" s="29"/>
      <c r="F398" s="29"/>
      <c r="G398" s="29"/>
      <c r="H398" s="29"/>
      <c r="I398" s="29"/>
      <c r="J398" s="29"/>
    </row>
    <row r="399" spans="1:10">
      <c r="A399" s="4" t="s">
        <v>3939</v>
      </c>
      <c r="B399" s="29"/>
      <c r="C399" s="29"/>
      <c r="D399" s="29"/>
      <c r="E399" s="29">
        <v>1</v>
      </c>
      <c r="F399" s="29"/>
      <c r="G399" s="29"/>
      <c r="H399" s="29"/>
      <c r="I399" s="29"/>
      <c r="J399" s="29"/>
    </row>
    <row r="400" spans="1:10">
      <c r="A400" s="4" t="s">
        <v>3940</v>
      </c>
      <c r="B400" s="29"/>
      <c r="C400" s="29"/>
      <c r="D400" s="29"/>
      <c r="E400" s="29">
        <v>1</v>
      </c>
      <c r="F400" s="29"/>
      <c r="G400" s="29"/>
      <c r="H400" s="29"/>
      <c r="I400" s="29"/>
      <c r="J400" s="29"/>
    </row>
    <row r="401" spans="1:10">
      <c r="A401" s="4" t="s">
        <v>3941</v>
      </c>
      <c r="B401" s="29"/>
      <c r="C401" s="29"/>
      <c r="D401" s="29"/>
      <c r="E401" s="29">
        <v>1</v>
      </c>
      <c r="F401" s="29"/>
      <c r="G401" s="29"/>
      <c r="H401" s="29"/>
      <c r="I401" s="29"/>
      <c r="J401" s="29"/>
    </row>
    <row r="402" spans="1:10">
      <c r="A402" s="4" t="s">
        <v>3942</v>
      </c>
      <c r="B402" s="29"/>
      <c r="C402" s="29"/>
      <c r="D402" s="29"/>
      <c r="E402" s="29">
        <v>1</v>
      </c>
      <c r="F402" s="29"/>
      <c r="G402" s="29"/>
      <c r="H402" s="29"/>
      <c r="I402" s="29"/>
      <c r="J402" s="29"/>
    </row>
    <row r="403" spans="1:10">
      <c r="A403" s="4" t="s">
        <v>3944</v>
      </c>
      <c r="B403" s="29"/>
      <c r="C403" s="29"/>
      <c r="D403" s="29">
        <v>1</v>
      </c>
      <c r="E403" s="29"/>
      <c r="F403" s="29"/>
      <c r="G403" s="29"/>
      <c r="H403" s="29"/>
      <c r="I403" s="29"/>
      <c r="J403" s="29"/>
    </row>
    <row r="404" spans="1:10">
      <c r="A404" s="4" t="s">
        <v>3947</v>
      </c>
      <c r="B404" s="29"/>
      <c r="C404" s="29"/>
      <c r="D404" s="29">
        <v>1</v>
      </c>
      <c r="E404" s="29"/>
      <c r="F404" s="29"/>
      <c r="G404" s="29"/>
      <c r="H404" s="29"/>
      <c r="I404" s="29"/>
      <c r="J404" s="29"/>
    </row>
    <row r="405" spans="1:10">
      <c r="A405" s="4" t="s">
        <v>3949</v>
      </c>
      <c r="B405" s="29">
        <v>1</v>
      </c>
      <c r="C405" s="29"/>
      <c r="D405" s="29"/>
      <c r="E405" s="29"/>
      <c r="F405" s="29"/>
      <c r="G405" s="29"/>
      <c r="H405" s="29"/>
      <c r="I405" s="29"/>
      <c r="J405" s="29"/>
    </row>
    <row r="406" spans="1:10">
      <c r="A406" s="4" t="s">
        <v>3950</v>
      </c>
      <c r="B406" s="29"/>
      <c r="C406" s="29"/>
      <c r="D406" s="29"/>
      <c r="E406" s="29"/>
      <c r="F406" s="29"/>
      <c r="G406" s="29"/>
      <c r="H406" s="29">
        <v>1</v>
      </c>
      <c r="I406" s="29"/>
      <c r="J406" s="29"/>
    </row>
    <row r="407" spans="1:10">
      <c r="A407" s="4" t="s">
        <v>3951</v>
      </c>
      <c r="B407" s="29"/>
      <c r="C407" s="29"/>
      <c r="D407" s="29">
        <v>1</v>
      </c>
      <c r="E407" s="29"/>
      <c r="F407" s="29"/>
      <c r="G407" s="29"/>
      <c r="H407" s="29"/>
      <c r="I407" s="29"/>
      <c r="J407" s="29"/>
    </row>
    <row r="408" spans="1:10">
      <c r="A408" s="4" t="s">
        <v>3952</v>
      </c>
      <c r="B408" s="29">
        <v>1</v>
      </c>
      <c r="C408" s="29"/>
      <c r="D408" s="29"/>
      <c r="E408" s="29">
        <v>1</v>
      </c>
      <c r="F408" s="29"/>
      <c r="G408" s="29"/>
      <c r="H408" s="29"/>
      <c r="I408" s="29">
        <v>1</v>
      </c>
      <c r="J408" s="29"/>
    </row>
    <row r="409" spans="1:10">
      <c r="A409" s="4" t="s">
        <v>3953</v>
      </c>
      <c r="B409" s="29"/>
      <c r="C409" s="29"/>
      <c r="D409" s="29"/>
      <c r="E409" s="29"/>
      <c r="F409" s="29"/>
      <c r="G409" s="29">
        <v>1</v>
      </c>
      <c r="H409" s="29"/>
      <c r="I409" s="29"/>
      <c r="J409" s="29"/>
    </row>
    <row r="410" spans="1:10">
      <c r="A410" s="4" t="s">
        <v>3954</v>
      </c>
      <c r="B410" s="29"/>
      <c r="C410" s="29"/>
      <c r="D410" s="29"/>
      <c r="E410" s="29"/>
      <c r="F410" s="29"/>
      <c r="G410" s="29"/>
      <c r="H410" s="29">
        <v>1</v>
      </c>
      <c r="I410" s="29"/>
      <c r="J410" s="29"/>
    </row>
    <row r="411" spans="1:10">
      <c r="A411" s="4" t="s">
        <v>3956</v>
      </c>
      <c r="B411" s="29"/>
      <c r="C411" s="29"/>
      <c r="D411" s="29">
        <v>1</v>
      </c>
      <c r="E411" s="29"/>
      <c r="F411" s="29"/>
      <c r="G411" s="29"/>
      <c r="H411" s="29"/>
      <c r="I411" s="29"/>
      <c r="J411" s="29"/>
    </row>
    <row r="412" spans="1:10">
      <c r="A412" s="4" t="s">
        <v>3957</v>
      </c>
      <c r="B412" s="29"/>
      <c r="C412" s="29">
        <v>1</v>
      </c>
      <c r="D412" s="29"/>
      <c r="E412" s="29"/>
      <c r="F412" s="29"/>
      <c r="G412" s="29"/>
      <c r="H412" s="29"/>
      <c r="I412" s="29"/>
      <c r="J412" s="29"/>
    </row>
    <row r="413" spans="1:10">
      <c r="A413" s="4" t="s">
        <v>3958</v>
      </c>
      <c r="B413" s="29"/>
      <c r="C413" s="29">
        <v>1</v>
      </c>
      <c r="D413" s="29"/>
      <c r="E413" s="29"/>
      <c r="F413" s="29"/>
      <c r="G413" s="29"/>
      <c r="H413" s="29"/>
      <c r="I413" s="29"/>
      <c r="J413" s="29"/>
    </row>
    <row r="414" spans="1:10">
      <c r="A414" s="4" t="s">
        <v>3212</v>
      </c>
      <c r="B414" s="29"/>
      <c r="C414" s="29"/>
      <c r="D414" s="29">
        <v>1</v>
      </c>
      <c r="E414" s="29"/>
      <c r="F414" s="29"/>
      <c r="G414" s="29"/>
      <c r="H414" s="29"/>
      <c r="I414" s="29"/>
      <c r="J414" s="29"/>
    </row>
    <row r="415" spans="1:10">
      <c r="A415" s="4" t="s">
        <v>3959</v>
      </c>
      <c r="B415" s="29">
        <v>1</v>
      </c>
      <c r="C415" s="29"/>
      <c r="D415" s="29"/>
      <c r="E415" s="29"/>
      <c r="F415" s="29"/>
      <c r="G415" s="29"/>
      <c r="H415" s="29"/>
      <c r="I415" s="29"/>
      <c r="J415" s="29"/>
    </row>
    <row r="416" spans="1:10">
      <c r="A416" s="4">
        <v>1220019755048</v>
      </c>
      <c r="B416" s="29">
        <v>1</v>
      </c>
      <c r="C416" s="29"/>
      <c r="D416" s="29"/>
      <c r="E416" s="29"/>
      <c r="F416" s="29"/>
      <c r="G416" s="29"/>
      <c r="H416" s="29"/>
      <c r="I416" s="29"/>
      <c r="J416" s="29"/>
    </row>
    <row r="417" spans="1:10">
      <c r="A417" s="4" t="s">
        <v>3215</v>
      </c>
      <c r="B417" s="29"/>
      <c r="C417" s="29"/>
      <c r="D417" s="29"/>
      <c r="E417" s="29"/>
      <c r="F417" s="29">
        <v>1</v>
      </c>
      <c r="G417" s="29"/>
      <c r="H417" s="29"/>
      <c r="I417" s="29"/>
      <c r="J417" s="29"/>
    </row>
    <row r="418" spans="1:10">
      <c r="A418" s="4" t="s">
        <v>3962</v>
      </c>
      <c r="B418" s="29"/>
      <c r="C418" s="29"/>
      <c r="D418" s="29">
        <v>1</v>
      </c>
      <c r="E418" s="29"/>
      <c r="F418" s="29"/>
      <c r="G418" s="29"/>
      <c r="H418" s="29"/>
      <c r="I418" s="29"/>
      <c r="J418" s="29"/>
    </row>
    <row r="419" spans="1:10">
      <c r="A419" s="4" t="s">
        <v>3963</v>
      </c>
      <c r="B419" s="29"/>
      <c r="C419" s="29"/>
      <c r="D419" s="29"/>
      <c r="E419" s="29"/>
      <c r="F419" s="29"/>
      <c r="G419" s="29">
        <v>1</v>
      </c>
      <c r="H419" s="29"/>
      <c r="I419" s="29"/>
      <c r="J419" s="29"/>
    </row>
    <row r="420" spans="1:10">
      <c r="A420" s="4" t="s">
        <v>3964</v>
      </c>
      <c r="B420" s="29"/>
      <c r="C420" s="29"/>
      <c r="D420" s="29">
        <v>1</v>
      </c>
      <c r="E420" s="29"/>
      <c r="F420" s="29"/>
      <c r="G420" s="29"/>
      <c r="H420" s="29"/>
      <c r="I420" s="29"/>
      <c r="J420" s="29"/>
    </row>
    <row r="421" spans="1:10">
      <c r="A421" s="4" t="s">
        <v>3965</v>
      </c>
      <c r="B421" s="29"/>
      <c r="C421" s="29"/>
      <c r="D421" s="29">
        <v>1</v>
      </c>
      <c r="E421" s="29"/>
      <c r="F421" s="29"/>
      <c r="G421" s="29"/>
      <c r="H421" s="29"/>
      <c r="I421" s="29"/>
      <c r="J421" s="29"/>
    </row>
    <row r="422" spans="1:10">
      <c r="A422" s="4">
        <v>8118862546</v>
      </c>
      <c r="B422" s="29"/>
      <c r="C422" s="29"/>
      <c r="D422" s="29"/>
      <c r="E422" s="29"/>
      <c r="F422" s="29"/>
      <c r="G422" s="29"/>
      <c r="H422" s="29"/>
      <c r="I422" s="29">
        <v>1</v>
      </c>
      <c r="J422" s="29"/>
    </row>
    <row r="423" spans="1:10">
      <c r="A423" s="4" t="s">
        <v>3968</v>
      </c>
      <c r="B423" s="29"/>
      <c r="C423" s="29"/>
      <c r="D423" s="29">
        <v>1</v>
      </c>
      <c r="E423" s="29"/>
      <c r="F423" s="29"/>
      <c r="G423" s="29"/>
      <c r="H423" s="29"/>
      <c r="I423" s="29"/>
      <c r="J423" s="29"/>
    </row>
    <row r="424" spans="1:10">
      <c r="A424" s="4" t="s">
        <v>3969</v>
      </c>
      <c r="B424" s="29"/>
      <c r="C424" s="29"/>
      <c r="D424" s="29">
        <v>1</v>
      </c>
      <c r="E424" s="29"/>
      <c r="F424" s="29"/>
      <c r="G424" s="29"/>
      <c r="H424" s="29"/>
      <c r="I424" s="29"/>
      <c r="J424" s="29"/>
    </row>
    <row r="425" spans="1:10">
      <c r="A425" s="4" t="s">
        <v>3970</v>
      </c>
      <c r="B425" s="29"/>
      <c r="C425" s="29"/>
      <c r="D425" s="29"/>
      <c r="E425" s="29"/>
      <c r="F425" s="29"/>
      <c r="G425" s="29">
        <v>1</v>
      </c>
      <c r="H425" s="29"/>
      <c r="I425" s="29"/>
      <c r="J425" s="29"/>
    </row>
    <row r="426" spans="1:10">
      <c r="A426" s="4" t="s">
        <v>2712</v>
      </c>
      <c r="B426" s="29"/>
      <c r="C426" s="29"/>
      <c r="D426" s="29"/>
      <c r="E426" s="29">
        <v>1</v>
      </c>
      <c r="F426" s="29"/>
      <c r="G426" s="29"/>
      <c r="H426" s="29"/>
      <c r="I426" s="29"/>
      <c r="J426" s="29"/>
    </row>
    <row r="427" spans="1:10">
      <c r="A427" s="4" t="s">
        <v>3971</v>
      </c>
      <c r="B427" s="29"/>
      <c r="C427" s="29">
        <v>1</v>
      </c>
      <c r="D427" s="29"/>
      <c r="E427" s="29"/>
      <c r="F427" s="29"/>
      <c r="G427" s="29"/>
      <c r="H427" s="29"/>
      <c r="I427" s="29"/>
      <c r="J427" s="29"/>
    </row>
    <row r="428" spans="1:10">
      <c r="A428" s="4" t="s">
        <v>3972</v>
      </c>
      <c r="B428" s="29"/>
      <c r="C428" s="29">
        <v>1</v>
      </c>
      <c r="D428" s="29"/>
      <c r="E428" s="29"/>
      <c r="F428" s="29"/>
      <c r="G428" s="29"/>
      <c r="H428" s="29"/>
      <c r="I428" s="29"/>
      <c r="J428" s="29"/>
    </row>
    <row r="429" spans="1:10">
      <c r="A429" s="4" t="s">
        <v>3973</v>
      </c>
      <c r="B429" s="29"/>
      <c r="C429" s="29"/>
      <c r="D429" s="29"/>
      <c r="E429" s="29">
        <v>1</v>
      </c>
      <c r="F429" s="29"/>
      <c r="G429" s="29"/>
      <c r="H429" s="29"/>
      <c r="I429" s="29"/>
      <c r="J429" s="29"/>
    </row>
    <row r="430" spans="1:10">
      <c r="A430" s="4" t="s">
        <v>3975</v>
      </c>
      <c r="B430" s="29"/>
      <c r="C430" s="29"/>
      <c r="D430" s="29"/>
      <c r="E430" s="29">
        <v>1</v>
      </c>
      <c r="F430" s="29"/>
      <c r="G430" s="29"/>
      <c r="H430" s="29"/>
      <c r="I430" s="29"/>
      <c r="J430" s="29"/>
    </row>
    <row r="431" spans="1:10">
      <c r="A431" s="4" t="s">
        <v>3976</v>
      </c>
      <c r="B431" s="29"/>
      <c r="C431" s="29"/>
      <c r="D431" s="29">
        <v>2</v>
      </c>
      <c r="E431" s="29"/>
      <c r="F431" s="29"/>
      <c r="G431" s="29"/>
      <c r="H431" s="29"/>
      <c r="I431" s="29"/>
      <c r="J431" s="29"/>
    </row>
    <row r="432" spans="1:10">
      <c r="A432" s="4" t="s">
        <v>3977</v>
      </c>
      <c r="B432" s="29"/>
      <c r="C432" s="29"/>
      <c r="D432" s="29">
        <v>1</v>
      </c>
      <c r="E432" s="29"/>
      <c r="F432" s="29"/>
      <c r="G432" s="29"/>
      <c r="H432" s="29"/>
      <c r="I432" s="29"/>
      <c r="J432" s="29"/>
    </row>
    <row r="433" spans="1:10">
      <c r="A433" s="4">
        <v>8118803046</v>
      </c>
      <c r="B433" s="29"/>
      <c r="C433" s="29"/>
      <c r="D433" s="29"/>
      <c r="E433" s="29"/>
      <c r="F433" s="29"/>
      <c r="G433" s="29"/>
      <c r="H433" s="29">
        <v>1</v>
      </c>
      <c r="I433" s="29"/>
      <c r="J433" s="29"/>
    </row>
    <row r="434" spans="1:10">
      <c r="A434" s="4" t="s">
        <v>649</v>
      </c>
      <c r="B434" s="29"/>
      <c r="C434" s="29"/>
      <c r="D434" s="29">
        <v>1</v>
      </c>
      <c r="E434" s="29"/>
      <c r="F434" s="29"/>
      <c r="G434" s="29"/>
      <c r="H434" s="29"/>
      <c r="I434" s="29"/>
      <c r="J434" s="29"/>
    </row>
    <row r="435" spans="1:10">
      <c r="A435" s="4" t="s">
        <v>3978</v>
      </c>
      <c r="B435" s="29"/>
      <c r="C435" s="29">
        <v>1</v>
      </c>
      <c r="D435" s="29"/>
      <c r="E435" s="29"/>
      <c r="F435" s="29"/>
      <c r="G435" s="29"/>
      <c r="H435" s="29"/>
      <c r="I435" s="29"/>
      <c r="J435" s="29"/>
    </row>
    <row r="436" spans="1:10">
      <c r="A436" s="4" t="s">
        <v>3980</v>
      </c>
      <c r="B436" s="29"/>
      <c r="C436" s="29"/>
      <c r="D436" s="29"/>
      <c r="E436" s="29"/>
      <c r="F436" s="29"/>
      <c r="G436" s="29"/>
      <c r="H436" s="29"/>
      <c r="I436" s="29">
        <v>1</v>
      </c>
      <c r="J436" s="29"/>
    </row>
    <row r="437" spans="1:10">
      <c r="A437" s="4" t="s">
        <v>3981</v>
      </c>
      <c r="B437" s="29"/>
      <c r="C437" s="29"/>
      <c r="D437" s="29">
        <v>1</v>
      </c>
      <c r="E437" s="29"/>
      <c r="F437" s="29"/>
      <c r="G437" s="29"/>
      <c r="H437" s="29"/>
      <c r="I437" s="29"/>
      <c r="J437" s="29"/>
    </row>
    <row r="438" spans="1:10">
      <c r="A438" s="4" t="s">
        <v>3982</v>
      </c>
      <c r="B438" s="29"/>
      <c r="C438" s="29"/>
      <c r="D438" s="29"/>
      <c r="E438" s="29">
        <v>1</v>
      </c>
      <c r="F438" s="29"/>
      <c r="G438" s="29"/>
      <c r="H438" s="29"/>
      <c r="I438" s="29"/>
      <c r="J438" s="29"/>
    </row>
    <row r="439" spans="1:10">
      <c r="A439" s="4" t="s">
        <v>2972</v>
      </c>
      <c r="B439" s="29"/>
      <c r="C439" s="29"/>
      <c r="D439" s="29">
        <v>1</v>
      </c>
      <c r="E439" s="29"/>
      <c r="F439" s="29"/>
      <c r="G439" s="29"/>
      <c r="H439" s="29"/>
      <c r="I439" s="29"/>
      <c r="J439" s="29"/>
    </row>
    <row r="440" spans="1:10">
      <c r="A440" s="4" t="s">
        <v>3983</v>
      </c>
      <c r="B440" s="29"/>
      <c r="C440" s="29"/>
      <c r="D440" s="29"/>
      <c r="E440" s="29"/>
      <c r="F440" s="29"/>
      <c r="G440" s="29"/>
      <c r="H440" s="29">
        <v>1</v>
      </c>
      <c r="I440" s="29"/>
      <c r="J440" s="29"/>
    </row>
    <row r="441" spans="1:10">
      <c r="A441" s="4" t="s">
        <v>3984</v>
      </c>
      <c r="B441" s="29"/>
      <c r="C441" s="29"/>
      <c r="D441" s="29"/>
      <c r="E441" s="29">
        <v>1</v>
      </c>
      <c r="F441" s="29"/>
      <c r="G441" s="29"/>
      <c r="H441" s="29"/>
      <c r="I441" s="29"/>
      <c r="J441" s="29"/>
    </row>
    <row r="442" spans="1:10">
      <c r="A442" s="4" t="s">
        <v>3985</v>
      </c>
      <c r="B442" s="29">
        <v>1</v>
      </c>
      <c r="C442" s="29"/>
      <c r="D442" s="29"/>
      <c r="E442" s="29"/>
      <c r="F442" s="29"/>
      <c r="G442" s="29"/>
      <c r="H442" s="29"/>
      <c r="I442" s="29"/>
      <c r="J442" s="29"/>
    </row>
    <row r="443" spans="1:10">
      <c r="A443" s="4" t="s">
        <v>3986</v>
      </c>
      <c r="B443" s="29"/>
      <c r="C443" s="29">
        <v>1</v>
      </c>
      <c r="D443" s="29"/>
      <c r="E443" s="29"/>
      <c r="F443" s="29"/>
      <c r="G443" s="29"/>
      <c r="H443" s="29"/>
      <c r="I443" s="29"/>
      <c r="J443" s="29"/>
    </row>
    <row r="444" spans="1:10">
      <c r="A444" s="4" t="s">
        <v>3987</v>
      </c>
      <c r="B444" s="29"/>
      <c r="C444" s="29">
        <v>1</v>
      </c>
      <c r="D444" s="29"/>
      <c r="E444" s="29"/>
      <c r="F444" s="29"/>
      <c r="G444" s="29"/>
      <c r="H444" s="29"/>
      <c r="I444" s="29"/>
      <c r="J444" s="29"/>
    </row>
    <row r="445" spans="1:10">
      <c r="A445" s="4" t="s">
        <v>3988</v>
      </c>
      <c r="B445" s="29"/>
      <c r="C445" s="29"/>
      <c r="D445" s="29"/>
      <c r="E445" s="29"/>
      <c r="F445" s="29"/>
      <c r="G445" s="29"/>
      <c r="H445" s="29"/>
      <c r="I445" s="29"/>
      <c r="J445" s="29">
        <v>1</v>
      </c>
    </row>
    <row r="446" spans="1:10">
      <c r="A446" s="4" t="s">
        <v>3989</v>
      </c>
      <c r="B446" s="29"/>
      <c r="C446" s="29">
        <v>1</v>
      </c>
      <c r="D446" s="29"/>
      <c r="E446" s="29"/>
      <c r="F446" s="29"/>
      <c r="G446" s="29"/>
      <c r="H446" s="29"/>
      <c r="I446" s="29"/>
      <c r="J446" s="29"/>
    </row>
    <row r="447" spans="1:10">
      <c r="A447" s="4" t="s">
        <v>3990</v>
      </c>
      <c r="B447" s="29"/>
      <c r="C447" s="29">
        <v>1</v>
      </c>
      <c r="D447" s="29">
        <v>1</v>
      </c>
      <c r="E447" s="29"/>
      <c r="F447" s="29"/>
      <c r="G447" s="29"/>
      <c r="H447" s="29"/>
      <c r="I447" s="29"/>
      <c r="J447" s="29"/>
    </row>
    <row r="448" spans="1:10">
      <c r="A448" s="4" t="s">
        <v>2630</v>
      </c>
      <c r="B448" s="29"/>
      <c r="C448" s="29">
        <v>1</v>
      </c>
      <c r="D448" s="29"/>
      <c r="E448" s="29"/>
      <c r="F448" s="29"/>
      <c r="G448" s="29"/>
      <c r="H448" s="29"/>
      <c r="I448" s="29"/>
      <c r="J448" s="29"/>
    </row>
    <row r="449" spans="1:10">
      <c r="A449" s="4" t="s">
        <v>3991</v>
      </c>
      <c r="B449" s="29"/>
      <c r="C449" s="29"/>
      <c r="D449" s="29">
        <v>1</v>
      </c>
      <c r="E449" s="29"/>
      <c r="F449" s="29"/>
      <c r="G449" s="29"/>
      <c r="H449" s="29"/>
      <c r="I449" s="29"/>
      <c r="J449" s="29"/>
    </row>
    <row r="450" spans="1:10">
      <c r="A450" s="4" t="s">
        <v>3992</v>
      </c>
      <c r="B450" s="29"/>
      <c r="C450" s="29"/>
      <c r="D450" s="29">
        <v>1</v>
      </c>
      <c r="E450" s="29"/>
      <c r="F450" s="29"/>
      <c r="G450" s="29"/>
      <c r="H450" s="29"/>
      <c r="I450" s="29"/>
      <c r="J450" s="29"/>
    </row>
    <row r="451" spans="1:10">
      <c r="A451" s="4" t="s">
        <v>1850</v>
      </c>
      <c r="B451" s="29">
        <v>90</v>
      </c>
      <c r="C451" s="29">
        <v>173</v>
      </c>
      <c r="D451" s="29">
        <v>173</v>
      </c>
      <c r="E451" s="29">
        <v>78</v>
      </c>
      <c r="F451" s="29">
        <v>53</v>
      </c>
      <c r="G451" s="29">
        <v>66</v>
      </c>
      <c r="H451" s="29">
        <v>53</v>
      </c>
      <c r="I451" s="29">
        <v>55</v>
      </c>
      <c r="J451" s="29">
        <v>93</v>
      </c>
    </row>
    <row r="452" spans="1:10">
      <c r="B452"/>
      <c r="C452"/>
      <c r="D452"/>
      <c r="E452"/>
      <c r="F452"/>
      <c r="G452"/>
      <c r="H452"/>
      <c r="I452"/>
      <c r="J452"/>
    </row>
    <row r="453" spans="1:10">
      <c r="B453"/>
      <c r="C453"/>
      <c r="D453"/>
      <c r="E453"/>
      <c r="F453"/>
      <c r="G453"/>
      <c r="H453"/>
      <c r="I453"/>
      <c r="J453"/>
    </row>
    <row r="454" spans="1:10">
      <c r="B454"/>
      <c r="C454"/>
      <c r="D454"/>
      <c r="E454"/>
      <c r="F454"/>
      <c r="G454"/>
      <c r="H454"/>
      <c r="I454"/>
      <c r="J454"/>
    </row>
    <row r="455" spans="1:10">
      <c r="B455"/>
      <c r="C455"/>
      <c r="D455"/>
      <c r="E455"/>
      <c r="F455"/>
      <c r="G455"/>
      <c r="H455"/>
      <c r="I455"/>
      <c r="J455"/>
    </row>
    <row r="456" spans="1:10">
      <c r="B456"/>
      <c r="C456"/>
      <c r="D456"/>
      <c r="E456"/>
      <c r="F456"/>
      <c r="G456"/>
      <c r="H456"/>
      <c r="I456"/>
      <c r="J456"/>
    </row>
    <row r="457" spans="1:10">
      <c r="B457"/>
      <c r="C457"/>
      <c r="D457"/>
      <c r="E457"/>
      <c r="F457"/>
      <c r="G457"/>
      <c r="H457"/>
      <c r="I457"/>
      <c r="J457"/>
    </row>
    <row r="458" spans="1:10">
      <c r="B458"/>
      <c r="C458"/>
      <c r="D458"/>
      <c r="E458"/>
      <c r="F458"/>
      <c r="G458"/>
      <c r="H458"/>
      <c r="I458"/>
      <c r="J458"/>
    </row>
    <row r="459" spans="1:10">
      <c r="B459"/>
      <c r="C459"/>
      <c r="D459"/>
      <c r="E459"/>
      <c r="F459"/>
      <c r="G459"/>
      <c r="H459"/>
      <c r="I459"/>
      <c r="J459"/>
    </row>
    <row r="460" spans="1:10">
      <c r="B460"/>
      <c r="C460"/>
      <c r="D460"/>
      <c r="E460"/>
      <c r="F460"/>
      <c r="G460"/>
      <c r="H460"/>
      <c r="I460"/>
      <c r="J460"/>
    </row>
    <row r="461" spans="1:10">
      <c r="B461"/>
      <c r="C461"/>
      <c r="D461"/>
      <c r="E461"/>
      <c r="F461"/>
      <c r="G461"/>
      <c r="H461"/>
      <c r="I461"/>
      <c r="J461"/>
    </row>
    <row r="462" spans="1:10">
      <c r="B462"/>
      <c r="C462"/>
      <c r="D462"/>
      <c r="E462"/>
      <c r="F462"/>
      <c r="G462"/>
      <c r="H462"/>
      <c r="I462"/>
      <c r="J462"/>
    </row>
    <row r="463" spans="1:10">
      <c r="B463"/>
      <c r="C463"/>
      <c r="D463"/>
      <c r="E463"/>
      <c r="F463"/>
      <c r="G463"/>
      <c r="H463"/>
      <c r="I463"/>
      <c r="J463"/>
    </row>
    <row r="464" spans="1:10">
      <c r="B464"/>
      <c r="C464"/>
      <c r="D464"/>
      <c r="E464"/>
      <c r="F464"/>
      <c r="G464"/>
      <c r="H464"/>
      <c r="I464"/>
      <c r="J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spans="2:10">
      <c r="B481"/>
      <c r="C481"/>
      <c r="D481"/>
      <c r="E481"/>
      <c r="F481"/>
      <c r="G481"/>
      <c r="H481"/>
      <c r="I481"/>
      <c r="J481"/>
    </row>
    <row r="482" spans="2:10">
      <c r="B482"/>
      <c r="C482"/>
      <c r="D482"/>
      <c r="E482"/>
      <c r="F482"/>
      <c r="G482"/>
      <c r="H482"/>
      <c r="I482"/>
      <c r="J482"/>
    </row>
    <row r="483" spans="2:10">
      <c r="B483"/>
      <c r="C483"/>
      <c r="D483"/>
      <c r="E483"/>
      <c r="F483"/>
      <c r="G483"/>
      <c r="H483"/>
      <c r="I483"/>
      <c r="J483"/>
    </row>
    <row r="484" spans="2:10">
      <c r="B484"/>
      <c r="C484"/>
      <c r="D484"/>
      <c r="E484"/>
      <c r="F484"/>
      <c r="G484"/>
      <c r="H484"/>
      <c r="I484"/>
      <c r="J484"/>
    </row>
    <row r="485" spans="2:10">
      <c r="B485"/>
      <c r="C485"/>
      <c r="D485"/>
      <c r="E485"/>
      <c r="F485"/>
      <c r="G485"/>
      <c r="H485"/>
      <c r="I485"/>
      <c r="J485"/>
    </row>
    <row r="486" spans="2:10">
      <c r="B486"/>
      <c r="C486"/>
      <c r="D486"/>
      <c r="E486"/>
      <c r="F486"/>
      <c r="G486"/>
      <c r="H486"/>
      <c r="I486"/>
      <c r="J486"/>
    </row>
    <row r="487" spans="2:10">
      <c r="B487"/>
      <c r="C487"/>
      <c r="D487"/>
      <c r="E487"/>
      <c r="F487"/>
      <c r="G487"/>
      <c r="H487"/>
      <c r="I487"/>
      <c r="J487"/>
    </row>
    <row r="488" spans="2:10">
      <c r="B488"/>
      <c r="C488"/>
      <c r="D488"/>
      <c r="E488"/>
      <c r="F488"/>
      <c r="G488"/>
      <c r="H488"/>
      <c r="I488"/>
      <c r="J488"/>
    </row>
    <row r="489" spans="2:10">
      <c r="B489"/>
      <c r="C489"/>
      <c r="D489"/>
      <c r="E489"/>
      <c r="F489"/>
      <c r="G489"/>
      <c r="H489"/>
      <c r="I489"/>
      <c r="J489"/>
    </row>
    <row r="490" spans="2:10">
      <c r="B490"/>
      <c r="C490"/>
      <c r="D490"/>
      <c r="E490"/>
      <c r="F490"/>
      <c r="G490"/>
      <c r="H490"/>
      <c r="I490"/>
      <c r="J490"/>
    </row>
    <row r="491" spans="2:10">
      <c r="B491"/>
      <c r="C491"/>
      <c r="D491"/>
      <c r="E491"/>
      <c r="F491"/>
      <c r="G491"/>
      <c r="H491"/>
      <c r="I491"/>
      <c r="J491"/>
    </row>
    <row r="492" spans="2:10">
      <c r="B492"/>
      <c r="C492"/>
      <c r="D492"/>
      <c r="E492"/>
      <c r="F492"/>
      <c r="G492"/>
      <c r="H492"/>
      <c r="I492"/>
    </row>
    <row r="493" spans="2:10">
      <c r="B493"/>
      <c r="C493"/>
      <c r="D493"/>
      <c r="E493"/>
      <c r="F493"/>
      <c r="G493"/>
      <c r="H493"/>
      <c r="I493"/>
    </row>
    <row r="494" spans="2:10">
      <c r="B494"/>
      <c r="C494"/>
      <c r="D494"/>
      <c r="E494"/>
      <c r="F494"/>
      <c r="G494"/>
      <c r="H494"/>
      <c r="I494"/>
    </row>
    <row r="495" spans="2:10">
      <c r="B495"/>
      <c r="C495"/>
      <c r="D495"/>
      <c r="E495"/>
      <c r="F495"/>
      <c r="G495"/>
      <c r="H495"/>
      <c r="I495"/>
    </row>
    <row r="496" spans="2:10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</sheetData>
  <phoneticPr fontId="22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5553-DF2B-47A2-8DD2-17EB81C9CB3F}">
  <sheetPr codeName="Sheet1">
    <tabColor rgb="FF92D050"/>
  </sheetPr>
  <dimension ref="A1:AA53"/>
  <sheetViews>
    <sheetView topLeftCell="O1" zoomScale="130" zoomScaleNormal="130" workbookViewId="0">
      <pane ySplit="1" topLeftCell="A2" activePane="bottomLeft" state="frozen"/>
      <selection pane="bottomLeft" activeCell="Z11" sqref="Z11"/>
    </sheetView>
  </sheetViews>
  <sheetFormatPr defaultRowHeight="12"/>
  <cols>
    <col min="1" max="1" width="9.109375" style="3"/>
    <col min="12" max="12" width="15.109375" bestFit="1" customWidth="1"/>
    <col min="13" max="13" width="16.5546875" bestFit="1" customWidth="1"/>
    <col min="26" max="26" width="15.109375" bestFit="1" customWidth="1"/>
    <col min="27" max="27" width="16.5546875" bestFit="1" customWidth="1"/>
  </cols>
  <sheetData>
    <row r="1" spans="1:27">
      <c r="A1" s="22" t="s">
        <v>3056</v>
      </c>
      <c r="B1" t="s">
        <v>0</v>
      </c>
      <c r="C1" t="s">
        <v>3053</v>
      </c>
      <c r="D1" t="s">
        <v>2988</v>
      </c>
      <c r="E1" t="s">
        <v>1</v>
      </c>
      <c r="F1" t="s">
        <v>2989</v>
      </c>
      <c r="G1" t="s">
        <v>2990</v>
      </c>
      <c r="H1" t="s">
        <v>2991</v>
      </c>
      <c r="I1" t="s">
        <v>3054</v>
      </c>
      <c r="J1" t="s">
        <v>3055</v>
      </c>
      <c r="L1" s="5" t="s">
        <v>1851</v>
      </c>
      <c r="M1" t="s">
        <v>3057</v>
      </c>
      <c r="O1" s="22" t="s">
        <v>3058</v>
      </c>
      <c r="P1" t="s">
        <v>0</v>
      </c>
      <c r="Q1" t="s">
        <v>3053</v>
      </c>
      <c r="R1" t="s">
        <v>2988</v>
      </c>
      <c r="S1" t="s">
        <v>1</v>
      </c>
      <c r="T1" t="s">
        <v>2989</v>
      </c>
      <c r="U1" t="s">
        <v>2990</v>
      </c>
      <c r="V1" t="s">
        <v>2991</v>
      </c>
      <c r="W1" t="s">
        <v>3054</v>
      </c>
      <c r="X1" t="s">
        <v>3055</v>
      </c>
      <c r="Z1" s="5" t="s">
        <v>1851</v>
      </c>
      <c r="AA1" t="s">
        <v>3057</v>
      </c>
    </row>
    <row r="2" spans="1:27">
      <c r="A2" s="22">
        <f>SUM(J:J)</f>
        <v>44</v>
      </c>
      <c r="B2" t="s">
        <v>3211</v>
      </c>
      <c r="C2" t="s">
        <v>3001</v>
      </c>
      <c r="D2">
        <v>23561</v>
      </c>
      <c r="E2" t="s">
        <v>172</v>
      </c>
      <c r="F2" t="s">
        <v>3021</v>
      </c>
      <c r="G2" t="s">
        <v>3022</v>
      </c>
      <c r="H2" t="s">
        <v>3002</v>
      </c>
      <c r="I2">
        <v>12000</v>
      </c>
      <c r="J2">
        <v>-1</v>
      </c>
      <c r="L2" s="4" t="s">
        <v>3407</v>
      </c>
      <c r="M2" s="28">
        <v>2</v>
      </c>
      <c r="O2" s="22">
        <f>SUM(X:X)</f>
        <v>28</v>
      </c>
      <c r="P2" t="s">
        <v>107</v>
      </c>
      <c r="Q2" t="s">
        <v>3001</v>
      </c>
      <c r="R2">
        <v>23510</v>
      </c>
      <c r="S2" t="s">
        <v>86</v>
      </c>
      <c r="T2">
        <v>501</v>
      </c>
      <c r="U2" t="s">
        <v>3023</v>
      </c>
      <c r="V2" t="s">
        <v>3002</v>
      </c>
      <c r="W2">
        <v>13000</v>
      </c>
      <c r="X2">
        <v>-1</v>
      </c>
      <c r="Z2" s="4" t="s">
        <v>2621</v>
      </c>
      <c r="AA2" s="28">
        <v>0</v>
      </c>
    </row>
    <row r="3" spans="1:27">
      <c r="B3" t="s">
        <v>2963</v>
      </c>
      <c r="C3" t="s">
        <v>3001</v>
      </c>
      <c r="D3">
        <v>23510</v>
      </c>
      <c r="E3" t="s">
        <v>86</v>
      </c>
      <c r="F3">
        <v>457</v>
      </c>
      <c r="G3" t="s">
        <v>3019</v>
      </c>
      <c r="H3" t="s">
        <v>3002</v>
      </c>
      <c r="I3">
        <v>13000</v>
      </c>
      <c r="J3">
        <v>1</v>
      </c>
      <c r="L3" s="4" t="s">
        <v>99</v>
      </c>
      <c r="M3" s="28">
        <v>1</v>
      </c>
      <c r="P3" t="s">
        <v>2621</v>
      </c>
      <c r="Q3" t="s">
        <v>3001</v>
      </c>
      <c r="R3">
        <v>23505</v>
      </c>
      <c r="S3" t="s">
        <v>73</v>
      </c>
      <c r="T3">
        <v>560</v>
      </c>
      <c r="U3" t="s">
        <v>3025</v>
      </c>
      <c r="V3" t="s">
        <v>3002</v>
      </c>
      <c r="W3">
        <v>3500</v>
      </c>
      <c r="X3">
        <v>-1</v>
      </c>
      <c r="Z3" s="4" t="s">
        <v>99</v>
      </c>
      <c r="AA3" s="28">
        <v>1</v>
      </c>
    </row>
    <row r="4" spans="1:27">
      <c r="B4" t="s">
        <v>3285</v>
      </c>
      <c r="C4" t="s">
        <v>3001</v>
      </c>
      <c r="D4">
        <v>23561</v>
      </c>
      <c r="E4" t="s">
        <v>172</v>
      </c>
      <c r="F4" t="s">
        <v>3005</v>
      </c>
      <c r="G4" t="s">
        <v>3006</v>
      </c>
      <c r="H4" t="s">
        <v>3002</v>
      </c>
      <c r="I4">
        <v>12000</v>
      </c>
      <c r="J4">
        <v>1</v>
      </c>
      <c r="L4" s="4" t="s">
        <v>2963</v>
      </c>
      <c r="M4" s="28">
        <v>1</v>
      </c>
      <c r="P4" t="s">
        <v>2974</v>
      </c>
      <c r="Q4" t="s">
        <v>3001</v>
      </c>
      <c r="R4">
        <v>23346</v>
      </c>
      <c r="S4" t="s">
        <v>3041</v>
      </c>
      <c r="T4">
        <v>662</v>
      </c>
      <c r="U4" t="s">
        <v>3320</v>
      </c>
      <c r="V4" t="s">
        <v>3002</v>
      </c>
      <c r="W4">
        <v>14000</v>
      </c>
      <c r="X4">
        <v>-1</v>
      </c>
      <c r="Z4" s="4" t="s">
        <v>107</v>
      </c>
      <c r="AA4" s="28">
        <v>-1</v>
      </c>
    </row>
    <row r="5" spans="1:27">
      <c r="B5" t="s">
        <v>187</v>
      </c>
      <c r="C5" t="s">
        <v>3001</v>
      </c>
      <c r="D5">
        <v>23561</v>
      </c>
      <c r="E5" t="s">
        <v>172</v>
      </c>
      <c r="F5">
        <v>326</v>
      </c>
      <c r="G5" t="s">
        <v>3013</v>
      </c>
      <c r="H5" t="s">
        <v>3002</v>
      </c>
      <c r="I5">
        <v>12000</v>
      </c>
      <c r="J5">
        <v>1</v>
      </c>
      <c r="L5" s="4" t="s">
        <v>107</v>
      </c>
      <c r="M5" s="28">
        <v>1</v>
      </c>
      <c r="P5" t="s">
        <v>2973</v>
      </c>
      <c r="Q5" t="s">
        <v>3001</v>
      </c>
      <c r="R5">
        <v>23525</v>
      </c>
      <c r="S5" t="s">
        <v>3012</v>
      </c>
      <c r="T5">
        <v>160</v>
      </c>
      <c r="U5" t="s">
        <v>3010</v>
      </c>
      <c r="V5" t="s">
        <v>3002</v>
      </c>
      <c r="W5">
        <v>19000</v>
      </c>
      <c r="X5">
        <v>1</v>
      </c>
      <c r="Z5" s="4" t="s">
        <v>116</v>
      </c>
      <c r="AA5" s="28">
        <v>2</v>
      </c>
    </row>
    <row r="6" spans="1:27">
      <c r="B6" t="s">
        <v>5164</v>
      </c>
      <c r="C6" t="s">
        <v>3001</v>
      </c>
      <c r="D6">
        <v>23223</v>
      </c>
      <c r="E6" t="s">
        <v>3016</v>
      </c>
      <c r="F6">
        <v>543</v>
      </c>
      <c r="G6" t="s">
        <v>3188</v>
      </c>
      <c r="H6" t="s">
        <v>3002</v>
      </c>
      <c r="I6">
        <v>6500</v>
      </c>
      <c r="J6">
        <v>1</v>
      </c>
      <c r="L6" s="4" t="s">
        <v>116</v>
      </c>
      <c r="M6" s="28">
        <v>1</v>
      </c>
      <c r="P6" t="s">
        <v>2969</v>
      </c>
      <c r="Q6" t="s">
        <v>3001</v>
      </c>
      <c r="R6">
        <v>23510</v>
      </c>
      <c r="S6" t="s">
        <v>86</v>
      </c>
      <c r="T6">
        <v>126</v>
      </c>
      <c r="U6" t="s">
        <v>3043</v>
      </c>
      <c r="V6" t="s">
        <v>3002</v>
      </c>
      <c r="W6">
        <v>13000</v>
      </c>
      <c r="X6">
        <v>1</v>
      </c>
      <c r="Z6" s="4" t="s">
        <v>118</v>
      </c>
      <c r="AA6" s="28">
        <v>1</v>
      </c>
    </row>
    <row r="7" spans="1:27">
      <c r="B7" t="s">
        <v>3475</v>
      </c>
      <c r="C7" t="s">
        <v>3001</v>
      </c>
      <c r="D7">
        <v>23349</v>
      </c>
      <c r="E7" t="s">
        <v>3292</v>
      </c>
      <c r="F7">
        <v>662</v>
      </c>
      <c r="G7" t="s">
        <v>3320</v>
      </c>
      <c r="H7" t="s">
        <v>3002</v>
      </c>
      <c r="I7">
        <v>12000</v>
      </c>
      <c r="J7">
        <v>1</v>
      </c>
      <c r="L7" s="4" t="s">
        <v>2985</v>
      </c>
      <c r="M7" s="28">
        <v>1</v>
      </c>
      <c r="P7" t="s">
        <v>99</v>
      </c>
      <c r="Q7" t="s">
        <v>3001</v>
      </c>
      <c r="R7">
        <v>23510</v>
      </c>
      <c r="S7" t="s">
        <v>86</v>
      </c>
      <c r="T7">
        <v>312</v>
      </c>
      <c r="U7" t="s">
        <v>3003</v>
      </c>
      <c r="V7" t="s">
        <v>3002</v>
      </c>
      <c r="W7">
        <v>13000</v>
      </c>
      <c r="X7">
        <v>1</v>
      </c>
      <c r="Z7" s="4" t="s">
        <v>85</v>
      </c>
      <c r="AA7" s="28">
        <v>2</v>
      </c>
    </row>
    <row r="8" spans="1:27">
      <c r="B8" t="s">
        <v>5165</v>
      </c>
      <c r="C8" t="s">
        <v>3001</v>
      </c>
      <c r="D8">
        <v>23200330</v>
      </c>
      <c r="E8" t="s">
        <v>3331</v>
      </c>
      <c r="F8">
        <v>16</v>
      </c>
      <c r="G8" t="s">
        <v>3008</v>
      </c>
      <c r="H8" t="s">
        <v>3002</v>
      </c>
      <c r="I8">
        <v>17000</v>
      </c>
      <c r="J8">
        <v>1</v>
      </c>
      <c r="L8" s="4" t="s">
        <v>3285</v>
      </c>
      <c r="M8" s="28">
        <v>4</v>
      </c>
      <c r="P8" t="s">
        <v>1561</v>
      </c>
      <c r="Q8" t="s">
        <v>3001</v>
      </c>
      <c r="R8">
        <v>23561</v>
      </c>
      <c r="S8" t="s">
        <v>172</v>
      </c>
      <c r="T8">
        <v>46</v>
      </c>
      <c r="U8" t="s">
        <v>3045</v>
      </c>
      <c r="V8" t="s">
        <v>3002</v>
      </c>
      <c r="W8">
        <v>12000</v>
      </c>
      <c r="X8">
        <v>1</v>
      </c>
      <c r="Z8" s="4" t="s">
        <v>1891</v>
      </c>
      <c r="AA8" s="28">
        <v>1</v>
      </c>
    </row>
    <row r="9" spans="1:27">
      <c r="B9" t="s">
        <v>3285</v>
      </c>
      <c r="C9" t="s">
        <v>3001</v>
      </c>
      <c r="D9">
        <v>23561</v>
      </c>
      <c r="E9" t="s">
        <v>172</v>
      </c>
      <c r="F9" t="s">
        <v>3005</v>
      </c>
      <c r="G9" t="s">
        <v>3006</v>
      </c>
      <c r="H9" t="s">
        <v>3002</v>
      </c>
      <c r="I9">
        <v>12000</v>
      </c>
      <c r="J9">
        <v>1</v>
      </c>
      <c r="L9" s="4" t="s">
        <v>182</v>
      </c>
      <c r="M9" s="28">
        <v>-1</v>
      </c>
      <c r="P9" t="s">
        <v>133</v>
      </c>
      <c r="Q9" t="s">
        <v>3001</v>
      </c>
      <c r="R9">
        <v>23510</v>
      </c>
      <c r="S9" t="s">
        <v>86</v>
      </c>
      <c r="T9">
        <v>664</v>
      </c>
      <c r="U9" t="s">
        <v>3015</v>
      </c>
      <c r="V9" t="s">
        <v>3002</v>
      </c>
      <c r="W9">
        <v>13000</v>
      </c>
      <c r="X9">
        <v>1</v>
      </c>
      <c r="Z9" s="4" t="s">
        <v>731</v>
      </c>
      <c r="AA9" s="28">
        <v>1</v>
      </c>
    </row>
    <row r="10" spans="1:27">
      <c r="B10" t="s">
        <v>187</v>
      </c>
      <c r="C10" t="s">
        <v>3001</v>
      </c>
      <c r="D10">
        <v>23561</v>
      </c>
      <c r="E10" t="s">
        <v>172</v>
      </c>
      <c r="F10">
        <v>326</v>
      </c>
      <c r="G10" t="s">
        <v>3013</v>
      </c>
      <c r="H10" t="s">
        <v>3002</v>
      </c>
      <c r="I10">
        <v>12000</v>
      </c>
      <c r="J10">
        <v>1</v>
      </c>
      <c r="L10" s="4" t="s">
        <v>2970</v>
      </c>
      <c r="M10" s="28">
        <v>2</v>
      </c>
      <c r="P10" t="s">
        <v>2969</v>
      </c>
      <c r="Q10" t="s">
        <v>3001</v>
      </c>
      <c r="R10">
        <v>23510</v>
      </c>
      <c r="S10" t="s">
        <v>86</v>
      </c>
      <c r="T10">
        <v>126</v>
      </c>
      <c r="U10" t="s">
        <v>3043</v>
      </c>
      <c r="V10" t="s">
        <v>3002</v>
      </c>
      <c r="W10">
        <v>13000</v>
      </c>
      <c r="X10">
        <v>1</v>
      </c>
      <c r="Z10" s="4" t="s">
        <v>1561</v>
      </c>
      <c r="AA10" s="28">
        <v>1</v>
      </c>
    </row>
    <row r="11" spans="1:27">
      <c r="B11" t="s">
        <v>5166</v>
      </c>
      <c r="C11" t="s">
        <v>3001</v>
      </c>
      <c r="D11">
        <v>23223</v>
      </c>
      <c r="E11" t="s">
        <v>3016</v>
      </c>
      <c r="F11">
        <v>623</v>
      </c>
      <c r="G11" t="s">
        <v>3044</v>
      </c>
      <c r="H11" t="s">
        <v>3002</v>
      </c>
      <c r="I11">
        <v>6500</v>
      </c>
      <c r="J11">
        <v>1</v>
      </c>
      <c r="L11" s="4" t="s">
        <v>3356</v>
      </c>
      <c r="M11" s="28">
        <v>1</v>
      </c>
      <c r="P11" t="s">
        <v>1978</v>
      </c>
      <c r="Q11" t="s">
        <v>3001</v>
      </c>
      <c r="R11">
        <v>23781</v>
      </c>
      <c r="S11" t="s">
        <v>5172</v>
      </c>
      <c r="T11">
        <v>550</v>
      </c>
      <c r="U11" t="s">
        <v>2998</v>
      </c>
      <c r="V11" t="s">
        <v>3002</v>
      </c>
      <c r="W11">
        <v>9000</v>
      </c>
      <c r="X11">
        <v>1</v>
      </c>
      <c r="Z11" s="4" t="s">
        <v>3050</v>
      </c>
      <c r="AA11" s="28"/>
    </row>
    <row r="12" spans="1:27">
      <c r="B12" t="s">
        <v>3271</v>
      </c>
      <c r="C12" t="s">
        <v>3001</v>
      </c>
      <c r="D12">
        <v>23524</v>
      </c>
      <c r="E12" t="s">
        <v>3009</v>
      </c>
      <c r="F12">
        <v>31</v>
      </c>
      <c r="G12" t="s">
        <v>3272</v>
      </c>
      <c r="H12" t="s">
        <v>3002</v>
      </c>
      <c r="I12">
        <v>18000</v>
      </c>
      <c r="J12">
        <v>1</v>
      </c>
      <c r="L12" s="4" t="s">
        <v>307</v>
      </c>
      <c r="M12" s="28">
        <v>1</v>
      </c>
      <c r="P12" t="s">
        <v>1891</v>
      </c>
      <c r="Q12" t="s">
        <v>3001</v>
      </c>
      <c r="R12">
        <v>23165</v>
      </c>
      <c r="S12" t="s">
        <v>1890</v>
      </c>
      <c r="T12">
        <v>550</v>
      </c>
      <c r="U12" t="s">
        <v>2998</v>
      </c>
      <c r="V12" t="s">
        <v>3002</v>
      </c>
      <c r="W12">
        <v>8000</v>
      </c>
      <c r="X12">
        <v>1</v>
      </c>
      <c r="Z12" s="4" t="s">
        <v>2969</v>
      </c>
      <c r="AA12" s="28">
        <v>2</v>
      </c>
    </row>
    <row r="13" spans="1:27">
      <c r="B13" t="s">
        <v>3049</v>
      </c>
      <c r="C13" t="s">
        <v>3001</v>
      </c>
      <c r="D13">
        <v>23344</v>
      </c>
      <c r="E13" t="s">
        <v>3018</v>
      </c>
      <c r="F13" t="s">
        <v>3038</v>
      </c>
      <c r="G13" t="s">
        <v>3039</v>
      </c>
      <c r="H13" t="s">
        <v>3002</v>
      </c>
      <c r="I13">
        <v>16000</v>
      </c>
      <c r="J13">
        <v>1</v>
      </c>
      <c r="L13" s="4" t="s">
        <v>3050</v>
      </c>
      <c r="M13" s="28"/>
      <c r="P13" t="s">
        <v>731</v>
      </c>
      <c r="Q13" t="s">
        <v>3001</v>
      </c>
      <c r="R13">
        <v>79030</v>
      </c>
      <c r="S13" t="s">
        <v>732</v>
      </c>
      <c r="V13" t="s">
        <v>3002</v>
      </c>
      <c r="W13">
        <v>850</v>
      </c>
      <c r="X13">
        <v>1</v>
      </c>
      <c r="Z13" s="4" t="s">
        <v>2986</v>
      </c>
      <c r="AA13" s="28">
        <v>1</v>
      </c>
    </row>
    <row r="14" spans="1:27">
      <c r="B14" t="s">
        <v>3277</v>
      </c>
      <c r="C14" t="s">
        <v>3001</v>
      </c>
      <c r="D14">
        <v>23804</v>
      </c>
      <c r="E14" t="s">
        <v>3278</v>
      </c>
      <c r="F14">
        <v>550</v>
      </c>
      <c r="G14" t="s">
        <v>2998</v>
      </c>
      <c r="H14" t="s">
        <v>3002</v>
      </c>
      <c r="I14">
        <v>26000</v>
      </c>
      <c r="J14">
        <v>1</v>
      </c>
      <c r="L14" s="4" t="s">
        <v>2666</v>
      </c>
      <c r="M14" s="28">
        <v>1</v>
      </c>
      <c r="P14" t="s">
        <v>116</v>
      </c>
      <c r="Q14" t="s">
        <v>3001</v>
      </c>
      <c r="R14">
        <v>23510</v>
      </c>
      <c r="S14" t="s">
        <v>86</v>
      </c>
      <c r="T14">
        <v>540</v>
      </c>
      <c r="U14" t="s">
        <v>3024</v>
      </c>
      <c r="V14" t="s">
        <v>3002</v>
      </c>
      <c r="W14">
        <v>13000</v>
      </c>
      <c r="X14">
        <v>1</v>
      </c>
      <c r="Z14" s="4" t="s">
        <v>2976</v>
      </c>
      <c r="AA14" s="28">
        <v>2</v>
      </c>
    </row>
    <row r="15" spans="1:27">
      <c r="B15" t="s">
        <v>5167</v>
      </c>
      <c r="C15" t="s">
        <v>5168</v>
      </c>
      <c r="D15" t="s">
        <v>5169</v>
      </c>
      <c r="E15" t="s">
        <v>5170</v>
      </c>
      <c r="F15">
        <v>164</v>
      </c>
      <c r="G15" t="s">
        <v>5171</v>
      </c>
      <c r="H15" t="s">
        <v>3029</v>
      </c>
      <c r="I15">
        <v>11000</v>
      </c>
      <c r="J15">
        <v>1</v>
      </c>
      <c r="L15" s="4" t="s">
        <v>3457</v>
      </c>
      <c r="M15" s="28">
        <v>1</v>
      </c>
      <c r="P15" t="s">
        <v>2976</v>
      </c>
      <c r="Q15" t="s">
        <v>3001</v>
      </c>
      <c r="R15">
        <v>23510</v>
      </c>
      <c r="S15" t="s">
        <v>86</v>
      </c>
      <c r="T15" t="s">
        <v>3021</v>
      </c>
      <c r="U15" t="s">
        <v>3022</v>
      </c>
      <c r="V15" t="s">
        <v>3002</v>
      </c>
      <c r="W15">
        <v>13000</v>
      </c>
      <c r="X15">
        <v>1</v>
      </c>
      <c r="Z15" s="4" t="s">
        <v>2973</v>
      </c>
      <c r="AA15" s="28">
        <v>1</v>
      </c>
    </row>
    <row r="16" spans="1:27">
      <c r="B16" t="s">
        <v>91</v>
      </c>
      <c r="C16" t="s">
        <v>3001</v>
      </c>
      <c r="D16">
        <v>23510</v>
      </c>
      <c r="E16" t="s">
        <v>86</v>
      </c>
      <c r="F16">
        <v>160</v>
      </c>
      <c r="G16" t="s">
        <v>3010</v>
      </c>
      <c r="H16" t="s">
        <v>3002</v>
      </c>
      <c r="I16">
        <v>13000</v>
      </c>
      <c r="J16">
        <v>1</v>
      </c>
      <c r="L16" s="4" t="s">
        <v>133</v>
      </c>
      <c r="M16" s="28">
        <v>1</v>
      </c>
      <c r="P16" t="s">
        <v>3355</v>
      </c>
      <c r="Q16" t="s">
        <v>3001</v>
      </c>
      <c r="R16">
        <v>23565</v>
      </c>
      <c r="S16" t="s">
        <v>220</v>
      </c>
      <c r="T16">
        <v>238</v>
      </c>
      <c r="U16" t="s">
        <v>3288</v>
      </c>
      <c r="V16" t="s">
        <v>3002</v>
      </c>
      <c r="W16">
        <v>20000</v>
      </c>
      <c r="X16">
        <v>1</v>
      </c>
      <c r="Z16" s="4" t="s">
        <v>2965</v>
      </c>
      <c r="AA16" s="28">
        <v>1</v>
      </c>
    </row>
    <row r="17" spans="2:27">
      <c r="B17" t="s">
        <v>133</v>
      </c>
      <c r="C17" t="s">
        <v>3001</v>
      </c>
      <c r="D17">
        <v>23510</v>
      </c>
      <c r="E17" t="s">
        <v>86</v>
      </c>
      <c r="F17">
        <v>664</v>
      </c>
      <c r="G17" t="s">
        <v>3015</v>
      </c>
      <c r="H17" t="s">
        <v>3002</v>
      </c>
      <c r="I17">
        <v>13000</v>
      </c>
      <c r="J17">
        <v>1</v>
      </c>
      <c r="L17" s="4" t="s">
        <v>120</v>
      </c>
      <c r="M17" s="28">
        <v>1</v>
      </c>
      <c r="P17" t="s">
        <v>5173</v>
      </c>
      <c r="Q17" t="s">
        <v>3001</v>
      </c>
      <c r="R17">
        <v>23200251</v>
      </c>
      <c r="S17" t="s">
        <v>3293</v>
      </c>
      <c r="T17">
        <v>21</v>
      </c>
      <c r="U17" t="s">
        <v>3439</v>
      </c>
      <c r="V17" t="s">
        <v>3002</v>
      </c>
      <c r="W17">
        <v>19000</v>
      </c>
      <c r="X17">
        <v>1</v>
      </c>
      <c r="Z17" s="4" t="s">
        <v>133</v>
      </c>
      <c r="AA17" s="28">
        <v>1</v>
      </c>
    </row>
    <row r="18" spans="2:27">
      <c r="B18" t="s">
        <v>3285</v>
      </c>
      <c r="C18" t="s">
        <v>3001</v>
      </c>
      <c r="D18">
        <v>23561</v>
      </c>
      <c r="E18" t="s">
        <v>172</v>
      </c>
      <c r="F18" t="s">
        <v>3005</v>
      </c>
      <c r="G18" t="s">
        <v>3006</v>
      </c>
      <c r="H18" t="s">
        <v>3002</v>
      </c>
      <c r="I18">
        <v>12000</v>
      </c>
      <c r="J18">
        <v>1</v>
      </c>
      <c r="L18" s="4" t="s">
        <v>3754</v>
      </c>
      <c r="M18" s="28">
        <v>1</v>
      </c>
      <c r="P18" t="s">
        <v>2965</v>
      </c>
      <c r="Q18" t="s">
        <v>3001</v>
      </c>
      <c r="R18">
        <v>23510</v>
      </c>
      <c r="S18" t="s">
        <v>86</v>
      </c>
      <c r="T18">
        <v>424</v>
      </c>
      <c r="U18" t="s">
        <v>3017</v>
      </c>
      <c r="V18" t="s">
        <v>3002</v>
      </c>
      <c r="W18">
        <v>13000</v>
      </c>
      <c r="X18">
        <v>1</v>
      </c>
      <c r="Z18" s="4" t="s">
        <v>2975</v>
      </c>
      <c r="AA18" s="28">
        <v>1</v>
      </c>
    </row>
    <row r="19" spans="2:27">
      <c r="B19" t="s">
        <v>3271</v>
      </c>
      <c r="C19" t="s">
        <v>3001</v>
      </c>
      <c r="D19">
        <v>23524</v>
      </c>
      <c r="E19" t="s">
        <v>3009</v>
      </c>
      <c r="F19">
        <v>31</v>
      </c>
      <c r="G19" t="s">
        <v>3272</v>
      </c>
      <c r="H19" t="s">
        <v>3002</v>
      </c>
      <c r="I19">
        <v>18000</v>
      </c>
      <c r="J19">
        <v>1</v>
      </c>
      <c r="L19" s="4" t="s">
        <v>3536</v>
      </c>
      <c r="M19" s="28">
        <v>-1</v>
      </c>
      <c r="P19" t="s">
        <v>116</v>
      </c>
      <c r="Q19" t="s">
        <v>3001</v>
      </c>
      <c r="R19">
        <v>23510</v>
      </c>
      <c r="S19" t="s">
        <v>86</v>
      </c>
      <c r="T19">
        <v>540</v>
      </c>
      <c r="U19" t="s">
        <v>3024</v>
      </c>
      <c r="V19" t="s">
        <v>3002</v>
      </c>
      <c r="W19">
        <v>13000</v>
      </c>
      <c r="X19">
        <v>1</v>
      </c>
      <c r="Z19" s="4" t="s">
        <v>3475</v>
      </c>
      <c r="AA19" s="28">
        <v>1</v>
      </c>
    </row>
    <row r="20" spans="2:27">
      <c r="B20" t="s">
        <v>3407</v>
      </c>
      <c r="C20" t="s">
        <v>3001</v>
      </c>
      <c r="D20">
        <v>23344</v>
      </c>
      <c r="E20" t="s">
        <v>3018</v>
      </c>
      <c r="F20">
        <v>550</v>
      </c>
      <c r="G20" t="s">
        <v>2998</v>
      </c>
      <c r="H20" t="s">
        <v>3002</v>
      </c>
      <c r="I20">
        <v>16000</v>
      </c>
      <c r="J20">
        <v>1</v>
      </c>
      <c r="L20" s="4" t="s">
        <v>3277</v>
      </c>
      <c r="M20" s="28">
        <v>1</v>
      </c>
      <c r="P20" t="s">
        <v>2976</v>
      </c>
      <c r="Q20" t="s">
        <v>3001</v>
      </c>
      <c r="R20">
        <v>23510</v>
      </c>
      <c r="S20" t="s">
        <v>86</v>
      </c>
      <c r="T20" t="s">
        <v>3021</v>
      </c>
      <c r="U20" t="s">
        <v>3022</v>
      </c>
      <c r="V20" t="s">
        <v>3002</v>
      </c>
      <c r="W20">
        <v>13000</v>
      </c>
      <c r="X20">
        <v>1</v>
      </c>
      <c r="Z20" s="4" t="s">
        <v>3291</v>
      </c>
      <c r="AA20" s="28">
        <v>1</v>
      </c>
    </row>
    <row r="21" spans="2:27">
      <c r="B21" t="s">
        <v>3739</v>
      </c>
      <c r="C21" t="s">
        <v>3001</v>
      </c>
      <c r="D21">
        <v>23200330</v>
      </c>
      <c r="E21" t="s">
        <v>3331</v>
      </c>
      <c r="F21">
        <v>620</v>
      </c>
      <c r="G21" t="s">
        <v>3026</v>
      </c>
      <c r="H21" t="s">
        <v>3002</v>
      </c>
      <c r="I21">
        <v>17000</v>
      </c>
      <c r="J21">
        <v>1</v>
      </c>
      <c r="L21" s="4" t="s">
        <v>3993</v>
      </c>
      <c r="M21" s="28">
        <v>1</v>
      </c>
      <c r="P21" t="s">
        <v>3475</v>
      </c>
      <c r="Q21" t="s">
        <v>3001</v>
      </c>
      <c r="R21">
        <v>23349</v>
      </c>
      <c r="S21" t="s">
        <v>3292</v>
      </c>
      <c r="T21">
        <v>662</v>
      </c>
      <c r="U21" t="s">
        <v>3320</v>
      </c>
      <c r="V21" t="s">
        <v>3002</v>
      </c>
      <c r="W21">
        <v>12000</v>
      </c>
      <c r="X21">
        <v>1</v>
      </c>
      <c r="Z21" s="4" t="s">
        <v>232</v>
      </c>
      <c r="AA21" s="28">
        <v>1</v>
      </c>
    </row>
    <row r="22" spans="2:27">
      <c r="B22" t="s">
        <v>3285</v>
      </c>
      <c r="C22" t="s">
        <v>3001</v>
      </c>
      <c r="D22">
        <v>23561</v>
      </c>
      <c r="E22" t="s">
        <v>172</v>
      </c>
      <c r="F22" t="s">
        <v>3005</v>
      </c>
      <c r="G22" t="s">
        <v>3006</v>
      </c>
      <c r="H22" t="s">
        <v>3002</v>
      </c>
      <c r="I22">
        <v>12000</v>
      </c>
      <c r="J22">
        <v>1</v>
      </c>
      <c r="L22" s="4" t="s">
        <v>85</v>
      </c>
      <c r="M22" s="28">
        <v>1</v>
      </c>
      <c r="P22" t="s">
        <v>3291</v>
      </c>
      <c r="Q22" t="s">
        <v>3001</v>
      </c>
      <c r="R22">
        <v>23349</v>
      </c>
      <c r="S22" t="s">
        <v>3292</v>
      </c>
      <c r="T22">
        <v>550</v>
      </c>
      <c r="U22" t="s">
        <v>2998</v>
      </c>
      <c r="V22" t="s">
        <v>3002</v>
      </c>
      <c r="W22">
        <v>12000</v>
      </c>
      <c r="X22">
        <v>1</v>
      </c>
      <c r="Z22" s="4" t="s">
        <v>3307</v>
      </c>
      <c r="AA22" s="28">
        <v>1</v>
      </c>
    </row>
    <row r="23" spans="2:27">
      <c r="B23" t="s">
        <v>3993</v>
      </c>
      <c r="C23" t="s">
        <v>3001</v>
      </c>
      <c r="D23">
        <v>23200251</v>
      </c>
      <c r="E23" t="s">
        <v>3293</v>
      </c>
      <c r="F23">
        <v>160</v>
      </c>
      <c r="G23" t="s">
        <v>3010</v>
      </c>
      <c r="H23" t="s">
        <v>3002</v>
      </c>
      <c r="I23">
        <v>19000</v>
      </c>
      <c r="J23">
        <v>1</v>
      </c>
      <c r="L23" s="4" t="s">
        <v>3231</v>
      </c>
      <c r="M23" s="28">
        <v>1</v>
      </c>
      <c r="P23" t="s">
        <v>85</v>
      </c>
      <c r="Q23" t="s">
        <v>3001</v>
      </c>
      <c r="R23">
        <v>23510</v>
      </c>
      <c r="S23" t="s">
        <v>86</v>
      </c>
      <c r="T23">
        <v>21</v>
      </c>
      <c r="U23" t="s">
        <v>3439</v>
      </c>
      <c r="V23" t="s">
        <v>3002</v>
      </c>
      <c r="W23">
        <v>13000</v>
      </c>
      <c r="X23">
        <v>1</v>
      </c>
      <c r="Z23" s="4" t="s">
        <v>3198</v>
      </c>
      <c r="AA23" s="28">
        <v>1</v>
      </c>
    </row>
    <row r="24" spans="2:27">
      <c r="B24" t="s">
        <v>133</v>
      </c>
      <c r="C24" t="s">
        <v>3001</v>
      </c>
      <c r="D24">
        <v>23510</v>
      </c>
      <c r="E24" t="s">
        <v>86</v>
      </c>
      <c r="F24">
        <v>664</v>
      </c>
      <c r="G24" t="s">
        <v>3015</v>
      </c>
      <c r="H24" t="s">
        <v>3002</v>
      </c>
      <c r="I24">
        <v>13000</v>
      </c>
      <c r="J24">
        <v>-1</v>
      </c>
      <c r="L24" s="4" t="s">
        <v>187</v>
      </c>
      <c r="M24" s="28">
        <v>3</v>
      </c>
      <c r="P24" t="s">
        <v>232</v>
      </c>
      <c r="Q24" t="s">
        <v>3001</v>
      </c>
      <c r="R24">
        <v>23565</v>
      </c>
      <c r="S24" t="s">
        <v>220</v>
      </c>
      <c r="T24">
        <v>633</v>
      </c>
      <c r="U24" t="s">
        <v>3347</v>
      </c>
      <c r="V24" t="s">
        <v>3002</v>
      </c>
      <c r="W24">
        <v>20000</v>
      </c>
      <c r="X24">
        <v>1</v>
      </c>
      <c r="Z24" s="4" t="s">
        <v>3995</v>
      </c>
      <c r="AA24" s="28">
        <v>1</v>
      </c>
    </row>
    <row r="25" spans="2:27">
      <c r="B25" t="s">
        <v>3536</v>
      </c>
      <c r="C25" t="s">
        <v>3001</v>
      </c>
      <c r="D25">
        <v>23561</v>
      </c>
      <c r="E25" t="s">
        <v>172</v>
      </c>
      <c r="F25">
        <v>600</v>
      </c>
      <c r="G25" t="s">
        <v>3282</v>
      </c>
      <c r="H25" t="s">
        <v>3002</v>
      </c>
      <c r="I25">
        <v>12000</v>
      </c>
      <c r="J25">
        <v>-1</v>
      </c>
      <c r="L25" s="4" t="s">
        <v>3490</v>
      </c>
      <c r="M25" s="28">
        <v>1</v>
      </c>
      <c r="P25" t="s">
        <v>3307</v>
      </c>
      <c r="Q25" t="s">
        <v>3001</v>
      </c>
      <c r="R25">
        <v>23345</v>
      </c>
      <c r="S25" t="s">
        <v>3031</v>
      </c>
      <c r="T25">
        <v>550</v>
      </c>
      <c r="U25" t="s">
        <v>2998</v>
      </c>
      <c r="V25" t="s">
        <v>3002</v>
      </c>
      <c r="W25">
        <v>19000</v>
      </c>
      <c r="X25">
        <v>1</v>
      </c>
      <c r="Z25" s="4" t="s">
        <v>2691</v>
      </c>
      <c r="AA25" s="28">
        <v>1</v>
      </c>
    </row>
    <row r="26" spans="2:27">
      <c r="B26" t="s">
        <v>85</v>
      </c>
      <c r="C26" t="s">
        <v>3001</v>
      </c>
      <c r="D26">
        <v>23510</v>
      </c>
      <c r="E26" t="s">
        <v>86</v>
      </c>
      <c r="F26">
        <v>21</v>
      </c>
      <c r="G26" t="s">
        <v>3439</v>
      </c>
      <c r="H26" t="s">
        <v>3002</v>
      </c>
      <c r="I26">
        <v>13000</v>
      </c>
      <c r="J26">
        <v>1</v>
      </c>
      <c r="L26" s="4" t="s">
        <v>3500</v>
      </c>
      <c r="M26" s="28">
        <v>1</v>
      </c>
      <c r="P26" t="s">
        <v>3198</v>
      </c>
      <c r="Q26" t="s">
        <v>3001</v>
      </c>
      <c r="R26">
        <v>23223</v>
      </c>
      <c r="S26" t="s">
        <v>3016</v>
      </c>
      <c r="T26">
        <v>207</v>
      </c>
      <c r="U26" t="s">
        <v>3376</v>
      </c>
      <c r="V26" t="s">
        <v>3002</v>
      </c>
      <c r="W26">
        <v>6500</v>
      </c>
      <c r="X26">
        <v>1</v>
      </c>
      <c r="Z26" s="4" t="s">
        <v>2974</v>
      </c>
      <c r="AA26" s="28">
        <v>0</v>
      </c>
    </row>
    <row r="27" spans="2:27">
      <c r="B27" t="s">
        <v>107</v>
      </c>
      <c r="C27" t="s">
        <v>3001</v>
      </c>
      <c r="D27">
        <v>23510</v>
      </c>
      <c r="E27" t="s">
        <v>86</v>
      </c>
      <c r="F27">
        <v>501</v>
      </c>
      <c r="G27" t="s">
        <v>3023</v>
      </c>
      <c r="H27" t="s">
        <v>3002</v>
      </c>
      <c r="I27">
        <v>13000</v>
      </c>
      <c r="J27">
        <v>1</v>
      </c>
      <c r="L27" s="4" t="s">
        <v>3510</v>
      </c>
      <c r="M27" s="28">
        <v>1</v>
      </c>
      <c r="P27" t="s">
        <v>3995</v>
      </c>
      <c r="Q27" t="s">
        <v>3001</v>
      </c>
      <c r="R27">
        <v>23508</v>
      </c>
      <c r="S27" t="s">
        <v>3269</v>
      </c>
      <c r="T27">
        <v>560</v>
      </c>
      <c r="U27" t="s">
        <v>3025</v>
      </c>
      <c r="V27" t="s">
        <v>3002</v>
      </c>
      <c r="W27">
        <v>5500</v>
      </c>
      <c r="X27">
        <v>1</v>
      </c>
      <c r="Z27" s="4" t="s">
        <v>3996</v>
      </c>
      <c r="AA27" s="28">
        <v>1</v>
      </c>
    </row>
    <row r="28" spans="2:27">
      <c r="B28" t="s">
        <v>3231</v>
      </c>
      <c r="C28" t="s">
        <v>3001</v>
      </c>
      <c r="D28">
        <v>23561</v>
      </c>
      <c r="E28" t="s">
        <v>172</v>
      </c>
      <c r="F28" t="s">
        <v>3398</v>
      </c>
      <c r="G28" t="s">
        <v>3399</v>
      </c>
      <c r="H28" t="s">
        <v>3002</v>
      </c>
      <c r="I28">
        <v>12000</v>
      </c>
      <c r="J28">
        <v>1</v>
      </c>
      <c r="L28" s="4" t="s">
        <v>190</v>
      </c>
      <c r="M28" s="28">
        <v>-1</v>
      </c>
      <c r="P28" t="s">
        <v>2691</v>
      </c>
      <c r="Q28" t="s">
        <v>3001</v>
      </c>
      <c r="R28">
        <v>23322</v>
      </c>
      <c r="S28" t="s">
        <v>2714</v>
      </c>
      <c r="T28">
        <v>633</v>
      </c>
      <c r="U28" t="s">
        <v>3347</v>
      </c>
      <c r="V28" t="s">
        <v>3002</v>
      </c>
      <c r="W28">
        <v>42000</v>
      </c>
      <c r="X28">
        <v>1</v>
      </c>
      <c r="Z28" s="4" t="s">
        <v>1978</v>
      </c>
      <c r="AA28" s="28">
        <v>1</v>
      </c>
    </row>
    <row r="29" spans="2:27">
      <c r="B29" t="s">
        <v>187</v>
      </c>
      <c r="C29" t="s">
        <v>3001</v>
      </c>
      <c r="D29">
        <v>23561</v>
      </c>
      <c r="E29" t="s">
        <v>172</v>
      </c>
      <c r="F29">
        <v>326</v>
      </c>
      <c r="G29" t="s">
        <v>3013</v>
      </c>
      <c r="H29" t="s">
        <v>3002</v>
      </c>
      <c r="I29">
        <v>12000</v>
      </c>
      <c r="J29">
        <v>1</v>
      </c>
      <c r="L29" s="4" t="s">
        <v>3211</v>
      </c>
      <c r="M29" s="28">
        <v>0</v>
      </c>
      <c r="P29" t="s">
        <v>85</v>
      </c>
      <c r="Q29" t="s">
        <v>3001</v>
      </c>
      <c r="R29">
        <v>23510</v>
      </c>
      <c r="S29" t="s">
        <v>86</v>
      </c>
      <c r="T29">
        <v>21</v>
      </c>
      <c r="U29" t="s">
        <v>3439</v>
      </c>
      <c r="V29" t="s">
        <v>3002</v>
      </c>
      <c r="W29">
        <v>13000</v>
      </c>
      <c r="X29">
        <v>1</v>
      </c>
      <c r="Z29" s="4" t="s">
        <v>3355</v>
      </c>
      <c r="AA29" s="28">
        <v>1</v>
      </c>
    </row>
    <row r="30" spans="2:27">
      <c r="B30" t="s">
        <v>3490</v>
      </c>
      <c r="C30" t="s">
        <v>3001</v>
      </c>
      <c r="D30">
        <v>23710</v>
      </c>
      <c r="E30" t="s">
        <v>3424</v>
      </c>
      <c r="F30">
        <v>31</v>
      </c>
      <c r="G30" t="s">
        <v>3272</v>
      </c>
      <c r="H30" t="s">
        <v>3002</v>
      </c>
      <c r="I30">
        <v>15000</v>
      </c>
      <c r="J30">
        <v>1</v>
      </c>
      <c r="L30" s="4" t="s">
        <v>3963</v>
      </c>
      <c r="M30" s="28">
        <v>1</v>
      </c>
      <c r="P30" t="s">
        <v>118</v>
      </c>
      <c r="Q30" t="s">
        <v>3001</v>
      </c>
      <c r="R30">
        <v>23510</v>
      </c>
      <c r="S30" t="s">
        <v>86</v>
      </c>
      <c r="T30">
        <v>550</v>
      </c>
      <c r="U30" t="s">
        <v>2998</v>
      </c>
      <c r="V30" t="s">
        <v>3002</v>
      </c>
      <c r="W30">
        <v>13000</v>
      </c>
      <c r="X30">
        <v>1</v>
      </c>
      <c r="Z30" s="4" t="s">
        <v>5173</v>
      </c>
      <c r="AA30" s="28">
        <v>1</v>
      </c>
    </row>
    <row r="31" spans="2:27">
      <c r="B31" t="s">
        <v>3500</v>
      </c>
      <c r="C31" t="s">
        <v>3001</v>
      </c>
      <c r="D31">
        <v>23796</v>
      </c>
      <c r="E31" t="s">
        <v>3034</v>
      </c>
      <c r="F31">
        <v>664</v>
      </c>
      <c r="G31" t="s">
        <v>3015</v>
      </c>
      <c r="H31" t="s">
        <v>3002</v>
      </c>
      <c r="I31">
        <v>8000</v>
      </c>
      <c r="J31">
        <v>1</v>
      </c>
      <c r="L31" s="4" t="s">
        <v>3299</v>
      </c>
      <c r="M31" s="28">
        <v>2</v>
      </c>
      <c r="P31" t="s">
        <v>2974</v>
      </c>
      <c r="Q31" t="s">
        <v>3001</v>
      </c>
      <c r="R31">
        <v>23346</v>
      </c>
      <c r="S31" t="s">
        <v>3041</v>
      </c>
      <c r="T31">
        <v>662</v>
      </c>
      <c r="U31" t="s">
        <v>3320</v>
      </c>
      <c r="V31" t="s">
        <v>3002</v>
      </c>
      <c r="W31">
        <v>14000</v>
      </c>
      <c r="X31">
        <v>1</v>
      </c>
      <c r="Z31" s="4" t="s">
        <v>1850</v>
      </c>
      <c r="AA31" s="28">
        <v>28</v>
      </c>
    </row>
    <row r="32" spans="2:27">
      <c r="B32" t="s">
        <v>3510</v>
      </c>
      <c r="C32" t="s">
        <v>3001</v>
      </c>
      <c r="D32">
        <v>23796</v>
      </c>
      <c r="E32" t="s">
        <v>3034</v>
      </c>
      <c r="F32">
        <v>221</v>
      </c>
      <c r="G32" t="s">
        <v>3290</v>
      </c>
      <c r="H32" t="s">
        <v>3002</v>
      </c>
      <c r="I32">
        <v>8000</v>
      </c>
      <c r="J32">
        <v>1</v>
      </c>
      <c r="L32" s="4" t="s">
        <v>3491</v>
      </c>
      <c r="M32" s="28">
        <v>1</v>
      </c>
      <c r="P32" t="s">
        <v>2975</v>
      </c>
      <c r="Q32" t="s">
        <v>3001</v>
      </c>
      <c r="R32">
        <v>23346</v>
      </c>
      <c r="S32" t="s">
        <v>3041</v>
      </c>
      <c r="T32">
        <v>550</v>
      </c>
      <c r="U32" t="s">
        <v>2998</v>
      </c>
      <c r="V32" t="s">
        <v>3002</v>
      </c>
      <c r="W32">
        <v>14000</v>
      </c>
      <c r="X32">
        <v>1</v>
      </c>
    </row>
    <row r="33" spans="2:24">
      <c r="B33" t="s">
        <v>3754</v>
      </c>
      <c r="C33" t="s">
        <v>3001</v>
      </c>
      <c r="D33">
        <v>23346</v>
      </c>
      <c r="E33" t="s">
        <v>3041</v>
      </c>
      <c r="F33">
        <v>50</v>
      </c>
      <c r="G33" t="s">
        <v>3037</v>
      </c>
      <c r="H33" t="s">
        <v>3002</v>
      </c>
      <c r="I33">
        <v>14000</v>
      </c>
      <c r="J33">
        <v>1</v>
      </c>
      <c r="L33" s="4" t="s">
        <v>3268</v>
      </c>
      <c r="M33" s="28">
        <v>1</v>
      </c>
      <c r="P33" t="s">
        <v>3996</v>
      </c>
      <c r="Q33" t="s">
        <v>3001</v>
      </c>
      <c r="R33">
        <v>23226</v>
      </c>
      <c r="S33" t="s">
        <v>3020</v>
      </c>
      <c r="T33">
        <v>333</v>
      </c>
      <c r="U33" t="s">
        <v>3997</v>
      </c>
      <c r="V33" t="s">
        <v>3002</v>
      </c>
      <c r="W33">
        <v>5000</v>
      </c>
      <c r="X33">
        <v>1</v>
      </c>
    </row>
    <row r="34" spans="2:24">
      <c r="B34" t="s">
        <v>190</v>
      </c>
      <c r="C34" t="s">
        <v>3001</v>
      </c>
      <c r="D34">
        <v>23561</v>
      </c>
      <c r="E34" t="s">
        <v>172</v>
      </c>
      <c r="F34">
        <v>501</v>
      </c>
      <c r="G34" t="s">
        <v>3023</v>
      </c>
      <c r="H34" t="s">
        <v>3002</v>
      </c>
      <c r="I34">
        <v>12000</v>
      </c>
      <c r="J34">
        <v>-1</v>
      </c>
      <c r="L34" s="4" t="s">
        <v>3894</v>
      </c>
      <c r="M34" s="28">
        <v>1</v>
      </c>
      <c r="P34" t="s">
        <v>2621</v>
      </c>
      <c r="Q34" t="s">
        <v>3001</v>
      </c>
      <c r="R34">
        <v>23505</v>
      </c>
      <c r="S34" t="s">
        <v>73</v>
      </c>
      <c r="T34">
        <v>560</v>
      </c>
      <c r="U34" t="s">
        <v>3025</v>
      </c>
      <c r="V34" t="s">
        <v>3002</v>
      </c>
      <c r="W34">
        <v>3500</v>
      </c>
      <c r="X34">
        <v>1</v>
      </c>
    </row>
    <row r="35" spans="2:24">
      <c r="B35" t="s">
        <v>182</v>
      </c>
      <c r="C35" t="s">
        <v>3001</v>
      </c>
      <c r="D35">
        <v>23561</v>
      </c>
      <c r="E35" t="s">
        <v>172</v>
      </c>
      <c r="F35">
        <v>312</v>
      </c>
      <c r="G35" t="s">
        <v>3003</v>
      </c>
      <c r="H35" t="s">
        <v>3002</v>
      </c>
      <c r="I35">
        <v>12000</v>
      </c>
      <c r="J35">
        <v>-1</v>
      </c>
      <c r="L35" s="4" t="s">
        <v>3212</v>
      </c>
      <c r="M35" s="28">
        <v>1</v>
      </c>
      <c r="P35" t="s">
        <v>2986</v>
      </c>
      <c r="Q35" t="s">
        <v>3001</v>
      </c>
      <c r="R35">
        <v>23796</v>
      </c>
      <c r="S35" t="s">
        <v>3034</v>
      </c>
      <c r="T35">
        <v>424</v>
      </c>
      <c r="U35" t="s">
        <v>3017</v>
      </c>
      <c r="V35" t="s">
        <v>3002</v>
      </c>
      <c r="W35">
        <v>8000</v>
      </c>
      <c r="X35">
        <v>1</v>
      </c>
    </row>
    <row r="36" spans="2:24">
      <c r="B36" t="s">
        <v>3211</v>
      </c>
      <c r="C36" t="s">
        <v>3001</v>
      </c>
      <c r="D36">
        <v>23561</v>
      </c>
      <c r="E36" t="s">
        <v>172</v>
      </c>
      <c r="F36" t="s">
        <v>3021</v>
      </c>
      <c r="G36" t="s">
        <v>3022</v>
      </c>
      <c r="H36" t="s">
        <v>3002</v>
      </c>
      <c r="I36">
        <v>12000</v>
      </c>
      <c r="J36">
        <v>1</v>
      </c>
      <c r="L36" s="4" t="s">
        <v>91</v>
      </c>
      <c r="M36" s="28">
        <v>1</v>
      </c>
    </row>
    <row r="37" spans="2:24">
      <c r="B37" t="s">
        <v>2666</v>
      </c>
      <c r="C37" t="s">
        <v>3001</v>
      </c>
      <c r="D37">
        <v>23797</v>
      </c>
      <c r="E37" t="s">
        <v>2735</v>
      </c>
      <c r="F37">
        <v>31</v>
      </c>
      <c r="G37" t="s">
        <v>3994</v>
      </c>
      <c r="H37" t="s">
        <v>3002</v>
      </c>
      <c r="I37">
        <v>10500</v>
      </c>
      <c r="J37">
        <v>1</v>
      </c>
      <c r="L37" s="4" t="s">
        <v>5164</v>
      </c>
      <c r="M37" s="28">
        <v>1</v>
      </c>
    </row>
    <row r="38" spans="2:24">
      <c r="B38" t="s">
        <v>3963</v>
      </c>
      <c r="C38" t="s">
        <v>3001</v>
      </c>
      <c r="D38">
        <v>23796</v>
      </c>
      <c r="E38" t="s">
        <v>3034</v>
      </c>
      <c r="F38">
        <v>31</v>
      </c>
      <c r="G38" t="s">
        <v>3272</v>
      </c>
      <c r="H38" t="s">
        <v>3002</v>
      </c>
      <c r="I38">
        <v>8000</v>
      </c>
      <c r="J38">
        <v>1</v>
      </c>
      <c r="L38" s="4" t="s">
        <v>3475</v>
      </c>
      <c r="M38" s="28">
        <v>1</v>
      </c>
    </row>
    <row r="39" spans="2:24">
      <c r="B39" t="s">
        <v>3407</v>
      </c>
      <c r="C39" t="s">
        <v>3001</v>
      </c>
      <c r="D39">
        <v>23344</v>
      </c>
      <c r="E39" t="s">
        <v>3018</v>
      </c>
      <c r="F39">
        <v>550</v>
      </c>
      <c r="G39" t="s">
        <v>2998</v>
      </c>
      <c r="H39" t="s">
        <v>3002</v>
      </c>
      <c r="I39">
        <v>16000</v>
      </c>
      <c r="J39">
        <v>1</v>
      </c>
      <c r="L39" s="4" t="s">
        <v>5165</v>
      </c>
      <c r="M39" s="28">
        <v>1</v>
      </c>
    </row>
    <row r="40" spans="2:24">
      <c r="B40" t="s">
        <v>3299</v>
      </c>
      <c r="C40" t="s">
        <v>3001</v>
      </c>
      <c r="D40">
        <v>23561</v>
      </c>
      <c r="E40" t="s">
        <v>172</v>
      </c>
      <c r="F40">
        <v>457</v>
      </c>
      <c r="G40" t="s">
        <v>3019</v>
      </c>
      <c r="H40" t="s">
        <v>3002</v>
      </c>
      <c r="I40">
        <v>12000</v>
      </c>
      <c r="J40">
        <v>2</v>
      </c>
      <c r="L40" s="4" t="s">
        <v>5166</v>
      </c>
      <c r="M40" s="28">
        <v>1</v>
      </c>
    </row>
    <row r="41" spans="2:24">
      <c r="B41" t="s">
        <v>2970</v>
      </c>
      <c r="C41" t="s">
        <v>3001</v>
      </c>
      <c r="D41">
        <v>23620</v>
      </c>
      <c r="E41" t="s">
        <v>1857</v>
      </c>
      <c r="F41" t="s">
        <v>3275</v>
      </c>
      <c r="G41" t="s">
        <v>3276</v>
      </c>
      <c r="H41" t="s">
        <v>3002</v>
      </c>
      <c r="I41">
        <v>13500</v>
      </c>
      <c r="J41">
        <v>2</v>
      </c>
      <c r="L41" s="4" t="s">
        <v>3271</v>
      </c>
      <c r="M41" s="28">
        <v>2</v>
      </c>
    </row>
    <row r="42" spans="2:24">
      <c r="B42" t="s">
        <v>133</v>
      </c>
      <c r="C42" t="s">
        <v>3001</v>
      </c>
      <c r="D42">
        <v>23510</v>
      </c>
      <c r="E42" t="s">
        <v>86</v>
      </c>
      <c r="F42">
        <v>664</v>
      </c>
      <c r="G42" t="s">
        <v>3015</v>
      </c>
      <c r="H42" t="s">
        <v>3002</v>
      </c>
      <c r="I42">
        <v>13000</v>
      </c>
      <c r="J42">
        <v>1</v>
      </c>
      <c r="L42" s="4" t="s">
        <v>3049</v>
      </c>
      <c r="M42" s="28">
        <v>1</v>
      </c>
    </row>
    <row r="43" spans="2:24">
      <c r="B43" t="s">
        <v>3356</v>
      </c>
      <c r="C43" t="s">
        <v>3001</v>
      </c>
      <c r="D43">
        <v>23796</v>
      </c>
      <c r="E43" t="s">
        <v>3034</v>
      </c>
      <c r="F43">
        <v>118</v>
      </c>
      <c r="G43" t="s">
        <v>3035</v>
      </c>
      <c r="H43" t="s">
        <v>3002</v>
      </c>
      <c r="I43">
        <v>8000</v>
      </c>
      <c r="J43">
        <v>1</v>
      </c>
      <c r="L43" s="4" t="s">
        <v>5167</v>
      </c>
      <c r="M43" s="28">
        <v>1</v>
      </c>
    </row>
    <row r="44" spans="2:24">
      <c r="B44" t="s">
        <v>3491</v>
      </c>
      <c r="C44" t="s">
        <v>3001</v>
      </c>
      <c r="D44">
        <v>23524</v>
      </c>
      <c r="E44" t="s">
        <v>3009</v>
      </c>
      <c r="F44">
        <v>160</v>
      </c>
      <c r="G44" t="s">
        <v>3010</v>
      </c>
      <c r="H44" t="s">
        <v>3002</v>
      </c>
      <c r="I44">
        <v>18000</v>
      </c>
      <c r="J44">
        <v>1</v>
      </c>
      <c r="L44" s="4" t="s">
        <v>3739</v>
      </c>
      <c r="M44" s="28">
        <v>1</v>
      </c>
    </row>
    <row r="45" spans="2:24">
      <c r="B45" t="s">
        <v>116</v>
      </c>
      <c r="C45" t="s">
        <v>3001</v>
      </c>
      <c r="D45">
        <v>23510</v>
      </c>
      <c r="E45" t="s">
        <v>86</v>
      </c>
      <c r="F45">
        <v>540</v>
      </c>
      <c r="G45" t="s">
        <v>3024</v>
      </c>
      <c r="H45" t="s">
        <v>3002</v>
      </c>
      <c r="I45">
        <v>13000</v>
      </c>
      <c r="J45">
        <v>1</v>
      </c>
      <c r="L45" s="4" t="s">
        <v>1850</v>
      </c>
      <c r="M45" s="28">
        <v>44</v>
      </c>
    </row>
    <row r="46" spans="2:24">
      <c r="B46" t="s">
        <v>120</v>
      </c>
      <c r="C46" t="s">
        <v>3001</v>
      </c>
      <c r="D46">
        <v>23510</v>
      </c>
      <c r="E46" t="s">
        <v>86</v>
      </c>
      <c r="F46">
        <v>560</v>
      </c>
      <c r="G46" t="s">
        <v>3025</v>
      </c>
      <c r="H46" t="s">
        <v>3002</v>
      </c>
      <c r="I46">
        <v>13000</v>
      </c>
      <c r="J46">
        <v>1</v>
      </c>
    </row>
    <row r="47" spans="2:24">
      <c r="B47" t="s">
        <v>99</v>
      </c>
      <c r="C47" t="s">
        <v>3001</v>
      </c>
      <c r="D47">
        <v>23510</v>
      </c>
      <c r="E47" t="s">
        <v>86</v>
      </c>
      <c r="F47">
        <v>312</v>
      </c>
      <c r="G47" t="s">
        <v>3003</v>
      </c>
      <c r="H47" t="s">
        <v>3002</v>
      </c>
      <c r="I47">
        <v>13000</v>
      </c>
      <c r="J47">
        <v>1</v>
      </c>
    </row>
    <row r="48" spans="2:24">
      <c r="B48" t="s">
        <v>2985</v>
      </c>
      <c r="C48" t="s">
        <v>3001</v>
      </c>
      <c r="D48">
        <v>23510</v>
      </c>
      <c r="E48" t="s">
        <v>86</v>
      </c>
      <c r="F48">
        <v>600</v>
      </c>
      <c r="G48" t="s">
        <v>3282</v>
      </c>
      <c r="H48" t="s">
        <v>3002</v>
      </c>
      <c r="I48">
        <v>13000</v>
      </c>
      <c r="J48">
        <v>1</v>
      </c>
    </row>
    <row r="49" spans="2:10">
      <c r="B49" t="s">
        <v>307</v>
      </c>
      <c r="C49" t="s">
        <v>3001</v>
      </c>
      <c r="D49">
        <v>24213</v>
      </c>
      <c r="E49" t="s">
        <v>308</v>
      </c>
      <c r="F49">
        <v>30</v>
      </c>
      <c r="G49" t="s">
        <v>3310</v>
      </c>
      <c r="H49" t="s">
        <v>3002</v>
      </c>
      <c r="I49">
        <v>4300</v>
      </c>
      <c r="J49">
        <v>1</v>
      </c>
    </row>
    <row r="50" spans="2:10">
      <c r="B50" t="s">
        <v>3457</v>
      </c>
      <c r="C50" t="s">
        <v>3001</v>
      </c>
      <c r="D50">
        <v>23796</v>
      </c>
      <c r="E50" t="s">
        <v>3034</v>
      </c>
      <c r="F50">
        <v>457</v>
      </c>
      <c r="G50" t="s">
        <v>3019</v>
      </c>
      <c r="H50" t="s">
        <v>3002</v>
      </c>
      <c r="I50">
        <v>8000</v>
      </c>
      <c r="J50">
        <v>1</v>
      </c>
    </row>
    <row r="51" spans="2:10">
      <c r="B51" t="s">
        <v>3268</v>
      </c>
      <c r="C51" t="s">
        <v>3001</v>
      </c>
      <c r="D51">
        <v>23796</v>
      </c>
      <c r="E51" t="s">
        <v>3034</v>
      </c>
      <c r="F51">
        <v>560</v>
      </c>
      <c r="G51" t="s">
        <v>3025</v>
      </c>
      <c r="H51" t="s">
        <v>3002</v>
      </c>
      <c r="I51">
        <v>8000</v>
      </c>
      <c r="J51">
        <v>1</v>
      </c>
    </row>
    <row r="52" spans="2:10">
      <c r="B52" t="s">
        <v>3894</v>
      </c>
      <c r="C52" t="s">
        <v>3001</v>
      </c>
      <c r="D52">
        <v>23345</v>
      </c>
      <c r="E52" t="s">
        <v>3031</v>
      </c>
      <c r="F52" t="s">
        <v>3038</v>
      </c>
      <c r="G52" t="s">
        <v>3039</v>
      </c>
      <c r="H52" t="s">
        <v>3002</v>
      </c>
      <c r="I52">
        <v>19000</v>
      </c>
      <c r="J52">
        <v>1</v>
      </c>
    </row>
    <row r="53" spans="2:10">
      <c r="B53" t="s">
        <v>3212</v>
      </c>
      <c r="C53" t="s">
        <v>3001</v>
      </c>
      <c r="D53">
        <v>23345</v>
      </c>
      <c r="E53" t="s">
        <v>3031</v>
      </c>
      <c r="F53">
        <v>357</v>
      </c>
      <c r="G53" t="s">
        <v>3213</v>
      </c>
      <c r="H53" t="s">
        <v>3002</v>
      </c>
      <c r="I53">
        <v>19000</v>
      </c>
      <c r="J53">
        <v>1</v>
      </c>
    </row>
  </sheetData>
  <phoneticPr fontId="22"/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1B6C-B398-4556-BCAD-CFDD48822B22}">
  <sheetPr codeName="Sheet5"/>
  <dimension ref="A1:AP278"/>
  <sheetViews>
    <sheetView workbookViewId="0">
      <pane ySplit="1" topLeftCell="A2" activePane="bottomLeft" state="frozen"/>
      <selection pane="bottomLeft" sqref="A1:AP278"/>
    </sheetView>
  </sheetViews>
  <sheetFormatPr defaultColWidth="9.109375" defaultRowHeight="16.2"/>
  <cols>
    <col min="1" max="3" width="9.109375" style="23"/>
    <col min="4" max="4" width="46.33203125" style="23" bestFit="1" customWidth="1"/>
    <col min="5" max="19" width="9.109375" style="23"/>
    <col min="20" max="20" width="23.5546875" style="23" bestFit="1" customWidth="1"/>
    <col min="21" max="16384" width="9.109375" style="23"/>
  </cols>
  <sheetData>
    <row r="1" spans="1:42">
      <c r="A1" s="23" t="s">
        <v>3059</v>
      </c>
      <c r="B1" s="23" t="s">
        <v>3060</v>
      </c>
      <c r="C1" s="23" t="s">
        <v>3061</v>
      </c>
      <c r="D1" s="24" t="s">
        <v>3062</v>
      </c>
      <c r="E1" s="23" t="s">
        <v>3063</v>
      </c>
      <c r="F1" s="23" t="s">
        <v>3064</v>
      </c>
      <c r="G1" s="23" t="s">
        <v>3065</v>
      </c>
      <c r="H1" s="23" t="s">
        <v>3066</v>
      </c>
      <c r="I1" s="23" t="s">
        <v>3067</v>
      </c>
      <c r="J1" s="23" t="s">
        <v>3068</v>
      </c>
      <c r="K1" s="23" t="s">
        <v>3069</v>
      </c>
      <c r="L1" s="23" t="s">
        <v>3070</v>
      </c>
      <c r="M1" s="23" t="s">
        <v>3071</v>
      </c>
      <c r="N1" s="23" t="s">
        <v>1</v>
      </c>
      <c r="O1" s="24" t="s">
        <v>3072</v>
      </c>
      <c r="P1" s="23" t="s">
        <v>3073</v>
      </c>
      <c r="Q1" s="23" t="s">
        <v>3074</v>
      </c>
      <c r="R1" s="23" t="s">
        <v>0</v>
      </c>
      <c r="S1" s="23" t="s">
        <v>3075</v>
      </c>
      <c r="T1" s="24" t="s">
        <v>3076</v>
      </c>
      <c r="U1" s="23" t="s">
        <v>3077</v>
      </c>
      <c r="V1" s="23" t="s">
        <v>3078</v>
      </c>
      <c r="W1" s="23" t="s">
        <v>3079</v>
      </c>
      <c r="X1" s="23" t="s">
        <v>3080</v>
      </c>
      <c r="Y1" s="23" t="s">
        <v>3081</v>
      </c>
      <c r="Z1" s="23" t="s">
        <v>3082</v>
      </c>
      <c r="AA1" s="23" t="s">
        <v>3083</v>
      </c>
      <c r="AB1" s="23" t="s">
        <v>3084</v>
      </c>
      <c r="AC1" s="23" t="s">
        <v>3085</v>
      </c>
      <c r="AD1" s="23" t="s">
        <v>3086</v>
      </c>
      <c r="AE1" s="23" t="s">
        <v>3087</v>
      </c>
      <c r="AF1" s="23" t="s">
        <v>3088</v>
      </c>
      <c r="AG1" s="23" t="s">
        <v>3089</v>
      </c>
      <c r="AH1" s="23" t="s">
        <v>3090</v>
      </c>
      <c r="AI1" s="23" t="s">
        <v>3091</v>
      </c>
      <c r="AJ1" s="23" t="s">
        <v>3092</v>
      </c>
      <c r="AK1" s="23" t="s">
        <v>3093</v>
      </c>
      <c r="AL1" s="23" t="s">
        <v>3094</v>
      </c>
      <c r="AM1" s="23" t="s">
        <v>3095</v>
      </c>
      <c r="AN1" s="23" t="s">
        <v>3096</v>
      </c>
      <c r="AO1" s="23" t="s">
        <v>3097</v>
      </c>
      <c r="AP1" s="23" t="s">
        <v>3098</v>
      </c>
    </row>
    <row r="2" spans="1:42">
      <c r="A2" s="25">
        <v>46204</v>
      </c>
      <c r="B2" s="23" t="s">
        <v>5757</v>
      </c>
      <c r="C2" s="23" t="s">
        <v>5758</v>
      </c>
      <c r="D2" s="23" t="s">
        <v>3105</v>
      </c>
      <c r="E2" s="23" t="s">
        <v>5759</v>
      </c>
      <c r="F2" s="23" t="s">
        <v>5760</v>
      </c>
      <c r="G2" s="23">
        <v>7083406798</v>
      </c>
      <c r="I2" s="23" t="s">
        <v>5761</v>
      </c>
      <c r="J2" s="23" t="s">
        <v>5759</v>
      </c>
      <c r="K2" s="23" t="s">
        <v>5760</v>
      </c>
      <c r="L2" s="23" t="s">
        <v>5762</v>
      </c>
      <c r="M2" s="23" t="s">
        <v>5763</v>
      </c>
      <c r="N2" s="23" t="s">
        <v>3009</v>
      </c>
      <c r="O2" s="23">
        <v>1</v>
      </c>
      <c r="P2" s="23">
        <v>19800</v>
      </c>
      <c r="Q2" s="23">
        <v>1980</v>
      </c>
      <c r="R2" s="23" t="s">
        <v>3167</v>
      </c>
      <c r="S2" s="23" t="s">
        <v>3168</v>
      </c>
      <c r="T2" s="23" t="s">
        <v>2972</v>
      </c>
      <c r="V2" s="23" t="s">
        <v>3106</v>
      </c>
      <c r="W2" s="23">
        <v>20350</v>
      </c>
      <c r="X2" s="23">
        <v>550</v>
      </c>
      <c r="Z2" s="23">
        <v>0</v>
      </c>
      <c r="AA2" s="23">
        <v>0</v>
      </c>
      <c r="AB2" s="23">
        <v>0</v>
      </c>
      <c r="AC2" s="23">
        <v>10</v>
      </c>
      <c r="AD2" s="23">
        <v>0</v>
      </c>
      <c r="AE2" s="23">
        <v>0</v>
      </c>
      <c r="AG2" s="23" t="s">
        <v>3101</v>
      </c>
      <c r="AK2" s="23" t="s">
        <v>3148</v>
      </c>
      <c r="AM2" s="23" t="s">
        <v>3102</v>
      </c>
      <c r="AO2" s="23" t="s">
        <v>3102</v>
      </c>
    </row>
    <row r="3" spans="1:42">
      <c r="A3" s="25">
        <v>46204</v>
      </c>
      <c r="B3" s="23" t="s">
        <v>5174</v>
      </c>
      <c r="C3" s="23" t="s">
        <v>5175</v>
      </c>
      <c r="D3" s="23" t="s">
        <v>3103</v>
      </c>
      <c r="E3" s="23" t="s">
        <v>5176</v>
      </c>
      <c r="F3" s="23" t="s">
        <v>5177</v>
      </c>
      <c r="G3" s="23">
        <v>8061468353</v>
      </c>
      <c r="I3" s="23" t="s">
        <v>5178</v>
      </c>
      <c r="J3" s="23" t="s">
        <v>5176</v>
      </c>
      <c r="K3" s="23" t="s">
        <v>5177</v>
      </c>
      <c r="L3" s="23" t="s">
        <v>5179</v>
      </c>
      <c r="M3" s="23" t="s">
        <v>5180</v>
      </c>
      <c r="N3" s="23" t="s">
        <v>3752</v>
      </c>
      <c r="O3" s="23">
        <v>1</v>
      </c>
      <c r="P3" s="23">
        <v>12100</v>
      </c>
      <c r="Q3" s="23">
        <v>1210</v>
      </c>
      <c r="R3" s="23" t="s">
        <v>5181</v>
      </c>
      <c r="S3" s="23" t="s">
        <v>5182</v>
      </c>
      <c r="T3" s="23" t="s">
        <v>5183</v>
      </c>
      <c r="V3" s="23" t="s">
        <v>3104</v>
      </c>
      <c r="W3" s="23">
        <v>22440</v>
      </c>
      <c r="X3" s="23">
        <v>550</v>
      </c>
      <c r="Z3" s="23">
        <v>0</v>
      </c>
      <c r="AA3" s="23">
        <v>0</v>
      </c>
      <c r="AB3" s="23">
        <v>0</v>
      </c>
      <c r="AC3" s="23">
        <v>10</v>
      </c>
      <c r="AD3" s="23">
        <v>0</v>
      </c>
      <c r="AE3" s="23">
        <v>0</v>
      </c>
      <c r="AG3" s="23" t="s">
        <v>3101</v>
      </c>
      <c r="AK3" s="23" t="s">
        <v>3148</v>
      </c>
      <c r="AM3" s="23" t="s">
        <v>3102</v>
      </c>
      <c r="AO3" s="23" t="s">
        <v>3102</v>
      </c>
    </row>
    <row r="4" spans="1:42">
      <c r="A4" s="25">
        <v>46204</v>
      </c>
      <c r="B4" s="23" t="s">
        <v>5174</v>
      </c>
      <c r="C4" s="23" t="s">
        <v>5175</v>
      </c>
      <c r="D4" s="23" t="s">
        <v>3103</v>
      </c>
      <c r="E4" s="23" t="s">
        <v>5176</v>
      </c>
      <c r="F4" s="23" t="s">
        <v>5177</v>
      </c>
      <c r="G4" s="23">
        <v>8061468353</v>
      </c>
      <c r="I4" s="23" t="s">
        <v>5178</v>
      </c>
      <c r="J4" s="23" t="s">
        <v>5176</v>
      </c>
      <c r="K4" s="23" t="s">
        <v>5177</v>
      </c>
      <c r="L4" s="23" t="s">
        <v>5179</v>
      </c>
      <c r="M4" s="23" t="s">
        <v>5180</v>
      </c>
      <c r="N4" s="23" t="s">
        <v>3027</v>
      </c>
      <c r="O4" s="23">
        <v>1</v>
      </c>
      <c r="P4" s="23">
        <v>9790</v>
      </c>
      <c r="Q4" s="23">
        <v>979</v>
      </c>
      <c r="R4" s="23" t="s">
        <v>5184</v>
      </c>
      <c r="S4" s="23" t="s">
        <v>5185</v>
      </c>
      <c r="T4" s="23" t="s">
        <v>5186</v>
      </c>
      <c r="V4" s="23" t="s">
        <v>3104</v>
      </c>
      <c r="W4" s="23">
        <v>22440</v>
      </c>
      <c r="X4" s="23">
        <v>550</v>
      </c>
      <c r="Z4" s="23">
        <v>0</v>
      </c>
      <c r="AA4" s="23">
        <v>0</v>
      </c>
      <c r="AB4" s="23">
        <v>0</v>
      </c>
      <c r="AC4" s="23">
        <v>10</v>
      </c>
      <c r="AD4" s="23">
        <v>0</v>
      </c>
      <c r="AE4" s="23">
        <v>0</v>
      </c>
      <c r="AG4" s="23" t="s">
        <v>3101</v>
      </c>
      <c r="AK4" s="23" t="s">
        <v>3148</v>
      </c>
      <c r="AM4" s="23" t="s">
        <v>3102</v>
      </c>
      <c r="AO4" s="23" t="s">
        <v>3102</v>
      </c>
    </row>
    <row r="5" spans="1:42">
      <c r="A5" s="25">
        <v>46204</v>
      </c>
      <c r="B5" s="23" t="s">
        <v>5187</v>
      </c>
      <c r="C5" s="23" t="s">
        <v>5188</v>
      </c>
      <c r="D5" s="23" t="s">
        <v>3108</v>
      </c>
      <c r="E5" s="23" t="s">
        <v>5189</v>
      </c>
      <c r="F5" s="23" t="s">
        <v>5190</v>
      </c>
      <c r="G5" s="23">
        <v>9080978515</v>
      </c>
      <c r="I5" s="23" t="s">
        <v>5191</v>
      </c>
      <c r="J5" s="23" t="s">
        <v>5189</v>
      </c>
      <c r="K5" s="23" t="s">
        <v>5190</v>
      </c>
      <c r="L5" s="23" t="s">
        <v>5192</v>
      </c>
      <c r="M5" s="23" t="s">
        <v>5193</v>
      </c>
      <c r="N5" s="23" t="s">
        <v>3674</v>
      </c>
      <c r="O5" s="23">
        <v>1</v>
      </c>
      <c r="P5" s="23">
        <v>14300</v>
      </c>
      <c r="Q5" s="23">
        <v>1430</v>
      </c>
      <c r="R5" s="23" t="s">
        <v>3675</v>
      </c>
      <c r="S5" s="23" t="s">
        <v>3150</v>
      </c>
      <c r="T5" s="23" t="s">
        <v>133</v>
      </c>
      <c r="V5" s="23" t="s">
        <v>3110</v>
      </c>
      <c r="W5" s="23">
        <v>14850</v>
      </c>
      <c r="X5" s="23">
        <v>550</v>
      </c>
      <c r="Z5" s="23">
        <v>0</v>
      </c>
      <c r="AA5" s="23">
        <v>0</v>
      </c>
      <c r="AB5" s="23">
        <v>0</v>
      </c>
      <c r="AC5" s="23">
        <v>10</v>
      </c>
      <c r="AD5" s="23">
        <v>0</v>
      </c>
      <c r="AE5" s="23">
        <v>0</v>
      </c>
      <c r="AG5" s="23" t="s">
        <v>3101</v>
      </c>
      <c r="AK5" s="23" t="s">
        <v>3148</v>
      </c>
      <c r="AM5" s="23" t="s">
        <v>3102</v>
      </c>
      <c r="AO5" s="23" t="s">
        <v>3102</v>
      </c>
    </row>
    <row r="6" spans="1:42">
      <c r="A6" s="25">
        <v>46204</v>
      </c>
      <c r="B6" s="23" t="s">
        <v>5194</v>
      </c>
      <c r="C6" s="23" t="s">
        <v>5195</v>
      </c>
      <c r="D6" s="23" t="s">
        <v>3108</v>
      </c>
      <c r="E6" s="23" t="s">
        <v>5196</v>
      </c>
      <c r="F6" s="23" t="s">
        <v>5197</v>
      </c>
      <c r="G6" s="23">
        <v>7090365335</v>
      </c>
      <c r="I6" s="23" t="s">
        <v>5198</v>
      </c>
      <c r="J6" s="23" t="s">
        <v>5196</v>
      </c>
      <c r="K6" s="23" t="s">
        <v>5197</v>
      </c>
      <c r="L6" s="23" t="s">
        <v>5199</v>
      </c>
      <c r="M6" s="23" t="s">
        <v>5200</v>
      </c>
      <c r="N6" s="23" t="s">
        <v>3424</v>
      </c>
      <c r="O6" s="23">
        <v>1</v>
      </c>
      <c r="P6" s="23">
        <v>16500</v>
      </c>
      <c r="Q6" s="23">
        <v>1650</v>
      </c>
      <c r="R6" s="23" t="s">
        <v>5201</v>
      </c>
      <c r="S6" s="23" t="s">
        <v>5202</v>
      </c>
      <c r="T6" s="23" t="s">
        <v>5203</v>
      </c>
      <c r="V6" s="23" t="s">
        <v>3110</v>
      </c>
      <c r="W6" s="23">
        <v>17050</v>
      </c>
      <c r="X6" s="23">
        <v>550</v>
      </c>
      <c r="Z6" s="23">
        <v>0</v>
      </c>
      <c r="AA6" s="23">
        <v>0</v>
      </c>
      <c r="AB6" s="23">
        <v>0</v>
      </c>
      <c r="AC6" s="23">
        <v>10</v>
      </c>
      <c r="AD6" s="23">
        <v>0</v>
      </c>
      <c r="AE6" s="23">
        <v>0</v>
      </c>
      <c r="AG6" s="23" t="s">
        <v>3101</v>
      </c>
      <c r="AK6" s="23" t="s">
        <v>3148</v>
      </c>
      <c r="AM6" s="23" t="s">
        <v>3102</v>
      </c>
      <c r="AO6" s="23" t="s">
        <v>3102</v>
      </c>
    </row>
    <row r="7" spans="1:42">
      <c r="A7" s="25">
        <v>46203</v>
      </c>
      <c r="B7" s="23" t="s">
        <v>5204</v>
      </c>
      <c r="C7" s="23" t="s">
        <v>5205</v>
      </c>
      <c r="D7" s="23" t="s">
        <v>3108</v>
      </c>
      <c r="E7" s="23" t="s">
        <v>5206</v>
      </c>
      <c r="F7" s="23" t="s">
        <v>5207</v>
      </c>
      <c r="G7" s="23">
        <v>7044655316</v>
      </c>
      <c r="I7" s="23" t="s">
        <v>5208</v>
      </c>
      <c r="J7" s="23" t="s">
        <v>5206</v>
      </c>
      <c r="K7" s="23" t="s">
        <v>5207</v>
      </c>
      <c r="L7" s="23" t="s">
        <v>5209</v>
      </c>
      <c r="M7" s="23" t="s">
        <v>5210</v>
      </c>
      <c r="N7" s="23" t="s">
        <v>3330</v>
      </c>
      <c r="O7" s="23">
        <v>1</v>
      </c>
      <c r="P7" s="23">
        <v>14300</v>
      </c>
      <c r="Q7" s="23">
        <v>1430</v>
      </c>
      <c r="R7" s="23" t="s">
        <v>5211</v>
      </c>
      <c r="S7" s="23" t="s">
        <v>5212</v>
      </c>
      <c r="T7" s="23" t="s">
        <v>3474</v>
      </c>
      <c r="V7" s="23" t="s">
        <v>3110</v>
      </c>
      <c r="W7" s="23">
        <v>14850</v>
      </c>
      <c r="X7" s="23">
        <v>550</v>
      </c>
      <c r="Z7" s="23">
        <v>0</v>
      </c>
      <c r="AA7" s="23">
        <v>0</v>
      </c>
      <c r="AB7" s="23">
        <v>0</v>
      </c>
      <c r="AC7" s="23">
        <v>10</v>
      </c>
      <c r="AD7" s="23">
        <v>0</v>
      </c>
      <c r="AE7" s="23">
        <v>0</v>
      </c>
      <c r="AG7" s="23" t="s">
        <v>3101</v>
      </c>
      <c r="AK7" s="23" t="s">
        <v>3148</v>
      </c>
      <c r="AM7" s="23" t="s">
        <v>3102</v>
      </c>
      <c r="AO7" s="23" t="s">
        <v>3102</v>
      </c>
    </row>
    <row r="8" spans="1:42">
      <c r="A8" s="25">
        <v>46203</v>
      </c>
      <c r="B8" s="23" t="s">
        <v>5213</v>
      </c>
      <c r="C8" s="23" t="s">
        <v>5214</v>
      </c>
      <c r="D8" s="23" t="s">
        <v>4091</v>
      </c>
      <c r="E8" s="23" t="s">
        <v>5206</v>
      </c>
      <c r="F8" s="23" t="s">
        <v>5207</v>
      </c>
      <c r="G8" s="23">
        <v>7044655316</v>
      </c>
      <c r="I8" s="23" t="s">
        <v>5208</v>
      </c>
      <c r="J8" s="23" t="s">
        <v>5215</v>
      </c>
      <c r="K8" s="23" t="s">
        <v>5207</v>
      </c>
      <c r="L8" s="23" t="s">
        <v>5216</v>
      </c>
      <c r="M8" s="23" t="s">
        <v>5210</v>
      </c>
      <c r="N8" s="23" t="s">
        <v>3330</v>
      </c>
      <c r="O8" s="23">
        <v>1</v>
      </c>
      <c r="P8" s="23">
        <v>14300</v>
      </c>
      <c r="Q8" s="23">
        <v>1430</v>
      </c>
      <c r="R8" s="23" t="s">
        <v>5211</v>
      </c>
      <c r="S8" s="23" t="s">
        <v>5212</v>
      </c>
      <c r="T8" s="23" t="s">
        <v>3474</v>
      </c>
      <c r="V8" s="23" t="s">
        <v>3104</v>
      </c>
      <c r="W8" s="23">
        <v>14850</v>
      </c>
      <c r="X8" s="23">
        <v>550</v>
      </c>
      <c r="Z8" s="23">
        <v>0</v>
      </c>
      <c r="AA8" s="23">
        <v>0</v>
      </c>
      <c r="AB8" s="23">
        <v>0</v>
      </c>
      <c r="AC8" s="23">
        <v>10</v>
      </c>
      <c r="AD8" s="23">
        <v>0</v>
      </c>
      <c r="AE8" s="23">
        <v>0</v>
      </c>
      <c r="AG8" s="23" t="s">
        <v>3101</v>
      </c>
      <c r="AK8" s="23" t="s">
        <v>3148</v>
      </c>
      <c r="AM8" s="23" t="s">
        <v>3102</v>
      </c>
      <c r="AO8" s="23" t="s">
        <v>3102</v>
      </c>
    </row>
    <row r="9" spans="1:42">
      <c r="A9" s="25">
        <v>46203</v>
      </c>
      <c r="B9" s="23" t="s">
        <v>5217</v>
      </c>
      <c r="C9" s="23" t="s">
        <v>5218</v>
      </c>
      <c r="D9" s="23" t="s">
        <v>3103</v>
      </c>
      <c r="E9" s="23" t="s">
        <v>5219</v>
      </c>
      <c r="F9" s="23" t="s">
        <v>5220</v>
      </c>
      <c r="G9" s="23">
        <v>8065886230</v>
      </c>
      <c r="I9" s="23" t="s">
        <v>5221</v>
      </c>
      <c r="J9" s="23" t="s">
        <v>5219</v>
      </c>
      <c r="K9" s="23" t="s">
        <v>5220</v>
      </c>
      <c r="L9" s="23" t="s">
        <v>5222</v>
      </c>
      <c r="M9" s="23" t="s">
        <v>5223</v>
      </c>
      <c r="N9" s="23" t="s">
        <v>3122</v>
      </c>
      <c r="O9" s="23">
        <v>1</v>
      </c>
      <c r="P9" s="23">
        <v>14300</v>
      </c>
      <c r="Q9" s="23">
        <v>1430</v>
      </c>
      <c r="R9" s="23" t="s">
        <v>3163</v>
      </c>
      <c r="S9" s="23" t="s">
        <v>3150</v>
      </c>
      <c r="T9" s="23" t="s">
        <v>120</v>
      </c>
      <c r="V9" s="23" t="s">
        <v>3104</v>
      </c>
      <c r="W9" s="23">
        <v>14850</v>
      </c>
      <c r="X9" s="23">
        <v>550</v>
      </c>
      <c r="Z9" s="23">
        <v>0</v>
      </c>
      <c r="AA9" s="23">
        <v>0</v>
      </c>
      <c r="AB9" s="23">
        <v>0</v>
      </c>
      <c r="AC9" s="23">
        <v>10</v>
      </c>
      <c r="AD9" s="23">
        <v>0</v>
      </c>
      <c r="AE9" s="23">
        <v>0</v>
      </c>
      <c r="AG9" s="23" t="s">
        <v>3101</v>
      </c>
      <c r="AK9" s="23" t="s">
        <v>3148</v>
      </c>
      <c r="AM9" s="23" t="s">
        <v>3102</v>
      </c>
      <c r="AO9" s="23" t="s">
        <v>3102</v>
      </c>
    </row>
    <row r="10" spans="1:42">
      <c r="A10" s="25">
        <v>46203</v>
      </c>
      <c r="B10" s="23" t="s">
        <v>5224</v>
      </c>
      <c r="C10" s="23" t="s">
        <v>5225</v>
      </c>
      <c r="D10" s="23" t="s">
        <v>3105</v>
      </c>
      <c r="E10" s="23" t="s">
        <v>5226</v>
      </c>
      <c r="F10" s="23" t="s">
        <v>5227</v>
      </c>
      <c r="G10" s="23">
        <v>9090334798</v>
      </c>
      <c r="I10" s="23" t="s">
        <v>5228</v>
      </c>
      <c r="J10" s="23" t="s">
        <v>5226</v>
      </c>
      <c r="K10" s="23" t="s">
        <v>5227</v>
      </c>
      <c r="L10" s="23" t="s">
        <v>5229</v>
      </c>
      <c r="M10" s="23" t="s">
        <v>5230</v>
      </c>
      <c r="N10" s="23" t="s">
        <v>661</v>
      </c>
      <c r="O10" s="23">
        <v>1</v>
      </c>
      <c r="P10" s="23">
        <v>5280</v>
      </c>
      <c r="Q10" s="23">
        <v>528</v>
      </c>
      <c r="R10" s="23" t="s">
        <v>5231</v>
      </c>
      <c r="S10" s="23" t="s">
        <v>5232</v>
      </c>
      <c r="T10" s="23" t="s">
        <v>662</v>
      </c>
      <c r="V10" s="23" t="s">
        <v>3106</v>
      </c>
      <c r="W10" s="23">
        <v>45338</v>
      </c>
      <c r="X10" s="23">
        <v>550</v>
      </c>
      <c r="Z10" s="23">
        <v>0</v>
      </c>
      <c r="AA10" s="23">
        <v>-3062</v>
      </c>
      <c r="AB10" s="23">
        <v>0</v>
      </c>
      <c r="AC10" s="23">
        <v>10</v>
      </c>
      <c r="AD10" s="23">
        <v>0</v>
      </c>
      <c r="AE10" s="23">
        <v>0</v>
      </c>
      <c r="AG10" s="23" t="s">
        <v>3101</v>
      </c>
      <c r="AK10" s="23" t="s">
        <v>3148</v>
      </c>
      <c r="AM10" s="23" t="s">
        <v>3102</v>
      </c>
      <c r="AO10" s="23" t="s">
        <v>3102</v>
      </c>
    </row>
    <row r="11" spans="1:42">
      <c r="A11" s="25">
        <v>46203</v>
      </c>
      <c r="B11" s="23" t="s">
        <v>5224</v>
      </c>
      <c r="C11" s="23" t="s">
        <v>5225</v>
      </c>
      <c r="D11" s="23" t="s">
        <v>3105</v>
      </c>
      <c r="E11" s="23" t="s">
        <v>5226</v>
      </c>
      <c r="F11" s="23" t="s">
        <v>5227</v>
      </c>
      <c r="G11" s="23">
        <v>9090334798</v>
      </c>
      <c r="I11" s="23" t="s">
        <v>5228</v>
      </c>
      <c r="J11" s="23" t="s">
        <v>5226</v>
      </c>
      <c r="K11" s="23" t="s">
        <v>5227</v>
      </c>
      <c r="L11" s="23" t="s">
        <v>5229</v>
      </c>
      <c r="M11" s="23" t="s">
        <v>5230</v>
      </c>
      <c r="N11" s="23" t="s">
        <v>3913</v>
      </c>
      <c r="O11" s="23">
        <v>1</v>
      </c>
      <c r="P11" s="23">
        <v>7370</v>
      </c>
      <c r="Q11" s="23">
        <v>737</v>
      </c>
      <c r="R11" s="23" t="s">
        <v>5233</v>
      </c>
      <c r="S11" s="23" t="s">
        <v>5234</v>
      </c>
      <c r="T11" s="23" t="s">
        <v>5235</v>
      </c>
      <c r="V11" s="23" t="s">
        <v>3106</v>
      </c>
      <c r="W11" s="23">
        <v>45338</v>
      </c>
      <c r="X11" s="23">
        <v>550</v>
      </c>
      <c r="Z11" s="23">
        <v>0</v>
      </c>
      <c r="AA11" s="23">
        <v>-3062</v>
      </c>
      <c r="AB11" s="23">
        <v>0</v>
      </c>
      <c r="AC11" s="23">
        <v>10</v>
      </c>
      <c r="AD11" s="23">
        <v>0</v>
      </c>
      <c r="AE11" s="23">
        <v>0</v>
      </c>
      <c r="AG11" s="23" t="s">
        <v>3101</v>
      </c>
      <c r="AK11" s="23" t="s">
        <v>3148</v>
      </c>
      <c r="AM11" s="23" t="s">
        <v>3102</v>
      </c>
      <c r="AO11" s="23" t="s">
        <v>3102</v>
      </c>
    </row>
    <row r="12" spans="1:42">
      <c r="A12" s="25">
        <v>46203</v>
      </c>
      <c r="B12" s="23" t="s">
        <v>5224</v>
      </c>
      <c r="C12" s="23" t="s">
        <v>5225</v>
      </c>
      <c r="D12" s="23" t="s">
        <v>3105</v>
      </c>
      <c r="E12" s="23" t="s">
        <v>5226</v>
      </c>
      <c r="F12" s="23" t="s">
        <v>5227</v>
      </c>
      <c r="G12" s="23">
        <v>9090334798</v>
      </c>
      <c r="I12" s="23" t="s">
        <v>5228</v>
      </c>
      <c r="J12" s="23" t="s">
        <v>5226</v>
      </c>
      <c r="K12" s="23" t="s">
        <v>5227</v>
      </c>
      <c r="L12" s="23" t="s">
        <v>5229</v>
      </c>
      <c r="M12" s="23" t="s">
        <v>5230</v>
      </c>
      <c r="N12" s="23" t="s">
        <v>5236</v>
      </c>
      <c r="O12" s="23">
        <v>1</v>
      </c>
      <c r="P12" s="23">
        <v>35200</v>
      </c>
      <c r="Q12" s="23">
        <v>3520</v>
      </c>
      <c r="R12" s="23" t="s">
        <v>5237</v>
      </c>
      <c r="S12" s="23" t="s">
        <v>5238</v>
      </c>
      <c r="T12" s="23" t="s">
        <v>5239</v>
      </c>
      <c r="V12" s="23" t="s">
        <v>3106</v>
      </c>
      <c r="W12" s="23">
        <v>45338</v>
      </c>
      <c r="X12" s="23">
        <v>550</v>
      </c>
      <c r="Z12" s="23">
        <v>0</v>
      </c>
      <c r="AA12" s="23">
        <v>-3062</v>
      </c>
      <c r="AB12" s="23">
        <v>0</v>
      </c>
      <c r="AC12" s="23">
        <v>10</v>
      </c>
      <c r="AD12" s="23">
        <v>0</v>
      </c>
      <c r="AE12" s="23">
        <v>0</v>
      </c>
      <c r="AG12" s="23" t="s">
        <v>3101</v>
      </c>
      <c r="AK12" s="23" t="s">
        <v>3148</v>
      </c>
      <c r="AM12" s="23" t="s">
        <v>3102</v>
      </c>
      <c r="AO12" s="23" t="s">
        <v>3102</v>
      </c>
    </row>
    <row r="13" spans="1:42">
      <c r="A13" s="25">
        <v>46203</v>
      </c>
      <c r="B13" s="23" t="s">
        <v>5240</v>
      </c>
      <c r="C13" s="23" t="s">
        <v>5241</v>
      </c>
      <c r="D13" s="23" t="s">
        <v>3108</v>
      </c>
      <c r="E13" s="23" t="s">
        <v>5242</v>
      </c>
      <c r="F13" s="23" t="s">
        <v>5243</v>
      </c>
      <c r="G13" s="23">
        <v>9053321465</v>
      </c>
      <c r="I13" s="23" t="s">
        <v>5244</v>
      </c>
      <c r="J13" s="23" t="s">
        <v>5242</v>
      </c>
      <c r="K13" s="23" t="s">
        <v>5243</v>
      </c>
      <c r="L13" s="23" t="s">
        <v>5245</v>
      </c>
      <c r="M13" s="23" t="s">
        <v>5246</v>
      </c>
      <c r="N13" s="23" t="s">
        <v>3116</v>
      </c>
      <c r="O13" s="23">
        <v>1</v>
      </c>
      <c r="P13" s="23">
        <v>14300</v>
      </c>
      <c r="Q13" s="23">
        <v>1430</v>
      </c>
      <c r="R13" s="23" t="s">
        <v>3162</v>
      </c>
      <c r="S13" s="23" t="s">
        <v>3150</v>
      </c>
      <c r="T13" s="23" t="s">
        <v>107</v>
      </c>
      <c r="V13" s="23" t="s">
        <v>3110</v>
      </c>
      <c r="W13" s="23">
        <v>14850</v>
      </c>
      <c r="X13" s="23">
        <v>550</v>
      </c>
      <c r="Z13" s="23">
        <v>0</v>
      </c>
      <c r="AA13" s="23">
        <v>0</v>
      </c>
      <c r="AB13" s="23">
        <v>0</v>
      </c>
      <c r="AC13" s="23">
        <v>10</v>
      </c>
      <c r="AD13" s="23">
        <v>0</v>
      </c>
      <c r="AE13" s="23">
        <v>0</v>
      </c>
      <c r="AG13" s="23" t="s">
        <v>3101</v>
      </c>
      <c r="AK13" s="23" t="s">
        <v>3148</v>
      </c>
      <c r="AM13" s="23" t="s">
        <v>3102</v>
      </c>
      <c r="AO13" s="23" t="s">
        <v>3102</v>
      </c>
    </row>
    <row r="14" spans="1:42">
      <c r="A14" s="25">
        <v>46203</v>
      </c>
      <c r="B14" s="23" t="s">
        <v>5247</v>
      </c>
      <c r="C14" s="23" t="s">
        <v>5248</v>
      </c>
      <c r="D14" s="23" t="s">
        <v>3105</v>
      </c>
      <c r="E14" s="23" t="s">
        <v>5249</v>
      </c>
      <c r="F14" s="23" t="s">
        <v>5250</v>
      </c>
      <c r="G14" s="23">
        <v>8064402799</v>
      </c>
      <c r="I14" s="23" t="s">
        <v>5251</v>
      </c>
      <c r="J14" s="23" t="s">
        <v>5249</v>
      </c>
      <c r="K14" s="23" t="s">
        <v>5250</v>
      </c>
      <c r="L14" s="23" t="s">
        <v>5252</v>
      </c>
      <c r="M14" s="23" t="s">
        <v>5253</v>
      </c>
      <c r="N14" s="23" t="s">
        <v>2074</v>
      </c>
      <c r="O14" s="23">
        <v>1</v>
      </c>
      <c r="P14" s="23">
        <v>4620</v>
      </c>
      <c r="Q14" s="23">
        <v>462</v>
      </c>
      <c r="R14" s="23" t="s">
        <v>5254</v>
      </c>
      <c r="S14" s="23" t="s">
        <v>5255</v>
      </c>
      <c r="T14" s="23" t="s">
        <v>2073</v>
      </c>
      <c r="V14" s="23" t="s">
        <v>3106</v>
      </c>
      <c r="W14" s="23">
        <v>4290</v>
      </c>
      <c r="X14" s="23">
        <v>550</v>
      </c>
      <c r="Z14" s="23">
        <v>0</v>
      </c>
      <c r="AA14" s="23">
        <v>-880</v>
      </c>
      <c r="AB14" s="23">
        <v>0</v>
      </c>
      <c r="AC14" s="23">
        <v>10</v>
      </c>
      <c r="AD14" s="23">
        <v>0</v>
      </c>
      <c r="AE14" s="23">
        <v>0</v>
      </c>
      <c r="AG14" s="23" t="s">
        <v>3101</v>
      </c>
      <c r="AK14" s="23" t="s">
        <v>3148</v>
      </c>
      <c r="AM14" s="23" t="s">
        <v>3102</v>
      </c>
      <c r="AO14" s="23" t="s">
        <v>3102</v>
      </c>
    </row>
    <row r="15" spans="1:42">
      <c r="A15" s="25">
        <v>46203</v>
      </c>
      <c r="B15" s="23" t="s">
        <v>5256</v>
      </c>
      <c r="C15" s="23" t="s">
        <v>5257</v>
      </c>
      <c r="D15" s="23" t="s">
        <v>3105</v>
      </c>
      <c r="E15" s="23" t="s">
        <v>5258</v>
      </c>
      <c r="F15" s="23" t="s">
        <v>5259</v>
      </c>
      <c r="G15" s="23">
        <v>9022675447</v>
      </c>
      <c r="I15" s="23" t="s">
        <v>5260</v>
      </c>
      <c r="J15" s="23" t="s">
        <v>5258</v>
      </c>
      <c r="K15" s="23" t="s">
        <v>5259</v>
      </c>
      <c r="L15" s="23" t="s">
        <v>5261</v>
      </c>
      <c r="M15" s="23" t="s">
        <v>5262</v>
      </c>
      <c r="N15" s="23" t="s">
        <v>3144</v>
      </c>
      <c r="O15" s="23">
        <v>1</v>
      </c>
      <c r="P15" s="23">
        <v>14300</v>
      </c>
      <c r="Q15" s="23">
        <v>1430</v>
      </c>
      <c r="R15" s="23" t="s">
        <v>3155</v>
      </c>
      <c r="S15" s="23" t="s">
        <v>3150</v>
      </c>
      <c r="T15" s="23" t="s">
        <v>3011</v>
      </c>
      <c r="V15" s="23" t="s">
        <v>3106</v>
      </c>
      <c r="W15" s="23">
        <v>14850</v>
      </c>
      <c r="X15" s="23">
        <v>550</v>
      </c>
      <c r="Z15" s="23">
        <v>0</v>
      </c>
      <c r="AA15" s="23">
        <v>0</v>
      </c>
      <c r="AB15" s="23">
        <v>0</v>
      </c>
      <c r="AC15" s="23">
        <v>10</v>
      </c>
      <c r="AD15" s="23">
        <v>0</v>
      </c>
      <c r="AE15" s="23">
        <v>0</v>
      </c>
      <c r="AG15" s="23" t="s">
        <v>3101</v>
      </c>
      <c r="AK15" s="23" t="s">
        <v>3148</v>
      </c>
      <c r="AM15" s="23" t="s">
        <v>3102</v>
      </c>
      <c r="AO15" s="23" t="s">
        <v>3102</v>
      </c>
    </row>
    <row r="16" spans="1:42">
      <c r="A16" s="25">
        <v>46203</v>
      </c>
      <c r="B16" s="23" t="s">
        <v>5263</v>
      </c>
      <c r="C16" s="23" t="s">
        <v>5264</v>
      </c>
      <c r="D16" s="23" t="s">
        <v>3103</v>
      </c>
      <c r="E16" s="23" t="s">
        <v>5265</v>
      </c>
      <c r="F16" s="23" t="s">
        <v>5266</v>
      </c>
      <c r="G16" s="23">
        <v>534859631</v>
      </c>
      <c r="I16" s="23" t="s">
        <v>5267</v>
      </c>
      <c r="J16" s="23" t="s">
        <v>5265</v>
      </c>
      <c r="K16" s="23" t="s">
        <v>5266</v>
      </c>
      <c r="L16" s="23" t="s">
        <v>5268</v>
      </c>
      <c r="M16" s="23" t="s">
        <v>5269</v>
      </c>
      <c r="N16" s="23" t="s">
        <v>3144</v>
      </c>
      <c r="O16" s="23">
        <v>1</v>
      </c>
      <c r="P16" s="23">
        <v>14300</v>
      </c>
      <c r="Q16" s="23">
        <v>1430</v>
      </c>
      <c r="R16" s="23" t="s">
        <v>3155</v>
      </c>
      <c r="S16" s="23" t="s">
        <v>3150</v>
      </c>
      <c r="T16" s="23" t="s">
        <v>3011</v>
      </c>
      <c r="V16" s="23" t="s">
        <v>3104</v>
      </c>
      <c r="W16" s="23">
        <v>14850</v>
      </c>
      <c r="X16" s="23">
        <v>550</v>
      </c>
      <c r="Z16" s="23">
        <v>0</v>
      </c>
      <c r="AA16" s="23">
        <v>0</v>
      </c>
      <c r="AB16" s="23">
        <v>0</v>
      </c>
      <c r="AC16" s="23">
        <v>10</v>
      </c>
      <c r="AD16" s="23">
        <v>0</v>
      </c>
      <c r="AE16" s="23">
        <v>0</v>
      </c>
      <c r="AG16" s="23" t="s">
        <v>3101</v>
      </c>
      <c r="AK16" s="23" t="s">
        <v>3148</v>
      </c>
      <c r="AM16" s="23" t="s">
        <v>3102</v>
      </c>
      <c r="AO16" s="23" t="s">
        <v>3102</v>
      </c>
    </row>
    <row r="17" spans="1:41">
      <c r="A17" s="25">
        <v>46203</v>
      </c>
      <c r="B17" s="23" t="s">
        <v>5270</v>
      </c>
      <c r="C17" s="23" t="s">
        <v>5271</v>
      </c>
      <c r="D17" s="23" t="s">
        <v>3145</v>
      </c>
      <c r="E17" s="23" t="s">
        <v>5272</v>
      </c>
      <c r="F17" s="23">
        <v>8033042628</v>
      </c>
      <c r="G17" s="23">
        <v>8033042628</v>
      </c>
      <c r="I17" s="23" t="s">
        <v>5273</v>
      </c>
      <c r="J17" s="23" t="s">
        <v>5272</v>
      </c>
      <c r="K17" s="23">
        <v>8033042628</v>
      </c>
      <c r="L17" s="23" t="s">
        <v>5274</v>
      </c>
      <c r="M17" s="23" t="s">
        <v>5275</v>
      </c>
      <c r="N17" s="23" t="s">
        <v>736</v>
      </c>
      <c r="O17" s="23">
        <v>1</v>
      </c>
      <c r="P17" s="23">
        <v>3520</v>
      </c>
      <c r="Q17" s="23">
        <v>10</v>
      </c>
      <c r="R17" s="23" t="s">
        <v>5276</v>
      </c>
      <c r="S17" s="23" t="s">
        <v>5277</v>
      </c>
      <c r="T17" s="23" t="s">
        <v>735</v>
      </c>
      <c r="V17" s="23" t="s">
        <v>3119</v>
      </c>
      <c r="W17" s="23">
        <v>3520</v>
      </c>
      <c r="X17" s="23">
        <v>0</v>
      </c>
      <c r="Z17" s="23">
        <v>0</v>
      </c>
      <c r="AA17" s="23">
        <v>0</v>
      </c>
      <c r="AB17" s="23">
        <v>0</v>
      </c>
      <c r="AC17" s="23">
        <v>10</v>
      </c>
      <c r="AD17" s="23">
        <v>0</v>
      </c>
      <c r="AE17" s="23">
        <v>0</v>
      </c>
      <c r="AG17" s="23" t="s">
        <v>3120</v>
      </c>
      <c r="AK17" s="23" t="s">
        <v>3148</v>
      </c>
      <c r="AM17" s="23" t="s">
        <v>3102</v>
      </c>
      <c r="AO17" s="23" t="s">
        <v>3102</v>
      </c>
    </row>
    <row r="18" spans="1:41">
      <c r="A18" s="25">
        <v>46203</v>
      </c>
      <c r="B18" s="23" t="s">
        <v>5278</v>
      </c>
      <c r="C18" s="23" t="s">
        <v>5279</v>
      </c>
      <c r="D18" s="23" t="s">
        <v>3103</v>
      </c>
      <c r="E18" s="23" t="s">
        <v>5280</v>
      </c>
      <c r="F18" s="23" t="s">
        <v>5281</v>
      </c>
      <c r="G18" s="23">
        <v>9043747589</v>
      </c>
      <c r="I18" s="23" t="s">
        <v>5282</v>
      </c>
      <c r="J18" s="23" t="s">
        <v>5280</v>
      </c>
      <c r="K18" s="23" t="s">
        <v>5281</v>
      </c>
      <c r="L18" s="23" t="s">
        <v>5283</v>
      </c>
      <c r="M18" s="23" t="s">
        <v>5284</v>
      </c>
      <c r="N18" s="23" t="s">
        <v>3838</v>
      </c>
      <c r="O18" s="23">
        <v>1</v>
      </c>
      <c r="P18" s="23">
        <v>30250</v>
      </c>
      <c r="Q18" s="23">
        <v>3025</v>
      </c>
      <c r="R18" s="23" t="s">
        <v>5285</v>
      </c>
      <c r="S18" s="23" t="s">
        <v>5286</v>
      </c>
      <c r="T18" s="23" t="s">
        <v>5287</v>
      </c>
      <c r="V18" s="23" t="s">
        <v>3104</v>
      </c>
      <c r="W18" s="23">
        <v>24750</v>
      </c>
      <c r="X18" s="23">
        <v>550</v>
      </c>
      <c r="Z18" s="23">
        <v>0</v>
      </c>
      <c r="AA18" s="23">
        <v>0</v>
      </c>
      <c r="AB18" s="23">
        <v>0</v>
      </c>
      <c r="AC18" s="23">
        <v>10</v>
      </c>
      <c r="AD18" s="23">
        <v>0</v>
      </c>
      <c r="AE18" s="23">
        <v>0</v>
      </c>
      <c r="AG18" s="23" t="s">
        <v>3101</v>
      </c>
      <c r="AK18" s="23" t="s">
        <v>3148</v>
      </c>
      <c r="AM18" s="23" t="s">
        <v>3102</v>
      </c>
      <c r="AO18" s="23" t="s">
        <v>3102</v>
      </c>
    </row>
    <row r="19" spans="1:41">
      <c r="A19" s="25">
        <v>46203</v>
      </c>
      <c r="B19" s="23" t="s">
        <v>5288</v>
      </c>
      <c r="C19" s="23" t="s">
        <v>5289</v>
      </c>
      <c r="D19" s="23" t="s">
        <v>3103</v>
      </c>
      <c r="E19" s="23" t="s">
        <v>5290</v>
      </c>
      <c r="F19" s="23" t="s">
        <v>5291</v>
      </c>
      <c r="G19" s="23">
        <v>285845470</v>
      </c>
      <c r="I19" s="23" t="s">
        <v>5292</v>
      </c>
      <c r="J19" s="23" t="s">
        <v>5290</v>
      </c>
      <c r="K19" s="23" t="s">
        <v>5291</v>
      </c>
      <c r="L19" s="23" t="s">
        <v>5293</v>
      </c>
      <c r="M19" s="23" t="s">
        <v>5294</v>
      </c>
      <c r="N19" s="23" t="s">
        <v>3116</v>
      </c>
      <c r="O19" s="23">
        <v>1</v>
      </c>
      <c r="P19" s="23">
        <v>14300</v>
      </c>
      <c r="Q19" s="23">
        <v>1430</v>
      </c>
      <c r="R19" s="23" t="s">
        <v>3162</v>
      </c>
      <c r="S19" s="23" t="s">
        <v>3150</v>
      </c>
      <c r="T19" s="23" t="s">
        <v>107</v>
      </c>
      <c r="V19" s="23" t="s">
        <v>3104</v>
      </c>
      <c r="W19" s="23">
        <v>14850</v>
      </c>
      <c r="X19" s="23">
        <v>550</v>
      </c>
      <c r="Z19" s="23">
        <v>0</v>
      </c>
      <c r="AA19" s="23">
        <v>0</v>
      </c>
      <c r="AB19" s="23">
        <v>0</v>
      </c>
      <c r="AC19" s="23">
        <v>10</v>
      </c>
      <c r="AD19" s="23">
        <v>0</v>
      </c>
      <c r="AE19" s="23">
        <v>0</v>
      </c>
      <c r="AG19" s="23" t="s">
        <v>3101</v>
      </c>
      <c r="AK19" s="23" t="s">
        <v>3148</v>
      </c>
      <c r="AM19" s="23" t="s">
        <v>3102</v>
      </c>
      <c r="AO19" s="23" t="s">
        <v>3102</v>
      </c>
    </row>
    <row r="20" spans="1:41">
      <c r="A20" s="25">
        <v>46203</v>
      </c>
      <c r="B20" s="23" t="s">
        <v>5295</v>
      </c>
      <c r="C20" s="23" t="s">
        <v>5296</v>
      </c>
      <c r="D20" s="23" t="s">
        <v>3108</v>
      </c>
      <c r="E20" s="23" t="s">
        <v>5297</v>
      </c>
      <c r="F20" s="23" t="s">
        <v>5298</v>
      </c>
      <c r="G20" s="23">
        <v>9017246514</v>
      </c>
      <c r="I20" s="23" t="s">
        <v>5299</v>
      </c>
      <c r="J20" s="23" t="s">
        <v>5297</v>
      </c>
      <c r="K20" s="23" t="s">
        <v>5298</v>
      </c>
      <c r="L20" s="23" t="s">
        <v>5300</v>
      </c>
      <c r="M20" s="23" t="s">
        <v>5301</v>
      </c>
      <c r="N20" s="23" t="s">
        <v>5302</v>
      </c>
      <c r="O20" s="23">
        <v>1</v>
      </c>
      <c r="P20" s="23">
        <v>550</v>
      </c>
      <c r="Q20" s="23">
        <v>55</v>
      </c>
      <c r="R20" s="23" t="s">
        <v>5303</v>
      </c>
      <c r="S20" s="23" t="s">
        <v>5304</v>
      </c>
      <c r="T20" s="23" t="s">
        <v>5304</v>
      </c>
      <c r="V20" s="23" t="s">
        <v>3110</v>
      </c>
      <c r="W20" s="23">
        <v>15400</v>
      </c>
      <c r="X20" s="23">
        <v>550</v>
      </c>
      <c r="Z20" s="23">
        <v>0</v>
      </c>
      <c r="AA20" s="23">
        <v>0</v>
      </c>
      <c r="AB20" s="23">
        <v>0</v>
      </c>
      <c r="AC20" s="23">
        <v>10</v>
      </c>
      <c r="AD20" s="23">
        <v>0</v>
      </c>
      <c r="AE20" s="23">
        <v>0</v>
      </c>
      <c r="AG20" s="23" t="s">
        <v>3101</v>
      </c>
      <c r="AK20" s="23" t="s">
        <v>3148</v>
      </c>
      <c r="AM20" s="23" t="s">
        <v>3102</v>
      </c>
      <c r="AO20" s="23" t="s">
        <v>3102</v>
      </c>
    </row>
    <row r="21" spans="1:41">
      <c r="A21" s="25">
        <v>46203</v>
      </c>
      <c r="B21" s="23" t="s">
        <v>5295</v>
      </c>
      <c r="C21" s="23" t="s">
        <v>5296</v>
      </c>
      <c r="D21" s="23" t="s">
        <v>3108</v>
      </c>
      <c r="E21" s="23" t="s">
        <v>5297</v>
      </c>
      <c r="F21" s="23" t="s">
        <v>5298</v>
      </c>
      <c r="G21" s="23">
        <v>9017246514</v>
      </c>
      <c r="I21" s="23" t="s">
        <v>5299</v>
      </c>
      <c r="J21" s="23" t="s">
        <v>5297</v>
      </c>
      <c r="K21" s="23" t="s">
        <v>5298</v>
      </c>
      <c r="L21" s="23" t="s">
        <v>5300</v>
      </c>
      <c r="M21" s="23" t="s">
        <v>5301</v>
      </c>
      <c r="N21" s="23" t="s">
        <v>3121</v>
      </c>
      <c r="O21" s="23">
        <v>1</v>
      </c>
      <c r="P21" s="23">
        <v>14300</v>
      </c>
      <c r="Q21" s="23">
        <v>1430</v>
      </c>
      <c r="R21" s="23" t="s">
        <v>3184</v>
      </c>
      <c r="S21" s="23" t="s">
        <v>3150</v>
      </c>
      <c r="T21" s="23" t="s">
        <v>88</v>
      </c>
      <c r="V21" s="23" t="s">
        <v>3110</v>
      </c>
      <c r="W21" s="23">
        <v>15400</v>
      </c>
      <c r="X21" s="23">
        <v>550</v>
      </c>
      <c r="Z21" s="23">
        <v>0</v>
      </c>
      <c r="AA21" s="23">
        <v>0</v>
      </c>
      <c r="AB21" s="23">
        <v>0</v>
      </c>
      <c r="AC21" s="23">
        <v>10</v>
      </c>
      <c r="AD21" s="23">
        <v>0</v>
      </c>
      <c r="AE21" s="23">
        <v>0</v>
      </c>
      <c r="AG21" s="23" t="s">
        <v>3101</v>
      </c>
      <c r="AK21" s="23" t="s">
        <v>3148</v>
      </c>
      <c r="AM21" s="23" t="s">
        <v>3102</v>
      </c>
      <c r="AO21" s="23" t="s">
        <v>3102</v>
      </c>
    </row>
    <row r="22" spans="1:41">
      <c r="A22" s="25">
        <v>46203</v>
      </c>
      <c r="B22" s="23" t="s">
        <v>5305</v>
      </c>
      <c r="C22" s="23" t="s">
        <v>5306</v>
      </c>
      <c r="D22" s="23" t="s">
        <v>4343</v>
      </c>
      <c r="E22" s="23" t="s">
        <v>5297</v>
      </c>
      <c r="F22" s="23" t="s">
        <v>5298</v>
      </c>
      <c r="G22" s="23">
        <v>9017246514</v>
      </c>
      <c r="I22" s="23" t="s">
        <v>5299</v>
      </c>
      <c r="J22" s="23" t="s">
        <v>5297</v>
      </c>
      <c r="K22" s="23" t="s">
        <v>5298</v>
      </c>
      <c r="L22" s="23" t="s">
        <v>5300</v>
      </c>
      <c r="M22" s="23" t="s">
        <v>5301</v>
      </c>
      <c r="N22" s="23" t="s">
        <v>5302</v>
      </c>
      <c r="O22" s="23">
        <v>1</v>
      </c>
      <c r="P22" s="23">
        <v>550</v>
      </c>
      <c r="Q22" s="23">
        <v>55</v>
      </c>
      <c r="R22" s="23" t="s">
        <v>5303</v>
      </c>
      <c r="S22" s="23" t="s">
        <v>5304</v>
      </c>
      <c r="T22" s="23" t="s">
        <v>5304</v>
      </c>
      <c r="V22" s="23" t="s">
        <v>3110</v>
      </c>
      <c r="W22" s="23">
        <v>15400</v>
      </c>
      <c r="X22" s="23">
        <v>550</v>
      </c>
      <c r="Z22" s="23">
        <v>0</v>
      </c>
      <c r="AA22" s="23">
        <v>0</v>
      </c>
      <c r="AB22" s="23">
        <v>0</v>
      </c>
      <c r="AC22" s="23">
        <v>10</v>
      </c>
      <c r="AD22" s="23">
        <v>0</v>
      </c>
      <c r="AE22" s="23">
        <v>0</v>
      </c>
      <c r="AG22" s="23" t="s">
        <v>3101</v>
      </c>
      <c r="AK22" s="23" t="s">
        <v>3148</v>
      </c>
      <c r="AM22" s="23" t="s">
        <v>3102</v>
      </c>
      <c r="AO22" s="23" t="s">
        <v>3102</v>
      </c>
    </row>
    <row r="23" spans="1:41">
      <c r="A23" s="25">
        <v>46203</v>
      </c>
      <c r="B23" s="23" t="s">
        <v>5305</v>
      </c>
      <c r="C23" s="23" t="s">
        <v>5306</v>
      </c>
      <c r="D23" s="23" t="s">
        <v>4343</v>
      </c>
      <c r="E23" s="23" t="s">
        <v>5297</v>
      </c>
      <c r="F23" s="23" t="s">
        <v>5298</v>
      </c>
      <c r="G23" s="23">
        <v>9017246514</v>
      </c>
      <c r="I23" s="23" t="s">
        <v>5299</v>
      </c>
      <c r="J23" s="23" t="s">
        <v>5297</v>
      </c>
      <c r="K23" s="23" t="s">
        <v>5298</v>
      </c>
      <c r="L23" s="23" t="s">
        <v>5300</v>
      </c>
      <c r="M23" s="23" t="s">
        <v>5301</v>
      </c>
      <c r="N23" s="23" t="s">
        <v>3121</v>
      </c>
      <c r="O23" s="23">
        <v>1</v>
      </c>
      <c r="P23" s="23">
        <v>14300</v>
      </c>
      <c r="Q23" s="23">
        <v>1430</v>
      </c>
      <c r="R23" s="23" t="s">
        <v>3184</v>
      </c>
      <c r="S23" s="23" t="s">
        <v>3150</v>
      </c>
      <c r="T23" s="23" t="s">
        <v>88</v>
      </c>
      <c r="V23" s="23" t="s">
        <v>3110</v>
      </c>
      <c r="W23" s="23">
        <v>15400</v>
      </c>
      <c r="X23" s="23">
        <v>550</v>
      </c>
      <c r="Z23" s="23">
        <v>0</v>
      </c>
      <c r="AA23" s="23">
        <v>0</v>
      </c>
      <c r="AB23" s="23">
        <v>0</v>
      </c>
      <c r="AC23" s="23">
        <v>10</v>
      </c>
      <c r="AD23" s="23">
        <v>0</v>
      </c>
      <c r="AE23" s="23">
        <v>0</v>
      </c>
      <c r="AG23" s="23" t="s">
        <v>3101</v>
      </c>
      <c r="AK23" s="23" t="s">
        <v>3148</v>
      </c>
      <c r="AM23" s="23" t="s">
        <v>3102</v>
      </c>
      <c r="AO23" s="23" t="s">
        <v>3102</v>
      </c>
    </row>
    <row r="24" spans="1:41">
      <c r="A24" s="25">
        <v>46203</v>
      </c>
      <c r="B24" s="23" t="s">
        <v>5307</v>
      </c>
      <c r="C24" s="23" t="s">
        <v>5308</v>
      </c>
      <c r="D24" s="23" t="s">
        <v>3099</v>
      </c>
      <c r="E24" s="23" t="s">
        <v>5309</v>
      </c>
      <c r="F24" s="23" t="s">
        <v>5310</v>
      </c>
      <c r="G24" s="23">
        <v>7053606276</v>
      </c>
      <c r="I24" s="23" t="s">
        <v>5311</v>
      </c>
      <c r="J24" s="23" t="s">
        <v>5309</v>
      </c>
      <c r="K24" s="23" t="s">
        <v>5310</v>
      </c>
      <c r="L24" s="23" t="s">
        <v>5312</v>
      </c>
      <c r="M24" s="23" t="s">
        <v>5313</v>
      </c>
      <c r="N24" s="23" t="s">
        <v>3009</v>
      </c>
      <c r="O24" s="23">
        <v>1</v>
      </c>
      <c r="P24" s="23">
        <v>19800</v>
      </c>
      <c r="Q24" s="23">
        <v>1980</v>
      </c>
      <c r="R24" s="23" t="s">
        <v>3167</v>
      </c>
      <c r="S24" s="23" t="s">
        <v>3168</v>
      </c>
      <c r="T24" s="23" t="s">
        <v>3189</v>
      </c>
      <c r="V24" s="23" t="s">
        <v>3100</v>
      </c>
      <c r="W24" s="23">
        <v>20790</v>
      </c>
      <c r="X24" s="23">
        <v>550</v>
      </c>
      <c r="Z24" s="23">
        <v>440</v>
      </c>
      <c r="AA24" s="23">
        <v>0</v>
      </c>
      <c r="AB24" s="23">
        <v>0</v>
      </c>
      <c r="AC24" s="23">
        <v>10</v>
      </c>
      <c r="AD24" s="23">
        <v>0</v>
      </c>
      <c r="AE24" s="23">
        <v>0</v>
      </c>
      <c r="AG24" s="23" t="s">
        <v>3101</v>
      </c>
      <c r="AK24" s="23" t="s">
        <v>3148</v>
      </c>
      <c r="AM24" s="23" t="s">
        <v>3102</v>
      </c>
      <c r="AO24" s="23" t="s">
        <v>3102</v>
      </c>
    </row>
    <row r="25" spans="1:41">
      <c r="A25" s="25">
        <v>46203</v>
      </c>
      <c r="B25" s="23" t="s">
        <v>5314</v>
      </c>
      <c r="C25" s="23" t="s">
        <v>5315</v>
      </c>
      <c r="D25" s="23" t="s">
        <v>3105</v>
      </c>
      <c r="E25" s="23" t="s">
        <v>5316</v>
      </c>
      <c r="F25" s="23" t="s">
        <v>5317</v>
      </c>
      <c r="G25" s="23">
        <v>9042751379</v>
      </c>
      <c r="I25" s="23" t="s">
        <v>5318</v>
      </c>
      <c r="J25" s="23" t="s">
        <v>5316</v>
      </c>
      <c r="K25" s="23" t="s">
        <v>5317</v>
      </c>
      <c r="L25" s="23" t="s">
        <v>5319</v>
      </c>
      <c r="M25" s="23" t="s">
        <v>5320</v>
      </c>
      <c r="N25" s="23" t="s">
        <v>5302</v>
      </c>
      <c r="O25" s="23">
        <v>1</v>
      </c>
      <c r="P25" s="23">
        <v>550</v>
      </c>
      <c r="Q25" s="23">
        <v>55</v>
      </c>
      <c r="R25" s="23" t="s">
        <v>5303</v>
      </c>
      <c r="S25" s="23" t="s">
        <v>5304</v>
      </c>
      <c r="T25" s="23" t="s">
        <v>5304</v>
      </c>
      <c r="V25" s="23" t="s">
        <v>3106</v>
      </c>
      <c r="W25" s="23">
        <v>15400</v>
      </c>
      <c r="X25" s="23">
        <v>550</v>
      </c>
      <c r="Z25" s="23">
        <v>0</v>
      </c>
      <c r="AA25" s="23">
        <v>0</v>
      </c>
      <c r="AB25" s="23">
        <v>0</v>
      </c>
      <c r="AC25" s="23">
        <v>10</v>
      </c>
      <c r="AD25" s="23">
        <v>0</v>
      </c>
      <c r="AE25" s="23">
        <v>0</v>
      </c>
      <c r="AG25" s="23" t="s">
        <v>3101</v>
      </c>
      <c r="AK25" s="23" t="s">
        <v>3148</v>
      </c>
      <c r="AM25" s="23" t="s">
        <v>3102</v>
      </c>
      <c r="AO25" s="23" t="s">
        <v>3102</v>
      </c>
    </row>
    <row r="26" spans="1:41">
      <c r="A26" s="25">
        <v>46203</v>
      </c>
      <c r="B26" s="23" t="s">
        <v>5314</v>
      </c>
      <c r="C26" s="23" t="s">
        <v>5315</v>
      </c>
      <c r="D26" s="23" t="s">
        <v>3105</v>
      </c>
      <c r="E26" s="23" t="s">
        <v>5316</v>
      </c>
      <c r="F26" s="23" t="s">
        <v>5317</v>
      </c>
      <c r="G26" s="23">
        <v>9042751379</v>
      </c>
      <c r="I26" s="23" t="s">
        <v>5318</v>
      </c>
      <c r="J26" s="23" t="s">
        <v>5316</v>
      </c>
      <c r="K26" s="23" t="s">
        <v>5317</v>
      </c>
      <c r="L26" s="23" t="s">
        <v>5319</v>
      </c>
      <c r="M26" s="23" t="s">
        <v>5320</v>
      </c>
      <c r="N26" s="23" t="s">
        <v>3117</v>
      </c>
      <c r="O26" s="23">
        <v>1</v>
      </c>
      <c r="P26" s="23">
        <v>14300</v>
      </c>
      <c r="Q26" s="23">
        <v>1430</v>
      </c>
      <c r="R26" s="23" t="s">
        <v>3159</v>
      </c>
      <c r="S26" s="23" t="s">
        <v>3150</v>
      </c>
      <c r="T26" s="23" t="s">
        <v>2965</v>
      </c>
      <c r="V26" s="23" t="s">
        <v>3106</v>
      </c>
      <c r="W26" s="23">
        <v>15400</v>
      </c>
      <c r="X26" s="23">
        <v>550</v>
      </c>
      <c r="Z26" s="23">
        <v>0</v>
      </c>
      <c r="AA26" s="23">
        <v>0</v>
      </c>
      <c r="AB26" s="23">
        <v>0</v>
      </c>
      <c r="AC26" s="23">
        <v>10</v>
      </c>
      <c r="AD26" s="23">
        <v>0</v>
      </c>
      <c r="AE26" s="23">
        <v>0</v>
      </c>
      <c r="AG26" s="23" t="s">
        <v>3101</v>
      </c>
      <c r="AK26" s="23" t="s">
        <v>3148</v>
      </c>
      <c r="AM26" s="23" t="s">
        <v>3102</v>
      </c>
      <c r="AO26" s="23" t="s">
        <v>3102</v>
      </c>
    </row>
    <row r="27" spans="1:41">
      <c r="A27" s="25">
        <v>46203</v>
      </c>
      <c r="B27" s="23" t="s">
        <v>5321</v>
      </c>
      <c r="C27" s="23" t="s">
        <v>5322</v>
      </c>
      <c r="D27" s="23" t="s">
        <v>3145</v>
      </c>
      <c r="E27" s="23" t="s">
        <v>5323</v>
      </c>
      <c r="F27" s="23">
        <v>9069688928</v>
      </c>
      <c r="G27" s="23">
        <v>9069688928</v>
      </c>
      <c r="I27" s="23" t="s">
        <v>5324</v>
      </c>
      <c r="J27" s="23" t="s">
        <v>5323</v>
      </c>
      <c r="K27" s="23">
        <v>9069688928</v>
      </c>
      <c r="L27" s="23" t="s">
        <v>5325</v>
      </c>
      <c r="M27" s="23" t="s">
        <v>5326</v>
      </c>
      <c r="N27" s="23" t="s">
        <v>3144</v>
      </c>
      <c r="O27" s="23">
        <v>1</v>
      </c>
      <c r="P27" s="23">
        <v>14300</v>
      </c>
      <c r="Q27" s="23">
        <v>10</v>
      </c>
      <c r="R27" s="23" t="s">
        <v>3155</v>
      </c>
      <c r="S27" s="23" t="s">
        <v>3150</v>
      </c>
      <c r="T27" s="23" t="s">
        <v>3011</v>
      </c>
      <c r="V27" s="23" t="s">
        <v>3119</v>
      </c>
      <c r="W27" s="23">
        <v>14300</v>
      </c>
      <c r="X27" s="23">
        <v>0</v>
      </c>
      <c r="Z27" s="23">
        <v>0</v>
      </c>
      <c r="AA27" s="23">
        <v>0</v>
      </c>
      <c r="AB27" s="23">
        <v>0</v>
      </c>
      <c r="AC27" s="23">
        <v>10</v>
      </c>
      <c r="AD27" s="23">
        <v>0</v>
      </c>
      <c r="AE27" s="23">
        <v>0</v>
      </c>
      <c r="AG27" s="23" t="s">
        <v>3120</v>
      </c>
      <c r="AK27" s="23" t="s">
        <v>3148</v>
      </c>
      <c r="AM27" s="23" t="s">
        <v>5327</v>
      </c>
      <c r="AO27" s="23" t="s">
        <v>5327</v>
      </c>
    </row>
    <row r="28" spans="1:41">
      <c r="A28" s="25">
        <v>46203</v>
      </c>
      <c r="B28" s="23" t="s">
        <v>5328</v>
      </c>
      <c r="C28" s="23" t="s">
        <v>5329</v>
      </c>
      <c r="D28" s="23" t="s">
        <v>3103</v>
      </c>
      <c r="E28" s="23" t="s">
        <v>5330</v>
      </c>
      <c r="F28" s="23" t="s">
        <v>5331</v>
      </c>
      <c r="G28" s="23">
        <v>262225427</v>
      </c>
      <c r="I28" s="23" t="s">
        <v>5332</v>
      </c>
      <c r="J28" s="23" t="s">
        <v>5333</v>
      </c>
      <c r="K28" s="23" t="s">
        <v>5334</v>
      </c>
      <c r="L28" s="23" t="s">
        <v>5335</v>
      </c>
      <c r="M28" s="23" t="s">
        <v>5336</v>
      </c>
      <c r="N28" s="23" t="s">
        <v>5302</v>
      </c>
      <c r="O28" s="23">
        <v>1</v>
      </c>
      <c r="P28" s="23">
        <v>550</v>
      </c>
      <c r="Q28" s="23">
        <v>55</v>
      </c>
      <c r="R28" s="23" t="s">
        <v>5303</v>
      </c>
      <c r="S28" s="23" t="s">
        <v>5304</v>
      </c>
      <c r="T28" s="23" t="s">
        <v>5304</v>
      </c>
      <c r="V28" s="23" t="s">
        <v>3104</v>
      </c>
      <c r="W28" s="23">
        <v>15400</v>
      </c>
      <c r="X28" s="23">
        <v>550</v>
      </c>
      <c r="Z28" s="23">
        <v>0</v>
      </c>
      <c r="AA28" s="23">
        <v>0</v>
      </c>
      <c r="AB28" s="23">
        <v>0</v>
      </c>
      <c r="AC28" s="23">
        <v>10</v>
      </c>
      <c r="AD28" s="23">
        <v>0</v>
      </c>
      <c r="AE28" s="23">
        <v>0</v>
      </c>
      <c r="AG28" s="23" t="s">
        <v>3101</v>
      </c>
      <c r="AK28" s="23" t="s">
        <v>3148</v>
      </c>
      <c r="AM28" s="23" t="s">
        <v>3102</v>
      </c>
      <c r="AO28" s="23" t="s">
        <v>3102</v>
      </c>
    </row>
    <row r="29" spans="1:41">
      <c r="A29" s="25">
        <v>46203</v>
      </c>
      <c r="B29" s="23" t="s">
        <v>5328</v>
      </c>
      <c r="C29" s="23" t="s">
        <v>5329</v>
      </c>
      <c r="D29" s="23" t="s">
        <v>3103</v>
      </c>
      <c r="E29" s="23" t="s">
        <v>5330</v>
      </c>
      <c r="F29" s="23" t="s">
        <v>5331</v>
      </c>
      <c r="G29" s="23">
        <v>262225427</v>
      </c>
      <c r="I29" s="23" t="s">
        <v>5332</v>
      </c>
      <c r="J29" s="23" t="s">
        <v>5333</v>
      </c>
      <c r="K29" s="23" t="s">
        <v>5334</v>
      </c>
      <c r="L29" s="23" t="s">
        <v>5335</v>
      </c>
      <c r="M29" s="23" t="s">
        <v>5336</v>
      </c>
      <c r="N29" s="23" t="s">
        <v>3115</v>
      </c>
      <c r="O29" s="23">
        <v>1</v>
      </c>
      <c r="P29" s="23">
        <v>14300</v>
      </c>
      <c r="Q29" s="23">
        <v>1430</v>
      </c>
      <c r="R29" s="23" t="s">
        <v>3153</v>
      </c>
      <c r="S29" s="23" t="s">
        <v>3150</v>
      </c>
      <c r="T29" s="23" t="s">
        <v>118</v>
      </c>
      <c r="V29" s="23" t="s">
        <v>3104</v>
      </c>
      <c r="W29" s="23">
        <v>15400</v>
      </c>
      <c r="X29" s="23">
        <v>550</v>
      </c>
      <c r="Z29" s="23">
        <v>0</v>
      </c>
      <c r="AA29" s="23">
        <v>0</v>
      </c>
      <c r="AB29" s="23">
        <v>0</v>
      </c>
      <c r="AC29" s="23">
        <v>10</v>
      </c>
      <c r="AD29" s="23">
        <v>0</v>
      </c>
      <c r="AE29" s="23">
        <v>0</v>
      </c>
      <c r="AG29" s="23" t="s">
        <v>3101</v>
      </c>
      <c r="AK29" s="23" t="s">
        <v>3148</v>
      </c>
      <c r="AM29" s="23" t="s">
        <v>3102</v>
      </c>
      <c r="AO29" s="23" t="s">
        <v>3102</v>
      </c>
    </row>
    <row r="30" spans="1:41">
      <c r="A30" s="25">
        <v>46203</v>
      </c>
      <c r="B30" s="23" t="s">
        <v>5337</v>
      </c>
      <c r="C30" s="23" t="s">
        <v>5338</v>
      </c>
      <c r="D30" s="23" t="s">
        <v>3103</v>
      </c>
      <c r="E30" s="23" t="s">
        <v>5339</v>
      </c>
      <c r="F30" s="23" t="s">
        <v>5340</v>
      </c>
      <c r="G30" s="23">
        <v>166535104</v>
      </c>
      <c r="I30" s="23" t="s">
        <v>5341</v>
      </c>
      <c r="J30" s="23" t="s">
        <v>5342</v>
      </c>
      <c r="K30" s="23" t="s">
        <v>5343</v>
      </c>
      <c r="L30" s="23" t="s">
        <v>5344</v>
      </c>
      <c r="M30" s="23" t="s">
        <v>5345</v>
      </c>
      <c r="N30" s="23" t="s">
        <v>3122</v>
      </c>
      <c r="O30" s="23">
        <v>1</v>
      </c>
      <c r="P30" s="23">
        <v>14300</v>
      </c>
      <c r="Q30" s="23">
        <v>1430</v>
      </c>
      <c r="R30" s="23" t="s">
        <v>3163</v>
      </c>
      <c r="S30" s="23" t="s">
        <v>3150</v>
      </c>
      <c r="T30" s="23" t="s">
        <v>120</v>
      </c>
      <c r="V30" s="23" t="s">
        <v>3104</v>
      </c>
      <c r="W30" s="23">
        <v>14850</v>
      </c>
      <c r="X30" s="23">
        <v>550</v>
      </c>
      <c r="Z30" s="23">
        <v>0</v>
      </c>
      <c r="AA30" s="23">
        <v>0</v>
      </c>
      <c r="AB30" s="23">
        <v>0</v>
      </c>
      <c r="AC30" s="23">
        <v>10</v>
      </c>
      <c r="AD30" s="23">
        <v>0</v>
      </c>
      <c r="AE30" s="23">
        <v>0</v>
      </c>
      <c r="AG30" s="23" t="s">
        <v>3101</v>
      </c>
      <c r="AK30" s="23" t="s">
        <v>3148</v>
      </c>
      <c r="AM30" s="23" t="s">
        <v>3102</v>
      </c>
      <c r="AO30" s="23" t="s">
        <v>3102</v>
      </c>
    </row>
    <row r="31" spans="1:41">
      <c r="A31" s="25">
        <v>46203</v>
      </c>
      <c r="B31" s="23" t="s">
        <v>5346</v>
      </c>
      <c r="C31" s="23" t="s">
        <v>5347</v>
      </c>
      <c r="D31" s="23" t="s">
        <v>3108</v>
      </c>
      <c r="E31" s="23" t="s">
        <v>5348</v>
      </c>
      <c r="F31" s="23" t="s">
        <v>5349</v>
      </c>
      <c r="G31" s="23">
        <v>8039631451</v>
      </c>
      <c r="I31" s="23" t="s">
        <v>5350</v>
      </c>
      <c r="J31" s="23" t="s">
        <v>5348</v>
      </c>
      <c r="K31" s="23" t="s">
        <v>5349</v>
      </c>
      <c r="L31" s="23" t="s">
        <v>5351</v>
      </c>
      <c r="M31" s="23" t="s">
        <v>5352</v>
      </c>
      <c r="N31" s="23" t="s">
        <v>3034</v>
      </c>
      <c r="O31" s="23">
        <v>1</v>
      </c>
      <c r="P31" s="23">
        <v>8800</v>
      </c>
      <c r="Q31" s="23">
        <v>880</v>
      </c>
      <c r="R31" s="23" t="s">
        <v>3160</v>
      </c>
      <c r="S31" s="23" t="s">
        <v>3161</v>
      </c>
      <c r="T31" s="23" t="s">
        <v>5353</v>
      </c>
      <c r="V31" s="23" t="s">
        <v>3110</v>
      </c>
      <c r="W31" s="23">
        <v>9790</v>
      </c>
      <c r="X31" s="23">
        <v>550</v>
      </c>
      <c r="Z31" s="23">
        <v>0</v>
      </c>
      <c r="AA31" s="23">
        <v>0</v>
      </c>
      <c r="AB31" s="23">
        <v>0</v>
      </c>
      <c r="AC31" s="23">
        <v>10</v>
      </c>
      <c r="AD31" s="23">
        <v>0</v>
      </c>
      <c r="AE31" s="23">
        <v>0</v>
      </c>
      <c r="AG31" s="23" t="s">
        <v>3101</v>
      </c>
      <c r="AK31" s="23" t="s">
        <v>3148</v>
      </c>
      <c r="AM31" s="23" t="s">
        <v>3102</v>
      </c>
      <c r="AO31" s="23" t="s">
        <v>3102</v>
      </c>
    </row>
    <row r="32" spans="1:41">
      <c r="A32" s="25">
        <v>46203</v>
      </c>
      <c r="B32" s="23" t="s">
        <v>5346</v>
      </c>
      <c r="C32" s="23" t="s">
        <v>5347</v>
      </c>
      <c r="D32" s="23" t="s">
        <v>3108</v>
      </c>
      <c r="E32" s="23" t="s">
        <v>5348</v>
      </c>
      <c r="F32" s="23" t="s">
        <v>5349</v>
      </c>
      <c r="G32" s="23">
        <v>8039631451</v>
      </c>
      <c r="I32" s="23" t="s">
        <v>5350</v>
      </c>
      <c r="J32" s="23" t="s">
        <v>5348</v>
      </c>
      <c r="K32" s="23" t="s">
        <v>5349</v>
      </c>
      <c r="L32" s="23" t="s">
        <v>5351</v>
      </c>
      <c r="M32" s="23" t="s">
        <v>5352</v>
      </c>
      <c r="N32" s="23" t="s">
        <v>5354</v>
      </c>
      <c r="O32" s="23">
        <v>1</v>
      </c>
      <c r="P32" s="23">
        <v>440</v>
      </c>
      <c r="Q32" s="23">
        <v>44</v>
      </c>
      <c r="R32" s="23" t="s">
        <v>5355</v>
      </c>
      <c r="S32" s="23" t="s">
        <v>5356</v>
      </c>
      <c r="T32" s="23" t="s">
        <v>5356</v>
      </c>
      <c r="V32" s="23" t="s">
        <v>3110</v>
      </c>
      <c r="W32" s="23">
        <v>9790</v>
      </c>
      <c r="X32" s="23">
        <v>550</v>
      </c>
      <c r="Z32" s="23">
        <v>0</v>
      </c>
      <c r="AA32" s="23">
        <v>0</v>
      </c>
      <c r="AB32" s="23">
        <v>0</v>
      </c>
      <c r="AC32" s="23">
        <v>10</v>
      </c>
      <c r="AD32" s="23">
        <v>0</v>
      </c>
      <c r="AE32" s="23">
        <v>0</v>
      </c>
      <c r="AG32" s="23" t="s">
        <v>3101</v>
      </c>
      <c r="AK32" s="23" t="s">
        <v>3148</v>
      </c>
      <c r="AM32" s="23" t="s">
        <v>3102</v>
      </c>
      <c r="AO32" s="23" t="s">
        <v>3102</v>
      </c>
    </row>
    <row r="33" spans="1:41">
      <c r="A33" s="25">
        <v>46203</v>
      </c>
      <c r="B33" s="23" t="s">
        <v>5357</v>
      </c>
      <c r="C33" s="23" t="s">
        <v>5358</v>
      </c>
      <c r="D33" s="23" t="s">
        <v>3105</v>
      </c>
      <c r="E33" s="23" t="s">
        <v>5359</v>
      </c>
      <c r="F33" s="23" t="s">
        <v>5360</v>
      </c>
      <c r="G33" s="23">
        <v>8079869082</v>
      </c>
      <c r="I33" s="23" t="s">
        <v>5361</v>
      </c>
      <c r="J33" s="23" t="s">
        <v>5362</v>
      </c>
      <c r="K33" s="23" t="s">
        <v>5363</v>
      </c>
      <c r="L33" s="23" t="s">
        <v>5364</v>
      </c>
      <c r="M33" s="23" t="s">
        <v>5365</v>
      </c>
      <c r="N33" s="23" t="s">
        <v>5366</v>
      </c>
      <c r="O33" s="23">
        <v>1</v>
      </c>
      <c r="P33" s="23">
        <v>13200</v>
      </c>
      <c r="Q33" s="23">
        <v>1320</v>
      </c>
      <c r="R33" s="23" t="s">
        <v>5367</v>
      </c>
      <c r="S33" s="23" t="s">
        <v>3158</v>
      </c>
      <c r="T33" s="23" t="s">
        <v>210</v>
      </c>
      <c r="V33" s="23" t="s">
        <v>3106</v>
      </c>
      <c r="W33" s="23">
        <v>13750</v>
      </c>
      <c r="X33" s="23">
        <v>550</v>
      </c>
      <c r="Z33" s="23">
        <v>0</v>
      </c>
      <c r="AA33" s="23">
        <v>0</v>
      </c>
      <c r="AB33" s="23">
        <v>0</v>
      </c>
      <c r="AC33" s="23">
        <v>10</v>
      </c>
      <c r="AD33" s="23">
        <v>0</v>
      </c>
      <c r="AE33" s="23">
        <v>0</v>
      </c>
      <c r="AG33" s="23" t="s">
        <v>3101</v>
      </c>
      <c r="AK33" s="23" t="s">
        <v>3148</v>
      </c>
      <c r="AM33" s="23" t="s">
        <v>3102</v>
      </c>
      <c r="AO33" s="23" t="s">
        <v>3102</v>
      </c>
    </row>
    <row r="34" spans="1:41">
      <c r="A34" s="25">
        <v>46203</v>
      </c>
      <c r="B34" s="23" t="s">
        <v>5368</v>
      </c>
      <c r="C34" s="23" t="s">
        <v>5369</v>
      </c>
      <c r="D34" s="23" t="s">
        <v>3105</v>
      </c>
      <c r="E34" s="23" t="s">
        <v>5370</v>
      </c>
      <c r="F34" s="23" t="s">
        <v>5371</v>
      </c>
      <c r="G34" s="23">
        <v>9072780377</v>
      </c>
      <c r="I34" s="23" t="s">
        <v>5372</v>
      </c>
      <c r="J34" s="23" t="s">
        <v>5373</v>
      </c>
      <c r="K34" s="23" t="s">
        <v>5374</v>
      </c>
      <c r="L34" s="23" t="s">
        <v>5375</v>
      </c>
      <c r="M34" s="23" t="s">
        <v>5376</v>
      </c>
      <c r="N34" s="23" t="s">
        <v>3144</v>
      </c>
      <c r="O34" s="23">
        <v>1</v>
      </c>
      <c r="P34" s="23">
        <v>14300</v>
      </c>
      <c r="Q34" s="23">
        <v>1430</v>
      </c>
      <c r="R34" s="23" t="s">
        <v>3155</v>
      </c>
      <c r="S34" s="23" t="s">
        <v>3150</v>
      </c>
      <c r="T34" s="23" t="s">
        <v>3011</v>
      </c>
      <c r="V34" s="23" t="s">
        <v>3106</v>
      </c>
      <c r="W34" s="23">
        <v>14850</v>
      </c>
      <c r="X34" s="23">
        <v>550</v>
      </c>
      <c r="Z34" s="23">
        <v>0</v>
      </c>
      <c r="AA34" s="23">
        <v>0</v>
      </c>
      <c r="AB34" s="23">
        <v>0</v>
      </c>
      <c r="AC34" s="23">
        <v>10</v>
      </c>
      <c r="AD34" s="23">
        <v>0</v>
      </c>
      <c r="AE34" s="23">
        <v>0</v>
      </c>
      <c r="AG34" s="23" t="s">
        <v>3101</v>
      </c>
      <c r="AK34" s="23" t="s">
        <v>3148</v>
      </c>
      <c r="AM34" s="23" t="s">
        <v>3102</v>
      </c>
      <c r="AO34" s="23" t="s">
        <v>3102</v>
      </c>
    </row>
    <row r="35" spans="1:41">
      <c r="A35" s="25">
        <v>46203</v>
      </c>
      <c r="B35" s="23" t="s">
        <v>5377</v>
      </c>
      <c r="C35" s="23" t="s">
        <v>5378</v>
      </c>
      <c r="D35" s="23" t="s">
        <v>3103</v>
      </c>
      <c r="E35" s="23" t="s">
        <v>5379</v>
      </c>
      <c r="F35" s="23" t="s">
        <v>5380</v>
      </c>
      <c r="G35" s="23">
        <v>427089170</v>
      </c>
      <c r="I35" s="23" t="s">
        <v>5381</v>
      </c>
      <c r="J35" s="23" t="s">
        <v>5379</v>
      </c>
      <c r="K35" s="23" t="s">
        <v>5380</v>
      </c>
      <c r="L35" s="23" t="s">
        <v>5382</v>
      </c>
      <c r="M35" s="23" t="s">
        <v>5383</v>
      </c>
      <c r="N35" s="23" t="s">
        <v>3144</v>
      </c>
      <c r="O35" s="23">
        <v>1</v>
      </c>
      <c r="P35" s="23">
        <v>14300</v>
      </c>
      <c r="Q35" s="23">
        <v>1430</v>
      </c>
      <c r="R35" s="23" t="s">
        <v>3155</v>
      </c>
      <c r="S35" s="23" t="s">
        <v>3150</v>
      </c>
      <c r="T35" s="23" t="s">
        <v>3011</v>
      </c>
      <c r="V35" s="23" t="s">
        <v>3104</v>
      </c>
      <c r="W35" s="23">
        <v>14850</v>
      </c>
      <c r="X35" s="23">
        <v>550</v>
      </c>
      <c r="Z35" s="23">
        <v>0</v>
      </c>
      <c r="AA35" s="23">
        <v>0</v>
      </c>
      <c r="AB35" s="23">
        <v>0</v>
      </c>
      <c r="AC35" s="23">
        <v>10</v>
      </c>
      <c r="AD35" s="23">
        <v>0</v>
      </c>
      <c r="AE35" s="23">
        <v>0</v>
      </c>
      <c r="AG35" s="23" t="s">
        <v>3101</v>
      </c>
      <c r="AK35" s="23" t="s">
        <v>3148</v>
      </c>
      <c r="AM35" s="23" t="s">
        <v>3102</v>
      </c>
      <c r="AO35" s="23" t="s">
        <v>3102</v>
      </c>
    </row>
    <row r="36" spans="1:41">
      <c r="A36" s="25">
        <v>46203</v>
      </c>
      <c r="B36" s="23" t="s">
        <v>5384</v>
      </c>
      <c r="C36" s="23" t="s">
        <v>5385</v>
      </c>
      <c r="D36" s="23" t="s">
        <v>3103</v>
      </c>
      <c r="E36" s="23" t="s">
        <v>5386</v>
      </c>
      <c r="F36" s="23" t="s">
        <v>5387</v>
      </c>
      <c r="G36" s="23">
        <v>8033304037</v>
      </c>
      <c r="I36" s="23" t="s">
        <v>5388</v>
      </c>
      <c r="J36" s="23" t="s">
        <v>5386</v>
      </c>
      <c r="K36" s="23" t="s">
        <v>5387</v>
      </c>
      <c r="L36" s="23" t="s">
        <v>5389</v>
      </c>
      <c r="M36" s="23" t="s">
        <v>5390</v>
      </c>
      <c r="N36" s="23" t="s">
        <v>3466</v>
      </c>
      <c r="O36" s="23">
        <v>1</v>
      </c>
      <c r="P36" s="23">
        <v>17050</v>
      </c>
      <c r="Q36" s="23">
        <v>1705</v>
      </c>
      <c r="R36" s="23" t="s">
        <v>5391</v>
      </c>
      <c r="S36" s="23" t="s">
        <v>4307</v>
      </c>
      <c r="T36" s="23" t="s">
        <v>3747</v>
      </c>
      <c r="V36" s="23" t="s">
        <v>3104</v>
      </c>
      <c r="W36" s="23">
        <v>17600</v>
      </c>
      <c r="X36" s="23">
        <v>550</v>
      </c>
      <c r="Z36" s="23">
        <v>0</v>
      </c>
      <c r="AA36" s="23">
        <v>0</v>
      </c>
      <c r="AB36" s="23">
        <v>0</v>
      </c>
      <c r="AC36" s="23">
        <v>10</v>
      </c>
      <c r="AD36" s="23">
        <v>0</v>
      </c>
      <c r="AE36" s="23">
        <v>0</v>
      </c>
      <c r="AG36" s="23" t="s">
        <v>3101</v>
      </c>
      <c r="AK36" s="23" t="s">
        <v>3148</v>
      </c>
      <c r="AM36" s="23" t="s">
        <v>3102</v>
      </c>
      <c r="AO36" s="23" t="s">
        <v>3102</v>
      </c>
    </row>
    <row r="37" spans="1:41">
      <c r="A37" s="25">
        <v>46203</v>
      </c>
      <c r="B37" s="23" t="s">
        <v>5392</v>
      </c>
      <c r="C37" s="23" t="s">
        <v>5393</v>
      </c>
      <c r="D37" s="23" t="s">
        <v>3105</v>
      </c>
      <c r="E37" s="23" t="s">
        <v>5394</v>
      </c>
      <c r="F37" s="23" t="s">
        <v>5395</v>
      </c>
      <c r="G37" s="23">
        <v>9047547355</v>
      </c>
      <c r="I37" s="23" t="s">
        <v>5396</v>
      </c>
      <c r="J37" s="23" t="s">
        <v>5394</v>
      </c>
      <c r="K37" s="23" t="s">
        <v>5395</v>
      </c>
      <c r="L37" s="23" t="s">
        <v>5397</v>
      </c>
      <c r="M37" s="23" t="s">
        <v>5398</v>
      </c>
      <c r="N37" s="23" t="s">
        <v>3674</v>
      </c>
      <c r="O37" s="23">
        <v>1</v>
      </c>
      <c r="P37" s="23">
        <v>14300</v>
      </c>
      <c r="Q37" s="23">
        <v>1430</v>
      </c>
      <c r="R37" s="23" t="s">
        <v>3675</v>
      </c>
      <c r="S37" s="23" t="s">
        <v>3150</v>
      </c>
      <c r="T37" s="23" t="s">
        <v>133</v>
      </c>
      <c r="V37" s="23" t="s">
        <v>3106</v>
      </c>
      <c r="W37" s="23">
        <v>14850</v>
      </c>
      <c r="X37" s="23">
        <v>550</v>
      </c>
      <c r="Z37" s="23">
        <v>0</v>
      </c>
      <c r="AA37" s="23">
        <v>0</v>
      </c>
      <c r="AB37" s="23">
        <v>0</v>
      </c>
      <c r="AC37" s="23">
        <v>10</v>
      </c>
      <c r="AD37" s="23">
        <v>0</v>
      </c>
      <c r="AE37" s="23">
        <v>0</v>
      </c>
      <c r="AG37" s="23" t="s">
        <v>3101</v>
      </c>
      <c r="AK37" s="23" t="s">
        <v>3148</v>
      </c>
      <c r="AM37" s="23" t="s">
        <v>3102</v>
      </c>
      <c r="AO37" s="23" t="s">
        <v>3102</v>
      </c>
    </row>
    <row r="38" spans="1:41">
      <c r="A38" s="25">
        <v>46202</v>
      </c>
      <c r="B38" s="23" t="s">
        <v>5399</v>
      </c>
      <c r="C38" s="23" t="s">
        <v>5400</v>
      </c>
      <c r="D38" s="23" t="s">
        <v>3099</v>
      </c>
      <c r="E38" s="23" t="s">
        <v>5401</v>
      </c>
      <c r="F38" s="23" t="s">
        <v>5402</v>
      </c>
      <c r="G38" s="23">
        <v>9039042870</v>
      </c>
      <c r="I38" s="23" t="s">
        <v>5403</v>
      </c>
      <c r="J38" s="23" t="s">
        <v>5401</v>
      </c>
      <c r="K38" s="23" t="s">
        <v>5402</v>
      </c>
      <c r="L38" s="23" t="s">
        <v>5404</v>
      </c>
      <c r="M38" s="23" t="s">
        <v>5405</v>
      </c>
      <c r="N38" s="23" t="s">
        <v>5406</v>
      </c>
      <c r="O38" s="23">
        <v>1</v>
      </c>
      <c r="P38" s="23">
        <v>19800</v>
      </c>
      <c r="Q38" s="23">
        <v>1980</v>
      </c>
      <c r="R38" s="23" t="s">
        <v>5407</v>
      </c>
      <c r="S38" s="23" t="s">
        <v>5408</v>
      </c>
      <c r="T38" s="23">
        <v>8710503036</v>
      </c>
      <c r="V38" s="23" t="s">
        <v>3100</v>
      </c>
      <c r="W38" s="23">
        <v>20000</v>
      </c>
      <c r="X38" s="23">
        <v>550</v>
      </c>
      <c r="Z38" s="23">
        <v>440</v>
      </c>
      <c r="AA38" s="23">
        <v>-790</v>
      </c>
      <c r="AB38" s="23">
        <v>0</v>
      </c>
      <c r="AC38" s="23">
        <v>10</v>
      </c>
      <c r="AD38" s="23">
        <v>0</v>
      </c>
      <c r="AE38" s="23">
        <v>0</v>
      </c>
      <c r="AG38" s="23" t="s">
        <v>3101</v>
      </c>
      <c r="AK38" s="23" t="s">
        <v>3148</v>
      </c>
      <c r="AM38" s="23" t="s">
        <v>5409</v>
      </c>
      <c r="AO38" s="23" t="s">
        <v>5409</v>
      </c>
    </row>
    <row r="39" spans="1:41">
      <c r="A39" s="25">
        <v>46202</v>
      </c>
      <c r="B39" s="23" t="s">
        <v>5410</v>
      </c>
      <c r="C39" s="23" t="s">
        <v>5411</v>
      </c>
      <c r="D39" s="23" t="s">
        <v>3105</v>
      </c>
      <c r="E39" s="23" t="s">
        <v>5412</v>
      </c>
      <c r="F39" s="23" t="s">
        <v>5413</v>
      </c>
      <c r="G39" s="23">
        <v>8053475352</v>
      </c>
      <c r="I39" s="23" t="s">
        <v>5414</v>
      </c>
      <c r="J39" s="23" t="s">
        <v>5412</v>
      </c>
      <c r="K39" s="23" t="s">
        <v>5413</v>
      </c>
      <c r="L39" s="23" t="s">
        <v>5415</v>
      </c>
      <c r="M39" s="23" t="s">
        <v>5416</v>
      </c>
      <c r="N39" s="23" t="s">
        <v>3034</v>
      </c>
      <c r="O39" s="23">
        <v>1</v>
      </c>
      <c r="P39" s="23">
        <v>8800</v>
      </c>
      <c r="Q39" s="23">
        <v>880</v>
      </c>
      <c r="R39" s="23" t="s">
        <v>3160</v>
      </c>
      <c r="S39" s="23" t="s">
        <v>3161</v>
      </c>
      <c r="T39" s="23" t="s">
        <v>5417</v>
      </c>
      <c r="V39" s="23" t="s">
        <v>3106</v>
      </c>
      <c r="W39" s="23">
        <v>9350</v>
      </c>
      <c r="X39" s="23">
        <v>550</v>
      </c>
      <c r="Z39" s="23">
        <v>0</v>
      </c>
      <c r="AA39" s="23">
        <v>0</v>
      </c>
      <c r="AB39" s="23">
        <v>0</v>
      </c>
      <c r="AC39" s="23">
        <v>10</v>
      </c>
      <c r="AD39" s="23">
        <v>0</v>
      </c>
      <c r="AE39" s="23">
        <v>0</v>
      </c>
      <c r="AG39" s="23" t="s">
        <v>3101</v>
      </c>
      <c r="AK39" s="23" t="s">
        <v>3148</v>
      </c>
      <c r="AM39" s="23" t="s">
        <v>3102</v>
      </c>
      <c r="AO39" s="23" t="s">
        <v>3102</v>
      </c>
    </row>
    <row r="40" spans="1:41">
      <c r="A40" s="25">
        <v>46202</v>
      </c>
      <c r="B40" s="23" t="s">
        <v>5418</v>
      </c>
      <c r="C40" s="23" t="s">
        <v>5419</v>
      </c>
      <c r="D40" s="23" t="s">
        <v>3103</v>
      </c>
      <c r="E40" s="23" t="s">
        <v>5420</v>
      </c>
      <c r="F40" s="23" t="s">
        <v>5421</v>
      </c>
      <c r="G40" s="23">
        <v>8067761140</v>
      </c>
      <c r="I40" s="23" t="s">
        <v>5422</v>
      </c>
      <c r="J40" s="23" t="s">
        <v>5420</v>
      </c>
      <c r="K40" s="23" t="s">
        <v>5421</v>
      </c>
      <c r="L40" s="23" t="s">
        <v>5423</v>
      </c>
      <c r="M40" s="23" t="s">
        <v>5424</v>
      </c>
      <c r="N40" s="23" t="s">
        <v>3116</v>
      </c>
      <c r="O40" s="23">
        <v>1</v>
      </c>
      <c r="P40" s="23">
        <v>14300</v>
      </c>
      <c r="Q40" s="23">
        <v>1430</v>
      </c>
      <c r="R40" s="23" t="s">
        <v>3162</v>
      </c>
      <c r="S40" s="23" t="s">
        <v>3150</v>
      </c>
      <c r="T40" s="23" t="s">
        <v>107</v>
      </c>
      <c r="V40" s="23" t="s">
        <v>3104</v>
      </c>
      <c r="W40" s="23">
        <v>14850</v>
      </c>
      <c r="X40" s="23">
        <v>550</v>
      </c>
      <c r="Z40" s="23">
        <v>0</v>
      </c>
      <c r="AA40" s="23">
        <v>0</v>
      </c>
      <c r="AB40" s="23">
        <v>0</v>
      </c>
      <c r="AC40" s="23">
        <v>10</v>
      </c>
      <c r="AD40" s="23">
        <v>0</v>
      </c>
      <c r="AE40" s="23">
        <v>0</v>
      </c>
      <c r="AG40" s="23" t="s">
        <v>3101</v>
      </c>
      <c r="AK40" s="23" t="s">
        <v>3148</v>
      </c>
      <c r="AM40" s="23" t="s">
        <v>3102</v>
      </c>
      <c r="AO40" s="23" t="s">
        <v>3102</v>
      </c>
    </row>
    <row r="41" spans="1:41">
      <c r="A41" s="25">
        <v>46202</v>
      </c>
      <c r="B41" s="23" t="s">
        <v>5425</v>
      </c>
      <c r="C41" s="23" t="s">
        <v>5426</v>
      </c>
      <c r="D41" s="23" t="s">
        <v>3103</v>
      </c>
      <c r="E41" s="23" t="s">
        <v>5427</v>
      </c>
      <c r="F41" s="23" t="s">
        <v>5428</v>
      </c>
      <c r="G41" s="23">
        <v>8037838861</v>
      </c>
      <c r="I41" s="23" t="s">
        <v>5429</v>
      </c>
      <c r="J41" s="23" t="s">
        <v>5427</v>
      </c>
      <c r="K41" s="23" t="s">
        <v>5428</v>
      </c>
      <c r="L41" s="23" t="s">
        <v>5430</v>
      </c>
      <c r="M41" s="23" t="s">
        <v>5431</v>
      </c>
      <c r="N41" s="23" t="s">
        <v>3144</v>
      </c>
      <c r="O41" s="23">
        <v>1</v>
      </c>
      <c r="P41" s="23">
        <v>14300</v>
      </c>
      <c r="Q41" s="23">
        <v>1430</v>
      </c>
      <c r="R41" s="23" t="s">
        <v>3155</v>
      </c>
      <c r="S41" s="23" t="s">
        <v>3150</v>
      </c>
      <c r="T41" s="23" t="s">
        <v>3011</v>
      </c>
      <c r="V41" s="23" t="s">
        <v>3104</v>
      </c>
      <c r="W41" s="23">
        <v>14850</v>
      </c>
      <c r="X41" s="23">
        <v>550</v>
      </c>
      <c r="Z41" s="23">
        <v>0</v>
      </c>
      <c r="AA41" s="23">
        <v>0</v>
      </c>
      <c r="AB41" s="23">
        <v>0</v>
      </c>
      <c r="AC41" s="23">
        <v>10</v>
      </c>
      <c r="AD41" s="23">
        <v>0</v>
      </c>
      <c r="AE41" s="23">
        <v>0</v>
      </c>
      <c r="AG41" s="23" t="s">
        <v>3101</v>
      </c>
      <c r="AK41" s="23" t="s">
        <v>3148</v>
      </c>
      <c r="AM41" s="23" t="s">
        <v>3102</v>
      </c>
      <c r="AO41" s="23" t="s">
        <v>3102</v>
      </c>
    </row>
    <row r="42" spans="1:41">
      <c r="A42" s="25">
        <v>46202</v>
      </c>
      <c r="B42" s="23" t="s">
        <v>5432</v>
      </c>
      <c r="C42" s="23" t="s">
        <v>5433</v>
      </c>
      <c r="D42" s="23" t="s">
        <v>3103</v>
      </c>
      <c r="E42" s="23" t="s">
        <v>5434</v>
      </c>
      <c r="F42" s="23" t="s">
        <v>5435</v>
      </c>
      <c r="G42" s="23">
        <v>428100890</v>
      </c>
      <c r="I42" s="23" t="s">
        <v>5436</v>
      </c>
      <c r="J42" s="23" t="s">
        <v>5434</v>
      </c>
      <c r="K42" s="23" t="s">
        <v>5435</v>
      </c>
      <c r="L42" s="23" t="s">
        <v>5437</v>
      </c>
      <c r="M42" s="23" t="s">
        <v>5438</v>
      </c>
      <c r="N42" s="23" t="s">
        <v>3144</v>
      </c>
      <c r="O42" s="23">
        <v>1</v>
      </c>
      <c r="P42" s="23">
        <v>14300</v>
      </c>
      <c r="Q42" s="23">
        <v>1430</v>
      </c>
      <c r="R42" s="23" t="s">
        <v>3155</v>
      </c>
      <c r="S42" s="23" t="s">
        <v>3150</v>
      </c>
      <c r="T42" s="23" t="s">
        <v>3011</v>
      </c>
      <c r="V42" s="23" t="s">
        <v>3104</v>
      </c>
      <c r="W42" s="23">
        <v>14850</v>
      </c>
      <c r="X42" s="23">
        <v>550</v>
      </c>
      <c r="Z42" s="23">
        <v>0</v>
      </c>
      <c r="AA42" s="23">
        <v>0</v>
      </c>
      <c r="AB42" s="23">
        <v>0</v>
      </c>
      <c r="AC42" s="23">
        <v>10</v>
      </c>
      <c r="AD42" s="23">
        <v>0</v>
      </c>
      <c r="AE42" s="23">
        <v>0</v>
      </c>
      <c r="AG42" s="23" t="s">
        <v>3101</v>
      </c>
      <c r="AK42" s="23" t="s">
        <v>3148</v>
      </c>
      <c r="AM42" s="23" t="s">
        <v>3102</v>
      </c>
      <c r="AO42" s="23" t="s">
        <v>3102</v>
      </c>
    </row>
    <row r="43" spans="1:41">
      <c r="A43" s="25">
        <v>46202</v>
      </c>
      <c r="B43" s="23" t="s">
        <v>5439</v>
      </c>
      <c r="C43" s="23" t="s">
        <v>5440</v>
      </c>
      <c r="D43" s="23" t="s">
        <v>3105</v>
      </c>
      <c r="E43" s="23" t="s">
        <v>5441</v>
      </c>
      <c r="F43" s="23" t="s">
        <v>5442</v>
      </c>
      <c r="G43" s="23">
        <v>8040278350</v>
      </c>
      <c r="I43" s="23" t="s">
        <v>5443</v>
      </c>
      <c r="J43" s="23" t="s">
        <v>5441</v>
      </c>
      <c r="K43" s="23" t="s">
        <v>5442</v>
      </c>
      <c r="L43" s="23" t="s">
        <v>5444</v>
      </c>
      <c r="M43" s="23" t="s">
        <v>5445</v>
      </c>
      <c r="N43" s="23" t="s">
        <v>3269</v>
      </c>
      <c r="O43" s="23">
        <v>1</v>
      </c>
      <c r="P43" s="23">
        <v>6050</v>
      </c>
      <c r="Q43" s="23">
        <v>605</v>
      </c>
      <c r="R43" s="23" t="s">
        <v>5446</v>
      </c>
      <c r="S43" s="23" t="s">
        <v>5447</v>
      </c>
      <c r="T43" s="23" t="s">
        <v>5448</v>
      </c>
      <c r="V43" s="23" t="s">
        <v>3106</v>
      </c>
      <c r="W43" s="23">
        <v>27500</v>
      </c>
      <c r="X43" s="23">
        <v>550</v>
      </c>
      <c r="Z43" s="23">
        <v>0</v>
      </c>
      <c r="AA43" s="23">
        <v>0</v>
      </c>
      <c r="AB43" s="23">
        <v>0</v>
      </c>
      <c r="AC43" s="23">
        <v>10</v>
      </c>
      <c r="AD43" s="23">
        <v>0</v>
      </c>
      <c r="AE43" s="23">
        <v>0</v>
      </c>
      <c r="AG43" s="23" t="s">
        <v>3101</v>
      </c>
      <c r="AK43" s="23" t="s">
        <v>3148</v>
      </c>
      <c r="AM43" s="23" t="s">
        <v>3102</v>
      </c>
      <c r="AO43" s="23" t="s">
        <v>3102</v>
      </c>
    </row>
    <row r="44" spans="1:41">
      <c r="A44" s="25">
        <v>46202</v>
      </c>
      <c r="B44" s="23" t="s">
        <v>5439</v>
      </c>
      <c r="C44" s="23" t="s">
        <v>5440</v>
      </c>
      <c r="D44" s="23" t="s">
        <v>3105</v>
      </c>
      <c r="E44" s="23" t="s">
        <v>5441</v>
      </c>
      <c r="F44" s="23" t="s">
        <v>5442</v>
      </c>
      <c r="G44" s="23">
        <v>8040278350</v>
      </c>
      <c r="I44" s="23" t="s">
        <v>5443</v>
      </c>
      <c r="J44" s="23" t="s">
        <v>5441</v>
      </c>
      <c r="K44" s="23" t="s">
        <v>5442</v>
      </c>
      <c r="L44" s="23" t="s">
        <v>5444</v>
      </c>
      <c r="M44" s="23" t="s">
        <v>5445</v>
      </c>
      <c r="N44" s="23" t="s">
        <v>3293</v>
      </c>
      <c r="O44" s="23">
        <v>1</v>
      </c>
      <c r="P44" s="23">
        <v>20900</v>
      </c>
      <c r="Q44" s="23">
        <v>2090</v>
      </c>
      <c r="R44" s="23" t="s">
        <v>5449</v>
      </c>
      <c r="S44" s="23" t="s">
        <v>5450</v>
      </c>
      <c r="T44" s="23" t="s">
        <v>5173</v>
      </c>
      <c r="V44" s="23" t="s">
        <v>3106</v>
      </c>
      <c r="W44" s="23">
        <v>27500</v>
      </c>
      <c r="X44" s="23">
        <v>550</v>
      </c>
      <c r="Z44" s="23">
        <v>0</v>
      </c>
      <c r="AA44" s="23">
        <v>0</v>
      </c>
      <c r="AB44" s="23">
        <v>0</v>
      </c>
      <c r="AC44" s="23">
        <v>10</v>
      </c>
      <c r="AD44" s="23">
        <v>0</v>
      </c>
      <c r="AE44" s="23">
        <v>0</v>
      </c>
      <c r="AG44" s="23" t="s">
        <v>3101</v>
      </c>
      <c r="AK44" s="23" t="s">
        <v>3148</v>
      </c>
      <c r="AM44" s="23" t="s">
        <v>3102</v>
      </c>
      <c r="AO44" s="23" t="s">
        <v>3102</v>
      </c>
    </row>
    <row r="45" spans="1:41">
      <c r="A45" s="25">
        <v>46202</v>
      </c>
      <c r="B45" s="23" t="s">
        <v>5451</v>
      </c>
      <c r="C45" s="23" t="s">
        <v>5452</v>
      </c>
      <c r="D45" s="23" t="s">
        <v>3099</v>
      </c>
      <c r="E45" s="23" t="s">
        <v>5453</v>
      </c>
      <c r="F45" s="23" t="s">
        <v>5454</v>
      </c>
      <c r="G45" s="23">
        <v>9034082245</v>
      </c>
      <c r="I45" s="23" t="s">
        <v>5455</v>
      </c>
      <c r="J45" s="23" t="s">
        <v>5453</v>
      </c>
      <c r="K45" s="23" t="s">
        <v>5454</v>
      </c>
      <c r="L45" s="23" t="s">
        <v>5456</v>
      </c>
      <c r="M45" s="23" t="s">
        <v>5457</v>
      </c>
      <c r="N45" s="23" t="s">
        <v>3144</v>
      </c>
      <c r="O45" s="23">
        <v>1</v>
      </c>
      <c r="P45" s="23">
        <v>14300</v>
      </c>
      <c r="Q45" s="23">
        <v>1430</v>
      </c>
      <c r="R45" s="23" t="s">
        <v>3155</v>
      </c>
      <c r="S45" s="23" t="s">
        <v>3150</v>
      </c>
      <c r="T45" s="23" t="s">
        <v>3011</v>
      </c>
      <c r="V45" s="23" t="s">
        <v>3100</v>
      </c>
      <c r="W45" s="23">
        <v>15290</v>
      </c>
      <c r="X45" s="23">
        <v>550</v>
      </c>
      <c r="Z45" s="23">
        <v>440</v>
      </c>
      <c r="AA45" s="23">
        <v>0</v>
      </c>
      <c r="AB45" s="23">
        <v>0</v>
      </c>
      <c r="AC45" s="23">
        <v>10</v>
      </c>
      <c r="AD45" s="23">
        <v>0</v>
      </c>
      <c r="AE45" s="23">
        <v>0</v>
      </c>
      <c r="AG45" s="23" t="s">
        <v>3101</v>
      </c>
      <c r="AK45" s="23" t="s">
        <v>3148</v>
      </c>
      <c r="AM45" s="23" t="s">
        <v>3102</v>
      </c>
      <c r="AO45" s="23" t="s">
        <v>3102</v>
      </c>
    </row>
    <row r="46" spans="1:41">
      <c r="A46" s="25">
        <v>46202</v>
      </c>
      <c r="B46" s="23" t="s">
        <v>5458</v>
      </c>
      <c r="C46" s="23" t="s">
        <v>5459</v>
      </c>
      <c r="D46" s="23" t="s">
        <v>3099</v>
      </c>
      <c r="E46" s="23" t="s">
        <v>5460</v>
      </c>
      <c r="F46" s="23" t="s">
        <v>5461</v>
      </c>
      <c r="G46" s="23">
        <v>8095763755</v>
      </c>
      <c r="I46" s="23" t="s">
        <v>5462</v>
      </c>
      <c r="J46" s="23" t="s">
        <v>5460</v>
      </c>
      <c r="K46" s="23" t="s">
        <v>5461</v>
      </c>
      <c r="L46" s="23" t="s">
        <v>5463</v>
      </c>
      <c r="M46" s="23" t="s">
        <v>5464</v>
      </c>
      <c r="N46" s="23" t="s">
        <v>3114</v>
      </c>
      <c r="O46" s="23">
        <v>1</v>
      </c>
      <c r="P46" s="23">
        <v>14300</v>
      </c>
      <c r="Q46" s="23">
        <v>1430</v>
      </c>
      <c r="R46" s="23" t="s">
        <v>3154</v>
      </c>
      <c r="S46" s="23" t="s">
        <v>3150</v>
      </c>
      <c r="T46" s="23" t="s">
        <v>2963</v>
      </c>
      <c r="V46" s="23" t="s">
        <v>3100</v>
      </c>
      <c r="W46" s="23">
        <v>15290</v>
      </c>
      <c r="X46" s="23">
        <v>550</v>
      </c>
      <c r="Z46" s="23">
        <v>440</v>
      </c>
      <c r="AA46" s="23">
        <v>0</v>
      </c>
      <c r="AB46" s="23">
        <v>0</v>
      </c>
      <c r="AC46" s="23">
        <v>10</v>
      </c>
      <c r="AD46" s="23">
        <v>0</v>
      </c>
      <c r="AE46" s="23">
        <v>0</v>
      </c>
      <c r="AG46" s="23" t="s">
        <v>3101</v>
      </c>
      <c r="AK46" s="23" t="s">
        <v>3148</v>
      </c>
      <c r="AM46" s="23" t="s">
        <v>3102</v>
      </c>
      <c r="AO46" s="23" t="s">
        <v>3102</v>
      </c>
    </row>
    <row r="47" spans="1:41">
      <c r="A47" s="25">
        <v>46202</v>
      </c>
      <c r="B47" s="23" t="s">
        <v>5465</v>
      </c>
      <c r="C47" s="23" t="s">
        <v>5466</v>
      </c>
      <c r="D47" s="23" t="s">
        <v>3108</v>
      </c>
      <c r="E47" s="23" t="s">
        <v>5467</v>
      </c>
      <c r="F47" s="23" t="s">
        <v>5468</v>
      </c>
      <c r="G47" s="23">
        <v>9012588716</v>
      </c>
      <c r="I47" s="23" t="s">
        <v>5469</v>
      </c>
      <c r="J47" s="23" t="s">
        <v>5467</v>
      </c>
      <c r="K47" s="23" t="s">
        <v>5468</v>
      </c>
      <c r="L47" s="23" t="s">
        <v>5470</v>
      </c>
      <c r="M47" s="23" t="s">
        <v>5471</v>
      </c>
      <c r="N47" s="23" t="s">
        <v>3034</v>
      </c>
      <c r="O47" s="23">
        <v>1</v>
      </c>
      <c r="P47" s="23">
        <v>8800</v>
      </c>
      <c r="Q47" s="23">
        <v>880</v>
      </c>
      <c r="R47" s="23" t="s">
        <v>3160</v>
      </c>
      <c r="S47" s="23" t="s">
        <v>3161</v>
      </c>
      <c r="T47" s="23" t="s">
        <v>5472</v>
      </c>
      <c r="V47" s="23" t="s">
        <v>3110</v>
      </c>
      <c r="W47" s="23">
        <v>9790</v>
      </c>
      <c r="X47" s="23">
        <v>550</v>
      </c>
      <c r="Z47" s="23">
        <v>0</v>
      </c>
      <c r="AA47" s="23">
        <v>0</v>
      </c>
      <c r="AB47" s="23">
        <v>0</v>
      </c>
      <c r="AC47" s="23">
        <v>10</v>
      </c>
      <c r="AD47" s="23">
        <v>0</v>
      </c>
      <c r="AE47" s="23">
        <v>0</v>
      </c>
      <c r="AG47" s="23" t="s">
        <v>3101</v>
      </c>
      <c r="AI47" s="25"/>
      <c r="AK47" s="23" t="s">
        <v>3148</v>
      </c>
      <c r="AM47" s="23" t="s">
        <v>3102</v>
      </c>
      <c r="AO47" s="23" t="s">
        <v>3102</v>
      </c>
    </row>
    <row r="48" spans="1:41">
      <c r="A48" s="25">
        <v>46202</v>
      </c>
      <c r="B48" s="23" t="s">
        <v>5465</v>
      </c>
      <c r="C48" s="23" t="s">
        <v>5466</v>
      </c>
      <c r="D48" s="23" t="s">
        <v>3108</v>
      </c>
      <c r="E48" s="23" t="s">
        <v>5467</v>
      </c>
      <c r="F48" s="23" t="s">
        <v>5468</v>
      </c>
      <c r="G48" s="23">
        <v>9012588716</v>
      </c>
      <c r="I48" s="23" t="s">
        <v>5469</v>
      </c>
      <c r="J48" s="23" t="s">
        <v>5467</v>
      </c>
      <c r="K48" s="23" t="s">
        <v>5468</v>
      </c>
      <c r="L48" s="23" t="s">
        <v>5470</v>
      </c>
      <c r="M48" s="23" t="s">
        <v>5471</v>
      </c>
      <c r="N48" s="23" t="s">
        <v>5354</v>
      </c>
      <c r="O48" s="23">
        <v>1</v>
      </c>
      <c r="P48" s="23">
        <v>440</v>
      </c>
      <c r="Q48" s="23">
        <v>44</v>
      </c>
      <c r="R48" s="23" t="s">
        <v>5355</v>
      </c>
      <c r="S48" s="23" t="s">
        <v>5356</v>
      </c>
      <c r="T48" s="23" t="s">
        <v>5356</v>
      </c>
      <c r="V48" s="23" t="s">
        <v>3110</v>
      </c>
      <c r="W48" s="23">
        <v>9790</v>
      </c>
      <c r="X48" s="23">
        <v>550</v>
      </c>
      <c r="Z48" s="23">
        <v>0</v>
      </c>
      <c r="AA48" s="23">
        <v>0</v>
      </c>
      <c r="AB48" s="23">
        <v>0</v>
      </c>
      <c r="AC48" s="23">
        <v>10</v>
      </c>
      <c r="AD48" s="23">
        <v>0</v>
      </c>
      <c r="AE48" s="23">
        <v>0</v>
      </c>
      <c r="AG48" s="23" t="s">
        <v>3101</v>
      </c>
      <c r="AI48" s="25"/>
      <c r="AK48" s="23" t="s">
        <v>3148</v>
      </c>
      <c r="AM48" s="23" t="s">
        <v>3102</v>
      </c>
      <c r="AO48" s="23" t="s">
        <v>3102</v>
      </c>
    </row>
    <row r="49" spans="1:42">
      <c r="A49" s="25">
        <v>46202</v>
      </c>
      <c r="B49" s="23" t="s">
        <v>5473</v>
      </c>
      <c r="C49" s="23" t="s">
        <v>5474</v>
      </c>
      <c r="D49" s="23" t="s">
        <v>4091</v>
      </c>
      <c r="E49" s="23" t="s">
        <v>5475</v>
      </c>
      <c r="F49" s="23" t="s">
        <v>5476</v>
      </c>
      <c r="G49" s="23">
        <v>8024610874</v>
      </c>
      <c r="I49" s="23" t="s">
        <v>5477</v>
      </c>
      <c r="J49" s="23" t="s">
        <v>5475</v>
      </c>
      <c r="K49" s="23" t="s">
        <v>5476</v>
      </c>
      <c r="L49" s="23" t="s">
        <v>5478</v>
      </c>
      <c r="M49" s="23" t="s">
        <v>5479</v>
      </c>
      <c r="N49" s="23" t="s">
        <v>5480</v>
      </c>
      <c r="O49" s="23">
        <v>1</v>
      </c>
      <c r="P49" s="23">
        <v>14300</v>
      </c>
      <c r="Q49" s="23">
        <v>1430</v>
      </c>
      <c r="R49" s="23" t="s">
        <v>5481</v>
      </c>
      <c r="S49" s="23" t="s">
        <v>3150</v>
      </c>
      <c r="T49" s="23" t="s">
        <v>127</v>
      </c>
      <c r="V49" s="23" t="s">
        <v>3104</v>
      </c>
      <c r="W49" s="23">
        <v>14850</v>
      </c>
      <c r="X49" s="23">
        <v>550</v>
      </c>
      <c r="Z49" s="23">
        <v>0</v>
      </c>
      <c r="AA49" s="23">
        <v>0</v>
      </c>
      <c r="AB49" s="23">
        <v>0</v>
      </c>
      <c r="AC49" s="23">
        <v>10</v>
      </c>
      <c r="AD49" s="23">
        <v>0</v>
      </c>
      <c r="AE49" s="23">
        <v>0</v>
      </c>
      <c r="AG49" s="23" t="s">
        <v>3101</v>
      </c>
      <c r="AI49" s="25"/>
      <c r="AK49" s="23" t="s">
        <v>3148</v>
      </c>
      <c r="AM49" s="23" t="s">
        <v>3102</v>
      </c>
      <c r="AO49" s="23" t="s">
        <v>3102</v>
      </c>
      <c r="AP49" s="23" t="s">
        <v>5482</v>
      </c>
    </row>
    <row r="50" spans="1:42">
      <c r="A50" s="25">
        <v>46202</v>
      </c>
      <c r="B50" s="23" t="s">
        <v>5483</v>
      </c>
      <c r="C50" s="23" t="s">
        <v>5484</v>
      </c>
      <c r="D50" s="23" t="s">
        <v>3105</v>
      </c>
      <c r="E50" s="23" t="s">
        <v>5485</v>
      </c>
      <c r="F50" s="23" t="s">
        <v>5486</v>
      </c>
      <c r="G50" s="23">
        <v>8050630624</v>
      </c>
      <c r="I50" s="23" t="s">
        <v>5487</v>
      </c>
      <c r="J50" s="23" t="s">
        <v>5485</v>
      </c>
      <c r="K50" s="23" t="s">
        <v>5486</v>
      </c>
      <c r="L50" s="23" t="s">
        <v>5488</v>
      </c>
      <c r="M50" s="23" t="s">
        <v>5489</v>
      </c>
      <c r="N50" s="23" t="s">
        <v>3034</v>
      </c>
      <c r="O50" s="23">
        <v>1</v>
      </c>
      <c r="P50" s="23">
        <v>8800</v>
      </c>
      <c r="Q50" s="23">
        <v>880</v>
      </c>
      <c r="R50" s="23" t="s">
        <v>3160</v>
      </c>
      <c r="S50" s="23" t="s">
        <v>3161</v>
      </c>
      <c r="T50" s="23" t="s">
        <v>3268</v>
      </c>
      <c r="V50" s="23" t="s">
        <v>3106</v>
      </c>
      <c r="W50" s="23">
        <v>9350</v>
      </c>
      <c r="X50" s="23">
        <v>550</v>
      </c>
      <c r="Z50" s="23">
        <v>0</v>
      </c>
      <c r="AA50" s="23">
        <v>0</v>
      </c>
      <c r="AB50" s="23">
        <v>0</v>
      </c>
      <c r="AC50" s="23">
        <v>10</v>
      </c>
      <c r="AD50" s="23">
        <v>0</v>
      </c>
      <c r="AE50" s="23">
        <v>0</v>
      </c>
      <c r="AG50" s="23" t="s">
        <v>3101</v>
      </c>
      <c r="AI50" s="25"/>
      <c r="AK50" s="23" t="s">
        <v>3148</v>
      </c>
      <c r="AM50" s="23" t="s">
        <v>3102</v>
      </c>
      <c r="AO50" s="23" t="s">
        <v>3102</v>
      </c>
    </row>
    <row r="51" spans="1:42">
      <c r="A51" s="25">
        <v>46202</v>
      </c>
      <c r="B51" s="23" t="s">
        <v>5490</v>
      </c>
      <c r="C51" s="23" t="s">
        <v>5491</v>
      </c>
      <c r="D51" s="23" t="s">
        <v>3105</v>
      </c>
      <c r="E51" s="23" t="s">
        <v>5485</v>
      </c>
      <c r="F51" s="23" t="s">
        <v>5486</v>
      </c>
      <c r="G51" s="23">
        <v>8050630624</v>
      </c>
      <c r="I51" s="23" t="s">
        <v>5487</v>
      </c>
      <c r="J51" s="23" t="s">
        <v>5485</v>
      </c>
      <c r="K51" s="23" t="s">
        <v>5486</v>
      </c>
      <c r="L51" s="23" t="s">
        <v>5488</v>
      </c>
      <c r="M51" s="23" t="s">
        <v>5489</v>
      </c>
      <c r="N51" s="23" t="s">
        <v>3034</v>
      </c>
      <c r="O51" s="23">
        <v>1</v>
      </c>
      <c r="P51" s="23">
        <v>8800</v>
      </c>
      <c r="Q51" s="23">
        <v>880</v>
      </c>
      <c r="R51" s="23" t="s">
        <v>3160</v>
      </c>
      <c r="S51" s="23" t="s">
        <v>3161</v>
      </c>
      <c r="T51" s="23" t="s">
        <v>3511</v>
      </c>
      <c r="V51" s="23" t="s">
        <v>3106</v>
      </c>
      <c r="W51" s="23">
        <v>9350</v>
      </c>
      <c r="X51" s="23">
        <v>550</v>
      </c>
      <c r="Z51" s="23">
        <v>0</v>
      </c>
      <c r="AA51" s="23">
        <v>0</v>
      </c>
      <c r="AB51" s="23">
        <v>0</v>
      </c>
      <c r="AC51" s="23">
        <v>10</v>
      </c>
      <c r="AD51" s="23">
        <v>0</v>
      </c>
      <c r="AE51" s="23">
        <v>0</v>
      </c>
      <c r="AG51" s="23" t="s">
        <v>3101</v>
      </c>
      <c r="AI51" s="25"/>
      <c r="AK51" s="23" t="s">
        <v>3148</v>
      </c>
      <c r="AM51" s="23" t="s">
        <v>3102</v>
      </c>
      <c r="AO51" s="23" t="s">
        <v>3102</v>
      </c>
    </row>
    <row r="52" spans="1:42">
      <c r="A52" s="25">
        <v>46202</v>
      </c>
      <c r="B52" s="23" t="s">
        <v>5492</v>
      </c>
      <c r="C52" s="23" t="s">
        <v>5493</v>
      </c>
      <c r="D52" s="23" t="s">
        <v>3099</v>
      </c>
      <c r="E52" s="23" t="s">
        <v>5494</v>
      </c>
      <c r="F52" s="23" t="s">
        <v>5495</v>
      </c>
      <c r="G52" s="23">
        <v>8021368300</v>
      </c>
      <c r="I52" s="23" t="s">
        <v>5496</v>
      </c>
      <c r="J52" s="23" t="s">
        <v>5494</v>
      </c>
      <c r="K52" s="23" t="s">
        <v>5495</v>
      </c>
      <c r="L52" s="23" t="s">
        <v>5497</v>
      </c>
      <c r="M52" s="23" t="s">
        <v>5498</v>
      </c>
      <c r="N52" s="23" t="s">
        <v>3116</v>
      </c>
      <c r="O52" s="23">
        <v>1</v>
      </c>
      <c r="P52" s="23">
        <v>14300</v>
      </c>
      <c r="Q52" s="23">
        <v>1430</v>
      </c>
      <c r="R52" s="23" t="s">
        <v>3162</v>
      </c>
      <c r="S52" s="23" t="s">
        <v>3150</v>
      </c>
      <c r="T52" s="23" t="s">
        <v>107</v>
      </c>
      <c r="V52" s="23" t="s">
        <v>3100</v>
      </c>
      <c r="W52" s="23">
        <v>15290</v>
      </c>
      <c r="X52" s="23">
        <v>550</v>
      </c>
      <c r="Z52" s="23">
        <v>440</v>
      </c>
      <c r="AA52" s="23">
        <v>0</v>
      </c>
      <c r="AB52" s="23">
        <v>0</v>
      </c>
      <c r="AC52" s="23">
        <v>10</v>
      </c>
      <c r="AD52" s="23">
        <v>0</v>
      </c>
      <c r="AE52" s="23">
        <v>0</v>
      </c>
      <c r="AG52" s="23" t="s">
        <v>3101</v>
      </c>
      <c r="AI52" s="25"/>
      <c r="AK52" s="23" t="s">
        <v>3148</v>
      </c>
      <c r="AM52" s="23" t="s">
        <v>3102</v>
      </c>
      <c r="AO52" s="23" t="s">
        <v>3102</v>
      </c>
    </row>
    <row r="53" spans="1:42">
      <c r="A53" s="25">
        <v>46202</v>
      </c>
      <c r="B53" s="23" t="s">
        <v>5499</v>
      </c>
      <c r="C53" s="23" t="s">
        <v>5500</v>
      </c>
      <c r="D53" s="23" t="s">
        <v>3099</v>
      </c>
      <c r="E53" s="23" t="s">
        <v>5501</v>
      </c>
      <c r="F53" s="23" t="s">
        <v>5502</v>
      </c>
      <c r="G53" s="23">
        <v>9010680733</v>
      </c>
      <c r="I53" s="23" t="s">
        <v>5503</v>
      </c>
      <c r="J53" s="23" t="s">
        <v>5501</v>
      </c>
      <c r="K53" s="23" t="s">
        <v>5502</v>
      </c>
      <c r="L53" s="23" t="s">
        <v>5504</v>
      </c>
      <c r="M53" s="23" t="s">
        <v>5505</v>
      </c>
      <c r="N53" s="23" t="s">
        <v>3009</v>
      </c>
      <c r="O53" s="23">
        <v>1</v>
      </c>
      <c r="P53" s="23">
        <v>19800</v>
      </c>
      <c r="Q53" s="23">
        <v>1980</v>
      </c>
      <c r="R53" s="23" t="s">
        <v>3167</v>
      </c>
      <c r="S53" s="23" t="s">
        <v>3168</v>
      </c>
      <c r="T53" s="23" t="s">
        <v>3209</v>
      </c>
      <c r="V53" s="23" t="s">
        <v>3100</v>
      </c>
      <c r="W53" s="23">
        <v>20790</v>
      </c>
      <c r="X53" s="23">
        <v>550</v>
      </c>
      <c r="Z53" s="23">
        <v>440</v>
      </c>
      <c r="AA53" s="23">
        <v>0</v>
      </c>
      <c r="AB53" s="23">
        <v>0</v>
      </c>
      <c r="AC53" s="23">
        <v>10</v>
      </c>
      <c r="AD53" s="23">
        <v>0</v>
      </c>
      <c r="AE53" s="23">
        <v>0</v>
      </c>
      <c r="AG53" s="23" t="s">
        <v>3101</v>
      </c>
      <c r="AI53" s="25"/>
      <c r="AK53" s="23" t="s">
        <v>3148</v>
      </c>
      <c r="AM53" s="23" t="s">
        <v>3102</v>
      </c>
      <c r="AO53" s="23" t="s">
        <v>3102</v>
      </c>
    </row>
    <row r="54" spans="1:42">
      <c r="A54" s="25">
        <v>46202</v>
      </c>
      <c r="B54" s="23" t="s">
        <v>5506</v>
      </c>
      <c r="C54" s="23" t="s">
        <v>5507</v>
      </c>
      <c r="D54" s="23" t="s">
        <v>3105</v>
      </c>
      <c r="E54" s="23" t="s">
        <v>5508</v>
      </c>
      <c r="F54" s="23" t="s">
        <v>5509</v>
      </c>
      <c r="G54" s="23">
        <v>7084603818</v>
      </c>
      <c r="I54" s="23" t="s">
        <v>5510</v>
      </c>
      <c r="J54" s="23" t="s">
        <v>5508</v>
      </c>
      <c r="K54" s="23" t="s">
        <v>5509</v>
      </c>
      <c r="L54" s="23" t="s">
        <v>5511</v>
      </c>
      <c r="M54" s="23" t="s">
        <v>5512</v>
      </c>
      <c r="N54" s="23" t="s">
        <v>5354</v>
      </c>
      <c r="O54" s="23">
        <v>1</v>
      </c>
      <c r="P54" s="23">
        <v>440</v>
      </c>
      <c r="Q54" s="23">
        <v>44</v>
      </c>
      <c r="R54" s="23" t="s">
        <v>5355</v>
      </c>
      <c r="S54" s="23" t="s">
        <v>5356</v>
      </c>
      <c r="T54" s="23" t="s">
        <v>5356</v>
      </c>
      <c r="V54" s="23" t="s">
        <v>3106</v>
      </c>
      <c r="W54" s="23">
        <v>8140</v>
      </c>
      <c r="X54" s="23">
        <v>550</v>
      </c>
      <c r="Z54" s="23">
        <v>0</v>
      </c>
      <c r="AA54" s="23">
        <v>0</v>
      </c>
      <c r="AB54" s="23">
        <v>0</v>
      </c>
      <c r="AC54" s="23">
        <v>10</v>
      </c>
      <c r="AD54" s="23">
        <v>0</v>
      </c>
      <c r="AE54" s="23">
        <v>0</v>
      </c>
      <c r="AG54" s="23" t="s">
        <v>3101</v>
      </c>
      <c r="AI54" s="25"/>
      <c r="AK54" s="23" t="s">
        <v>3148</v>
      </c>
      <c r="AM54" s="23" t="s">
        <v>3102</v>
      </c>
      <c r="AO54" s="23" t="s">
        <v>3102</v>
      </c>
    </row>
    <row r="55" spans="1:42">
      <c r="A55" s="25">
        <v>46202</v>
      </c>
      <c r="B55" s="23" t="s">
        <v>5506</v>
      </c>
      <c r="C55" s="23" t="s">
        <v>5507</v>
      </c>
      <c r="D55" s="23" t="s">
        <v>3105</v>
      </c>
      <c r="E55" s="23" t="s">
        <v>5508</v>
      </c>
      <c r="F55" s="23" t="s">
        <v>5509</v>
      </c>
      <c r="G55" s="23">
        <v>7084603818</v>
      </c>
      <c r="I55" s="23" t="s">
        <v>5510</v>
      </c>
      <c r="J55" s="23" t="s">
        <v>5508</v>
      </c>
      <c r="K55" s="23" t="s">
        <v>5509</v>
      </c>
      <c r="L55" s="23" t="s">
        <v>5511</v>
      </c>
      <c r="M55" s="23" t="s">
        <v>5512</v>
      </c>
      <c r="N55" s="23" t="s">
        <v>5513</v>
      </c>
      <c r="O55" s="23">
        <v>1</v>
      </c>
      <c r="P55" s="23">
        <v>7150</v>
      </c>
      <c r="Q55" s="23">
        <v>715</v>
      </c>
      <c r="R55" s="23" t="s">
        <v>5514</v>
      </c>
      <c r="S55" s="23" t="s">
        <v>5515</v>
      </c>
      <c r="T55" s="23" t="s">
        <v>5516</v>
      </c>
      <c r="V55" s="23" t="s">
        <v>3106</v>
      </c>
      <c r="W55" s="23">
        <v>8140</v>
      </c>
      <c r="X55" s="23">
        <v>550</v>
      </c>
      <c r="Z55" s="23">
        <v>0</v>
      </c>
      <c r="AA55" s="23">
        <v>0</v>
      </c>
      <c r="AB55" s="23">
        <v>0</v>
      </c>
      <c r="AC55" s="23">
        <v>10</v>
      </c>
      <c r="AD55" s="23">
        <v>0</v>
      </c>
      <c r="AE55" s="23">
        <v>0</v>
      </c>
      <c r="AG55" s="23" t="s">
        <v>3101</v>
      </c>
      <c r="AI55" s="25"/>
      <c r="AK55" s="23" t="s">
        <v>3148</v>
      </c>
      <c r="AM55" s="23" t="s">
        <v>3102</v>
      </c>
      <c r="AO55" s="23" t="s">
        <v>3102</v>
      </c>
    </row>
    <row r="56" spans="1:42">
      <c r="A56" s="25">
        <v>46202</v>
      </c>
      <c r="B56" s="23" t="s">
        <v>5517</v>
      </c>
      <c r="C56" s="23" t="s">
        <v>5518</v>
      </c>
      <c r="D56" s="23" t="s">
        <v>3099</v>
      </c>
      <c r="E56" s="23" t="s">
        <v>5519</v>
      </c>
      <c r="F56" s="23" t="s">
        <v>5520</v>
      </c>
      <c r="G56" s="23">
        <v>8052945778</v>
      </c>
      <c r="I56" s="23" t="s">
        <v>5521</v>
      </c>
      <c r="J56" s="23" t="s">
        <v>5519</v>
      </c>
      <c r="K56" s="23" t="s">
        <v>5520</v>
      </c>
      <c r="L56" s="23" t="s">
        <v>5522</v>
      </c>
      <c r="M56" s="23" t="s">
        <v>5523</v>
      </c>
      <c r="N56" s="23" t="s">
        <v>3114</v>
      </c>
      <c r="O56" s="23">
        <v>1</v>
      </c>
      <c r="P56" s="23">
        <v>14300</v>
      </c>
      <c r="Q56" s="23">
        <v>1430</v>
      </c>
      <c r="R56" s="23" t="s">
        <v>3154</v>
      </c>
      <c r="S56" s="23" t="s">
        <v>3150</v>
      </c>
      <c r="T56" s="23" t="s">
        <v>2963</v>
      </c>
      <c r="V56" s="23" t="s">
        <v>3100</v>
      </c>
      <c r="W56" s="23">
        <v>15290</v>
      </c>
      <c r="X56" s="23">
        <v>550</v>
      </c>
      <c r="Z56" s="23">
        <v>440</v>
      </c>
      <c r="AA56" s="23">
        <v>0</v>
      </c>
      <c r="AB56" s="23">
        <v>0</v>
      </c>
      <c r="AC56" s="23">
        <v>10</v>
      </c>
      <c r="AD56" s="23">
        <v>0</v>
      </c>
      <c r="AE56" s="23">
        <v>0</v>
      </c>
      <c r="AG56" s="23" t="s">
        <v>3101</v>
      </c>
      <c r="AI56" s="25"/>
      <c r="AK56" s="23" t="s">
        <v>3148</v>
      </c>
      <c r="AM56" s="23" t="s">
        <v>3102</v>
      </c>
      <c r="AO56" s="23" t="s">
        <v>3102</v>
      </c>
    </row>
    <row r="57" spans="1:42">
      <c r="A57" s="25">
        <v>46202</v>
      </c>
      <c r="B57" s="23" t="s">
        <v>5524</v>
      </c>
      <c r="C57" s="23" t="s">
        <v>5525</v>
      </c>
      <c r="D57" s="23" t="s">
        <v>3099</v>
      </c>
      <c r="E57" s="23" t="s">
        <v>5526</v>
      </c>
      <c r="F57" s="23" t="s">
        <v>5527</v>
      </c>
      <c r="G57" s="23">
        <v>8087280759</v>
      </c>
      <c r="I57" s="23" t="s">
        <v>5528</v>
      </c>
      <c r="J57" s="23" t="s">
        <v>5526</v>
      </c>
      <c r="K57" s="23" t="s">
        <v>5527</v>
      </c>
      <c r="L57" s="23" t="s">
        <v>5529</v>
      </c>
      <c r="M57" s="23" t="s">
        <v>5530</v>
      </c>
      <c r="N57" s="23" t="s">
        <v>3117</v>
      </c>
      <c r="O57" s="23">
        <v>1</v>
      </c>
      <c r="P57" s="23">
        <v>14300</v>
      </c>
      <c r="Q57" s="23">
        <v>1430</v>
      </c>
      <c r="R57" s="23" t="s">
        <v>3159</v>
      </c>
      <c r="S57" s="23" t="s">
        <v>3150</v>
      </c>
      <c r="T57" s="23" t="s">
        <v>2965</v>
      </c>
      <c r="V57" s="23" t="s">
        <v>3100</v>
      </c>
      <c r="W57" s="23">
        <v>15290</v>
      </c>
      <c r="X57" s="23">
        <v>550</v>
      </c>
      <c r="Z57" s="23">
        <v>440</v>
      </c>
      <c r="AA57" s="23">
        <v>0</v>
      </c>
      <c r="AB57" s="23">
        <v>0</v>
      </c>
      <c r="AC57" s="23">
        <v>10</v>
      </c>
      <c r="AD57" s="23">
        <v>0</v>
      </c>
      <c r="AE57" s="23">
        <v>0</v>
      </c>
      <c r="AG57" s="23" t="s">
        <v>3101</v>
      </c>
      <c r="AI57" s="25"/>
      <c r="AK57" s="23" t="s">
        <v>3148</v>
      </c>
      <c r="AM57" s="23" t="s">
        <v>3102</v>
      </c>
      <c r="AO57" s="23" t="s">
        <v>3102</v>
      </c>
    </row>
    <row r="58" spans="1:42">
      <c r="A58" s="25">
        <v>46202</v>
      </c>
      <c r="B58" s="23" t="s">
        <v>5531</v>
      </c>
      <c r="C58" s="23" t="s">
        <v>5532</v>
      </c>
      <c r="D58" s="23" t="s">
        <v>3099</v>
      </c>
      <c r="E58" s="23" t="s">
        <v>5533</v>
      </c>
      <c r="F58" s="23" t="s">
        <v>5534</v>
      </c>
      <c r="G58" s="23">
        <v>7014300677</v>
      </c>
      <c r="I58" s="23" t="s">
        <v>5535</v>
      </c>
      <c r="J58" s="23" t="s">
        <v>5533</v>
      </c>
      <c r="K58" s="23" t="s">
        <v>5534</v>
      </c>
      <c r="L58" s="23" t="s">
        <v>5536</v>
      </c>
      <c r="M58" s="23" t="s">
        <v>5537</v>
      </c>
      <c r="N58" s="23" t="s">
        <v>3674</v>
      </c>
      <c r="O58" s="23">
        <v>1</v>
      </c>
      <c r="P58" s="23">
        <v>14300</v>
      </c>
      <c r="Q58" s="23">
        <v>1430</v>
      </c>
      <c r="R58" s="23" t="s">
        <v>3675</v>
      </c>
      <c r="S58" s="23" t="s">
        <v>3150</v>
      </c>
      <c r="T58" s="23" t="s">
        <v>133</v>
      </c>
      <c r="V58" s="23" t="s">
        <v>3100</v>
      </c>
      <c r="W58" s="23">
        <v>15290</v>
      </c>
      <c r="X58" s="23">
        <v>550</v>
      </c>
      <c r="Z58" s="23">
        <v>440</v>
      </c>
      <c r="AA58" s="23">
        <v>0</v>
      </c>
      <c r="AB58" s="23">
        <v>0</v>
      </c>
      <c r="AC58" s="23">
        <v>10</v>
      </c>
      <c r="AD58" s="23">
        <v>0</v>
      </c>
      <c r="AE58" s="23">
        <v>0</v>
      </c>
      <c r="AG58" s="23" t="s">
        <v>3101</v>
      </c>
      <c r="AI58" s="25"/>
      <c r="AK58" s="23" t="s">
        <v>3148</v>
      </c>
      <c r="AM58" s="23" t="s">
        <v>3102</v>
      </c>
      <c r="AO58" s="23" t="s">
        <v>3102</v>
      </c>
    </row>
    <row r="59" spans="1:42">
      <c r="A59" s="25">
        <v>46202</v>
      </c>
      <c r="B59" s="23" t="s">
        <v>5538</v>
      </c>
      <c r="C59" s="23" t="s">
        <v>5539</v>
      </c>
      <c r="D59" s="23" t="s">
        <v>3099</v>
      </c>
      <c r="E59" s="23" t="s">
        <v>5540</v>
      </c>
      <c r="F59" s="23" t="s">
        <v>5541</v>
      </c>
      <c r="G59" s="23">
        <v>9022449742</v>
      </c>
      <c r="I59" s="23" t="s">
        <v>5542</v>
      </c>
      <c r="J59" s="23" t="s">
        <v>5540</v>
      </c>
      <c r="K59" s="23" t="s">
        <v>5541</v>
      </c>
      <c r="L59" s="23" t="s">
        <v>5543</v>
      </c>
      <c r="M59" s="23" t="s">
        <v>5544</v>
      </c>
      <c r="N59" s="23" t="s">
        <v>3588</v>
      </c>
      <c r="O59" s="23">
        <v>1</v>
      </c>
      <c r="P59" s="23">
        <v>14300</v>
      </c>
      <c r="Q59" s="23">
        <v>1430</v>
      </c>
      <c r="R59" s="23" t="s">
        <v>3589</v>
      </c>
      <c r="S59" s="23" t="s">
        <v>3150</v>
      </c>
      <c r="T59" s="23" t="s">
        <v>3397</v>
      </c>
      <c r="V59" s="23" t="s">
        <v>3100</v>
      </c>
      <c r="W59" s="23">
        <v>15290</v>
      </c>
      <c r="X59" s="23">
        <v>550</v>
      </c>
      <c r="Z59" s="23">
        <v>440</v>
      </c>
      <c r="AA59" s="23">
        <v>0</v>
      </c>
      <c r="AB59" s="23">
        <v>0</v>
      </c>
      <c r="AC59" s="23">
        <v>10</v>
      </c>
      <c r="AD59" s="23">
        <v>0</v>
      </c>
      <c r="AE59" s="23">
        <v>0</v>
      </c>
      <c r="AG59" s="23" t="s">
        <v>3101</v>
      </c>
      <c r="AI59" s="25"/>
      <c r="AK59" s="23" t="s">
        <v>3148</v>
      </c>
      <c r="AM59" s="23" t="s">
        <v>3102</v>
      </c>
      <c r="AO59" s="23" t="s">
        <v>3102</v>
      </c>
    </row>
    <row r="60" spans="1:42">
      <c r="A60" s="25">
        <v>46202</v>
      </c>
      <c r="B60" s="23" t="s">
        <v>5545</v>
      </c>
      <c r="C60" s="23" t="s">
        <v>5546</v>
      </c>
      <c r="D60" s="23" t="s">
        <v>3103</v>
      </c>
      <c r="E60" s="23" t="s">
        <v>4898</v>
      </c>
      <c r="F60" s="23" t="s">
        <v>4899</v>
      </c>
      <c r="G60" s="23">
        <v>586433221</v>
      </c>
      <c r="I60" s="23" t="s">
        <v>4900</v>
      </c>
      <c r="J60" s="23" t="s">
        <v>5547</v>
      </c>
      <c r="K60" s="23" t="s">
        <v>4899</v>
      </c>
      <c r="L60" s="23" t="s">
        <v>5548</v>
      </c>
      <c r="M60" s="23" t="s">
        <v>4902</v>
      </c>
      <c r="N60" s="23" t="s">
        <v>5549</v>
      </c>
      <c r="O60" s="23">
        <v>1</v>
      </c>
      <c r="P60" s="23">
        <v>15400</v>
      </c>
      <c r="Q60" s="23">
        <v>1540</v>
      </c>
      <c r="R60" s="23" t="s">
        <v>5550</v>
      </c>
      <c r="S60" s="23" t="s">
        <v>5551</v>
      </c>
      <c r="T60" s="23" t="s">
        <v>5552</v>
      </c>
      <c r="V60" s="23" t="s">
        <v>3104</v>
      </c>
      <c r="W60" s="23">
        <v>15950</v>
      </c>
      <c r="X60" s="23">
        <v>550</v>
      </c>
      <c r="Z60" s="23">
        <v>0</v>
      </c>
      <c r="AA60" s="23">
        <v>0</v>
      </c>
      <c r="AB60" s="23">
        <v>0</v>
      </c>
      <c r="AC60" s="23">
        <v>10</v>
      </c>
      <c r="AD60" s="23">
        <v>0</v>
      </c>
      <c r="AE60" s="23">
        <v>0</v>
      </c>
      <c r="AG60" s="23" t="s">
        <v>3101</v>
      </c>
      <c r="AI60" s="25"/>
      <c r="AK60" s="23" t="s">
        <v>3148</v>
      </c>
      <c r="AM60" s="23" t="s">
        <v>3102</v>
      </c>
      <c r="AO60" s="23" t="s">
        <v>3102</v>
      </c>
    </row>
    <row r="61" spans="1:42">
      <c r="A61" s="25">
        <v>46202</v>
      </c>
      <c r="B61" s="23" t="s">
        <v>5553</v>
      </c>
      <c r="C61" s="23" t="s">
        <v>5554</v>
      </c>
      <c r="D61" s="23" t="s">
        <v>3103</v>
      </c>
      <c r="E61" s="23" t="s">
        <v>5555</v>
      </c>
      <c r="F61" s="23" t="s">
        <v>5556</v>
      </c>
      <c r="G61" s="23">
        <v>9090752283</v>
      </c>
      <c r="I61" s="23" t="s">
        <v>5557</v>
      </c>
      <c r="J61" s="23" t="s">
        <v>5555</v>
      </c>
      <c r="K61" s="23" t="s">
        <v>5556</v>
      </c>
      <c r="L61" s="23" t="s">
        <v>5558</v>
      </c>
      <c r="M61" s="23" t="s">
        <v>5559</v>
      </c>
      <c r="N61" s="23" t="s">
        <v>3144</v>
      </c>
      <c r="O61" s="23">
        <v>1</v>
      </c>
      <c r="P61" s="23">
        <v>14300</v>
      </c>
      <c r="Q61" s="23">
        <v>1430</v>
      </c>
      <c r="R61" s="23" t="s">
        <v>3155</v>
      </c>
      <c r="S61" s="23" t="s">
        <v>3150</v>
      </c>
      <c r="T61" s="23" t="s">
        <v>3011</v>
      </c>
      <c r="V61" s="23" t="s">
        <v>3104</v>
      </c>
      <c r="W61" s="23">
        <v>14850</v>
      </c>
      <c r="X61" s="23">
        <v>550</v>
      </c>
      <c r="Z61" s="23">
        <v>0</v>
      </c>
      <c r="AA61" s="23">
        <v>0</v>
      </c>
      <c r="AB61" s="23">
        <v>0</v>
      </c>
      <c r="AC61" s="23">
        <v>10</v>
      </c>
      <c r="AD61" s="23">
        <v>0</v>
      </c>
      <c r="AE61" s="23">
        <v>0</v>
      </c>
      <c r="AG61" s="23" t="s">
        <v>3101</v>
      </c>
      <c r="AI61" s="25"/>
      <c r="AK61" s="23" t="s">
        <v>3148</v>
      </c>
      <c r="AM61" s="23" t="s">
        <v>3102</v>
      </c>
      <c r="AO61" s="23" t="s">
        <v>3102</v>
      </c>
    </row>
    <row r="62" spans="1:42">
      <c r="A62" s="25">
        <v>46202</v>
      </c>
      <c r="B62" s="23" t="s">
        <v>5560</v>
      </c>
      <c r="C62" s="23" t="s">
        <v>5561</v>
      </c>
      <c r="D62" s="23" t="s">
        <v>3103</v>
      </c>
      <c r="E62" s="23" t="s">
        <v>5562</v>
      </c>
      <c r="F62" s="23" t="s">
        <v>5563</v>
      </c>
      <c r="G62" s="23">
        <v>9092321163</v>
      </c>
      <c r="I62" s="23" t="s">
        <v>5564</v>
      </c>
      <c r="J62" s="23" t="s">
        <v>5565</v>
      </c>
      <c r="K62" s="23" t="s">
        <v>5563</v>
      </c>
      <c r="L62" s="23" t="s">
        <v>5566</v>
      </c>
      <c r="M62" s="23" t="s">
        <v>5567</v>
      </c>
      <c r="N62" s="23" t="s">
        <v>5354</v>
      </c>
      <c r="O62" s="23">
        <v>1</v>
      </c>
      <c r="P62" s="23">
        <v>440</v>
      </c>
      <c r="Q62" s="23">
        <v>44</v>
      </c>
      <c r="R62" s="23" t="s">
        <v>5355</v>
      </c>
      <c r="S62" s="23" t="s">
        <v>5356</v>
      </c>
      <c r="T62" s="23" t="s">
        <v>5356</v>
      </c>
      <c r="V62" s="23" t="s">
        <v>3104</v>
      </c>
      <c r="W62" s="23">
        <v>14190</v>
      </c>
      <c r="X62" s="23">
        <v>550</v>
      </c>
      <c r="Z62" s="23">
        <v>0</v>
      </c>
      <c r="AA62" s="23">
        <v>0</v>
      </c>
      <c r="AB62" s="23">
        <v>0</v>
      </c>
      <c r="AC62" s="23">
        <v>10</v>
      </c>
      <c r="AD62" s="23">
        <v>0</v>
      </c>
      <c r="AE62" s="23">
        <v>0</v>
      </c>
      <c r="AG62" s="23" t="s">
        <v>3101</v>
      </c>
      <c r="AI62" s="25"/>
      <c r="AK62" s="23" t="s">
        <v>3148</v>
      </c>
      <c r="AM62" s="23" t="s">
        <v>3102</v>
      </c>
      <c r="AO62" s="23" t="s">
        <v>3102</v>
      </c>
    </row>
    <row r="63" spans="1:42">
      <c r="A63" s="25">
        <v>46202</v>
      </c>
      <c r="B63" s="23" t="s">
        <v>5560</v>
      </c>
      <c r="C63" s="23" t="s">
        <v>5561</v>
      </c>
      <c r="D63" s="23" t="s">
        <v>3103</v>
      </c>
      <c r="E63" s="23" t="s">
        <v>5562</v>
      </c>
      <c r="F63" s="23" t="s">
        <v>5563</v>
      </c>
      <c r="G63" s="23">
        <v>9092321163</v>
      </c>
      <c r="I63" s="23" t="s">
        <v>5564</v>
      </c>
      <c r="J63" s="23" t="s">
        <v>5565</v>
      </c>
      <c r="K63" s="23" t="s">
        <v>5563</v>
      </c>
      <c r="L63" s="23" t="s">
        <v>5566</v>
      </c>
      <c r="M63" s="23" t="s">
        <v>5567</v>
      </c>
      <c r="N63" s="23" t="s">
        <v>5366</v>
      </c>
      <c r="O63" s="23">
        <v>1</v>
      </c>
      <c r="P63" s="23">
        <v>13200</v>
      </c>
      <c r="Q63" s="23">
        <v>1320</v>
      </c>
      <c r="R63" s="23" t="s">
        <v>5367</v>
      </c>
      <c r="S63" s="23" t="s">
        <v>3158</v>
      </c>
      <c r="T63" s="23" t="s">
        <v>210</v>
      </c>
      <c r="V63" s="23" t="s">
        <v>3104</v>
      </c>
      <c r="W63" s="23">
        <v>14190</v>
      </c>
      <c r="X63" s="23">
        <v>550</v>
      </c>
      <c r="Z63" s="23">
        <v>0</v>
      </c>
      <c r="AA63" s="23">
        <v>0</v>
      </c>
      <c r="AB63" s="23">
        <v>0</v>
      </c>
      <c r="AC63" s="23">
        <v>10</v>
      </c>
      <c r="AD63" s="23">
        <v>0</v>
      </c>
      <c r="AE63" s="23">
        <v>0</v>
      </c>
      <c r="AG63" s="23" t="s">
        <v>3101</v>
      </c>
      <c r="AI63" s="25"/>
      <c r="AK63" s="23" t="s">
        <v>3148</v>
      </c>
      <c r="AM63" s="23" t="s">
        <v>3102</v>
      </c>
      <c r="AO63" s="23" t="s">
        <v>3102</v>
      </c>
    </row>
    <row r="64" spans="1:42">
      <c r="A64" s="25">
        <v>46202</v>
      </c>
      <c r="B64" s="23" t="s">
        <v>5568</v>
      </c>
      <c r="C64" s="23" t="s">
        <v>5569</v>
      </c>
      <c r="D64" s="23" t="s">
        <v>3103</v>
      </c>
      <c r="E64" s="23" t="s">
        <v>3550</v>
      </c>
      <c r="F64" s="23" t="s">
        <v>3551</v>
      </c>
      <c r="G64" s="23">
        <v>9093181310</v>
      </c>
      <c r="I64" s="23" t="s">
        <v>3552</v>
      </c>
      <c r="J64" s="23" t="s">
        <v>3553</v>
      </c>
      <c r="K64" s="23" t="s">
        <v>3554</v>
      </c>
      <c r="L64" s="23" t="s">
        <v>3555</v>
      </c>
      <c r="M64" s="23" t="s">
        <v>3556</v>
      </c>
      <c r="N64" s="23" t="s">
        <v>361</v>
      </c>
      <c r="O64" s="23">
        <v>1</v>
      </c>
      <c r="P64" s="23">
        <v>6600</v>
      </c>
      <c r="Q64" s="23">
        <v>660</v>
      </c>
      <c r="R64" s="23" t="s">
        <v>4572</v>
      </c>
      <c r="S64" s="23" t="s">
        <v>4573</v>
      </c>
      <c r="T64" s="23" t="s">
        <v>360</v>
      </c>
      <c r="V64" s="23" t="s">
        <v>3104</v>
      </c>
      <c r="W64" s="23">
        <v>5968</v>
      </c>
      <c r="X64" s="23">
        <v>550</v>
      </c>
      <c r="Z64" s="23">
        <v>0</v>
      </c>
      <c r="AA64" s="23">
        <v>-1182</v>
      </c>
      <c r="AB64" s="23">
        <v>0</v>
      </c>
      <c r="AC64" s="23">
        <v>10</v>
      </c>
      <c r="AD64" s="23">
        <v>0</v>
      </c>
      <c r="AE64" s="23">
        <v>0</v>
      </c>
      <c r="AG64" s="23" t="s">
        <v>3101</v>
      </c>
      <c r="AI64" s="25">
        <v>46203</v>
      </c>
      <c r="AK64" s="23" t="s">
        <v>5570</v>
      </c>
      <c r="AL64" s="23">
        <v>518875580974</v>
      </c>
      <c r="AM64" s="23" t="s">
        <v>3102</v>
      </c>
      <c r="AO64" s="23" t="s">
        <v>3102</v>
      </c>
    </row>
    <row r="65" spans="1:41">
      <c r="A65" s="25">
        <v>46202</v>
      </c>
      <c r="B65" s="23" t="s">
        <v>5571</v>
      </c>
      <c r="C65" s="23" t="s">
        <v>5572</v>
      </c>
      <c r="D65" s="23" t="s">
        <v>3105</v>
      </c>
      <c r="E65" s="23" t="s">
        <v>5573</v>
      </c>
      <c r="F65" s="23" t="s">
        <v>5574</v>
      </c>
      <c r="G65" s="23">
        <v>8056951993</v>
      </c>
      <c r="I65" s="23" t="s">
        <v>5575</v>
      </c>
      <c r="J65" s="23" t="s">
        <v>5573</v>
      </c>
      <c r="K65" s="23" t="s">
        <v>5574</v>
      </c>
      <c r="L65" s="23" t="s">
        <v>5576</v>
      </c>
      <c r="M65" s="23" t="s">
        <v>5577</v>
      </c>
      <c r="N65" s="23" t="s">
        <v>3424</v>
      </c>
      <c r="O65" s="23">
        <v>1</v>
      </c>
      <c r="P65" s="23">
        <v>16500</v>
      </c>
      <c r="Q65" s="23">
        <v>1650</v>
      </c>
      <c r="R65" s="23" t="s">
        <v>5201</v>
      </c>
      <c r="S65" s="23" t="s">
        <v>5202</v>
      </c>
      <c r="T65" s="23" t="s">
        <v>5578</v>
      </c>
      <c r="V65" s="23" t="s">
        <v>3106</v>
      </c>
      <c r="W65" s="23">
        <v>16335</v>
      </c>
      <c r="X65" s="23">
        <v>550</v>
      </c>
      <c r="Z65" s="23">
        <v>0</v>
      </c>
      <c r="AA65" s="23">
        <v>-715</v>
      </c>
      <c r="AB65" s="23">
        <v>0</v>
      </c>
      <c r="AC65" s="23">
        <v>10</v>
      </c>
      <c r="AD65" s="23">
        <v>0</v>
      </c>
      <c r="AE65" s="23">
        <v>0</v>
      </c>
      <c r="AG65" s="23" t="s">
        <v>3101</v>
      </c>
      <c r="AI65" s="25">
        <v>46203</v>
      </c>
      <c r="AK65" s="23" t="s">
        <v>5579</v>
      </c>
      <c r="AL65" s="23">
        <v>518875580414</v>
      </c>
      <c r="AM65" s="23" t="s">
        <v>3102</v>
      </c>
      <c r="AO65" s="23" t="s">
        <v>3102</v>
      </c>
    </row>
    <row r="66" spans="1:41">
      <c r="A66" s="25">
        <v>46202</v>
      </c>
      <c r="B66" s="23" t="s">
        <v>5580</v>
      </c>
      <c r="C66" s="23" t="s">
        <v>5581</v>
      </c>
      <c r="D66" s="23" t="s">
        <v>3105</v>
      </c>
      <c r="E66" s="23" t="s">
        <v>5582</v>
      </c>
      <c r="F66" s="23" t="s">
        <v>5583</v>
      </c>
      <c r="G66" s="23">
        <v>8099950721</v>
      </c>
      <c r="I66" s="23" t="s">
        <v>5584</v>
      </c>
      <c r="J66" s="23" t="s">
        <v>5582</v>
      </c>
      <c r="K66" s="23" t="s">
        <v>5583</v>
      </c>
      <c r="L66" s="23" t="s">
        <v>5585</v>
      </c>
      <c r="M66" s="23" t="s">
        <v>5586</v>
      </c>
      <c r="N66" s="23" t="s">
        <v>1873</v>
      </c>
      <c r="O66" s="23">
        <v>1</v>
      </c>
      <c r="P66" s="23">
        <v>22000</v>
      </c>
      <c r="Q66" s="23">
        <v>2200</v>
      </c>
      <c r="R66" s="23" t="s">
        <v>5587</v>
      </c>
      <c r="S66" s="23" t="s">
        <v>5588</v>
      </c>
      <c r="T66" s="23" t="s">
        <v>5589</v>
      </c>
      <c r="V66" s="23" t="s">
        <v>3106</v>
      </c>
      <c r="W66" s="23">
        <v>32230</v>
      </c>
      <c r="X66" s="23">
        <v>550</v>
      </c>
      <c r="Z66" s="23">
        <v>0</v>
      </c>
      <c r="AA66" s="23">
        <v>-6820</v>
      </c>
      <c r="AB66" s="23">
        <v>0</v>
      </c>
      <c r="AC66" s="23">
        <v>10</v>
      </c>
      <c r="AD66" s="23">
        <v>0</v>
      </c>
      <c r="AE66" s="23">
        <v>0</v>
      </c>
      <c r="AG66" s="23" t="s">
        <v>3101</v>
      </c>
      <c r="AI66" s="25">
        <v>46203</v>
      </c>
      <c r="AK66" s="23" t="s">
        <v>5590</v>
      </c>
      <c r="AL66" s="23">
        <v>518875580941</v>
      </c>
      <c r="AM66" s="23" t="s">
        <v>3102</v>
      </c>
      <c r="AO66" s="23" t="s">
        <v>3102</v>
      </c>
    </row>
    <row r="67" spans="1:41">
      <c r="A67" s="25">
        <v>46202</v>
      </c>
      <c r="B67" s="23" t="s">
        <v>5580</v>
      </c>
      <c r="C67" s="23" t="s">
        <v>5581</v>
      </c>
      <c r="D67" s="23" t="s">
        <v>3105</v>
      </c>
      <c r="E67" s="23" t="s">
        <v>5582</v>
      </c>
      <c r="F67" s="23" t="s">
        <v>5583</v>
      </c>
      <c r="G67" s="23">
        <v>8099950721</v>
      </c>
      <c r="I67" s="23" t="s">
        <v>5584</v>
      </c>
      <c r="J67" s="23" t="s">
        <v>5582</v>
      </c>
      <c r="K67" s="23" t="s">
        <v>5583</v>
      </c>
      <c r="L67" s="23" t="s">
        <v>5585</v>
      </c>
      <c r="M67" s="23" t="s">
        <v>5586</v>
      </c>
      <c r="N67" s="23" t="s">
        <v>5591</v>
      </c>
      <c r="O67" s="23">
        <v>1</v>
      </c>
      <c r="P67" s="23">
        <v>16500</v>
      </c>
      <c r="Q67" s="23">
        <v>1650</v>
      </c>
      <c r="R67" s="23" t="s">
        <v>5592</v>
      </c>
      <c r="S67" s="23" t="s">
        <v>5593</v>
      </c>
      <c r="T67" s="23" t="s">
        <v>5594</v>
      </c>
      <c r="V67" s="23" t="s">
        <v>3106</v>
      </c>
      <c r="W67" s="23">
        <v>32230</v>
      </c>
      <c r="X67" s="23">
        <v>550</v>
      </c>
      <c r="Z67" s="23">
        <v>0</v>
      </c>
      <c r="AA67" s="23">
        <v>-6820</v>
      </c>
      <c r="AB67" s="23">
        <v>0</v>
      </c>
      <c r="AC67" s="23">
        <v>10</v>
      </c>
      <c r="AD67" s="23">
        <v>0</v>
      </c>
      <c r="AE67" s="23">
        <v>0</v>
      </c>
      <c r="AG67" s="23" t="s">
        <v>3101</v>
      </c>
      <c r="AI67" s="25">
        <v>46203</v>
      </c>
      <c r="AK67" s="23" t="s">
        <v>5590</v>
      </c>
      <c r="AL67" s="23">
        <v>518875580941</v>
      </c>
      <c r="AM67" s="23" t="s">
        <v>3102</v>
      </c>
      <c r="AO67" s="23" t="s">
        <v>3102</v>
      </c>
    </row>
    <row r="68" spans="1:41">
      <c r="A68" s="25">
        <v>46202</v>
      </c>
      <c r="B68" s="23" t="s">
        <v>5595</v>
      </c>
      <c r="C68" s="23" t="s">
        <v>5596</v>
      </c>
      <c r="D68" s="23" t="s">
        <v>3108</v>
      </c>
      <c r="E68" s="23" t="s">
        <v>4000</v>
      </c>
      <c r="F68" s="23" t="s">
        <v>4001</v>
      </c>
      <c r="G68" s="23">
        <v>8042997225</v>
      </c>
      <c r="I68" s="23" t="s">
        <v>5597</v>
      </c>
      <c r="J68" s="23" t="s">
        <v>4000</v>
      </c>
      <c r="K68" s="23" t="s">
        <v>4001</v>
      </c>
      <c r="L68" s="23" t="s">
        <v>5598</v>
      </c>
      <c r="M68" s="23" t="s">
        <v>5599</v>
      </c>
      <c r="N68" s="23" t="s">
        <v>3392</v>
      </c>
      <c r="O68" s="23">
        <v>1</v>
      </c>
      <c r="P68" s="23">
        <v>8250</v>
      </c>
      <c r="Q68" s="23">
        <v>825</v>
      </c>
      <c r="R68" s="23" t="s">
        <v>5600</v>
      </c>
      <c r="S68" s="23" t="s">
        <v>5601</v>
      </c>
      <c r="T68" s="23" t="s">
        <v>3445</v>
      </c>
      <c r="V68" s="23" t="s">
        <v>3110</v>
      </c>
      <c r="W68" s="23">
        <v>8800</v>
      </c>
      <c r="X68" s="23">
        <v>550</v>
      </c>
      <c r="Z68" s="23">
        <v>0</v>
      </c>
      <c r="AA68" s="23">
        <v>0</v>
      </c>
      <c r="AB68" s="23">
        <v>0</v>
      </c>
      <c r="AC68" s="23">
        <v>10</v>
      </c>
      <c r="AD68" s="23">
        <v>0</v>
      </c>
      <c r="AE68" s="23">
        <v>0</v>
      </c>
      <c r="AG68" s="23" t="s">
        <v>3101</v>
      </c>
      <c r="AI68" s="25">
        <v>46203</v>
      </c>
      <c r="AK68" s="23" t="s">
        <v>5602</v>
      </c>
      <c r="AL68" s="23">
        <v>518875581151</v>
      </c>
      <c r="AM68" s="23" t="s">
        <v>3102</v>
      </c>
      <c r="AO68" s="23" t="s">
        <v>3102</v>
      </c>
    </row>
    <row r="69" spans="1:41">
      <c r="A69" s="25">
        <v>46202</v>
      </c>
      <c r="B69" s="23" t="s">
        <v>5603</v>
      </c>
      <c r="C69" s="23" t="s">
        <v>5604</v>
      </c>
      <c r="D69" s="23" t="s">
        <v>3108</v>
      </c>
      <c r="E69" s="23" t="s">
        <v>4000</v>
      </c>
      <c r="F69" s="23" t="s">
        <v>4001</v>
      </c>
      <c r="G69" s="23">
        <v>8042997225</v>
      </c>
      <c r="I69" s="23" t="s">
        <v>5597</v>
      </c>
      <c r="J69" s="23" t="s">
        <v>4000</v>
      </c>
      <c r="K69" s="23" t="s">
        <v>4001</v>
      </c>
      <c r="L69" s="23" t="s">
        <v>5598</v>
      </c>
      <c r="M69" s="23" t="s">
        <v>5599</v>
      </c>
      <c r="N69" s="23" t="s">
        <v>680</v>
      </c>
      <c r="O69" s="23">
        <v>1</v>
      </c>
      <c r="P69" s="23">
        <v>12100</v>
      </c>
      <c r="Q69" s="23">
        <v>1210</v>
      </c>
      <c r="R69" s="23" t="s">
        <v>5605</v>
      </c>
      <c r="S69" s="23" t="s">
        <v>5606</v>
      </c>
      <c r="T69" s="23" t="s">
        <v>5607</v>
      </c>
      <c r="V69" s="23" t="s">
        <v>3110</v>
      </c>
      <c r="W69" s="23">
        <v>12650</v>
      </c>
      <c r="X69" s="23">
        <v>550</v>
      </c>
      <c r="Z69" s="23">
        <v>0</v>
      </c>
      <c r="AA69" s="23">
        <v>0</v>
      </c>
      <c r="AB69" s="23">
        <v>0</v>
      </c>
      <c r="AC69" s="23">
        <v>10</v>
      </c>
      <c r="AD69" s="23">
        <v>0</v>
      </c>
      <c r="AE69" s="23">
        <v>0</v>
      </c>
      <c r="AG69" s="23" t="s">
        <v>3101</v>
      </c>
      <c r="AI69" s="25">
        <v>46203</v>
      </c>
      <c r="AK69" s="23" t="s">
        <v>5608</v>
      </c>
      <c r="AL69" s="23">
        <v>518875581184</v>
      </c>
      <c r="AM69" s="23" t="s">
        <v>3102</v>
      </c>
      <c r="AO69" s="23" t="s">
        <v>3102</v>
      </c>
    </row>
    <row r="70" spans="1:41">
      <c r="A70" s="25">
        <v>46202</v>
      </c>
      <c r="B70" s="23" t="s">
        <v>5609</v>
      </c>
      <c r="C70" s="23" t="s">
        <v>5610</v>
      </c>
      <c r="D70" s="23" t="s">
        <v>3108</v>
      </c>
      <c r="E70" s="23" t="s">
        <v>4000</v>
      </c>
      <c r="F70" s="23" t="s">
        <v>4001</v>
      </c>
      <c r="G70" s="23">
        <v>8042997225</v>
      </c>
      <c r="I70" s="23" t="s">
        <v>5597</v>
      </c>
      <c r="J70" s="23" t="s">
        <v>4000</v>
      </c>
      <c r="K70" s="23" t="s">
        <v>4001</v>
      </c>
      <c r="L70" s="23" t="s">
        <v>5598</v>
      </c>
      <c r="M70" s="23" t="s">
        <v>5599</v>
      </c>
      <c r="N70" s="23" t="s">
        <v>3298</v>
      </c>
      <c r="O70" s="23">
        <v>1</v>
      </c>
      <c r="P70" s="23">
        <v>4400</v>
      </c>
      <c r="Q70" s="23">
        <v>440</v>
      </c>
      <c r="R70" s="23" t="s">
        <v>5611</v>
      </c>
      <c r="S70" s="23" t="s">
        <v>5612</v>
      </c>
      <c r="T70" s="23" t="s">
        <v>3746</v>
      </c>
      <c r="V70" s="23" t="s">
        <v>3110</v>
      </c>
      <c r="W70" s="23">
        <v>4950</v>
      </c>
      <c r="X70" s="23">
        <v>550</v>
      </c>
      <c r="Z70" s="23">
        <v>0</v>
      </c>
      <c r="AA70" s="23">
        <v>0</v>
      </c>
      <c r="AB70" s="23">
        <v>0</v>
      </c>
      <c r="AC70" s="23">
        <v>10</v>
      </c>
      <c r="AD70" s="23">
        <v>0</v>
      </c>
      <c r="AE70" s="23">
        <v>0</v>
      </c>
      <c r="AG70" s="23" t="s">
        <v>3101</v>
      </c>
      <c r="AI70" s="25">
        <v>46203</v>
      </c>
      <c r="AK70" s="23" t="s">
        <v>5613</v>
      </c>
      <c r="AL70" s="23">
        <v>518875581173</v>
      </c>
      <c r="AM70" s="23" t="s">
        <v>3102</v>
      </c>
      <c r="AO70" s="23" t="s">
        <v>3102</v>
      </c>
    </row>
    <row r="71" spans="1:41">
      <c r="A71" s="25">
        <v>46202</v>
      </c>
      <c r="B71" s="23" t="s">
        <v>5614</v>
      </c>
      <c r="C71" s="23" t="s">
        <v>5615</v>
      </c>
      <c r="D71" s="23" t="s">
        <v>3108</v>
      </c>
      <c r="E71" s="23" t="s">
        <v>4000</v>
      </c>
      <c r="F71" s="23" t="s">
        <v>4001</v>
      </c>
      <c r="G71" s="23">
        <v>8042997225</v>
      </c>
      <c r="I71" s="23" t="s">
        <v>5597</v>
      </c>
      <c r="J71" s="23" t="s">
        <v>4000</v>
      </c>
      <c r="K71" s="23" t="s">
        <v>4001</v>
      </c>
      <c r="L71" s="23" t="s">
        <v>5598</v>
      </c>
      <c r="M71" s="23" t="s">
        <v>5599</v>
      </c>
      <c r="N71" s="23" t="s">
        <v>3737</v>
      </c>
      <c r="O71" s="23">
        <v>1</v>
      </c>
      <c r="P71" s="23">
        <v>6050</v>
      </c>
      <c r="Q71" s="23">
        <v>605</v>
      </c>
      <c r="R71" s="23" t="s">
        <v>4062</v>
      </c>
      <c r="S71" s="23" t="s">
        <v>4063</v>
      </c>
      <c r="T71" s="23" t="s">
        <v>5616</v>
      </c>
      <c r="V71" s="23" t="s">
        <v>3110</v>
      </c>
      <c r="W71" s="23">
        <v>6600</v>
      </c>
      <c r="X71" s="23">
        <v>550</v>
      </c>
      <c r="Z71" s="23">
        <v>0</v>
      </c>
      <c r="AA71" s="23">
        <v>0</v>
      </c>
      <c r="AB71" s="23">
        <v>0</v>
      </c>
      <c r="AC71" s="23">
        <v>10</v>
      </c>
      <c r="AD71" s="23">
        <v>0</v>
      </c>
      <c r="AE71" s="23">
        <v>0</v>
      </c>
      <c r="AG71" s="23" t="s">
        <v>3101</v>
      </c>
      <c r="AI71" s="25">
        <v>46203</v>
      </c>
      <c r="AK71" s="23" t="s">
        <v>5617</v>
      </c>
      <c r="AL71" s="23">
        <v>518875581243</v>
      </c>
      <c r="AM71" s="23" t="s">
        <v>3102</v>
      </c>
      <c r="AO71" s="23" t="s">
        <v>3102</v>
      </c>
    </row>
    <row r="72" spans="1:41">
      <c r="A72" s="25">
        <v>46202</v>
      </c>
      <c r="B72" s="23" t="s">
        <v>3998</v>
      </c>
      <c r="C72" s="23" t="s">
        <v>3999</v>
      </c>
      <c r="D72" s="23" t="s">
        <v>3108</v>
      </c>
      <c r="E72" s="23" t="s">
        <v>4000</v>
      </c>
      <c r="F72" s="23" t="s">
        <v>4001</v>
      </c>
      <c r="G72" s="23">
        <v>8042997225</v>
      </c>
      <c r="I72" s="23" t="s">
        <v>4002</v>
      </c>
      <c r="J72" s="23" t="s">
        <v>4000</v>
      </c>
      <c r="K72" s="23" t="s">
        <v>4001</v>
      </c>
      <c r="L72" s="23" t="s">
        <v>4003</v>
      </c>
      <c r="M72" s="23" t="s">
        <v>4004</v>
      </c>
      <c r="N72" s="23" t="s">
        <v>4005</v>
      </c>
      <c r="O72" s="23">
        <v>1</v>
      </c>
      <c r="P72" s="23">
        <v>1650</v>
      </c>
      <c r="Q72" s="23">
        <v>165</v>
      </c>
      <c r="R72" s="23" t="s">
        <v>4006</v>
      </c>
      <c r="S72" s="23" t="s">
        <v>4007</v>
      </c>
      <c r="T72" s="23" t="s">
        <v>2013</v>
      </c>
      <c r="V72" s="23" t="s">
        <v>3110</v>
      </c>
      <c r="W72" s="23">
        <v>2200</v>
      </c>
      <c r="X72" s="23">
        <v>550</v>
      </c>
      <c r="Z72" s="23">
        <v>0</v>
      </c>
      <c r="AA72" s="23">
        <v>0</v>
      </c>
      <c r="AB72" s="23">
        <v>0</v>
      </c>
      <c r="AC72" s="23">
        <v>10</v>
      </c>
      <c r="AD72" s="23">
        <v>0</v>
      </c>
      <c r="AE72" s="23">
        <v>0</v>
      </c>
      <c r="AG72" s="23" t="s">
        <v>3101</v>
      </c>
      <c r="AI72" s="25">
        <v>46203</v>
      </c>
      <c r="AK72" s="23" t="s">
        <v>5618</v>
      </c>
      <c r="AL72" s="23">
        <v>518875581232</v>
      </c>
      <c r="AM72" s="23" t="s">
        <v>3102</v>
      </c>
      <c r="AO72" s="23" t="s">
        <v>3102</v>
      </c>
    </row>
    <row r="73" spans="1:41">
      <c r="A73" s="25">
        <v>46202</v>
      </c>
      <c r="B73" s="23" t="s">
        <v>4008</v>
      </c>
      <c r="C73" s="23" t="s">
        <v>4009</v>
      </c>
      <c r="D73" s="23" t="s">
        <v>3108</v>
      </c>
      <c r="E73" s="23" t="s">
        <v>4000</v>
      </c>
      <c r="F73" s="23" t="s">
        <v>4001</v>
      </c>
      <c r="G73" s="23">
        <v>8042997225</v>
      </c>
      <c r="I73" s="23" t="s">
        <v>4002</v>
      </c>
      <c r="J73" s="23" t="s">
        <v>4000</v>
      </c>
      <c r="K73" s="23" t="s">
        <v>4001</v>
      </c>
      <c r="L73" s="23" t="s">
        <v>4003</v>
      </c>
      <c r="M73" s="23" t="s">
        <v>4004</v>
      </c>
      <c r="N73" s="23" t="s">
        <v>4010</v>
      </c>
      <c r="O73" s="23">
        <v>1</v>
      </c>
      <c r="P73" s="23">
        <v>4400</v>
      </c>
      <c r="Q73" s="23">
        <v>440</v>
      </c>
      <c r="R73" s="23" t="s">
        <v>4011</v>
      </c>
      <c r="S73" s="23" t="s">
        <v>4012</v>
      </c>
      <c r="T73" s="23" t="s">
        <v>4013</v>
      </c>
      <c r="V73" s="23" t="s">
        <v>3110</v>
      </c>
      <c r="W73" s="23">
        <v>4950</v>
      </c>
      <c r="X73" s="23">
        <v>550</v>
      </c>
      <c r="Z73" s="23">
        <v>0</v>
      </c>
      <c r="AA73" s="23">
        <v>0</v>
      </c>
      <c r="AB73" s="23">
        <v>0</v>
      </c>
      <c r="AC73" s="23">
        <v>10</v>
      </c>
      <c r="AD73" s="23">
        <v>0</v>
      </c>
      <c r="AE73" s="23">
        <v>0</v>
      </c>
      <c r="AG73" s="23" t="s">
        <v>3101</v>
      </c>
      <c r="AI73" s="25">
        <v>46203</v>
      </c>
      <c r="AK73" s="23" t="s">
        <v>5619</v>
      </c>
      <c r="AL73" s="23">
        <v>518875581206</v>
      </c>
      <c r="AM73" s="23" t="s">
        <v>3102</v>
      </c>
      <c r="AO73" s="23" t="s">
        <v>3102</v>
      </c>
    </row>
    <row r="74" spans="1:41">
      <c r="A74" s="25">
        <v>46202</v>
      </c>
      <c r="B74" s="23" t="s">
        <v>4014</v>
      </c>
      <c r="C74" s="23" t="s">
        <v>4015</v>
      </c>
      <c r="D74" s="23" t="s">
        <v>3105</v>
      </c>
      <c r="E74" s="23" t="s">
        <v>4016</v>
      </c>
      <c r="F74" s="23" t="s">
        <v>4017</v>
      </c>
      <c r="G74" s="23">
        <v>552537591</v>
      </c>
      <c r="I74" s="23" t="s">
        <v>4018</v>
      </c>
      <c r="J74" s="23" t="s">
        <v>4016</v>
      </c>
      <c r="K74" s="23" t="s">
        <v>4017</v>
      </c>
      <c r="L74" s="23" t="s">
        <v>4019</v>
      </c>
      <c r="M74" s="23" t="s">
        <v>4020</v>
      </c>
      <c r="N74" s="23" t="s">
        <v>308</v>
      </c>
      <c r="O74" s="23">
        <v>1</v>
      </c>
      <c r="P74" s="23">
        <v>4730</v>
      </c>
      <c r="Q74" s="23">
        <v>473</v>
      </c>
      <c r="R74" s="23" t="s">
        <v>4021</v>
      </c>
      <c r="S74" s="23" t="s">
        <v>4022</v>
      </c>
      <c r="T74" s="23" t="s">
        <v>307</v>
      </c>
      <c r="V74" s="23" t="s">
        <v>3106</v>
      </c>
      <c r="W74" s="23">
        <v>11660</v>
      </c>
      <c r="X74" s="23">
        <v>550</v>
      </c>
      <c r="Z74" s="23">
        <v>0</v>
      </c>
      <c r="AA74" s="23">
        <v>0</v>
      </c>
      <c r="AB74" s="23">
        <v>0</v>
      </c>
      <c r="AC74" s="23">
        <v>10</v>
      </c>
      <c r="AD74" s="23">
        <v>0</v>
      </c>
      <c r="AE74" s="23">
        <v>0</v>
      </c>
      <c r="AG74" s="23" t="s">
        <v>3101</v>
      </c>
      <c r="AI74" s="25">
        <v>46203</v>
      </c>
      <c r="AK74" s="23" t="s">
        <v>5620</v>
      </c>
      <c r="AL74" s="23">
        <v>518875581125</v>
      </c>
      <c r="AM74" s="23" t="s">
        <v>3102</v>
      </c>
      <c r="AO74" s="23" t="s">
        <v>3102</v>
      </c>
    </row>
    <row r="75" spans="1:41">
      <c r="A75" s="25">
        <v>46202</v>
      </c>
      <c r="B75" s="23" t="s">
        <v>4014</v>
      </c>
      <c r="C75" s="23" t="s">
        <v>4015</v>
      </c>
      <c r="D75" s="23" t="s">
        <v>3105</v>
      </c>
      <c r="E75" s="23" t="s">
        <v>4016</v>
      </c>
      <c r="F75" s="23" t="s">
        <v>4017</v>
      </c>
      <c r="G75" s="23">
        <v>552537591</v>
      </c>
      <c r="I75" s="23" t="s">
        <v>4018</v>
      </c>
      <c r="J75" s="23" t="s">
        <v>4016</v>
      </c>
      <c r="K75" s="23" t="s">
        <v>4017</v>
      </c>
      <c r="L75" s="23" t="s">
        <v>4019</v>
      </c>
      <c r="M75" s="23" t="s">
        <v>4020</v>
      </c>
      <c r="N75" s="23" t="s">
        <v>316</v>
      </c>
      <c r="O75" s="23">
        <v>1</v>
      </c>
      <c r="P75" s="23">
        <v>6380</v>
      </c>
      <c r="Q75" s="23">
        <v>638</v>
      </c>
      <c r="R75" s="23" t="s">
        <v>4023</v>
      </c>
      <c r="S75" s="23" t="s">
        <v>4024</v>
      </c>
      <c r="T75" s="23" t="s">
        <v>324</v>
      </c>
      <c r="V75" s="23" t="s">
        <v>3106</v>
      </c>
      <c r="W75" s="23">
        <v>11660</v>
      </c>
      <c r="X75" s="23">
        <v>550</v>
      </c>
      <c r="Z75" s="23">
        <v>0</v>
      </c>
      <c r="AA75" s="23">
        <v>0</v>
      </c>
      <c r="AB75" s="23">
        <v>0</v>
      </c>
      <c r="AC75" s="23">
        <v>10</v>
      </c>
      <c r="AD75" s="23">
        <v>0</v>
      </c>
      <c r="AE75" s="23">
        <v>0</v>
      </c>
      <c r="AG75" s="23" t="s">
        <v>3101</v>
      </c>
      <c r="AI75" s="25">
        <v>46203</v>
      </c>
      <c r="AK75" s="23" t="s">
        <v>5620</v>
      </c>
      <c r="AL75" s="23">
        <v>518875581125</v>
      </c>
      <c r="AM75" s="23" t="s">
        <v>3102</v>
      </c>
      <c r="AO75" s="23" t="s">
        <v>3102</v>
      </c>
    </row>
    <row r="76" spans="1:41">
      <c r="A76" s="25">
        <v>46202</v>
      </c>
      <c r="B76" s="23" t="s">
        <v>4025</v>
      </c>
      <c r="C76" s="23" t="s">
        <v>4026</v>
      </c>
      <c r="D76" s="23" t="s">
        <v>3108</v>
      </c>
      <c r="E76" s="23" t="s">
        <v>4027</v>
      </c>
      <c r="F76" s="23" t="s">
        <v>4028</v>
      </c>
      <c r="G76" s="23">
        <v>9095422997</v>
      </c>
      <c r="I76" s="23" t="s">
        <v>4029</v>
      </c>
      <c r="J76" s="23" t="s">
        <v>4027</v>
      </c>
      <c r="K76" s="23" t="s">
        <v>4030</v>
      </c>
      <c r="L76" s="23" t="s">
        <v>4031</v>
      </c>
      <c r="M76" s="23" t="s">
        <v>4032</v>
      </c>
      <c r="N76" s="23" t="s">
        <v>1991</v>
      </c>
      <c r="O76" s="23">
        <v>1</v>
      </c>
      <c r="P76" s="23">
        <v>4400</v>
      </c>
      <c r="Q76" s="23">
        <v>440</v>
      </c>
      <c r="R76" s="23" t="s">
        <v>3238</v>
      </c>
      <c r="S76" s="23" t="s">
        <v>3239</v>
      </c>
      <c r="T76" s="23" t="s">
        <v>4033</v>
      </c>
      <c r="V76" s="23" t="s">
        <v>3110</v>
      </c>
      <c r="W76" s="23">
        <v>4950</v>
      </c>
      <c r="X76" s="23">
        <v>550</v>
      </c>
      <c r="Z76" s="23">
        <v>0</v>
      </c>
      <c r="AA76" s="23">
        <v>0</v>
      </c>
      <c r="AB76" s="23">
        <v>0</v>
      </c>
      <c r="AC76" s="23">
        <v>10</v>
      </c>
      <c r="AD76" s="23">
        <v>0</v>
      </c>
      <c r="AE76" s="23">
        <v>0</v>
      </c>
      <c r="AG76" s="23" t="s">
        <v>3101</v>
      </c>
      <c r="AI76" s="25">
        <v>46203</v>
      </c>
      <c r="AK76" s="23" t="s">
        <v>5621</v>
      </c>
      <c r="AL76" s="23">
        <v>518875580996</v>
      </c>
      <c r="AM76" s="23" t="s">
        <v>3102</v>
      </c>
      <c r="AO76" s="23" t="s">
        <v>3102</v>
      </c>
    </row>
    <row r="77" spans="1:41">
      <c r="A77" s="25">
        <v>46201</v>
      </c>
      <c r="B77" s="23" t="s">
        <v>4034</v>
      </c>
      <c r="C77" s="23" t="s">
        <v>4035</v>
      </c>
      <c r="D77" s="23" t="s">
        <v>3105</v>
      </c>
      <c r="E77" s="23" t="s">
        <v>4036</v>
      </c>
      <c r="F77" s="23" t="s">
        <v>4037</v>
      </c>
      <c r="G77" s="23">
        <v>9020450890</v>
      </c>
      <c r="I77" s="23" t="s">
        <v>4038</v>
      </c>
      <c r="J77" s="23" t="s">
        <v>4036</v>
      </c>
      <c r="K77" s="23" t="s">
        <v>4037</v>
      </c>
      <c r="L77" s="23" t="s">
        <v>4039</v>
      </c>
      <c r="M77" s="23" t="s">
        <v>4040</v>
      </c>
      <c r="N77" s="23" t="s">
        <v>3012</v>
      </c>
      <c r="O77" s="23">
        <v>1</v>
      </c>
      <c r="P77" s="23">
        <v>20900</v>
      </c>
      <c r="Q77" s="23">
        <v>2090</v>
      </c>
      <c r="R77" s="23" t="s">
        <v>3234</v>
      </c>
      <c r="S77" s="23" t="s">
        <v>3235</v>
      </c>
      <c r="T77" s="23" t="s">
        <v>3415</v>
      </c>
      <c r="V77" s="23" t="s">
        <v>3106</v>
      </c>
      <c r="W77" s="23">
        <v>21450</v>
      </c>
      <c r="X77" s="23">
        <v>550</v>
      </c>
      <c r="Z77" s="23">
        <v>0</v>
      </c>
      <c r="AA77" s="23">
        <v>0</v>
      </c>
      <c r="AB77" s="23">
        <v>0</v>
      </c>
      <c r="AC77" s="23">
        <v>10</v>
      </c>
      <c r="AD77" s="23">
        <v>0</v>
      </c>
      <c r="AE77" s="23">
        <v>0</v>
      </c>
      <c r="AG77" s="23" t="s">
        <v>3101</v>
      </c>
      <c r="AI77" s="25">
        <v>46203</v>
      </c>
      <c r="AK77" s="23" t="s">
        <v>5622</v>
      </c>
      <c r="AL77" s="23">
        <v>518875580845</v>
      </c>
      <c r="AM77" s="23" t="s">
        <v>3102</v>
      </c>
      <c r="AO77" s="23" t="s">
        <v>3102</v>
      </c>
    </row>
    <row r="78" spans="1:41">
      <c r="A78" s="25">
        <v>46201</v>
      </c>
      <c r="B78" s="23" t="s">
        <v>4041</v>
      </c>
      <c r="C78" s="23" t="s">
        <v>4042</v>
      </c>
      <c r="D78" s="23" t="s">
        <v>3105</v>
      </c>
      <c r="E78" s="23" t="s">
        <v>4043</v>
      </c>
      <c r="F78" s="23" t="s">
        <v>4044</v>
      </c>
      <c r="G78" s="23">
        <v>7013005799</v>
      </c>
      <c r="I78" s="23" t="s">
        <v>4045</v>
      </c>
      <c r="J78" s="23" t="s">
        <v>4043</v>
      </c>
      <c r="K78" s="23" t="s">
        <v>4044</v>
      </c>
      <c r="L78" s="23" t="s">
        <v>4046</v>
      </c>
      <c r="M78" s="23" t="s">
        <v>4047</v>
      </c>
      <c r="N78" s="23" t="s">
        <v>3258</v>
      </c>
      <c r="O78" s="23">
        <v>1</v>
      </c>
      <c r="P78" s="23">
        <v>14300</v>
      </c>
      <c r="Q78" s="23">
        <v>1430</v>
      </c>
      <c r="R78" s="23" t="s">
        <v>3259</v>
      </c>
      <c r="S78" s="23" t="s">
        <v>3150</v>
      </c>
      <c r="T78" s="23" t="s">
        <v>3186</v>
      </c>
      <c r="V78" s="23" t="s">
        <v>3106</v>
      </c>
      <c r="W78" s="23">
        <v>14850</v>
      </c>
      <c r="X78" s="23">
        <v>550</v>
      </c>
      <c r="Z78" s="23">
        <v>0</v>
      </c>
      <c r="AA78" s="23">
        <v>0</v>
      </c>
      <c r="AB78" s="23">
        <v>0</v>
      </c>
      <c r="AC78" s="23">
        <v>10</v>
      </c>
      <c r="AD78" s="23">
        <v>0</v>
      </c>
      <c r="AE78" s="23">
        <v>0</v>
      </c>
      <c r="AG78" s="23" t="s">
        <v>3101</v>
      </c>
      <c r="AI78" s="25">
        <v>46203</v>
      </c>
      <c r="AK78" s="23" t="s">
        <v>5623</v>
      </c>
      <c r="AL78" s="23">
        <v>518875580392</v>
      </c>
      <c r="AM78" s="23" t="s">
        <v>3102</v>
      </c>
      <c r="AO78" s="23" t="s">
        <v>3102</v>
      </c>
    </row>
    <row r="79" spans="1:41">
      <c r="A79" s="25">
        <v>46201</v>
      </c>
      <c r="B79" s="23" t="s">
        <v>4048</v>
      </c>
      <c r="C79" s="23" t="s">
        <v>4049</v>
      </c>
      <c r="D79" s="23" t="s">
        <v>3108</v>
      </c>
      <c r="E79" s="23" t="s">
        <v>4050</v>
      </c>
      <c r="F79" s="23" t="s">
        <v>4051</v>
      </c>
      <c r="G79" s="23">
        <v>9021992440</v>
      </c>
      <c r="I79" s="23" t="s">
        <v>4052</v>
      </c>
      <c r="J79" s="23" t="s">
        <v>4050</v>
      </c>
      <c r="K79" s="23" t="s">
        <v>4051</v>
      </c>
      <c r="L79" s="23" t="s">
        <v>4053</v>
      </c>
      <c r="M79" s="23" t="s">
        <v>4054</v>
      </c>
      <c r="N79" s="23" t="s">
        <v>3114</v>
      </c>
      <c r="O79" s="23">
        <v>1</v>
      </c>
      <c r="P79" s="23">
        <v>14300</v>
      </c>
      <c r="Q79" s="23">
        <v>1430</v>
      </c>
      <c r="R79" s="23" t="s">
        <v>3154</v>
      </c>
      <c r="S79" s="23" t="s">
        <v>3150</v>
      </c>
      <c r="T79" s="23" t="s">
        <v>2963</v>
      </c>
      <c r="V79" s="23" t="s">
        <v>3110</v>
      </c>
      <c r="W79" s="23">
        <v>14850</v>
      </c>
      <c r="X79" s="23">
        <v>550</v>
      </c>
      <c r="Z79" s="23">
        <v>0</v>
      </c>
      <c r="AA79" s="23">
        <v>0</v>
      </c>
      <c r="AB79" s="23">
        <v>0</v>
      </c>
      <c r="AC79" s="23">
        <v>10</v>
      </c>
      <c r="AD79" s="23">
        <v>0</v>
      </c>
      <c r="AE79" s="23">
        <v>0</v>
      </c>
      <c r="AG79" s="23" t="s">
        <v>3101</v>
      </c>
      <c r="AI79" s="25">
        <v>46203</v>
      </c>
      <c r="AK79" s="23" t="s">
        <v>5624</v>
      </c>
      <c r="AL79" s="23">
        <v>518875580591</v>
      </c>
      <c r="AM79" s="23" t="s">
        <v>3102</v>
      </c>
      <c r="AO79" s="23" t="s">
        <v>3102</v>
      </c>
    </row>
    <row r="80" spans="1:41">
      <c r="A80" s="25">
        <v>46201</v>
      </c>
      <c r="B80" s="23" t="s">
        <v>4055</v>
      </c>
      <c r="C80" s="23" t="s">
        <v>4056</v>
      </c>
      <c r="D80" s="23" t="s">
        <v>3105</v>
      </c>
      <c r="E80" s="23" t="s">
        <v>4057</v>
      </c>
      <c r="F80" s="23" t="s">
        <v>4058</v>
      </c>
      <c r="G80" s="23">
        <v>7090185538</v>
      </c>
      <c r="I80" s="23" t="s">
        <v>4059</v>
      </c>
      <c r="J80" s="23" t="s">
        <v>4057</v>
      </c>
      <c r="K80" s="23" t="s">
        <v>4058</v>
      </c>
      <c r="L80" s="23" t="s">
        <v>4060</v>
      </c>
      <c r="M80" s="23" t="s">
        <v>4061</v>
      </c>
      <c r="N80" s="23" t="s">
        <v>73</v>
      </c>
      <c r="O80" s="23">
        <v>1</v>
      </c>
      <c r="P80" s="23">
        <v>3850</v>
      </c>
      <c r="Q80" s="23">
        <v>385</v>
      </c>
      <c r="R80" s="23" t="s">
        <v>3175</v>
      </c>
      <c r="S80" s="23" t="s">
        <v>3176</v>
      </c>
      <c r="T80" s="23" t="s">
        <v>2623</v>
      </c>
      <c r="V80" s="23" t="s">
        <v>3106</v>
      </c>
      <c r="W80" s="23">
        <v>26950</v>
      </c>
      <c r="X80" s="23">
        <v>550</v>
      </c>
      <c r="Z80" s="23">
        <v>0</v>
      </c>
      <c r="AA80" s="23">
        <v>0</v>
      </c>
      <c r="AB80" s="23">
        <v>0</v>
      </c>
      <c r="AC80" s="23">
        <v>10</v>
      </c>
      <c r="AD80" s="23">
        <v>0</v>
      </c>
      <c r="AE80" s="23">
        <v>0</v>
      </c>
      <c r="AG80" s="23" t="s">
        <v>3101</v>
      </c>
      <c r="AI80" s="25">
        <v>46203</v>
      </c>
      <c r="AK80" s="23" t="s">
        <v>5625</v>
      </c>
      <c r="AL80" s="23">
        <v>518875580775</v>
      </c>
      <c r="AM80" s="23" t="s">
        <v>3102</v>
      </c>
      <c r="AO80" s="23" t="s">
        <v>3102</v>
      </c>
    </row>
    <row r="81" spans="1:41">
      <c r="A81" s="25">
        <v>46201</v>
      </c>
      <c r="B81" s="23" t="s">
        <v>4055</v>
      </c>
      <c r="C81" s="23" t="s">
        <v>4056</v>
      </c>
      <c r="D81" s="23" t="s">
        <v>3105</v>
      </c>
      <c r="E81" s="23" t="s">
        <v>4057</v>
      </c>
      <c r="F81" s="23" t="s">
        <v>4058</v>
      </c>
      <c r="G81" s="23">
        <v>7090185538</v>
      </c>
      <c r="I81" s="23" t="s">
        <v>4059</v>
      </c>
      <c r="J81" s="23" t="s">
        <v>4057</v>
      </c>
      <c r="K81" s="23" t="s">
        <v>4058</v>
      </c>
      <c r="L81" s="23" t="s">
        <v>4060</v>
      </c>
      <c r="M81" s="23" t="s">
        <v>4061</v>
      </c>
      <c r="N81" s="23" t="s">
        <v>2610</v>
      </c>
      <c r="O81" s="23">
        <v>1</v>
      </c>
      <c r="P81" s="23">
        <v>2200</v>
      </c>
      <c r="Q81" s="23">
        <v>220</v>
      </c>
      <c r="R81" s="23" t="s">
        <v>3156</v>
      </c>
      <c r="S81" s="23" t="s">
        <v>3157</v>
      </c>
      <c r="T81" s="23" t="s">
        <v>2647</v>
      </c>
      <c r="V81" s="23" t="s">
        <v>3106</v>
      </c>
      <c r="W81" s="23">
        <v>26950</v>
      </c>
      <c r="X81" s="23">
        <v>550</v>
      </c>
      <c r="Z81" s="23">
        <v>0</v>
      </c>
      <c r="AA81" s="23">
        <v>0</v>
      </c>
      <c r="AB81" s="23">
        <v>0</v>
      </c>
      <c r="AC81" s="23">
        <v>10</v>
      </c>
      <c r="AD81" s="23">
        <v>0</v>
      </c>
      <c r="AE81" s="23">
        <v>0</v>
      </c>
      <c r="AG81" s="23" t="s">
        <v>3101</v>
      </c>
      <c r="AI81" s="25">
        <v>46203</v>
      </c>
      <c r="AK81" s="23" t="s">
        <v>5625</v>
      </c>
      <c r="AL81" s="23">
        <v>518875580775</v>
      </c>
      <c r="AM81" s="23" t="s">
        <v>3102</v>
      </c>
      <c r="AO81" s="23" t="s">
        <v>3102</v>
      </c>
    </row>
    <row r="82" spans="1:41">
      <c r="A82" s="25">
        <v>46201</v>
      </c>
      <c r="B82" s="23" t="s">
        <v>4055</v>
      </c>
      <c r="C82" s="23" t="s">
        <v>4056</v>
      </c>
      <c r="D82" s="23" t="s">
        <v>3105</v>
      </c>
      <c r="E82" s="23" t="s">
        <v>4057</v>
      </c>
      <c r="F82" s="23" t="s">
        <v>4058</v>
      </c>
      <c r="G82" s="23">
        <v>7090185538</v>
      </c>
      <c r="I82" s="23" t="s">
        <v>4059</v>
      </c>
      <c r="J82" s="23" t="s">
        <v>4057</v>
      </c>
      <c r="K82" s="23" t="s">
        <v>4058</v>
      </c>
      <c r="L82" s="23" t="s">
        <v>4060</v>
      </c>
      <c r="M82" s="23" t="s">
        <v>4061</v>
      </c>
      <c r="N82" s="23" t="s">
        <v>3121</v>
      </c>
      <c r="O82" s="23">
        <v>1</v>
      </c>
      <c r="P82" s="23">
        <v>14300</v>
      </c>
      <c r="Q82" s="23">
        <v>1430</v>
      </c>
      <c r="R82" s="23" t="s">
        <v>3184</v>
      </c>
      <c r="S82" s="23" t="s">
        <v>3150</v>
      </c>
      <c r="T82" s="23" t="s">
        <v>88</v>
      </c>
      <c r="V82" s="23" t="s">
        <v>3106</v>
      </c>
      <c r="W82" s="23">
        <v>26950</v>
      </c>
      <c r="X82" s="23">
        <v>550</v>
      </c>
      <c r="Z82" s="23">
        <v>0</v>
      </c>
      <c r="AA82" s="23">
        <v>0</v>
      </c>
      <c r="AB82" s="23">
        <v>0</v>
      </c>
      <c r="AC82" s="23">
        <v>10</v>
      </c>
      <c r="AD82" s="23">
        <v>0</v>
      </c>
      <c r="AE82" s="23">
        <v>0</v>
      </c>
      <c r="AG82" s="23" t="s">
        <v>3101</v>
      </c>
      <c r="AI82" s="25">
        <v>46203</v>
      </c>
      <c r="AK82" s="23" t="s">
        <v>5625</v>
      </c>
      <c r="AL82" s="23">
        <v>518875580775</v>
      </c>
      <c r="AM82" s="23" t="s">
        <v>3102</v>
      </c>
      <c r="AO82" s="23" t="s">
        <v>3102</v>
      </c>
    </row>
    <row r="83" spans="1:41">
      <c r="A83" s="25">
        <v>46201</v>
      </c>
      <c r="B83" s="23" t="s">
        <v>4055</v>
      </c>
      <c r="C83" s="23" t="s">
        <v>4056</v>
      </c>
      <c r="D83" s="23" t="s">
        <v>3105</v>
      </c>
      <c r="E83" s="23" t="s">
        <v>4057</v>
      </c>
      <c r="F83" s="23" t="s">
        <v>4058</v>
      </c>
      <c r="G83" s="23">
        <v>7090185538</v>
      </c>
      <c r="I83" s="23" t="s">
        <v>4059</v>
      </c>
      <c r="J83" s="23" t="s">
        <v>4057</v>
      </c>
      <c r="K83" s="23" t="s">
        <v>4058</v>
      </c>
      <c r="L83" s="23" t="s">
        <v>4060</v>
      </c>
      <c r="M83" s="23" t="s">
        <v>4061</v>
      </c>
      <c r="N83" s="23" t="s">
        <v>3737</v>
      </c>
      <c r="O83" s="23">
        <v>1</v>
      </c>
      <c r="P83" s="23">
        <v>6050</v>
      </c>
      <c r="Q83" s="23">
        <v>605</v>
      </c>
      <c r="R83" s="23" t="s">
        <v>4062</v>
      </c>
      <c r="S83" s="23" t="s">
        <v>4063</v>
      </c>
      <c r="T83" s="23" t="s">
        <v>3736</v>
      </c>
      <c r="V83" s="23" t="s">
        <v>3106</v>
      </c>
      <c r="W83" s="23">
        <v>26950</v>
      </c>
      <c r="X83" s="23">
        <v>550</v>
      </c>
      <c r="Z83" s="23">
        <v>0</v>
      </c>
      <c r="AA83" s="23">
        <v>0</v>
      </c>
      <c r="AB83" s="23">
        <v>0</v>
      </c>
      <c r="AC83" s="23">
        <v>10</v>
      </c>
      <c r="AD83" s="23">
        <v>0</v>
      </c>
      <c r="AE83" s="23">
        <v>0</v>
      </c>
      <c r="AG83" s="23" t="s">
        <v>3101</v>
      </c>
      <c r="AI83" s="25">
        <v>46203</v>
      </c>
      <c r="AK83" s="23" t="s">
        <v>5625</v>
      </c>
      <c r="AL83" s="23">
        <v>518875580775</v>
      </c>
      <c r="AM83" s="23" t="s">
        <v>3102</v>
      </c>
      <c r="AO83" s="23" t="s">
        <v>3102</v>
      </c>
    </row>
    <row r="84" spans="1:41">
      <c r="A84" s="25">
        <v>46201</v>
      </c>
      <c r="B84" s="23" t="s">
        <v>4064</v>
      </c>
      <c r="C84" s="23" t="s">
        <v>4065</v>
      </c>
      <c r="D84" s="23" t="s">
        <v>3105</v>
      </c>
      <c r="E84" s="23" t="s">
        <v>4066</v>
      </c>
      <c r="F84" s="23" t="s">
        <v>4067</v>
      </c>
      <c r="G84" s="23">
        <v>9030902364</v>
      </c>
      <c r="I84" s="23" t="s">
        <v>4068</v>
      </c>
      <c r="J84" s="23" t="s">
        <v>4066</v>
      </c>
      <c r="K84" s="23" t="s">
        <v>4067</v>
      </c>
      <c r="L84" s="23" t="s">
        <v>4069</v>
      </c>
      <c r="M84" s="23" t="s">
        <v>4070</v>
      </c>
      <c r="N84" s="23" t="s">
        <v>3116</v>
      </c>
      <c r="O84" s="23">
        <v>1</v>
      </c>
      <c r="P84" s="23">
        <v>14300</v>
      </c>
      <c r="Q84" s="23">
        <v>1430</v>
      </c>
      <c r="R84" s="23" t="s">
        <v>3162</v>
      </c>
      <c r="S84" s="23" t="s">
        <v>3150</v>
      </c>
      <c r="T84" s="23" t="s">
        <v>107</v>
      </c>
      <c r="V84" s="23" t="s">
        <v>3106</v>
      </c>
      <c r="W84" s="23">
        <v>14850</v>
      </c>
      <c r="X84" s="23">
        <v>550</v>
      </c>
      <c r="Z84" s="23">
        <v>0</v>
      </c>
      <c r="AA84" s="23">
        <v>0</v>
      </c>
      <c r="AB84" s="23">
        <v>0</v>
      </c>
      <c r="AC84" s="23">
        <v>10</v>
      </c>
      <c r="AD84" s="23">
        <v>0</v>
      </c>
      <c r="AE84" s="23">
        <v>0</v>
      </c>
      <c r="AG84" s="23" t="s">
        <v>3101</v>
      </c>
      <c r="AI84" s="25">
        <v>46203</v>
      </c>
      <c r="AK84" s="23" t="s">
        <v>5626</v>
      </c>
      <c r="AL84" s="23">
        <v>518875580624</v>
      </c>
      <c r="AM84" s="23" t="s">
        <v>3102</v>
      </c>
      <c r="AO84" s="23" t="s">
        <v>3102</v>
      </c>
    </row>
    <row r="85" spans="1:41">
      <c r="A85" s="25">
        <v>46201</v>
      </c>
      <c r="B85" s="23" t="s">
        <v>4071</v>
      </c>
      <c r="C85" s="23" t="s">
        <v>4072</v>
      </c>
      <c r="D85" s="23" t="s">
        <v>3103</v>
      </c>
      <c r="E85" s="23" t="s">
        <v>4073</v>
      </c>
      <c r="F85" s="23" t="s">
        <v>4074</v>
      </c>
      <c r="G85" s="23">
        <v>9061402461</v>
      </c>
      <c r="I85" s="23" t="s">
        <v>4075</v>
      </c>
      <c r="J85" s="23" t="s">
        <v>4073</v>
      </c>
      <c r="K85" s="23" t="s">
        <v>4074</v>
      </c>
      <c r="L85" s="23" t="s">
        <v>4076</v>
      </c>
      <c r="M85" s="23" t="s">
        <v>4077</v>
      </c>
      <c r="N85" s="23" t="s">
        <v>4078</v>
      </c>
      <c r="O85" s="23">
        <v>1</v>
      </c>
      <c r="P85" s="23">
        <v>22000</v>
      </c>
      <c r="Q85" s="23">
        <v>2200</v>
      </c>
      <c r="R85" s="23" t="s">
        <v>4079</v>
      </c>
      <c r="S85" s="23" t="s">
        <v>4080</v>
      </c>
      <c r="T85" s="23" t="s">
        <v>229</v>
      </c>
      <c r="V85" s="23" t="s">
        <v>3104</v>
      </c>
      <c r="W85" s="23">
        <v>22550</v>
      </c>
      <c r="X85" s="23">
        <v>550</v>
      </c>
      <c r="Z85" s="23">
        <v>0</v>
      </c>
      <c r="AA85" s="23">
        <v>0</v>
      </c>
      <c r="AB85" s="23">
        <v>0</v>
      </c>
      <c r="AC85" s="23">
        <v>10</v>
      </c>
      <c r="AD85" s="23">
        <v>0</v>
      </c>
      <c r="AE85" s="23">
        <v>0</v>
      </c>
      <c r="AG85" s="23" t="s">
        <v>3101</v>
      </c>
      <c r="AI85" s="25">
        <v>46203</v>
      </c>
      <c r="AK85" s="23" t="s">
        <v>5627</v>
      </c>
      <c r="AL85" s="23">
        <v>518875580801</v>
      </c>
      <c r="AM85" s="23" t="s">
        <v>3102</v>
      </c>
      <c r="AO85" s="23" t="s">
        <v>3102</v>
      </c>
    </row>
    <row r="86" spans="1:41">
      <c r="A86" s="25">
        <v>46201</v>
      </c>
      <c r="B86" s="23" t="s">
        <v>4081</v>
      </c>
      <c r="C86" s="23" t="s">
        <v>4082</v>
      </c>
      <c r="D86" s="23" t="s">
        <v>5628</v>
      </c>
      <c r="E86" s="23" t="s">
        <v>4083</v>
      </c>
      <c r="F86" s="23">
        <v>9028724636</v>
      </c>
      <c r="G86" s="23">
        <v>9028724636</v>
      </c>
      <c r="I86" s="23" t="s">
        <v>4084</v>
      </c>
      <c r="J86" s="23" t="s">
        <v>4083</v>
      </c>
      <c r="K86" s="23">
        <v>9028724636</v>
      </c>
      <c r="L86" s="23" t="s">
        <v>4085</v>
      </c>
      <c r="M86" s="23" t="s">
        <v>4086</v>
      </c>
      <c r="N86" s="23" t="s">
        <v>4087</v>
      </c>
      <c r="O86" s="23">
        <v>1</v>
      </c>
      <c r="P86" s="23">
        <v>9900</v>
      </c>
      <c r="Q86" s="23">
        <v>10</v>
      </c>
      <c r="R86" s="23" t="s">
        <v>4088</v>
      </c>
      <c r="S86" s="23" t="s">
        <v>4089</v>
      </c>
      <c r="T86" s="23" t="s">
        <v>4090</v>
      </c>
      <c r="V86" s="23" t="s">
        <v>3119</v>
      </c>
      <c r="W86" s="23">
        <v>9900</v>
      </c>
      <c r="X86" s="23">
        <v>0</v>
      </c>
      <c r="Z86" s="23">
        <v>0</v>
      </c>
      <c r="AA86" s="23">
        <v>0</v>
      </c>
      <c r="AB86" s="23">
        <v>0</v>
      </c>
      <c r="AC86" s="23">
        <v>10</v>
      </c>
      <c r="AD86" s="23">
        <v>0</v>
      </c>
      <c r="AE86" s="23">
        <v>0</v>
      </c>
      <c r="AG86" s="23" t="s">
        <v>3120</v>
      </c>
      <c r="AI86" s="25">
        <v>46203</v>
      </c>
      <c r="AK86" s="23" t="s">
        <v>5629</v>
      </c>
      <c r="AL86" s="23">
        <v>518875581210</v>
      </c>
      <c r="AM86" s="23" t="s">
        <v>3102</v>
      </c>
      <c r="AO86" s="23" t="s">
        <v>3102</v>
      </c>
    </row>
    <row r="87" spans="1:41">
      <c r="A87" s="25">
        <v>46201</v>
      </c>
      <c r="B87" s="23" t="s">
        <v>4092</v>
      </c>
      <c r="C87" s="23" t="s">
        <v>4093</v>
      </c>
      <c r="D87" s="23" t="s">
        <v>3103</v>
      </c>
      <c r="E87" s="23" t="s">
        <v>4094</v>
      </c>
      <c r="F87" s="23" t="s">
        <v>4095</v>
      </c>
      <c r="G87" s="23">
        <v>9078773273</v>
      </c>
      <c r="I87" s="23" t="s">
        <v>4096</v>
      </c>
      <c r="J87" s="23" t="s">
        <v>4094</v>
      </c>
      <c r="K87" s="23" t="s">
        <v>4095</v>
      </c>
      <c r="L87" s="23" t="s">
        <v>4097</v>
      </c>
      <c r="M87" s="23" t="s">
        <v>4098</v>
      </c>
      <c r="N87" s="23" t="s">
        <v>3112</v>
      </c>
      <c r="O87" s="23">
        <v>1</v>
      </c>
      <c r="P87" s="23">
        <v>14300</v>
      </c>
      <c r="Q87" s="23">
        <v>1430</v>
      </c>
      <c r="R87" s="23" t="s">
        <v>3149</v>
      </c>
      <c r="S87" s="23" t="s">
        <v>3150</v>
      </c>
      <c r="T87" s="23" t="s">
        <v>116</v>
      </c>
      <c r="V87" s="23" t="s">
        <v>3104</v>
      </c>
      <c r="W87" s="23">
        <v>14850</v>
      </c>
      <c r="X87" s="23">
        <v>550</v>
      </c>
      <c r="Z87" s="23">
        <v>0</v>
      </c>
      <c r="AA87" s="23">
        <v>0</v>
      </c>
      <c r="AB87" s="23">
        <v>0</v>
      </c>
      <c r="AC87" s="23">
        <v>10</v>
      </c>
      <c r="AD87" s="23">
        <v>0</v>
      </c>
      <c r="AE87" s="23">
        <v>0</v>
      </c>
      <c r="AG87" s="23" t="s">
        <v>3101</v>
      </c>
      <c r="AI87" s="25">
        <v>46203</v>
      </c>
      <c r="AK87" s="23" t="s">
        <v>5630</v>
      </c>
      <c r="AL87" s="23">
        <v>518875580510</v>
      </c>
      <c r="AM87" s="23" t="s">
        <v>3102</v>
      </c>
      <c r="AO87" s="23" t="s">
        <v>3102</v>
      </c>
    </row>
    <row r="88" spans="1:41">
      <c r="A88" s="25">
        <v>46201</v>
      </c>
      <c r="B88" s="23" t="s">
        <v>4099</v>
      </c>
      <c r="C88" s="23" t="s">
        <v>4100</v>
      </c>
      <c r="D88" s="23" t="s">
        <v>3105</v>
      </c>
      <c r="E88" s="23" t="s">
        <v>4101</v>
      </c>
      <c r="F88" s="23" t="s">
        <v>4102</v>
      </c>
      <c r="G88" s="23">
        <v>9041345012</v>
      </c>
      <c r="I88" s="23" t="s">
        <v>4103</v>
      </c>
      <c r="J88" s="23" t="s">
        <v>4101</v>
      </c>
      <c r="K88" s="23" t="s">
        <v>4102</v>
      </c>
      <c r="L88" s="23" t="s">
        <v>4104</v>
      </c>
      <c r="M88" s="23" t="s">
        <v>4105</v>
      </c>
      <c r="N88" s="23" t="s">
        <v>3116</v>
      </c>
      <c r="O88" s="23">
        <v>1</v>
      </c>
      <c r="P88" s="23">
        <v>14300</v>
      </c>
      <c r="Q88" s="23">
        <v>1430</v>
      </c>
      <c r="R88" s="23" t="s">
        <v>3162</v>
      </c>
      <c r="S88" s="23" t="s">
        <v>3150</v>
      </c>
      <c r="T88" s="23" t="s">
        <v>107</v>
      </c>
      <c r="V88" s="23" t="s">
        <v>3106</v>
      </c>
      <c r="W88" s="23">
        <v>14850</v>
      </c>
      <c r="X88" s="23">
        <v>550</v>
      </c>
      <c r="Z88" s="23">
        <v>0</v>
      </c>
      <c r="AA88" s="23">
        <v>0</v>
      </c>
      <c r="AB88" s="23">
        <v>0</v>
      </c>
      <c r="AC88" s="23">
        <v>10</v>
      </c>
      <c r="AD88" s="23">
        <v>0</v>
      </c>
      <c r="AE88" s="23">
        <v>0</v>
      </c>
      <c r="AG88" s="23" t="s">
        <v>3101</v>
      </c>
      <c r="AI88" s="25">
        <v>46203</v>
      </c>
      <c r="AK88" s="23" t="s">
        <v>5631</v>
      </c>
      <c r="AL88" s="23">
        <v>518875580646</v>
      </c>
      <c r="AM88" s="23" t="s">
        <v>3102</v>
      </c>
      <c r="AO88" s="23" t="s">
        <v>3102</v>
      </c>
    </row>
    <row r="89" spans="1:41">
      <c r="A89" s="25">
        <v>46201</v>
      </c>
      <c r="B89" s="23" t="s">
        <v>4106</v>
      </c>
      <c r="C89" s="23" t="s">
        <v>4107</v>
      </c>
      <c r="D89" s="23" t="s">
        <v>3105</v>
      </c>
      <c r="E89" s="23" t="s">
        <v>4108</v>
      </c>
      <c r="F89" s="23" t="s">
        <v>4109</v>
      </c>
      <c r="G89" s="23">
        <v>9095596210</v>
      </c>
      <c r="I89" s="23" t="s">
        <v>4110</v>
      </c>
      <c r="J89" s="23" t="s">
        <v>4108</v>
      </c>
      <c r="K89" s="23" t="s">
        <v>4109</v>
      </c>
      <c r="L89" s="23" t="s">
        <v>4111</v>
      </c>
      <c r="M89" s="23" t="s">
        <v>4112</v>
      </c>
      <c r="N89" s="23" t="s">
        <v>3258</v>
      </c>
      <c r="O89" s="23">
        <v>1</v>
      </c>
      <c r="P89" s="23">
        <v>14300</v>
      </c>
      <c r="Q89" s="23">
        <v>1430</v>
      </c>
      <c r="R89" s="23" t="s">
        <v>3259</v>
      </c>
      <c r="S89" s="23" t="s">
        <v>3150</v>
      </c>
      <c r="T89" s="23" t="s">
        <v>3186</v>
      </c>
      <c r="V89" s="23" t="s">
        <v>3106</v>
      </c>
      <c r="W89" s="23">
        <v>14850</v>
      </c>
      <c r="X89" s="23">
        <v>550</v>
      </c>
      <c r="Z89" s="23">
        <v>0</v>
      </c>
      <c r="AA89" s="23">
        <v>0</v>
      </c>
      <c r="AB89" s="23">
        <v>0</v>
      </c>
      <c r="AC89" s="23">
        <v>10</v>
      </c>
      <c r="AD89" s="23">
        <v>0</v>
      </c>
      <c r="AE89" s="23">
        <v>0</v>
      </c>
      <c r="AG89" s="23" t="s">
        <v>3101</v>
      </c>
      <c r="AI89" s="25">
        <v>46203</v>
      </c>
      <c r="AK89" s="23" t="s">
        <v>5632</v>
      </c>
      <c r="AL89" s="23">
        <v>518875580403</v>
      </c>
      <c r="AM89" s="23" t="s">
        <v>3102</v>
      </c>
      <c r="AO89" s="23" t="s">
        <v>3102</v>
      </c>
    </row>
    <row r="90" spans="1:41">
      <c r="A90" s="25">
        <v>46201</v>
      </c>
      <c r="B90" s="23" t="s">
        <v>4113</v>
      </c>
      <c r="C90" s="23" t="s">
        <v>4114</v>
      </c>
      <c r="D90" s="23" t="s">
        <v>3103</v>
      </c>
      <c r="E90" s="23" t="s">
        <v>4115</v>
      </c>
      <c r="F90" s="23" t="s">
        <v>4116</v>
      </c>
      <c r="G90" s="23">
        <v>748427437</v>
      </c>
      <c r="I90" s="23" t="s">
        <v>4117</v>
      </c>
      <c r="J90" s="23" t="s">
        <v>4115</v>
      </c>
      <c r="K90" s="23" t="s">
        <v>4116</v>
      </c>
      <c r="L90" s="23" t="s">
        <v>4118</v>
      </c>
      <c r="M90" s="23" t="s">
        <v>4119</v>
      </c>
      <c r="N90" s="23" t="s">
        <v>3014</v>
      </c>
      <c r="O90" s="23">
        <v>1</v>
      </c>
      <c r="P90" s="23">
        <v>11000</v>
      </c>
      <c r="Q90" s="23">
        <v>1100</v>
      </c>
      <c r="R90" s="23" t="s">
        <v>3179</v>
      </c>
      <c r="S90" s="23" t="s">
        <v>3180</v>
      </c>
      <c r="T90" s="23" t="s">
        <v>3326</v>
      </c>
      <c r="V90" s="23" t="s">
        <v>3104</v>
      </c>
      <c r="W90" s="23">
        <v>11990</v>
      </c>
      <c r="X90" s="23">
        <v>550</v>
      </c>
      <c r="Z90" s="23">
        <v>0</v>
      </c>
      <c r="AA90" s="23">
        <v>0</v>
      </c>
      <c r="AB90" s="23">
        <v>0</v>
      </c>
      <c r="AC90" s="23">
        <v>10</v>
      </c>
      <c r="AD90" s="23">
        <v>0</v>
      </c>
      <c r="AE90" s="23">
        <v>0</v>
      </c>
      <c r="AG90" s="23" t="s">
        <v>3101</v>
      </c>
      <c r="AI90" s="25">
        <v>46203</v>
      </c>
      <c r="AK90" s="23" t="s">
        <v>5633</v>
      </c>
      <c r="AL90" s="23">
        <v>518875580915</v>
      </c>
      <c r="AM90" s="23" t="s">
        <v>3102</v>
      </c>
      <c r="AO90" s="23" t="s">
        <v>3102</v>
      </c>
    </row>
    <row r="91" spans="1:41">
      <c r="A91" s="25">
        <v>46201</v>
      </c>
      <c r="B91" s="23" t="s">
        <v>4113</v>
      </c>
      <c r="C91" s="23" t="s">
        <v>4114</v>
      </c>
      <c r="D91" s="23" t="s">
        <v>3103</v>
      </c>
      <c r="E91" s="23" t="s">
        <v>4115</v>
      </c>
      <c r="F91" s="23" t="s">
        <v>4116</v>
      </c>
      <c r="G91" s="23">
        <v>748427437</v>
      </c>
      <c r="I91" s="23" t="s">
        <v>4117</v>
      </c>
      <c r="J91" s="23" t="s">
        <v>4115</v>
      </c>
      <c r="K91" s="23" t="s">
        <v>4116</v>
      </c>
      <c r="L91" s="23" t="s">
        <v>4118</v>
      </c>
      <c r="M91" s="23" t="s">
        <v>4119</v>
      </c>
      <c r="N91" s="23" t="s">
        <v>5354</v>
      </c>
      <c r="O91" s="23">
        <v>1</v>
      </c>
      <c r="P91" s="23">
        <v>440</v>
      </c>
      <c r="Q91" s="23">
        <v>44</v>
      </c>
      <c r="R91" s="23" t="s">
        <v>5355</v>
      </c>
      <c r="S91" s="23" t="s">
        <v>5356</v>
      </c>
      <c r="T91" s="23" t="s">
        <v>5356</v>
      </c>
      <c r="V91" s="23" t="s">
        <v>3104</v>
      </c>
      <c r="W91" s="23">
        <v>11990</v>
      </c>
      <c r="X91" s="23">
        <v>550</v>
      </c>
      <c r="Z91" s="23">
        <v>0</v>
      </c>
      <c r="AA91" s="23">
        <v>0</v>
      </c>
      <c r="AB91" s="23">
        <v>0</v>
      </c>
      <c r="AC91" s="23">
        <v>10</v>
      </c>
      <c r="AD91" s="23">
        <v>0</v>
      </c>
      <c r="AE91" s="23">
        <v>0</v>
      </c>
      <c r="AG91" s="23" t="s">
        <v>3101</v>
      </c>
      <c r="AI91" s="25">
        <v>46203</v>
      </c>
      <c r="AK91" s="23" t="s">
        <v>5633</v>
      </c>
      <c r="AL91" s="23">
        <v>518875580915</v>
      </c>
      <c r="AM91" s="23" t="s">
        <v>3102</v>
      </c>
      <c r="AO91" s="23" t="s">
        <v>3102</v>
      </c>
    </row>
    <row r="92" spans="1:41">
      <c r="A92" s="25">
        <v>46201</v>
      </c>
      <c r="B92" s="23" t="s">
        <v>4120</v>
      </c>
      <c r="C92" s="23" t="s">
        <v>4121</v>
      </c>
      <c r="D92" s="23" t="s">
        <v>3103</v>
      </c>
      <c r="E92" s="23" t="s">
        <v>4122</v>
      </c>
      <c r="F92" s="23" t="s">
        <v>4123</v>
      </c>
      <c r="G92" s="23">
        <v>471234557</v>
      </c>
      <c r="I92" s="23" t="s">
        <v>4124</v>
      </c>
      <c r="J92" s="23" t="s">
        <v>4122</v>
      </c>
      <c r="K92" s="23" t="s">
        <v>4123</v>
      </c>
      <c r="L92" s="23" t="s">
        <v>4125</v>
      </c>
      <c r="M92" s="23" t="s">
        <v>4126</v>
      </c>
      <c r="N92" s="23" t="s">
        <v>3114</v>
      </c>
      <c r="O92" s="23">
        <v>1</v>
      </c>
      <c r="P92" s="23">
        <v>14300</v>
      </c>
      <c r="Q92" s="23">
        <v>1430</v>
      </c>
      <c r="R92" s="23" t="s">
        <v>3154</v>
      </c>
      <c r="S92" s="23" t="s">
        <v>3150</v>
      </c>
      <c r="T92" s="23" t="s">
        <v>2963</v>
      </c>
      <c r="V92" s="23" t="s">
        <v>3104</v>
      </c>
      <c r="W92" s="23">
        <v>14850</v>
      </c>
      <c r="X92" s="23">
        <v>550</v>
      </c>
      <c r="Z92" s="23">
        <v>0</v>
      </c>
      <c r="AA92" s="23">
        <v>0</v>
      </c>
      <c r="AB92" s="23">
        <v>0</v>
      </c>
      <c r="AC92" s="23">
        <v>10</v>
      </c>
      <c r="AD92" s="23">
        <v>0</v>
      </c>
      <c r="AE92" s="23">
        <v>0</v>
      </c>
      <c r="AG92" s="23" t="s">
        <v>3101</v>
      </c>
      <c r="AI92" s="25">
        <v>46203</v>
      </c>
      <c r="AK92" s="23" t="s">
        <v>5634</v>
      </c>
      <c r="AL92" s="23">
        <v>518875580602</v>
      </c>
      <c r="AM92" s="23" t="s">
        <v>3102</v>
      </c>
      <c r="AO92" s="23" t="s">
        <v>3102</v>
      </c>
    </row>
    <row r="93" spans="1:41">
      <c r="A93" s="25">
        <v>46201</v>
      </c>
      <c r="B93" s="23" t="s">
        <v>4127</v>
      </c>
      <c r="C93" s="23" t="s">
        <v>4128</v>
      </c>
      <c r="D93" s="23" t="s">
        <v>3103</v>
      </c>
      <c r="E93" s="23" t="s">
        <v>4129</v>
      </c>
      <c r="F93" s="23" t="s">
        <v>4130</v>
      </c>
      <c r="G93" s="23">
        <v>9099754706</v>
      </c>
      <c r="I93" s="23" t="s">
        <v>4131</v>
      </c>
      <c r="J93" s="23" t="s">
        <v>4129</v>
      </c>
      <c r="K93" s="23" t="s">
        <v>4130</v>
      </c>
      <c r="L93" s="23" t="s">
        <v>4132</v>
      </c>
      <c r="M93" s="23" t="s">
        <v>4133</v>
      </c>
      <c r="N93" s="23" t="s">
        <v>732</v>
      </c>
      <c r="O93" s="23">
        <v>1</v>
      </c>
      <c r="P93" s="23">
        <v>935</v>
      </c>
      <c r="Q93" s="23">
        <v>93</v>
      </c>
      <c r="R93" s="23" t="s">
        <v>4134</v>
      </c>
      <c r="S93" s="23" t="s">
        <v>4135</v>
      </c>
      <c r="T93" s="23" t="s">
        <v>731</v>
      </c>
      <c r="V93" s="23" t="s">
        <v>3104</v>
      </c>
      <c r="W93" s="23">
        <v>37620</v>
      </c>
      <c r="X93" s="23">
        <v>550</v>
      </c>
      <c r="Z93" s="23">
        <v>0</v>
      </c>
      <c r="AA93" s="23">
        <v>-2365</v>
      </c>
      <c r="AB93" s="23">
        <v>0</v>
      </c>
      <c r="AC93" s="23">
        <v>10</v>
      </c>
      <c r="AD93" s="23">
        <v>0</v>
      </c>
      <c r="AE93" s="23">
        <v>0</v>
      </c>
      <c r="AG93" s="23" t="s">
        <v>3101</v>
      </c>
      <c r="AI93" s="25">
        <v>46203</v>
      </c>
      <c r="AK93" s="23" t="s">
        <v>5635</v>
      </c>
      <c r="AL93" s="23">
        <v>518875580871</v>
      </c>
      <c r="AM93" s="23" t="s">
        <v>3102</v>
      </c>
      <c r="AO93" s="23" t="s">
        <v>3102</v>
      </c>
    </row>
    <row r="94" spans="1:41">
      <c r="A94" s="25">
        <v>46201</v>
      </c>
      <c r="B94" s="23" t="s">
        <v>4127</v>
      </c>
      <c r="C94" s="23" t="s">
        <v>4128</v>
      </c>
      <c r="D94" s="23" t="s">
        <v>3103</v>
      </c>
      <c r="E94" s="23" t="s">
        <v>4129</v>
      </c>
      <c r="F94" s="23" t="s">
        <v>4130</v>
      </c>
      <c r="G94" s="23">
        <v>9099754706</v>
      </c>
      <c r="I94" s="23" t="s">
        <v>4131</v>
      </c>
      <c r="J94" s="23" t="s">
        <v>4129</v>
      </c>
      <c r="K94" s="23" t="s">
        <v>4130</v>
      </c>
      <c r="L94" s="23" t="s">
        <v>4132</v>
      </c>
      <c r="M94" s="23" t="s">
        <v>4133</v>
      </c>
      <c r="N94" s="23" t="s">
        <v>3014</v>
      </c>
      <c r="O94" s="23">
        <v>1</v>
      </c>
      <c r="P94" s="23">
        <v>11000</v>
      </c>
      <c r="Q94" s="23">
        <v>1100</v>
      </c>
      <c r="R94" s="23" t="s">
        <v>3179</v>
      </c>
      <c r="S94" s="23" t="s">
        <v>3180</v>
      </c>
      <c r="T94" s="23" t="s">
        <v>3187</v>
      </c>
      <c r="V94" s="23" t="s">
        <v>3104</v>
      </c>
      <c r="W94" s="23">
        <v>37620</v>
      </c>
      <c r="X94" s="23">
        <v>550</v>
      </c>
      <c r="Z94" s="23">
        <v>0</v>
      </c>
      <c r="AA94" s="23">
        <v>-2365</v>
      </c>
      <c r="AB94" s="23">
        <v>0</v>
      </c>
      <c r="AC94" s="23">
        <v>10</v>
      </c>
      <c r="AD94" s="23">
        <v>0</v>
      </c>
      <c r="AE94" s="23">
        <v>0</v>
      </c>
      <c r="AG94" s="23" t="s">
        <v>3101</v>
      </c>
      <c r="AI94" s="25">
        <v>46203</v>
      </c>
      <c r="AK94" s="23" t="s">
        <v>5635</v>
      </c>
      <c r="AL94" s="23">
        <v>518875580871</v>
      </c>
      <c r="AM94" s="23" t="s">
        <v>3102</v>
      </c>
      <c r="AO94" s="23" t="s">
        <v>3102</v>
      </c>
    </row>
    <row r="95" spans="1:41">
      <c r="A95" s="25">
        <v>46201</v>
      </c>
      <c r="B95" s="23" t="s">
        <v>4127</v>
      </c>
      <c r="C95" s="23" t="s">
        <v>4128</v>
      </c>
      <c r="D95" s="23" t="s">
        <v>3103</v>
      </c>
      <c r="E95" s="23" t="s">
        <v>4129</v>
      </c>
      <c r="F95" s="23" t="s">
        <v>4130</v>
      </c>
      <c r="G95" s="23">
        <v>9099754706</v>
      </c>
      <c r="I95" s="23" t="s">
        <v>4131</v>
      </c>
      <c r="J95" s="23" t="s">
        <v>4129</v>
      </c>
      <c r="K95" s="23" t="s">
        <v>4130</v>
      </c>
      <c r="L95" s="23" t="s">
        <v>4132</v>
      </c>
      <c r="M95" s="23" t="s">
        <v>4133</v>
      </c>
      <c r="N95" s="23" t="s">
        <v>4136</v>
      </c>
      <c r="O95" s="23">
        <v>1</v>
      </c>
      <c r="P95" s="23">
        <v>27500</v>
      </c>
      <c r="Q95" s="23">
        <v>2750</v>
      </c>
      <c r="R95" s="23" t="s">
        <v>4137</v>
      </c>
      <c r="S95" s="23" t="s">
        <v>4138</v>
      </c>
      <c r="T95" s="23" t="s">
        <v>4139</v>
      </c>
      <c r="V95" s="23" t="s">
        <v>3104</v>
      </c>
      <c r="W95" s="23">
        <v>37620</v>
      </c>
      <c r="X95" s="23">
        <v>550</v>
      </c>
      <c r="Z95" s="23">
        <v>0</v>
      </c>
      <c r="AA95" s="23">
        <v>-2365</v>
      </c>
      <c r="AB95" s="23">
        <v>0</v>
      </c>
      <c r="AC95" s="23">
        <v>10</v>
      </c>
      <c r="AD95" s="23">
        <v>0</v>
      </c>
      <c r="AE95" s="23">
        <v>0</v>
      </c>
      <c r="AG95" s="23" t="s">
        <v>3101</v>
      </c>
      <c r="AI95" s="25">
        <v>46203</v>
      </c>
      <c r="AK95" s="23" t="s">
        <v>5635</v>
      </c>
      <c r="AL95" s="23">
        <v>518875580871</v>
      </c>
      <c r="AM95" s="23" t="s">
        <v>3102</v>
      </c>
      <c r="AO95" s="23" t="s">
        <v>3102</v>
      </c>
    </row>
    <row r="96" spans="1:41">
      <c r="A96" s="25">
        <v>46201</v>
      </c>
      <c r="B96" s="23" t="s">
        <v>4140</v>
      </c>
      <c r="C96" s="23" t="s">
        <v>4141</v>
      </c>
      <c r="D96" s="23" t="s">
        <v>3103</v>
      </c>
      <c r="E96" s="23" t="s">
        <v>4142</v>
      </c>
      <c r="F96" s="23" t="s">
        <v>4143</v>
      </c>
      <c r="G96" s="23">
        <v>9022345627</v>
      </c>
      <c r="I96" s="23" t="s">
        <v>4144</v>
      </c>
      <c r="J96" s="23" t="s">
        <v>4142</v>
      </c>
      <c r="K96" s="23" t="s">
        <v>4143</v>
      </c>
      <c r="L96" s="23" t="s">
        <v>4145</v>
      </c>
      <c r="M96" s="23" t="s">
        <v>4146</v>
      </c>
      <c r="N96" s="23" t="s">
        <v>732</v>
      </c>
      <c r="O96" s="23">
        <v>1</v>
      </c>
      <c r="P96" s="23">
        <v>935</v>
      </c>
      <c r="Q96" s="23">
        <v>93</v>
      </c>
      <c r="R96" s="23" t="s">
        <v>4134</v>
      </c>
      <c r="S96" s="23" t="s">
        <v>4135</v>
      </c>
      <c r="T96" s="23" t="s">
        <v>731</v>
      </c>
      <c r="V96" s="23" t="s">
        <v>3104</v>
      </c>
      <c r="W96" s="23">
        <v>8635</v>
      </c>
      <c r="X96" s="23">
        <v>550</v>
      </c>
      <c r="Z96" s="23">
        <v>0</v>
      </c>
      <c r="AA96" s="23">
        <v>0</v>
      </c>
      <c r="AB96" s="23">
        <v>0</v>
      </c>
      <c r="AC96" s="23">
        <v>10</v>
      </c>
      <c r="AD96" s="23">
        <v>0</v>
      </c>
      <c r="AE96" s="23">
        <v>0</v>
      </c>
      <c r="AG96" s="23" t="s">
        <v>3101</v>
      </c>
      <c r="AI96" s="25">
        <v>46203</v>
      </c>
      <c r="AK96" s="23" t="s">
        <v>5636</v>
      </c>
      <c r="AL96" s="23">
        <v>518875581265</v>
      </c>
      <c r="AM96" s="23" t="s">
        <v>3102</v>
      </c>
      <c r="AO96" s="23" t="s">
        <v>3102</v>
      </c>
    </row>
    <row r="97" spans="1:42">
      <c r="A97" s="25">
        <v>46201</v>
      </c>
      <c r="B97" s="23" t="s">
        <v>4140</v>
      </c>
      <c r="C97" s="23" t="s">
        <v>4141</v>
      </c>
      <c r="D97" s="23" t="s">
        <v>3103</v>
      </c>
      <c r="E97" s="23" t="s">
        <v>4142</v>
      </c>
      <c r="F97" s="23" t="s">
        <v>4143</v>
      </c>
      <c r="G97" s="23">
        <v>9022345627</v>
      </c>
      <c r="I97" s="23" t="s">
        <v>4144</v>
      </c>
      <c r="J97" s="23" t="s">
        <v>4142</v>
      </c>
      <c r="K97" s="23" t="s">
        <v>4143</v>
      </c>
      <c r="L97" s="23" t="s">
        <v>4145</v>
      </c>
      <c r="M97" s="23" t="s">
        <v>4146</v>
      </c>
      <c r="N97" s="23" t="s">
        <v>3370</v>
      </c>
      <c r="O97" s="23">
        <v>1</v>
      </c>
      <c r="P97" s="23">
        <v>7150</v>
      </c>
      <c r="Q97" s="23">
        <v>715</v>
      </c>
      <c r="R97" s="23" t="s">
        <v>4147</v>
      </c>
      <c r="S97" s="23" t="s">
        <v>4148</v>
      </c>
      <c r="T97" s="23" t="s">
        <v>3373</v>
      </c>
      <c r="V97" s="23" t="s">
        <v>3104</v>
      </c>
      <c r="W97" s="23">
        <v>8635</v>
      </c>
      <c r="X97" s="23">
        <v>550</v>
      </c>
      <c r="Z97" s="23">
        <v>0</v>
      </c>
      <c r="AA97" s="23">
        <v>0</v>
      </c>
      <c r="AB97" s="23">
        <v>0</v>
      </c>
      <c r="AC97" s="23">
        <v>10</v>
      </c>
      <c r="AD97" s="23">
        <v>0</v>
      </c>
      <c r="AE97" s="23">
        <v>0</v>
      </c>
      <c r="AG97" s="23" t="s">
        <v>3101</v>
      </c>
      <c r="AI97" s="25">
        <v>46203</v>
      </c>
      <c r="AK97" s="23" t="s">
        <v>5636</v>
      </c>
      <c r="AL97" s="23">
        <v>518875581265</v>
      </c>
      <c r="AM97" s="23" t="s">
        <v>3102</v>
      </c>
      <c r="AO97" s="23" t="s">
        <v>3102</v>
      </c>
    </row>
    <row r="98" spans="1:42">
      <c r="A98" s="25">
        <v>46201</v>
      </c>
      <c r="B98" s="23" t="s">
        <v>4149</v>
      </c>
      <c r="C98" s="23" t="s">
        <v>4150</v>
      </c>
      <c r="D98" s="23" t="s">
        <v>3103</v>
      </c>
      <c r="E98" s="23" t="s">
        <v>4151</v>
      </c>
      <c r="F98" s="23" t="s">
        <v>4152</v>
      </c>
      <c r="G98" s="23">
        <v>9078137343</v>
      </c>
      <c r="I98" s="23" t="s">
        <v>4153</v>
      </c>
      <c r="J98" s="23" t="s">
        <v>4151</v>
      </c>
      <c r="K98" s="23" t="s">
        <v>4152</v>
      </c>
      <c r="L98" s="23" t="s">
        <v>4154</v>
      </c>
      <c r="M98" s="23" t="s">
        <v>4155</v>
      </c>
      <c r="N98" s="23" t="s">
        <v>3031</v>
      </c>
      <c r="O98" s="23">
        <v>1</v>
      </c>
      <c r="P98" s="23">
        <v>20900</v>
      </c>
      <c r="Q98" s="23">
        <v>2090</v>
      </c>
      <c r="R98" s="23" t="s">
        <v>4156</v>
      </c>
      <c r="S98" s="23" t="s">
        <v>4157</v>
      </c>
      <c r="T98" s="23" t="s">
        <v>2962</v>
      </c>
      <c r="V98" s="23" t="s">
        <v>3104</v>
      </c>
      <c r="W98" s="23">
        <v>21450</v>
      </c>
      <c r="X98" s="23">
        <v>550</v>
      </c>
      <c r="Z98" s="23">
        <v>0</v>
      </c>
      <c r="AA98" s="23">
        <v>0</v>
      </c>
      <c r="AB98" s="23">
        <v>0</v>
      </c>
      <c r="AC98" s="23">
        <v>10</v>
      </c>
      <c r="AD98" s="23">
        <v>0</v>
      </c>
      <c r="AE98" s="23">
        <v>0</v>
      </c>
      <c r="AG98" s="23" t="s">
        <v>3101</v>
      </c>
      <c r="AI98" s="25">
        <v>46203</v>
      </c>
      <c r="AK98" s="23" t="s">
        <v>5637</v>
      </c>
      <c r="AL98" s="23">
        <v>518875580823</v>
      </c>
      <c r="AM98" s="23" t="s">
        <v>3102</v>
      </c>
      <c r="AO98" s="23" t="s">
        <v>3102</v>
      </c>
      <c r="AP98" s="23" t="s">
        <v>5764</v>
      </c>
    </row>
    <row r="99" spans="1:42">
      <c r="A99" s="25">
        <v>46201</v>
      </c>
      <c r="B99" s="23" t="s">
        <v>4158</v>
      </c>
      <c r="C99" s="23" t="s">
        <v>4159</v>
      </c>
      <c r="D99" s="23" t="s">
        <v>3105</v>
      </c>
      <c r="E99" s="23" t="s">
        <v>4160</v>
      </c>
      <c r="F99" s="23" t="s">
        <v>4161</v>
      </c>
      <c r="G99" s="23">
        <v>8034988963</v>
      </c>
      <c r="I99" s="23" t="s">
        <v>4162</v>
      </c>
      <c r="J99" s="23" t="s">
        <v>4160</v>
      </c>
      <c r="K99" s="23" t="s">
        <v>4161</v>
      </c>
      <c r="L99" s="23" t="s">
        <v>4163</v>
      </c>
      <c r="M99" s="23" t="s">
        <v>4164</v>
      </c>
      <c r="N99" s="23" t="s">
        <v>4165</v>
      </c>
      <c r="O99" s="23">
        <v>1</v>
      </c>
      <c r="P99" s="23">
        <v>14850</v>
      </c>
      <c r="Q99" s="23">
        <v>1485</v>
      </c>
      <c r="R99" s="23" t="s">
        <v>4166</v>
      </c>
      <c r="S99" s="23" t="s">
        <v>4167</v>
      </c>
      <c r="T99" s="23" t="s">
        <v>4168</v>
      </c>
      <c r="V99" s="23" t="s">
        <v>3106</v>
      </c>
      <c r="W99" s="23">
        <v>11413</v>
      </c>
      <c r="X99" s="23">
        <v>550</v>
      </c>
      <c r="Z99" s="23">
        <v>0</v>
      </c>
      <c r="AA99" s="23">
        <v>-1760</v>
      </c>
      <c r="AB99" s="23">
        <v>0</v>
      </c>
      <c r="AC99" s="23">
        <v>10</v>
      </c>
      <c r="AD99" s="23">
        <v>0</v>
      </c>
      <c r="AE99" s="23">
        <v>0</v>
      </c>
      <c r="AG99" s="23" t="s">
        <v>3101</v>
      </c>
      <c r="AI99" s="25">
        <v>46203</v>
      </c>
      <c r="AK99" s="23" t="s">
        <v>5638</v>
      </c>
      <c r="AL99" s="23">
        <v>518875581044</v>
      </c>
      <c r="AM99" s="23" t="s">
        <v>3102</v>
      </c>
      <c r="AO99" s="23" t="s">
        <v>3102</v>
      </c>
    </row>
    <row r="100" spans="1:42">
      <c r="A100" s="25">
        <v>46201</v>
      </c>
      <c r="B100" s="23" t="s">
        <v>4169</v>
      </c>
      <c r="C100" s="23" t="s">
        <v>4170</v>
      </c>
      <c r="D100" s="23" t="s">
        <v>3108</v>
      </c>
      <c r="E100" s="23" t="s">
        <v>4171</v>
      </c>
      <c r="F100" s="23" t="s">
        <v>4172</v>
      </c>
      <c r="G100" s="23">
        <v>9053263365</v>
      </c>
      <c r="I100" s="23" t="s">
        <v>4173</v>
      </c>
      <c r="J100" s="23" t="s">
        <v>4171</v>
      </c>
      <c r="K100" s="23" t="s">
        <v>4172</v>
      </c>
      <c r="L100" s="23" t="s">
        <v>4174</v>
      </c>
      <c r="M100" s="23" t="s">
        <v>4175</v>
      </c>
      <c r="N100" s="23" t="s">
        <v>3116</v>
      </c>
      <c r="O100" s="23">
        <v>1</v>
      </c>
      <c r="P100" s="23">
        <v>14300</v>
      </c>
      <c r="Q100" s="23">
        <v>1430</v>
      </c>
      <c r="R100" s="23" t="s">
        <v>3162</v>
      </c>
      <c r="S100" s="23" t="s">
        <v>3150</v>
      </c>
      <c r="T100" s="23" t="s">
        <v>107</v>
      </c>
      <c r="V100" s="23" t="s">
        <v>3110</v>
      </c>
      <c r="W100" s="23">
        <v>14850</v>
      </c>
      <c r="X100" s="23">
        <v>550</v>
      </c>
      <c r="Z100" s="23">
        <v>0</v>
      </c>
      <c r="AA100" s="23">
        <v>0</v>
      </c>
      <c r="AB100" s="23">
        <v>0</v>
      </c>
      <c r="AC100" s="23">
        <v>10</v>
      </c>
      <c r="AD100" s="23">
        <v>0</v>
      </c>
      <c r="AE100" s="23">
        <v>0</v>
      </c>
      <c r="AG100" s="23" t="s">
        <v>3101</v>
      </c>
      <c r="AI100" s="25">
        <v>46203</v>
      </c>
      <c r="AK100" s="23" t="s">
        <v>5639</v>
      </c>
      <c r="AL100" s="23">
        <v>518875580683</v>
      </c>
      <c r="AM100" s="23" t="s">
        <v>3102</v>
      </c>
      <c r="AO100" s="23" t="s">
        <v>3102</v>
      </c>
    </row>
    <row r="101" spans="1:42">
      <c r="A101" s="25">
        <v>46201</v>
      </c>
      <c r="B101" s="23" t="s">
        <v>4176</v>
      </c>
      <c r="C101" s="23" t="s">
        <v>4177</v>
      </c>
      <c r="D101" s="23" t="s">
        <v>3105</v>
      </c>
      <c r="E101" s="23" t="s">
        <v>4178</v>
      </c>
      <c r="F101" s="23" t="s">
        <v>4179</v>
      </c>
      <c r="G101" s="23">
        <v>9056167525</v>
      </c>
      <c r="I101" s="23" t="s">
        <v>4180</v>
      </c>
      <c r="J101" s="23" t="s">
        <v>4178</v>
      </c>
      <c r="K101" s="23" t="s">
        <v>4179</v>
      </c>
      <c r="L101" s="23" t="s">
        <v>4181</v>
      </c>
      <c r="M101" s="23" t="s">
        <v>4182</v>
      </c>
      <c r="N101" s="23" t="s">
        <v>3116</v>
      </c>
      <c r="O101" s="23">
        <v>1</v>
      </c>
      <c r="P101" s="23">
        <v>14300</v>
      </c>
      <c r="Q101" s="23">
        <v>1430</v>
      </c>
      <c r="R101" s="23" t="s">
        <v>3162</v>
      </c>
      <c r="S101" s="23" t="s">
        <v>3150</v>
      </c>
      <c r="T101" s="23" t="s">
        <v>107</v>
      </c>
      <c r="V101" s="23" t="s">
        <v>3106</v>
      </c>
      <c r="W101" s="23">
        <v>14850</v>
      </c>
      <c r="X101" s="23">
        <v>550</v>
      </c>
      <c r="Z101" s="23">
        <v>0</v>
      </c>
      <c r="AA101" s="23">
        <v>0</v>
      </c>
      <c r="AB101" s="23">
        <v>0</v>
      </c>
      <c r="AC101" s="23">
        <v>10</v>
      </c>
      <c r="AD101" s="23">
        <v>0</v>
      </c>
      <c r="AE101" s="23">
        <v>0</v>
      </c>
      <c r="AG101" s="23" t="s">
        <v>3101</v>
      </c>
      <c r="AI101" s="25">
        <v>46203</v>
      </c>
      <c r="AK101" s="23" t="s">
        <v>5640</v>
      </c>
      <c r="AL101" s="23">
        <v>518875580635</v>
      </c>
      <c r="AM101" s="23" t="s">
        <v>3102</v>
      </c>
      <c r="AO101" s="23" t="s">
        <v>3102</v>
      </c>
    </row>
    <row r="102" spans="1:42">
      <c r="A102" s="25">
        <v>46201</v>
      </c>
      <c r="B102" s="23" t="s">
        <v>4183</v>
      </c>
      <c r="C102" s="23" t="s">
        <v>4184</v>
      </c>
      <c r="D102" s="23" t="s">
        <v>3099</v>
      </c>
      <c r="E102" s="23" t="s">
        <v>4185</v>
      </c>
      <c r="F102" s="23" t="s">
        <v>4186</v>
      </c>
      <c r="G102" s="23">
        <v>8045589684</v>
      </c>
      <c r="I102" s="23" t="s">
        <v>4187</v>
      </c>
      <c r="J102" s="23" t="s">
        <v>4185</v>
      </c>
      <c r="K102" s="23" t="s">
        <v>4186</v>
      </c>
      <c r="L102" s="23" t="s">
        <v>4188</v>
      </c>
      <c r="M102" s="23" t="s">
        <v>4189</v>
      </c>
      <c r="N102" s="23" t="s">
        <v>3122</v>
      </c>
      <c r="O102" s="23">
        <v>1</v>
      </c>
      <c r="P102" s="23">
        <v>14300</v>
      </c>
      <c r="Q102" s="23">
        <v>1430</v>
      </c>
      <c r="R102" s="23" t="s">
        <v>3163</v>
      </c>
      <c r="S102" s="23" t="s">
        <v>3150</v>
      </c>
      <c r="T102" s="23" t="s">
        <v>120</v>
      </c>
      <c r="V102" s="23" t="s">
        <v>3100</v>
      </c>
      <c r="W102" s="23">
        <v>15290</v>
      </c>
      <c r="X102" s="23">
        <v>550</v>
      </c>
      <c r="Z102" s="23">
        <v>440</v>
      </c>
      <c r="AA102" s="23">
        <v>0</v>
      </c>
      <c r="AB102" s="23">
        <v>0</v>
      </c>
      <c r="AC102" s="23">
        <v>10</v>
      </c>
      <c r="AD102" s="23">
        <v>0</v>
      </c>
      <c r="AE102" s="23">
        <v>0</v>
      </c>
      <c r="AG102" s="23" t="s">
        <v>3101</v>
      </c>
      <c r="AI102" s="25">
        <v>46203</v>
      </c>
      <c r="AK102" s="23" t="s">
        <v>5641</v>
      </c>
      <c r="AL102" s="23">
        <v>518875580930</v>
      </c>
      <c r="AM102" s="23" t="s">
        <v>3102</v>
      </c>
      <c r="AO102" s="23" t="s">
        <v>3102</v>
      </c>
    </row>
    <row r="103" spans="1:42">
      <c r="A103" s="25">
        <v>46201</v>
      </c>
      <c r="B103" s="23" t="s">
        <v>4190</v>
      </c>
      <c r="C103" s="23" t="s">
        <v>4191</v>
      </c>
      <c r="D103" s="23" t="s">
        <v>3105</v>
      </c>
      <c r="E103" s="23" t="s">
        <v>4192</v>
      </c>
      <c r="F103" s="23" t="s">
        <v>4193</v>
      </c>
      <c r="G103" s="23">
        <v>9029192726</v>
      </c>
      <c r="I103" s="23" t="s">
        <v>4194</v>
      </c>
      <c r="J103" s="23" t="s">
        <v>4192</v>
      </c>
      <c r="K103" s="23" t="s">
        <v>4193</v>
      </c>
      <c r="L103" s="23" t="s">
        <v>4195</v>
      </c>
      <c r="M103" s="23" t="s">
        <v>4196</v>
      </c>
      <c r="N103" s="23" t="s">
        <v>3208</v>
      </c>
      <c r="O103" s="23">
        <v>1</v>
      </c>
      <c r="P103" s="23">
        <v>7370</v>
      </c>
      <c r="Q103" s="23">
        <v>737</v>
      </c>
      <c r="R103" s="23" t="s">
        <v>3266</v>
      </c>
      <c r="S103" s="23" t="s">
        <v>3267</v>
      </c>
      <c r="T103" s="23" t="s">
        <v>3508</v>
      </c>
      <c r="V103" s="23" t="s">
        <v>3106</v>
      </c>
      <c r="W103" s="23">
        <v>7920</v>
      </c>
      <c r="X103" s="23">
        <v>550</v>
      </c>
      <c r="Z103" s="23">
        <v>0</v>
      </c>
      <c r="AA103" s="23">
        <v>0</v>
      </c>
      <c r="AB103" s="23">
        <v>0</v>
      </c>
      <c r="AC103" s="23">
        <v>10</v>
      </c>
      <c r="AD103" s="23">
        <v>0</v>
      </c>
      <c r="AE103" s="23">
        <v>0</v>
      </c>
      <c r="AG103" s="23" t="s">
        <v>3101</v>
      </c>
      <c r="AI103" s="25">
        <v>46203</v>
      </c>
      <c r="AK103" s="23" t="s">
        <v>5642</v>
      </c>
      <c r="AL103" s="23">
        <v>518875581140</v>
      </c>
      <c r="AM103" s="23" t="s">
        <v>3102</v>
      </c>
      <c r="AO103" s="23" t="s">
        <v>3102</v>
      </c>
      <c r="AP103" s="23" t="s">
        <v>5643</v>
      </c>
    </row>
    <row r="104" spans="1:42">
      <c r="A104" s="25">
        <v>46201</v>
      </c>
      <c r="B104" s="23" t="s">
        <v>4197</v>
      </c>
      <c r="C104" s="23" t="s">
        <v>4198</v>
      </c>
      <c r="D104" s="23" t="s">
        <v>3103</v>
      </c>
      <c r="E104" s="23" t="s">
        <v>4199</v>
      </c>
      <c r="F104" s="23" t="s">
        <v>4200</v>
      </c>
      <c r="G104" s="23">
        <v>992696789</v>
      </c>
      <c r="I104" s="23" t="s">
        <v>4201</v>
      </c>
      <c r="J104" s="23" t="s">
        <v>4199</v>
      </c>
      <c r="K104" s="23" t="s">
        <v>4200</v>
      </c>
      <c r="L104" s="23" t="s">
        <v>4202</v>
      </c>
      <c r="M104" s="23" t="s">
        <v>4203</v>
      </c>
      <c r="N104" s="23" t="s">
        <v>3009</v>
      </c>
      <c r="O104" s="23">
        <v>1</v>
      </c>
      <c r="P104" s="23">
        <v>19800</v>
      </c>
      <c r="Q104" s="23">
        <v>1980</v>
      </c>
      <c r="R104" s="23" t="s">
        <v>3167</v>
      </c>
      <c r="S104" s="23" t="s">
        <v>3168</v>
      </c>
      <c r="T104" s="23" t="s">
        <v>3416</v>
      </c>
      <c r="V104" s="23" t="s">
        <v>3104</v>
      </c>
      <c r="W104" s="23">
        <v>20350</v>
      </c>
      <c r="X104" s="23">
        <v>550</v>
      </c>
      <c r="Z104" s="23">
        <v>0</v>
      </c>
      <c r="AA104" s="23">
        <v>0</v>
      </c>
      <c r="AB104" s="23">
        <v>0</v>
      </c>
      <c r="AC104" s="23">
        <v>10</v>
      </c>
      <c r="AD104" s="23">
        <v>0</v>
      </c>
      <c r="AE104" s="23">
        <v>0</v>
      </c>
      <c r="AG104" s="23" t="s">
        <v>3101</v>
      </c>
      <c r="AI104" s="25">
        <v>46203</v>
      </c>
      <c r="AK104" s="23" t="s">
        <v>5644</v>
      </c>
      <c r="AL104" s="23">
        <v>518875580790</v>
      </c>
      <c r="AM104" s="23" t="s">
        <v>3102</v>
      </c>
      <c r="AO104" s="23" t="s">
        <v>3102</v>
      </c>
    </row>
    <row r="105" spans="1:42">
      <c r="A105" s="25">
        <v>46201</v>
      </c>
      <c r="B105" s="23" t="s">
        <v>4204</v>
      </c>
      <c r="C105" s="23" t="s">
        <v>4205</v>
      </c>
      <c r="D105" s="23" t="s">
        <v>3108</v>
      </c>
      <c r="E105" s="23" t="s">
        <v>4206</v>
      </c>
      <c r="F105" s="23" t="s">
        <v>4207</v>
      </c>
      <c r="G105" s="23">
        <v>8027075559</v>
      </c>
      <c r="I105" s="23" t="s">
        <v>4208</v>
      </c>
      <c r="J105" s="23" t="s">
        <v>4206</v>
      </c>
      <c r="K105" s="23" t="s">
        <v>4207</v>
      </c>
      <c r="L105" s="23" t="s">
        <v>4209</v>
      </c>
      <c r="M105" s="23" t="s">
        <v>4210</v>
      </c>
      <c r="N105" s="23" t="s">
        <v>4005</v>
      </c>
      <c r="O105" s="23">
        <v>1</v>
      </c>
      <c r="P105" s="23">
        <v>1650</v>
      </c>
      <c r="Q105" s="23">
        <v>165</v>
      </c>
      <c r="R105" s="23" t="s">
        <v>4006</v>
      </c>
      <c r="S105" s="23" t="s">
        <v>4007</v>
      </c>
      <c r="T105" s="23" t="s">
        <v>4211</v>
      </c>
      <c r="V105" s="23" t="s">
        <v>3110</v>
      </c>
      <c r="W105" s="23">
        <v>17600</v>
      </c>
      <c r="X105" s="23">
        <v>550</v>
      </c>
      <c r="Z105" s="23">
        <v>0</v>
      </c>
      <c r="AA105" s="23">
        <v>0</v>
      </c>
      <c r="AB105" s="23">
        <v>0</v>
      </c>
      <c r="AC105" s="23">
        <v>10</v>
      </c>
      <c r="AD105" s="23">
        <v>0</v>
      </c>
      <c r="AE105" s="23">
        <v>0</v>
      </c>
      <c r="AG105" s="23" t="s">
        <v>3101</v>
      </c>
      <c r="AI105" s="25">
        <v>46203</v>
      </c>
      <c r="AK105" s="23" t="s">
        <v>5645</v>
      </c>
      <c r="AL105" s="23">
        <v>518875580834</v>
      </c>
      <c r="AM105" s="23" t="s">
        <v>3102</v>
      </c>
      <c r="AO105" s="23" t="s">
        <v>3102</v>
      </c>
    </row>
    <row r="106" spans="1:42">
      <c r="A106" s="25">
        <v>46201</v>
      </c>
      <c r="B106" s="23" t="s">
        <v>4204</v>
      </c>
      <c r="C106" s="23" t="s">
        <v>4205</v>
      </c>
      <c r="D106" s="23" t="s">
        <v>3108</v>
      </c>
      <c r="E106" s="23" t="s">
        <v>4206</v>
      </c>
      <c r="F106" s="23" t="s">
        <v>4207</v>
      </c>
      <c r="G106" s="23">
        <v>8027075559</v>
      </c>
      <c r="I106" s="23" t="s">
        <v>4208</v>
      </c>
      <c r="J106" s="23" t="s">
        <v>4206</v>
      </c>
      <c r="K106" s="23" t="s">
        <v>4207</v>
      </c>
      <c r="L106" s="23" t="s">
        <v>4209</v>
      </c>
      <c r="M106" s="23" t="s">
        <v>4210</v>
      </c>
      <c r="N106" s="23" t="s">
        <v>3041</v>
      </c>
      <c r="O106" s="23">
        <v>1</v>
      </c>
      <c r="P106" s="23">
        <v>15400</v>
      </c>
      <c r="Q106" s="23">
        <v>1540</v>
      </c>
      <c r="R106" s="23" t="s">
        <v>3164</v>
      </c>
      <c r="S106" s="23" t="s">
        <v>3165</v>
      </c>
      <c r="T106" s="23" t="s">
        <v>2975</v>
      </c>
      <c r="V106" s="23" t="s">
        <v>3110</v>
      </c>
      <c r="W106" s="23">
        <v>17600</v>
      </c>
      <c r="X106" s="23">
        <v>550</v>
      </c>
      <c r="Z106" s="23">
        <v>0</v>
      </c>
      <c r="AA106" s="23">
        <v>0</v>
      </c>
      <c r="AB106" s="23">
        <v>0</v>
      </c>
      <c r="AC106" s="23">
        <v>10</v>
      </c>
      <c r="AD106" s="23">
        <v>0</v>
      </c>
      <c r="AE106" s="23">
        <v>0</v>
      </c>
      <c r="AG106" s="23" t="s">
        <v>3101</v>
      </c>
      <c r="AI106" s="25">
        <v>46203</v>
      </c>
      <c r="AK106" s="23" t="s">
        <v>5645</v>
      </c>
      <c r="AL106" s="23">
        <v>518875580834</v>
      </c>
      <c r="AM106" s="23" t="s">
        <v>3102</v>
      </c>
      <c r="AO106" s="23" t="s">
        <v>3102</v>
      </c>
    </row>
    <row r="107" spans="1:42">
      <c r="A107" s="25">
        <v>46201</v>
      </c>
      <c r="B107" s="23" t="s">
        <v>4212</v>
      </c>
      <c r="C107" s="23" t="s">
        <v>4213</v>
      </c>
      <c r="D107" s="23" t="s">
        <v>3103</v>
      </c>
      <c r="E107" s="23" t="s">
        <v>4214</v>
      </c>
      <c r="F107" s="23" t="s">
        <v>4215</v>
      </c>
      <c r="G107" s="23">
        <v>8074079549</v>
      </c>
      <c r="I107" s="23" t="s">
        <v>4216</v>
      </c>
      <c r="J107" s="23" t="s">
        <v>4214</v>
      </c>
      <c r="K107" s="23" t="s">
        <v>4215</v>
      </c>
      <c r="L107" s="23" t="s">
        <v>4217</v>
      </c>
      <c r="M107" s="23" t="s">
        <v>3228</v>
      </c>
      <c r="N107" s="23" t="s">
        <v>3117</v>
      </c>
      <c r="O107" s="23">
        <v>1</v>
      </c>
      <c r="P107" s="23">
        <v>14300</v>
      </c>
      <c r="Q107" s="23">
        <v>1430</v>
      </c>
      <c r="R107" s="23" t="s">
        <v>3159</v>
      </c>
      <c r="S107" s="23" t="s">
        <v>3150</v>
      </c>
      <c r="T107" s="23" t="s">
        <v>2965</v>
      </c>
      <c r="V107" s="23" t="s">
        <v>3104</v>
      </c>
      <c r="W107" s="23">
        <v>14850</v>
      </c>
      <c r="X107" s="23">
        <v>550</v>
      </c>
      <c r="Z107" s="23">
        <v>0</v>
      </c>
      <c r="AA107" s="23">
        <v>0</v>
      </c>
      <c r="AB107" s="23">
        <v>0</v>
      </c>
      <c r="AC107" s="23">
        <v>10</v>
      </c>
      <c r="AD107" s="23">
        <v>0</v>
      </c>
      <c r="AE107" s="23">
        <v>0</v>
      </c>
      <c r="AG107" s="23" t="s">
        <v>3101</v>
      </c>
      <c r="AI107" s="25">
        <v>46203</v>
      </c>
      <c r="AK107" s="23" t="s">
        <v>5646</v>
      </c>
      <c r="AL107" s="23">
        <v>518875580425</v>
      </c>
      <c r="AM107" s="23" t="s">
        <v>3102</v>
      </c>
      <c r="AO107" s="23" t="s">
        <v>3102</v>
      </c>
    </row>
    <row r="108" spans="1:42">
      <c r="A108" s="25">
        <v>46201</v>
      </c>
      <c r="B108" s="23" t="s">
        <v>4218</v>
      </c>
      <c r="C108" s="23" t="s">
        <v>4219</v>
      </c>
      <c r="D108" s="23" t="s">
        <v>3108</v>
      </c>
      <c r="E108" s="23" t="s">
        <v>4220</v>
      </c>
      <c r="F108" s="23" t="s">
        <v>4221</v>
      </c>
      <c r="G108" s="23">
        <v>9030362802</v>
      </c>
      <c r="I108" s="23" t="s">
        <v>4222</v>
      </c>
      <c r="J108" s="23" t="s">
        <v>4220</v>
      </c>
      <c r="K108" s="23" t="s">
        <v>4221</v>
      </c>
      <c r="L108" s="23" t="s">
        <v>4223</v>
      </c>
      <c r="M108" s="23" t="s">
        <v>4224</v>
      </c>
      <c r="N108" s="23" t="s">
        <v>3009</v>
      </c>
      <c r="O108" s="23">
        <v>1</v>
      </c>
      <c r="P108" s="23">
        <v>19800</v>
      </c>
      <c r="Q108" s="23">
        <v>1980</v>
      </c>
      <c r="R108" s="23" t="s">
        <v>3167</v>
      </c>
      <c r="S108" s="23" t="s">
        <v>3168</v>
      </c>
      <c r="T108" s="23" t="s">
        <v>3406</v>
      </c>
      <c r="V108" s="23" t="s">
        <v>3110</v>
      </c>
      <c r="W108" s="23">
        <v>20350</v>
      </c>
      <c r="X108" s="23">
        <v>550</v>
      </c>
      <c r="Z108" s="23">
        <v>0</v>
      </c>
      <c r="AA108" s="23">
        <v>0</v>
      </c>
      <c r="AB108" s="23">
        <v>0</v>
      </c>
      <c r="AC108" s="23">
        <v>10</v>
      </c>
      <c r="AD108" s="23">
        <v>0</v>
      </c>
      <c r="AE108" s="23">
        <v>0</v>
      </c>
      <c r="AG108" s="23" t="s">
        <v>3101</v>
      </c>
      <c r="AI108" s="25">
        <v>46203</v>
      </c>
      <c r="AK108" s="23" t="s">
        <v>5647</v>
      </c>
      <c r="AL108" s="23">
        <v>518875580812</v>
      </c>
      <c r="AM108" s="23" t="s">
        <v>3102</v>
      </c>
      <c r="AO108" s="23" t="s">
        <v>3102</v>
      </c>
    </row>
    <row r="109" spans="1:42">
      <c r="A109" s="25">
        <v>46201</v>
      </c>
      <c r="B109" s="23" t="s">
        <v>4225</v>
      </c>
      <c r="C109" s="23" t="s">
        <v>4226</v>
      </c>
      <c r="D109" s="23" t="s">
        <v>3103</v>
      </c>
      <c r="E109" s="23" t="s">
        <v>4227</v>
      </c>
      <c r="F109" s="23" t="s">
        <v>4228</v>
      </c>
      <c r="G109" s="23">
        <v>8050333486</v>
      </c>
      <c r="I109" s="23" t="s">
        <v>4229</v>
      </c>
      <c r="J109" s="23" t="s">
        <v>4227</v>
      </c>
      <c r="K109" s="23" t="s">
        <v>4228</v>
      </c>
      <c r="L109" s="23" t="s">
        <v>4230</v>
      </c>
      <c r="M109" s="23" t="s">
        <v>4231</v>
      </c>
      <c r="N109" s="23" t="s">
        <v>3107</v>
      </c>
      <c r="O109" s="23">
        <v>1</v>
      </c>
      <c r="P109" s="23">
        <v>14300</v>
      </c>
      <c r="Q109" s="23">
        <v>1430</v>
      </c>
      <c r="R109" s="23" t="s">
        <v>3181</v>
      </c>
      <c r="S109" s="23" t="s">
        <v>3150</v>
      </c>
      <c r="T109" s="23" t="s">
        <v>91</v>
      </c>
      <c r="V109" s="23" t="s">
        <v>3104</v>
      </c>
      <c r="W109" s="23">
        <v>14850</v>
      </c>
      <c r="X109" s="23">
        <v>550</v>
      </c>
      <c r="Z109" s="23">
        <v>0</v>
      </c>
      <c r="AA109" s="23">
        <v>0</v>
      </c>
      <c r="AB109" s="23">
        <v>0</v>
      </c>
      <c r="AC109" s="23">
        <v>10</v>
      </c>
      <c r="AD109" s="23">
        <v>0</v>
      </c>
      <c r="AE109" s="23">
        <v>0</v>
      </c>
      <c r="AG109" s="23" t="s">
        <v>3101</v>
      </c>
      <c r="AI109" s="25">
        <v>46203</v>
      </c>
      <c r="AK109" s="23" t="s">
        <v>5648</v>
      </c>
      <c r="AL109" s="23">
        <v>518875580720</v>
      </c>
      <c r="AM109" s="23" t="s">
        <v>3102</v>
      </c>
      <c r="AO109" s="23" t="s">
        <v>3102</v>
      </c>
    </row>
    <row r="110" spans="1:42">
      <c r="A110" s="25">
        <v>46201</v>
      </c>
      <c r="B110" s="23" t="s">
        <v>4232</v>
      </c>
      <c r="C110" s="23" t="s">
        <v>4233</v>
      </c>
      <c r="D110" s="23" t="s">
        <v>3108</v>
      </c>
      <c r="E110" s="23" t="s">
        <v>4234</v>
      </c>
      <c r="F110" s="23" t="s">
        <v>4235</v>
      </c>
      <c r="G110" s="23">
        <v>9063099979</v>
      </c>
      <c r="I110" s="23" t="s">
        <v>4236</v>
      </c>
      <c r="J110" s="23" t="s">
        <v>4234</v>
      </c>
      <c r="K110" s="23" t="s">
        <v>4235</v>
      </c>
      <c r="L110" s="23" t="s">
        <v>4237</v>
      </c>
      <c r="M110" s="23" t="s">
        <v>4238</v>
      </c>
      <c r="N110" s="23" t="s">
        <v>3118</v>
      </c>
      <c r="O110" s="23">
        <v>1</v>
      </c>
      <c r="P110" s="23">
        <v>14300</v>
      </c>
      <c r="Q110" s="23">
        <v>1430</v>
      </c>
      <c r="R110" s="23" t="s">
        <v>3170</v>
      </c>
      <c r="S110" s="23" t="s">
        <v>3150</v>
      </c>
      <c r="T110" s="23" t="s">
        <v>1555</v>
      </c>
      <c r="V110" s="23" t="s">
        <v>3110</v>
      </c>
      <c r="W110" s="23">
        <v>14850</v>
      </c>
      <c r="X110" s="23">
        <v>550</v>
      </c>
      <c r="Z110" s="23">
        <v>0</v>
      </c>
      <c r="AA110" s="23">
        <v>0</v>
      </c>
      <c r="AB110" s="23">
        <v>0</v>
      </c>
      <c r="AC110" s="23">
        <v>10</v>
      </c>
      <c r="AD110" s="23">
        <v>0</v>
      </c>
      <c r="AE110" s="23">
        <v>0</v>
      </c>
      <c r="AG110" s="23" t="s">
        <v>3101</v>
      </c>
      <c r="AI110" s="25">
        <v>46203</v>
      </c>
      <c r="AK110" s="23" t="s">
        <v>5649</v>
      </c>
      <c r="AL110" s="23">
        <v>518875580495</v>
      </c>
      <c r="AM110" s="23" t="s">
        <v>3102</v>
      </c>
      <c r="AO110" s="23" t="s">
        <v>3102</v>
      </c>
    </row>
    <row r="111" spans="1:42">
      <c r="A111" s="25">
        <v>46201</v>
      </c>
      <c r="B111" s="23" t="s">
        <v>4239</v>
      </c>
      <c r="C111" s="23" t="s">
        <v>4240</v>
      </c>
      <c r="D111" s="23" t="s">
        <v>3103</v>
      </c>
      <c r="E111" s="23" t="s">
        <v>4241</v>
      </c>
      <c r="F111" s="23" t="s">
        <v>4242</v>
      </c>
      <c r="G111" s="23">
        <v>9048047383</v>
      </c>
      <c r="I111" s="23" t="s">
        <v>4243</v>
      </c>
      <c r="J111" s="23" t="s">
        <v>4241</v>
      </c>
      <c r="K111" s="23" t="s">
        <v>4242</v>
      </c>
      <c r="L111" s="23" t="s">
        <v>4244</v>
      </c>
      <c r="M111" s="23" t="s">
        <v>4245</v>
      </c>
      <c r="N111" s="23" t="s">
        <v>4246</v>
      </c>
      <c r="O111" s="23">
        <v>1</v>
      </c>
      <c r="P111" s="23">
        <v>13200</v>
      </c>
      <c r="Q111" s="23">
        <v>1320</v>
      </c>
      <c r="R111" s="23" t="s">
        <v>4247</v>
      </c>
      <c r="S111" s="23" t="s">
        <v>3158</v>
      </c>
      <c r="T111" s="23" t="s">
        <v>190</v>
      </c>
      <c r="V111" s="23" t="s">
        <v>3104</v>
      </c>
      <c r="W111" s="23">
        <v>13750</v>
      </c>
      <c r="X111" s="23">
        <v>550</v>
      </c>
      <c r="Z111" s="23">
        <v>0</v>
      </c>
      <c r="AA111" s="23">
        <v>0</v>
      </c>
      <c r="AB111" s="23">
        <v>0</v>
      </c>
      <c r="AC111" s="23">
        <v>10</v>
      </c>
      <c r="AD111" s="23">
        <v>0</v>
      </c>
      <c r="AE111" s="23">
        <v>0</v>
      </c>
      <c r="AG111" s="23" t="s">
        <v>3101</v>
      </c>
      <c r="AI111" s="25">
        <v>46203</v>
      </c>
      <c r="AK111" s="23" t="s">
        <v>5650</v>
      </c>
      <c r="AL111" s="23">
        <v>518875580580</v>
      </c>
      <c r="AM111" s="23" t="s">
        <v>3102</v>
      </c>
      <c r="AO111" s="23" t="s">
        <v>3102</v>
      </c>
    </row>
    <row r="112" spans="1:42">
      <c r="A112" s="25">
        <v>46201</v>
      </c>
      <c r="B112" s="23" t="s">
        <v>4248</v>
      </c>
      <c r="C112" s="23" t="s">
        <v>4249</v>
      </c>
      <c r="D112" s="23" t="s">
        <v>3108</v>
      </c>
      <c r="E112" s="23" t="s">
        <v>4250</v>
      </c>
      <c r="F112" s="23" t="s">
        <v>4251</v>
      </c>
      <c r="G112" s="23">
        <v>8010483820</v>
      </c>
      <c r="I112" s="23" t="s">
        <v>4252</v>
      </c>
      <c r="J112" s="23" t="s">
        <v>4250</v>
      </c>
      <c r="K112" s="23" t="s">
        <v>4251</v>
      </c>
      <c r="L112" s="23" t="s">
        <v>4253</v>
      </c>
      <c r="M112" s="23" t="s">
        <v>4254</v>
      </c>
      <c r="N112" s="23" t="s">
        <v>3112</v>
      </c>
      <c r="O112" s="23">
        <v>1</v>
      </c>
      <c r="P112" s="23">
        <v>14300</v>
      </c>
      <c r="Q112" s="23">
        <v>1430</v>
      </c>
      <c r="R112" s="23" t="s">
        <v>3149</v>
      </c>
      <c r="S112" s="23" t="s">
        <v>3150</v>
      </c>
      <c r="T112" s="23" t="s">
        <v>116</v>
      </c>
      <c r="V112" s="23" t="s">
        <v>3110</v>
      </c>
      <c r="W112" s="23">
        <v>14850</v>
      </c>
      <c r="X112" s="23">
        <v>550</v>
      </c>
      <c r="Z112" s="23">
        <v>0</v>
      </c>
      <c r="AA112" s="23">
        <v>0</v>
      </c>
      <c r="AB112" s="23">
        <v>0</v>
      </c>
      <c r="AC112" s="23">
        <v>10</v>
      </c>
      <c r="AD112" s="23">
        <v>0</v>
      </c>
      <c r="AE112" s="23">
        <v>0</v>
      </c>
      <c r="AG112" s="23" t="s">
        <v>3101</v>
      </c>
      <c r="AI112" s="25">
        <v>46203</v>
      </c>
      <c r="AK112" s="23" t="s">
        <v>5651</v>
      </c>
      <c r="AL112" s="23">
        <v>518875580506</v>
      </c>
      <c r="AM112" s="23" t="s">
        <v>3102</v>
      </c>
      <c r="AO112" s="23" t="s">
        <v>3102</v>
      </c>
    </row>
    <row r="113" spans="1:42">
      <c r="A113" s="25">
        <v>46201</v>
      </c>
      <c r="B113" s="23" t="s">
        <v>4255</v>
      </c>
      <c r="C113" s="23" t="s">
        <v>4256</v>
      </c>
      <c r="D113" s="23" t="s">
        <v>3099</v>
      </c>
      <c r="E113" s="23" t="s">
        <v>4257</v>
      </c>
      <c r="F113" s="23" t="s">
        <v>4258</v>
      </c>
      <c r="G113" s="23">
        <v>798814155</v>
      </c>
      <c r="I113" s="23" t="s">
        <v>4259</v>
      </c>
      <c r="J113" s="23" t="s">
        <v>4257</v>
      </c>
      <c r="K113" s="23" t="s">
        <v>4258</v>
      </c>
      <c r="L113" s="23" t="s">
        <v>4260</v>
      </c>
      <c r="M113" s="23" t="s">
        <v>4261</v>
      </c>
      <c r="N113" s="23" t="s">
        <v>3112</v>
      </c>
      <c r="O113" s="23">
        <v>1</v>
      </c>
      <c r="P113" s="23">
        <v>14300</v>
      </c>
      <c r="Q113" s="23">
        <v>1430</v>
      </c>
      <c r="R113" s="23" t="s">
        <v>3149</v>
      </c>
      <c r="S113" s="23" t="s">
        <v>3150</v>
      </c>
      <c r="T113" s="23" t="s">
        <v>116</v>
      </c>
      <c r="V113" s="23" t="s">
        <v>3100</v>
      </c>
      <c r="W113" s="23">
        <v>15290</v>
      </c>
      <c r="X113" s="23">
        <v>550</v>
      </c>
      <c r="Z113" s="23">
        <v>440</v>
      </c>
      <c r="AA113" s="23">
        <v>0</v>
      </c>
      <c r="AB113" s="23">
        <v>0</v>
      </c>
      <c r="AC113" s="23">
        <v>10</v>
      </c>
      <c r="AD113" s="23">
        <v>0</v>
      </c>
      <c r="AE113" s="23">
        <v>0</v>
      </c>
      <c r="AG113" s="23" t="s">
        <v>3101</v>
      </c>
      <c r="AI113" s="25">
        <v>46203</v>
      </c>
      <c r="AK113" s="23" t="s">
        <v>5652</v>
      </c>
      <c r="AL113" s="23">
        <v>518875580521</v>
      </c>
      <c r="AM113" s="23" t="s">
        <v>3102</v>
      </c>
      <c r="AO113" s="23" t="s">
        <v>3102</v>
      </c>
      <c r="AP113" s="23" t="s">
        <v>5643</v>
      </c>
    </row>
    <row r="114" spans="1:42">
      <c r="A114" s="25">
        <v>46201</v>
      </c>
      <c r="B114" s="23" t="s">
        <v>4262</v>
      </c>
      <c r="C114" s="23" t="s">
        <v>4263</v>
      </c>
      <c r="D114" s="23" t="s">
        <v>3099</v>
      </c>
      <c r="E114" s="23" t="s">
        <v>4264</v>
      </c>
      <c r="F114" s="23" t="s">
        <v>4265</v>
      </c>
      <c r="G114" s="23">
        <v>7015332213</v>
      </c>
      <c r="I114" s="23" t="s">
        <v>4266</v>
      </c>
      <c r="J114" s="23" t="s">
        <v>4264</v>
      </c>
      <c r="K114" s="23" t="s">
        <v>4265</v>
      </c>
      <c r="L114" s="23" t="s">
        <v>4267</v>
      </c>
      <c r="M114" s="23" t="s">
        <v>4268</v>
      </c>
      <c r="N114" s="23" t="s">
        <v>3246</v>
      </c>
      <c r="O114" s="23">
        <v>1</v>
      </c>
      <c r="P114" s="23">
        <v>13200</v>
      </c>
      <c r="Q114" s="23">
        <v>1320</v>
      </c>
      <c r="R114" s="23" t="s">
        <v>3247</v>
      </c>
      <c r="S114" s="23" t="s">
        <v>3158</v>
      </c>
      <c r="T114" s="23" t="s">
        <v>3197</v>
      </c>
      <c r="V114" s="23" t="s">
        <v>3100</v>
      </c>
      <c r="W114" s="23">
        <v>14190</v>
      </c>
      <c r="X114" s="23">
        <v>550</v>
      </c>
      <c r="Z114" s="23">
        <v>440</v>
      </c>
      <c r="AA114" s="23">
        <v>0</v>
      </c>
      <c r="AB114" s="23">
        <v>0</v>
      </c>
      <c r="AC114" s="23">
        <v>10</v>
      </c>
      <c r="AD114" s="23">
        <v>0</v>
      </c>
      <c r="AE114" s="23">
        <v>0</v>
      </c>
      <c r="AG114" s="23" t="s">
        <v>3101</v>
      </c>
      <c r="AI114" s="25">
        <v>46203</v>
      </c>
      <c r="AK114" s="23" t="s">
        <v>5653</v>
      </c>
      <c r="AL114" s="23">
        <v>518875580705</v>
      </c>
      <c r="AM114" s="23" t="s">
        <v>3102</v>
      </c>
      <c r="AO114" s="23" t="s">
        <v>3102</v>
      </c>
      <c r="AP114" s="23" t="s">
        <v>5643</v>
      </c>
    </row>
    <row r="115" spans="1:42">
      <c r="A115" s="25">
        <v>46201</v>
      </c>
      <c r="B115" s="23" t="s">
        <v>4269</v>
      </c>
      <c r="C115" s="23" t="s">
        <v>4270</v>
      </c>
      <c r="D115" s="23" t="s">
        <v>3103</v>
      </c>
      <c r="E115" s="23" t="s">
        <v>4271</v>
      </c>
      <c r="F115" s="23" t="s">
        <v>4272</v>
      </c>
      <c r="G115" s="23">
        <v>8030144625</v>
      </c>
      <c r="I115" s="23" t="s">
        <v>4273</v>
      </c>
      <c r="J115" s="23" t="s">
        <v>4271</v>
      </c>
      <c r="K115" s="23" t="s">
        <v>4272</v>
      </c>
      <c r="L115" s="23" t="s">
        <v>4274</v>
      </c>
      <c r="M115" s="23" t="s">
        <v>4275</v>
      </c>
      <c r="N115" s="23" t="s">
        <v>3387</v>
      </c>
      <c r="O115" s="23">
        <v>1</v>
      </c>
      <c r="P115" s="23">
        <v>31900</v>
      </c>
      <c r="Q115" s="23">
        <v>3190</v>
      </c>
      <c r="R115" s="23" t="s">
        <v>3614</v>
      </c>
      <c r="S115" s="23" t="s">
        <v>3615</v>
      </c>
      <c r="T115" s="23" t="s">
        <v>3425</v>
      </c>
      <c r="V115" s="23" t="s">
        <v>3104</v>
      </c>
      <c r="W115" s="23">
        <v>32450</v>
      </c>
      <c r="X115" s="23">
        <v>550</v>
      </c>
      <c r="Z115" s="23">
        <v>0</v>
      </c>
      <c r="AA115" s="23">
        <v>0</v>
      </c>
      <c r="AB115" s="23">
        <v>0</v>
      </c>
      <c r="AC115" s="23">
        <v>10</v>
      </c>
      <c r="AD115" s="23">
        <v>0</v>
      </c>
      <c r="AE115" s="23">
        <v>0</v>
      </c>
      <c r="AG115" s="23" t="s">
        <v>3101</v>
      </c>
      <c r="AI115" s="25">
        <v>46203</v>
      </c>
      <c r="AK115" s="23" t="s">
        <v>5654</v>
      </c>
      <c r="AL115" s="23">
        <v>518875581114</v>
      </c>
      <c r="AM115" s="23" t="s">
        <v>3102</v>
      </c>
      <c r="AO115" s="23" t="s">
        <v>3102</v>
      </c>
    </row>
    <row r="116" spans="1:42">
      <c r="A116" s="25">
        <v>46201</v>
      </c>
      <c r="B116" s="23" t="s">
        <v>4276</v>
      </c>
      <c r="C116" s="23" t="s">
        <v>4277</v>
      </c>
      <c r="D116" s="23" t="s">
        <v>3108</v>
      </c>
      <c r="E116" s="23" t="s">
        <v>4278</v>
      </c>
      <c r="F116" s="23" t="s">
        <v>4279</v>
      </c>
      <c r="G116" s="23">
        <v>9056344584</v>
      </c>
      <c r="I116" s="23" t="s">
        <v>4280</v>
      </c>
      <c r="J116" s="23" t="s">
        <v>4278</v>
      </c>
      <c r="K116" s="23" t="s">
        <v>4279</v>
      </c>
      <c r="L116" s="23" t="s">
        <v>4281</v>
      </c>
      <c r="M116" s="23" t="s">
        <v>4282</v>
      </c>
      <c r="N116" s="23" t="s">
        <v>2735</v>
      </c>
      <c r="O116" s="23">
        <v>1</v>
      </c>
      <c r="P116" s="23">
        <v>11550</v>
      </c>
      <c r="Q116" s="23">
        <v>1155</v>
      </c>
      <c r="R116" s="23" t="s">
        <v>3173</v>
      </c>
      <c r="S116" s="23" t="s">
        <v>3174</v>
      </c>
      <c r="T116" s="23" t="s">
        <v>3141</v>
      </c>
      <c r="V116" s="23" t="s">
        <v>3110</v>
      </c>
      <c r="W116" s="23">
        <v>12100</v>
      </c>
      <c r="X116" s="23">
        <v>550</v>
      </c>
      <c r="Z116" s="23">
        <v>0</v>
      </c>
      <c r="AA116" s="23">
        <v>0</v>
      </c>
      <c r="AB116" s="23">
        <v>0</v>
      </c>
      <c r="AC116" s="23">
        <v>10</v>
      </c>
      <c r="AD116" s="23">
        <v>0</v>
      </c>
      <c r="AE116" s="23">
        <v>0</v>
      </c>
      <c r="AG116" s="23" t="s">
        <v>3101</v>
      </c>
      <c r="AI116" s="25">
        <v>46203</v>
      </c>
      <c r="AK116" s="23" t="s">
        <v>5655</v>
      </c>
      <c r="AL116" s="23">
        <v>518875580786</v>
      </c>
      <c r="AM116" s="23" t="s">
        <v>3102</v>
      </c>
      <c r="AO116" s="23" t="s">
        <v>3102</v>
      </c>
    </row>
    <row r="117" spans="1:42">
      <c r="A117" s="25">
        <v>46201</v>
      </c>
      <c r="B117" s="23" t="s">
        <v>4283</v>
      </c>
      <c r="C117" s="23" t="s">
        <v>4284</v>
      </c>
      <c r="D117" s="23" t="s">
        <v>3105</v>
      </c>
      <c r="E117" s="23" t="s">
        <v>4285</v>
      </c>
      <c r="F117" s="23" t="s">
        <v>4286</v>
      </c>
      <c r="G117" s="23">
        <v>8054177887</v>
      </c>
      <c r="I117" s="23" t="s">
        <v>4287</v>
      </c>
      <c r="J117" s="23" t="s">
        <v>4285</v>
      </c>
      <c r="K117" s="23" t="s">
        <v>4286</v>
      </c>
      <c r="L117" s="23" t="s">
        <v>4288</v>
      </c>
      <c r="M117" s="23" t="s">
        <v>4289</v>
      </c>
      <c r="N117" s="23" t="s">
        <v>3222</v>
      </c>
      <c r="O117" s="23">
        <v>1</v>
      </c>
      <c r="P117" s="23">
        <v>14300</v>
      </c>
      <c r="Q117" s="23">
        <v>1430</v>
      </c>
      <c r="R117" s="23" t="s">
        <v>3223</v>
      </c>
      <c r="S117" s="23" t="s">
        <v>3150</v>
      </c>
      <c r="T117" s="23" t="s">
        <v>2985</v>
      </c>
      <c r="V117" s="23" t="s">
        <v>3106</v>
      </c>
      <c r="W117" s="23">
        <v>14850</v>
      </c>
      <c r="X117" s="23">
        <v>550</v>
      </c>
      <c r="Z117" s="23">
        <v>0</v>
      </c>
      <c r="AA117" s="23">
        <v>0</v>
      </c>
      <c r="AB117" s="23">
        <v>0</v>
      </c>
      <c r="AC117" s="23">
        <v>10</v>
      </c>
      <c r="AD117" s="23">
        <v>0</v>
      </c>
      <c r="AE117" s="23">
        <v>0</v>
      </c>
      <c r="AG117" s="23" t="s">
        <v>3101</v>
      </c>
      <c r="AI117" s="25">
        <v>46203</v>
      </c>
      <c r="AK117" s="23" t="s">
        <v>5656</v>
      </c>
      <c r="AL117" s="23">
        <v>518875580565</v>
      </c>
      <c r="AM117" s="23" t="s">
        <v>3102</v>
      </c>
      <c r="AO117" s="23" t="s">
        <v>3102</v>
      </c>
    </row>
    <row r="118" spans="1:42">
      <c r="A118" s="25">
        <v>46201</v>
      </c>
      <c r="B118" s="23" t="s">
        <v>4290</v>
      </c>
      <c r="C118" s="23" t="s">
        <v>4291</v>
      </c>
      <c r="D118" s="23" t="s">
        <v>3103</v>
      </c>
      <c r="E118" s="23" t="s">
        <v>4292</v>
      </c>
      <c r="F118" s="23" t="s">
        <v>4293</v>
      </c>
      <c r="G118" s="23">
        <v>9022782196</v>
      </c>
      <c r="I118" s="23" t="s">
        <v>4294</v>
      </c>
      <c r="J118" s="23" t="s">
        <v>4292</v>
      </c>
      <c r="K118" s="23" t="s">
        <v>4293</v>
      </c>
      <c r="L118" s="23" t="s">
        <v>4295</v>
      </c>
      <c r="M118" s="23" t="s">
        <v>4296</v>
      </c>
      <c r="N118" s="23" t="s">
        <v>3116</v>
      </c>
      <c r="O118" s="23">
        <v>1</v>
      </c>
      <c r="P118" s="23">
        <v>14300</v>
      </c>
      <c r="Q118" s="23">
        <v>1430</v>
      </c>
      <c r="R118" s="23" t="s">
        <v>3162</v>
      </c>
      <c r="S118" s="23" t="s">
        <v>3150</v>
      </c>
      <c r="T118" s="23" t="s">
        <v>107</v>
      </c>
      <c r="V118" s="23" t="s">
        <v>3104</v>
      </c>
      <c r="W118" s="23">
        <v>14850</v>
      </c>
      <c r="X118" s="23">
        <v>550</v>
      </c>
      <c r="Z118" s="23">
        <v>0</v>
      </c>
      <c r="AA118" s="23">
        <v>0</v>
      </c>
      <c r="AB118" s="23">
        <v>0</v>
      </c>
      <c r="AC118" s="23">
        <v>10</v>
      </c>
      <c r="AD118" s="23">
        <v>0</v>
      </c>
      <c r="AE118" s="23">
        <v>0</v>
      </c>
      <c r="AG118" s="23" t="s">
        <v>3101</v>
      </c>
      <c r="AI118" s="25">
        <v>46203</v>
      </c>
      <c r="AK118" s="23" t="s">
        <v>5657</v>
      </c>
      <c r="AL118" s="23">
        <v>518875580650</v>
      </c>
      <c r="AM118" s="23" t="s">
        <v>3102</v>
      </c>
      <c r="AO118" s="23" t="s">
        <v>3102</v>
      </c>
    </row>
    <row r="119" spans="1:42">
      <c r="A119" s="25">
        <v>46201</v>
      </c>
      <c r="B119" s="23" t="s">
        <v>4297</v>
      </c>
      <c r="C119" s="23" t="s">
        <v>4298</v>
      </c>
      <c r="D119" s="23" t="s">
        <v>3105</v>
      </c>
      <c r="E119" s="23" t="s">
        <v>4299</v>
      </c>
      <c r="F119" s="23" t="s">
        <v>4300</v>
      </c>
      <c r="G119" s="23">
        <v>9045488170</v>
      </c>
      <c r="I119" s="23" t="s">
        <v>4301</v>
      </c>
      <c r="J119" s="23" t="s">
        <v>4299</v>
      </c>
      <c r="K119" s="23" t="s">
        <v>4300</v>
      </c>
      <c r="L119" s="23" t="s">
        <v>4302</v>
      </c>
      <c r="M119" s="23" t="s">
        <v>4303</v>
      </c>
      <c r="N119" s="23" t="s">
        <v>2616</v>
      </c>
      <c r="O119" s="23">
        <v>1</v>
      </c>
      <c r="P119" s="23">
        <v>13750</v>
      </c>
      <c r="Q119" s="23">
        <v>1375</v>
      </c>
      <c r="R119" s="23" t="s">
        <v>4304</v>
      </c>
      <c r="S119" s="23" t="s">
        <v>4305</v>
      </c>
      <c r="T119" s="23" t="s">
        <v>3395</v>
      </c>
      <c r="V119" s="23" t="s">
        <v>3106</v>
      </c>
      <c r="W119" s="23">
        <v>43230</v>
      </c>
      <c r="X119" s="23">
        <v>550</v>
      </c>
      <c r="Z119" s="23">
        <v>0</v>
      </c>
      <c r="AA119" s="23">
        <v>0</v>
      </c>
      <c r="AB119" s="23">
        <v>0</v>
      </c>
      <c r="AC119" s="23">
        <v>10</v>
      </c>
      <c r="AD119" s="23">
        <v>0</v>
      </c>
      <c r="AE119" s="23">
        <v>0</v>
      </c>
      <c r="AG119" s="23" t="s">
        <v>3101</v>
      </c>
      <c r="AI119" s="25">
        <v>46203</v>
      </c>
      <c r="AK119" s="23" t="s">
        <v>5658</v>
      </c>
      <c r="AL119" s="23">
        <v>518875581092</v>
      </c>
      <c r="AM119" s="23" t="s">
        <v>3102</v>
      </c>
      <c r="AO119" s="23" t="s">
        <v>3102</v>
      </c>
    </row>
    <row r="120" spans="1:42">
      <c r="A120" s="25">
        <v>46201</v>
      </c>
      <c r="B120" s="23" t="s">
        <v>4297</v>
      </c>
      <c r="C120" s="23" t="s">
        <v>4298</v>
      </c>
      <c r="D120" s="23" t="s">
        <v>3105</v>
      </c>
      <c r="E120" s="23" t="s">
        <v>4299</v>
      </c>
      <c r="F120" s="23" t="s">
        <v>4300</v>
      </c>
      <c r="G120" s="23">
        <v>9045488170</v>
      </c>
      <c r="I120" s="23" t="s">
        <v>4301</v>
      </c>
      <c r="J120" s="23" t="s">
        <v>4299</v>
      </c>
      <c r="K120" s="23" t="s">
        <v>4300</v>
      </c>
      <c r="L120" s="23" t="s">
        <v>4302</v>
      </c>
      <c r="M120" s="23" t="s">
        <v>4303</v>
      </c>
      <c r="N120" s="23" t="s">
        <v>5659</v>
      </c>
      <c r="O120" s="23">
        <v>3</v>
      </c>
      <c r="P120" s="23">
        <v>660</v>
      </c>
      <c r="Q120" s="23">
        <v>66</v>
      </c>
      <c r="R120" s="23" t="s">
        <v>5660</v>
      </c>
      <c r="S120" s="23" t="s">
        <v>5661</v>
      </c>
      <c r="T120" s="23" t="s">
        <v>5661</v>
      </c>
      <c r="V120" s="23" t="s">
        <v>3106</v>
      </c>
      <c r="W120" s="23">
        <v>43230</v>
      </c>
      <c r="X120" s="23">
        <v>550</v>
      </c>
      <c r="Z120" s="23">
        <v>0</v>
      </c>
      <c r="AA120" s="23">
        <v>0</v>
      </c>
      <c r="AB120" s="23">
        <v>0</v>
      </c>
      <c r="AC120" s="23">
        <v>10</v>
      </c>
      <c r="AD120" s="23">
        <v>0</v>
      </c>
      <c r="AE120" s="23">
        <v>0</v>
      </c>
      <c r="AG120" s="23" t="s">
        <v>3101</v>
      </c>
      <c r="AI120" s="23">
        <v>46203</v>
      </c>
      <c r="AK120" s="23" t="s">
        <v>5658</v>
      </c>
      <c r="AL120" s="23">
        <v>518875581092</v>
      </c>
      <c r="AM120" s="23" t="s">
        <v>3102</v>
      </c>
      <c r="AO120" s="23" t="s">
        <v>3102</v>
      </c>
    </row>
    <row r="121" spans="1:42">
      <c r="A121" s="25">
        <v>46201</v>
      </c>
      <c r="B121" s="23" t="s">
        <v>4297</v>
      </c>
      <c r="C121" s="23" t="s">
        <v>4298</v>
      </c>
      <c r="D121" s="23" t="s">
        <v>3105</v>
      </c>
      <c r="E121" s="23" t="s">
        <v>4299</v>
      </c>
      <c r="F121" s="23" t="s">
        <v>4300</v>
      </c>
      <c r="G121" s="23">
        <v>9045488170</v>
      </c>
      <c r="I121" s="23" t="s">
        <v>4301</v>
      </c>
      <c r="J121" s="23" t="s">
        <v>4299</v>
      </c>
      <c r="K121" s="23" t="s">
        <v>4300</v>
      </c>
      <c r="L121" s="23" t="s">
        <v>4302</v>
      </c>
      <c r="M121" s="23" t="s">
        <v>4303</v>
      </c>
      <c r="N121" s="23" t="s">
        <v>3370</v>
      </c>
      <c r="O121" s="23">
        <v>1</v>
      </c>
      <c r="P121" s="23">
        <v>7150</v>
      </c>
      <c r="Q121" s="23">
        <v>715</v>
      </c>
      <c r="R121" s="23" t="s">
        <v>4147</v>
      </c>
      <c r="S121" s="23" t="s">
        <v>4148</v>
      </c>
      <c r="T121" s="23" t="s">
        <v>3470</v>
      </c>
      <c r="V121" s="23" t="s">
        <v>3106</v>
      </c>
      <c r="W121" s="23">
        <v>43230</v>
      </c>
      <c r="X121" s="23">
        <v>550</v>
      </c>
      <c r="Z121" s="23">
        <v>0</v>
      </c>
      <c r="AA121" s="23">
        <v>0</v>
      </c>
      <c r="AB121" s="23">
        <v>0</v>
      </c>
      <c r="AC121" s="23">
        <v>10</v>
      </c>
      <c r="AD121" s="23">
        <v>0</v>
      </c>
      <c r="AE121" s="23">
        <v>0</v>
      </c>
      <c r="AG121" s="23" t="s">
        <v>3101</v>
      </c>
      <c r="AI121" s="25">
        <v>46203</v>
      </c>
      <c r="AK121" s="23" t="s">
        <v>5658</v>
      </c>
      <c r="AL121" s="23">
        <v>518875581092</v>
      </c>
      <c r="AM121" s="23" t="s">
        <v>3102</v>
      </c>
      <c r="AO121" s="23" t="s">
        <v>3102</v>
      </c>
    </row>
    <row r="122" spans="1:42">
      <c r="A122" s="25">
        <v>46201</v>
      </c>
      <c r="B122" s="23" t="s">
        <v>4297</v>
      </c>
      <c r="C122" s="23" t="s">
        <v>4298</v>
      </c>
      <c r="D122" s="23" t="s">
        <v>3105</v>
      </c>
      <c r="E122" s="23" t="s">
        <v>4299</v>
      </c>
      <c r="F122" s="23" t="s">
        <v>4300</v>
      </c>
      <c r="G122" s="23">
        <v>9045488170</v>
      </c>
      <c r="I122" s="23" t="s">
        <v>4301</v>
      </c>
      <c r="J122" s="23" t="s">
        <v>4299</v>
      </c>
      <c r="K122" s="23" t="s">
        <v>4300</v>
      </c>
      <c r="L122" s="23" t="s">
        <v>4302</v>
      </c>
      <c r="M122" s="23" t="s">
        <v>4303</v>
      </c>
      <c r="N122" s="23" t="s">
        <v>3332</v>
      </c>
      <c r="O122" s="23">
        <v>1</v>
      </c>
      <c r="P122" s="23">
        <v>19800</v>
      </c>
      <c r="Q122" s="23">
        <v>1980</v>
      </c>
      <c r="R122" s="23" t="s">
        <v>4306</v>
      </c>
      <c r="S122" s="23" t="s">
        <v>4307</v>
      </c>
      <c r="T122" s="23" t="s">
        <v>3448</v>
      </c>
      <c r="V122" s="23" t="s">
        <v>3106</v>
      </c>
      <c r="W122" s="23">
        <v>43230</v>
      </c>
      <c r="X122" s="23">
        <v>550</v>
      </c>
      <c r="Z122" s="23">
        <v>0</v>
      </c>
      <c r="AA122" s="23">
        <v>0</v>
      </c>
      <c r="AB122" s="23">
        <v>0</v>
      </c>
      <c r="AC122" s="23">
        <v>10</v>
      </c>
      <c r="AD122" s="23">
        <v>0</v>
      </c>
      <c r="AE122" s="23">
        <v>0</v>
      </c>
      <c r="AG122" s="23" t="s">
        <v>3101</v>
      </c>
      <c r="AI122" s="25">
        <v>46203</v>
      </c>
      <c r="AK122" s="23" t="s">
        <v>5658</v>
      </c>
      <c r="AL122" s="23">
        <v>518875581092</v>
      </c>
      <c r="AM122" s="23" t="s">
        <v>3102</v>
      </c>
      <c r="AO122" s="23" t="s">
        <v>3102</v>
      </c>
    </row>
    <row r="123" spans="1:42">
      <c r="A123" s="25">
        <v>46201</v>
      </c>
      <c r="B123" s="23" t="s">
        <v>4308</v>
      </c>
      <c r="C123" s="23" t="s">
        <v>4309</v>
      </c>
      <c r="D123" s="23" t="s">
        <v>3105</v>
      </c>
      <c r="E123" s="23" t="s">
        <v>4310</v>
      </c>
      <c r="F123" s="23" t="s">
        <v>4311</v>
      </c>
      <c r="G123" s="23">
        <v>9020867132</v>
      </c>
      <c r="I123" s="23" t="s">
        <v>4312</v>
      </c>
      <c r="J123" s="23" t="s">
        <v>4313</v>
      </c>
      <c r="K123" s="23" t="s">
        <v>4314</v>
      </c>
      <c r="L123" s="23" t="s">
        <v>4315</v>
      </c>
      <c r="M123" s="23" t="s">
        <v>4316</v>
      </c>
      <c r="N123" s="23" t="s">
        <v>3034</v>
      </c>
      <c r="O123" s="23">
        <v>1</v>
      </c>
      <c r="P123" s="23">
        <v>8800</v>
      </c>
      <c r="Q123" s="23">
        <v>880</v>
      </c>
      <c r="R123" s="23" t="s">
        <v>3160</v>
      </c>
      <c r="S123" s="23" t="s">
        <v>3161</v>
      </c>
      <c r="T123" s="23" t="s">
        <v>2986</v>
      </c>
      <c r="V123" s="23" t="s">
        <v>3106</v>
      </c>
      <c r="W123" s="23">
        <v>9350</v>
      </c>
      <c r="X123" s="23">
        <v>550</v>
      </c>
      <c r="Z123" s="23">
        <v>0</v>
      </c>
      <c r="AA123" s="23">
        <v>0</v>
      </c>
      <c r="AB123" s="23">
        <v>0</v>
      </c>
      <c r="AC123" s="23">
        <v>10</v>
      </c>
      <c r="AD123" s="23">
        <v>0</v>
      </c>
      <c r="AE123" s="23">
        <v>0</v>
      </c>
      <c r="AG123" s="23" t="s">
        <v>3101</v>
      </c>
      <c r="AI123" s="25">
        <v>46203</v>
      </c>
      <c r="AK123" s="23" t="s">
        <v>5662</v>
      </c>
      <c r="AL123" s="23">
        <v>518875580904</v>
      </c>
      <c r="AM123" s="23" t="s">
        <v>3102</v>
      </c>
      <c r="AO123" s="23" t="s">
        <v>3102</v>
      </c>
    </row>
    <row r="124" spans="1:42">
      <c r="A124" s="25">
        <v>46200</v>
      </c>
      <c r="B124" s="23" t="s">
        <v>4317</v>
      </c>
      <c r="C124" s="23" t="s">
        <v>4318</v>
      </c>
      <c r="D124" s="23" t="s">
        <v>3103</v>
      </c>
      <c r="E124" s="23" t="s">
        <v>4319</v>
      </c>
      <c r="F124" s="23" t="s">
        <v>4320</v>
      </c>
      <c r="G124" s="23">
        <v>9029341793</v>
      </c>
      <c r="I124" s="23" t="s">
        <v>4321</v>
      </c>
      <c r="J124" s="23" t="s">
        <v>4319</v>
      </c>
      <c r="K124" s="23" t="s">
        <v>4320</v>
      </c>
      <c r="L124" s="23" t="s">
        <v>4322</v>
      </c>
      <c r="M124" s="23" t="s">
        <v>4323</v>
      </c>
      <c r="N124" s="23" t="s">
        <v>4324</v>
      </c>
      <c r="O124" s="23">
        <v>1</v>
      </c>
      <c r="P124" s="23">
        <v>41800</v>
      </c>
      <c r="Q124" s="23">
        <v>4180</v>
      </c>
      <c r="R124" s="23" t="s">
        <v>4325</v>
      </c>
      <c r="S124" s="23" t="s">
        <v>4326</v>
      </c>
      <c r="T124" s="23" t="s">
        <v>4327</v>
      </c>
      <c r="V124" s="23" t="s">
        <v>3104</v>
      </c>
      <c r="W124" s="23">
        <v>42350</v>
      </c>
      <c r="X124" s="23">
        <v>550</v>
      </c>
      <c r="Z124" s="23">
        <v>0</v>
      </c>
      <c r="AA124" s="23">
        <v>0</v>
      </c>
      <c r="AB124" s="23">
        <v>0</v>
      </c>
      <c r="AC124" s="23">
        <v>10</v>
      </c>
      <c r="AD124" s="23">
        <v>0</v>
      </c>
      <c r="AE124" s="23">
        <v>0</v>
      </c>
      <c r="AG124" s="23" t="s">
        <v>3101</v>
      </c>
      <c r="AI124" s="25">
        <v>46203</v>
      </c>
      <c r="AK124" s="23" t="s">
        <v>5663</v>
      </c>
      <c r="AL124" s="23">
        <v>518875580856</v>
      </c>
      <c r="AM124" s="23" t="s">
        <v>3102</v>
      </c>
      <c r="AO124" s="23" t="s">
        <v>3102</v>
      </c>
    </row>
    <row r="125" spans="1:42">
      <c r="A125" s="25">
        <v>46200</v>
      </c>
      <c r="B125" s="23" t="s">
        <v>4328</v>
      </c>
      <c r="C125" s="23" t="s">
        <v>4329</v>
      </c>
      <c r="D125" s="23" t="s">
        <v>3103</v>
      </c>
      <c r="E125" s="23" t="s">
        <v>4330</v>
      </c>
      <c r="F125" s="23" t="s">
        <v>4331</v>
      </c>
      <c r="G125" s="23">
        <v>9074317396</v>
      </c>
      <c r="I125" s="23" t="s">
        <v>4332</v>
      </c>
      <c r="J125" s="23" t="s">
        <v>4330</v>
      </c>
      <c r="K125" s="23" t="s">
        <v>4331</v>
      </c>
      <c r="L125" s="23" t="s">
        <v>4333</v>
      </c>
      <c r="M125" s="23" t="s">
        <v>4334</v>
      </c>
      <c r="N125" s="23" t="s">
        <v>3116</v>
      </c>
      <c r="O125" s="23">
        <v>1</v>
      </c>
      <c r="P125" s="23">
        <v>14300</v>
      </c>
      <c r="Q125" s="23">
        <v>1430</v>
      </c>
      <c r="R125" s="23" t="s">
        <v>3162</v>
      </c>
      <c r="S125" s="23" t="s">
        <v>3150</v>
      </c>
      <c r="T125" s="23" t="s">
        <v>107</v>
      </c>
      <c r="V125" s="23" t="s">
        <v>3104</v>
      </c>
      <c r="W125" s="23">
        <v>14850</v>
      </c>
      <c r="X125" s="23">
        <v>550</v>
      </c>
      <c r="Z125" s="23">
        <v>0</v>
      </c>
      <c r="AA125" s="23">
        <v>0</v>
      </c>
      <c r="AB125" s="23">
        <v>0</v>
      </c>
      <c r="AC125" s="23">
        <v>10</v>
      </c>
      <c r="AD125" s="23">
        <v>0</v>
      </c>
      <c r="AE125" s="23">
        <v>0</v>
      </c>
      <c r="AG125" s="23" t="s">
        <v>3101</v>
      </c>
      <c r="AI125" s="25">
        <v>46203</v>
      </c>
      <c r="AK125" s="23" t="s">
        <v>5664</v>
      </c>
      <c r="AL125" s="23">
        <v>518875580661</v>
      </c>
      <c r="AM125" s="23" t="s">
        <v>3102</v>
      </c>
      <c r="AO125" s="23" t="s">
        <v>3102</v>
      </c>
    </row>
    <row r="126" spans="1:42">
      <c r="A126" s="25">
        <v>46200</v>
      </c>
      <c r="B126" s="23" t="s">
        <v>4335</v>
      </c>
      <c r="C126" s="23" t="s">
        <v>4336</v>
      </c>
      <c r="D126" s="23" t="s">
        <v>3103</v>
      </c>
      <c r="E126" s="23" t="s">
        <v>4337</v>
      </c>
      <c r="F126" s="23" t="s">
        <v>4338</v>
      </c>
      <c r="G126" s="23">
        <v>9059546391</v>
      </c>
      <c r="I126" s="23" t="s">
        <v>4339</v>
      </c>
      <c r="J126" s="23" t="s">
        <v>4337</v>
      </c>
      <c r="K126" s="23" t="s">
        <v>4340</v>
      </c>
      <c r="L126" s="23" t="s">
        <v>4341</v>
      </c>
      <c r="M126" s="23" t="s">
        <v>4342</v>
      </c>
      <c r="N126" s="23" t="s">
        <v>3111</v>
      </c>
      <c r="O126" s="23">
        <v>1</v>
      </c>
      <c r="P126" s="23">
        <v>14300</v>
      </c>
      <c r="Q126" s="23">
        <v>1430</v>
      </c>
      <c r="R126" s="23" t="s">
        <v>3151</v>
      </c>
      <c r="S126" s="23" t="s">
        <v>3150</v>
      </c>
      <c r="T126" s="23" t="s">
        <v>99</v>
      </c>
      <c r="V126" s="23" t="s">
        <v>3104</v>
      </c>
      <c r="W126" s="23">
        <v>14850</v>
      </c>
      <c r="X126" s="23">
        <v>550</v>
      </c>
      <c r="Z126" s="23">
        <v>0</v>
      </c>
      <c r="AA126" s="23">
        <v>0</v>
      </c>
      <c r="AB126" s="23">
        <v>0</v>
      </c>
      <c r="AC126" s="23">
        <v>10</v>
      </c>
      <c r="AD126" s="23">
        <v>0</v>
      </c>
      <c r="AE126" s="23">
        <v>0</v>
      </c>
      <c r="AG126" s="23" t="s">
        <v>3101</v>
      </c>
      <c r="AI126" s="25">
        <v>46203</v>
      </c>
      <c r="AK126" s="23" t="s">
        <v>5665</v>
      </c>
      <c r="AL126" s="23">
        <v>518875580484</v>
      </c>
      <c r="AM126" s="23" t="s">
        <v>3102</v>
      </c>
      <c r="AO126" s="23" t="s">
        <v>3102</v>
      </c>
    </row>
    <row r="127" spans="1:42">
      <c r="A127" s="25">
        <v>46200</v>
      </c>
      <c r="B127" s="23" t="s">
        <v>4346</v>
      </c>
      <c r="C127" s="23" t="s">
        <v>4347</v>
      </c>
      <c r="D127" s="23" t="s">
        <v>3105</v>
      </c>
      <c r="E127" s="23" t="s">
        <v>4348</v>
      </c>
      <c r="F127" s="23" t="s">
        <v>4349</v>
      </c>
      <c r="G127" s="23">
        <v>8095254433</v>
      </c>
      <c r="I127" s="23" t="s">
        <v>4350</v>
      </c>
      <c r="J127" s="23" t="s">
        <v>4348</v>
      </c>
      <c r="K127" s="23" t="s">
        <v>4349</v>
      </c>
      <c r="L127" s="23" t="s">
        <v>4351</v>
      </c>
      <c r="M127" s="23" t="s">
        <v>4352</v>
      </c>
      <c r="N127" s="23" t="s">
        <v>3435</v>
      </c>
      <c r="O127" s="23">
        <v>1</v>
      </c>
      <c r="P127" s="23">
        <v>34100</v>
      </c>
      <c r="Q127" s="23">
        <v>3410</v>
      </c>
      <c r="R127" s="23" t="s">
        <v>4353</v>
      </c>
      <c r="S127" s="23" t="s">
        <v>4354</v>
      </c>
      <c r="T127" s="23" t="s">
        <v>4355</v>
      </c>
      <c r="V127" s="23" t="s">
        <v>3106</v>
      </c>
      <c r="W127" s="23">
        <v>34650</v>
      </c>
      <c r="X127" s="23">
        <v>550</v>
      </c>
      <c r="Z127" s="23">
        <v>0</v>
      </c>
      <c r="AA127" s="23">
        <v>0</v>
      </c>
      <c r="AB127" s="23">
        <v>0</v>
      </c>
      <c r="AC127" s="23">
        <v>10</v>
      </c>
      <c r="AD127" s="23">
        <v>0</v>
      </c>
      <c r="AE127" s="23">
        <v>0</v>
      </c>
      <c r="AG127" s="23" t="s">
        <v>3101</v>
      </c>
      <c r="AI127" s="25">
        <v>46203</v>
      </c>
      <c r="AK127" s="23" t="s">
        <v>5666</v>
      </c>
      <c r="AL127" s="23">
        <v>518875581033</v>
      </c>
      <c r="AM127" s="23" t="s">
        <v>3102</v>
      </c>
      <c r="AO127" s="23" t="s">
        <v>3102</v>
      </c>
    </row>
    <row r="128" spans="1:42">
      <c r="A128" s="25">
        <v>46200</v>
      </c>
      <c r="B128" s="23" t="s">
        <v>4356</v>
      </c>
      <c r="C128" s="23" t="s">
        <v>4357</v>
      </c>
      <c r="D128" s="23" t="s">
        <v>3099</v>
      </c>
      <c r="E128" s="23" t="s">
        <v>4358</v>
      </c>
      <c r="F128" s="23" t="s">
        <v>4359</v>
      </c>
      <c r="G128" s="23">
        <v>9025529305</v>
      </c>
      <c r="I128" s="23" t="s">
        <v>4360</v>
      </c>
      <c r="J128" s="23" t="s">
        <v>4358</v>
      </c>
      <c r="K128" s="23" t="s">
        <v>4359</v>
      </c>
      <c r="L128" s="23" t="s">
        <v>4361</v>
      </c>
      <c r="M128" s="23" t="s">
        <v>4362</v>
      </c>
      <c r="N128" s="23" t="s">
        <v>3111</v>
      </c>
      <c r="O128" s="23">
        <v>1</v>
      </c>
      <c r="P128" s="23">
        <v>14300</v>
      </c>
      <c r="Q128" s="23">
        <v>1430</v>
      </c>
      <c r="R128" s="23" t="s">
        <v>3151</v>
      </c>
      <c r="S128" s="23" t="s">
        <v>3150</v>
      </c>
      <c r="T128" s="23" t="s">
        <v>99</v>
      </c>
      <c r="V128" s="23" t="s">
        <v>3100</v>
      </c>
      <c r="W128" s="23">
        <v>15290</v>
      </c>
      <c r="X128" s="23">
        <v>550</v>
      </c>
      <c r="Z128" s="23">
        <v>440</v>
      </c>
      <c r="AA128" s="23">
        <v>0</v>
      </c>
      <c r="AB128" s="23">
        <v>0</v>
      </c>
      <c r="AC128" s="23">
        <v>10</v>
      </c>
      <c r="AD128" s="23">
        <v>0</v>
      </c>
      <c r="AE128" s="23">
        <v>0</v>
      </c>
      <c r="AG128" s="23" t="s">
        <v>3101</v>
      </c>
      <c r="AI128" s="25">
        <v>46203</v>
      </c>
      <c r="AK128" s="23" t="s">
        <v>5667</v>
      </c>
      <c r="AL128" s="23">
        <v>518875580462</v>
      </c>
      <c r="AM128" s="23" t="s">
        <v>3102</v>
      </c>
      <c r="AO128" s="23" t="s">
        <v>3102</v>
      </c>
    </row>
    <row r="129" spans="1:41">
      <c r="A129" s="25">
        <v>46200</v>
      </c>
      <c r="B129" s="23" t="s">
        <v>4363</v>
      </c>
      <c r="C129" s="23" t="s">
        <v>4364</v>
      </c>
      <c r="D129" s="23" t="s">
        <v>3103</v>
      </c>
      <c r="E129" s="23" t="s">
        <v>4365</v>
      </c>
      <c r="F129" s="23" t="s">
        <v>4366</v>
      </c>
      <c r="G129" s="23">
        <v>9035239088</v>
      </c>
      <c r="I129" s="23" t="s">
        <v>4367</v>
      </c>
      <c r="J129" s="23" t="s">
        <v>4365</v>
      </c>
      <c r="K129" s="23" t="s">
        <v>4366</v>
      </c>
      <c r="L129" s="23" t="s">
        <v>4368</v>
      </c>
      <c r="M129" s="23" t="s">
        <v>4369</v>
      </c>
      <c r="N129" s="23" t="s">
        <v>4370</v>
      </c>
      <c r="O129" s="23">
        <v>1</v>
      </c>
      <c r="P129" s="23">
        <v>35200</v>
      </c>
      <c r="Q129" s="23">
        <v>3520</v>
      </c>
      <c r="R129" s="23" t="s">
        <v>4371</v>
      </c>
      <c r="S129" s="23" t="s">
        <v>4372</v>
      </c>
      <c r="T129" s="23" t="s">
        <v>4373</v>
      </c>
      <c r="V129" s="23" t="s">
        <v>3104</v>
      </c>
      <c r="W129" s="23">
        <v>35750</v>
      </c>
      <c r="X129" s="23">
        <v>550</v>
      </c>
      <c r="Z129" s="23">
        <v>0</v>
      </c>
      <c r="AA129" s="23">
        <v>0</v>
      </c>
      <c r="AB129" s="23">
        <v>0</v>
      </c>
      <c r="AC129" s="23">
        <v>10</v>
      </c>
      <c r="AD129" s="23">
        <v>0</v>
      </c>
      <c r="AE129" s="23">
        <v>0</v>
      </c>
      <c r="AG129" s="23" t="s">
        <v>3101</v>
      </c>
      <c r="AI129" s="25">
        <v>46203</v>
      </c>
      <c r="AK129" s="23" t="s">
        <v>5668</v>
      </c>
      <c r="AL129" s="23">
        <v>518875580860</v>
      </c>
      <c r="AM129" s="23" t="s">
        <v>3102</v>
      </c>
      <c r="AO129" s="23" t="s">
        <v>3102</v>
      </c>
    </row>
    <row r="130" spans="1:41">
      <c r="A130" s="25">
        <v>46200</v>
      </c>
      <c r="B130" s="23" t="s">
        <v>4374</v>
      </c>
      <c r="C130" s="23" t="s">
        <v>4375</v>
      </c>
      <c r="D130" s="23" t="s">
        <v>3105</v>
      </c>
      <c r="E130" s="23" t="s">
        <v>4376</v>
      </c>
      <c r="F130" s="23" t="s">
        <v>4377</v>
      </c>
      <c r="G130" s="23">
        <v>9055456294</v>
      </c>
      <c r="I130" s="23" t="s">
        <v>4378</v>
      </c>
      <c r="J130" s="23" t="s">
        <v>4376</v>
      </c>
      <c r="K130" s="23" t="s">
        <v>4377</v>
      </c>
      <c r="L130" s="23" t="s">
        <v>4379</v>
      </c>
      <c r="M130" s="23" t="s">
        <v>4380</v>
      </c>
      <c r="N130" s="23" t="s">
        <v>4381</v>
      </c>
      <c r="O130" s="23">
        <v>1</v>
      </c>
      <c r="P130" s="23">
        <v>13200</v>
      </c>
      <c r="Q130" s="23">
        <v>1320</v>
      </c>
      <c r="R130" s="23" t="s">
        <v>4382</v>
      </c>
      <c r="S130" s="23" t="s">
        <v>3158</v>
      </c>
      <c r="T130" s="23" t="s">
        <v>3299</v>
      </c>
      <c r="V130" s="23" t="s">
        <v>3106</v>
      </c>
      <c r="W130" s="23">
        <v>13750</v>
      </c>
      <c r="X130" s="23">
        <v>550</v>
      </c>
      <c r="Z130" s="23">
        <v>0</v>
      </c>
      <c r="AA130" s="23">
        <v>0</v>
      </c>
      <c r="AB130" s="23">
        <v>0</v>
      </c>
      <c r="AC130" s="23">
        <v>10</v>
      </c>
      <c r="AD130" s="23">
        <v>0</v>
      </c>
      <c r="AE130" s="23">
        <v>0</v>
      </c>
      <c r="AG130" s="23" t="s">
        <v>3101</v>
      </c>
      <c r="AI130" s="25">
        <v>46203</v>
      </c>
      <c r="AK130" s="23" t="s">
        <v>5669</v>
      </c>
      <c r="AL130" s="23">
        <v>518875580753</v>
      </c>
      <c r="AM130" s="23" t="s">
        <v>3102</v>
      </c>
      <c r="AO130" s="23" t="s">
        <v>3102</v>
      </c>
    </row>
    <row r="131" spans="1:41">
      <c r="A131" s="25">
        <v>46200</v>
      </c>
      <c r="B131" s="23" t="s">
        <v>4383</v>
      </c>
      <c r="C131" s="23" t="s">
        <v>4384</v>
      </c>
      <c r="D131" s="23" t="s">
        <v>3103</v>
      </c>
      <c r="E131" s="23" t="s">
        <v>4385</v>
      </c>
      <c r="F131" s="23" t="s">
        <v>4386</v>
      </c>
      <c r="G131" s="23">
        <v>9056211587</v>
      </c>
      <c r="I131" s="23" t="s">
        <v>4387</v>
      </c>
      <c r="J131" s="23" t="s">
        <v>4385</v>
      </c>
      <c r="K131" s="23" t="s">
        <v>4386</v>
      </c>
      <c r="L131" s="23" t="s">
        <v>4388</v>
      </c>
      <c r="M131" s="23" t="s">
        <v>4389</v>
      </c>
      <c r="N131" s="23" t="s">
        <v>4390</v>
      </c>
      <c r="O131" s="23">
        <v>1</v>
      </c>
      <c r="P131" s="23">
        <v>23100</v>
      </c>
      <c r="Q131" s="23">
        <v>2310</v>
      </c>
      <c r="R131" s="23" t="s">
        <v>4391</v>
      </c>
      <c r="S131" s="23" t="s">
        <v>4392</v>
      </c>
      <c r="T131" s="23" t="s">
        <v>4393</v>
      </c>
      <c r="V131" s="23" t="s">
        <v>3104</v>
      </c>
      <c r="W131" s="23">
        <v>22605</v>
      </c>
      <c r="X131" s="23">
        <v>550</v>
      </c>
      <c r="Z131" s="23">
        <v>0</v>
      </c>
      <c r="AA131" s="23">
        <v>-1045</v>
      </c>
      <c r="AB131" s="23">
        <v>0</v>
      </c>
      <c r="AC131" s="23">
        <v>10</v>
      </c>
      <c r="AD131" s="23">
        <v>0</v>
      </c>
      <c r="AE131" s="23">
        <v>0</v>
      </c>
      <c r="AG131" s="23" t="s">
        <v>3101</v>
      </c>
      <c r="AI131" s="25">
        <v>46203</v>
      </c>
      <c r="AK131" s="23" t="s">
        <v>5670</v>
      </c>
      <c r="AL131" s="23">
        <v>518875581000</v>
      </c>
      <c r="AM131" s="23" t="s">
        <v>3725</v>
      </c>
      <c r="AO131" s="23" t="s">
        <v>3725</v>
      </c>
    </row>
    <row r="132" spans="1:41">
      <c r="A132" s="25">
        <v>46200</v>
      </c>
      <c r="B132" s="23" t="s">
        <v>4394</v>
      </c>
      <c r="C132" s="23" t="s">
        <v>4395</v>
      </c>
      <c r="D132" s="23" t="s">
        <v>3103</v>
      </c>
      <c r="E132" s="23" t="s">
        <v>4396</v>
      </c>
      <c r="F132" s="23" t="s">
        <v>4397</v>
      </c>
      <c r="G132" s="23">
        <v>899261239</v>
      </c>
      <c r="I132" s="23" t="s">
        <v>4398</v>
      </c>
      <c r="J132" s="23" t="s">
        <v>4396</v>
      </c>
      <c r="K132" s="23" t="s">
        <v>4397</v>
      </c>
      <c r="L132" s="23" t="s">
        <v>4399</v>
      </c>
      <c r="M132" s="23" t="s">
        <v>4400</v>
      </c>
      <c r="N132" s="23" t="s">
        <v>3732</v>
      </c>
      <c r="O132" s="23">
        <v>1</v>
      </c>
      <c r="P132" s="23">
        <v>8800</v>
      </c>
      <c r="Q132" s="23">
        <v>880</v>
      </c>
      <c r="R132" s="23" t="s">
        <v>3733</v>
      </c>
      <c r="S132" s="23" t="s">
        <v>3734</v>
      </c>
      <c r="T132" s="23" t="s">
        <v>4401</v>
      </c>
      <c r="V132" s="23" t="s">
        <v>3104</v>
      </c>
      <c r="W132" s="23">
        <v>9350</v>
      </c>
      <c r="X132" s="23">
        <v>550</v>
      </c>
      <c r="Z132" s="23">
        <v>0</v>
      </c>
      <c r="AA132" s="23">
        <v>0</v>
      </c>
      <c r="AB132" s="23">
        <v>0</v>
      </c>
      <c r="AC132" s="23">
        <v>10</v>
      </c>
      <c r="AD132" s="23">
        <v>0</v>
      </c>
      <c r="AE132" s="23">
        <v>0</v>
      </c>
      <c r="AG132" s="23" t="s">
        <v>3101</v>
      </c>
      <c r="AI132" s="25">
        <v>46203</v>
      </c>
      <c r="AK132" s="23" t="s">
        <v>5671</v>
      </c>
      <c r="AL132" s="23">
        <v>518875580985</v>
      </c>
      <c r="AM132" s="23" t="s">
        <v>3102</v>
      </c>
      <c r="AO132" s="23" t="s">
        <v>3102</v>
      </c>
    </row>
    <row r="133" spans="1:41">
      <c r="A133" s="25">
        <v>46200</v>
      </c>
      <c r="B133" s="23" t="s">
        <v>4402</v>
      </c>
      <c r="C133" s="23" t="s">
        <v>4403</v>
      </c>
      <c r="D133" s="23" t="s">
        <v>3103</v>
      </c>
      <c r="E133" s="23" t="s">
        <v>4404</v>
      </c>
      <c r="F133" s="23" t="s">
        <v>4405</v>
      </c>
      <c r="G133" s="23">
        <v>8063573973</v>
      </c>
      <c r="I133" s="23" t="s">
        <v>4406</v>
      </c>
      <c r="J133" s="23" t="s">
        <v>4404</v>
      </c>
      <c r="K133" s="23" t="s">
        <v>4405</v>
      </c>
      <c r="L133" s="23" t="s">
        <v>4407</v>
      </c>
      <c r="M133" s="23" t="s">
        <v>4408</v>
      </c>
      <c r="N133" s="23" t="s">
        <v>3717</v>
      </c>
      <c r="O133" s="23">
        <v>1</v>
      </c>
      <c r="P133" s="23">
        <v>13750</v>
      </c>
      <c r="Q133" s="23">
        <v>1375</v>
      </c>
      <c r="R133" s="23" t="s">
        <v>3718</v>
      </c>
      <c r="S133" s="23" t="s">
        <v>3719</v>
      </c>
      <c r="T133" s="23" t="s">
        <v>3720</v>
      </c>
      <c r="V133" s="23" t="s">
        <v>3104</v>
      </c>
      <c r="W133" s="23">
        <v>14300</v>
      </c>
      <c r="X133" s="23">
        <v>550</v>
      </c>
      <c r="Z133" s="23">
        <v>0</v>
      </c>
      <c r="AA133" s="23">
        <v>0</v>
      </c>
      <c r="AB133" s="23">
        <v>0</v>
      </c>
      <c r="AC133" s="23">
        <v>10</v>
      </c>
      <c r="AD133" s="23">
        <v>0</v>
      </c>
      <c r="AE133" s="23">
        <v>0</v>
      </c>
      <c r="AG133" s="23" t="s">
        <v>3101</v>
      </c>
      <c r="AI133" s="25">
        <v>46203</v>
      </c>
      <c r="AK133" s="23" t="s">
        <v>5672</v>
      </c>
      <c r="AL133" s="23">
        <v>518875581066</v>
      </c>
      <c r="AM133" s="23" t="s">
        <v>3102</v>
      </c>
      <c r="AO133" s="23" t="s">
        <v>3102</v>
      </c>
    </row>
    <row r="134" spans="1:41">
      <c r="A134" s="25">
        <v>46200</v>
      </c>
      <c r="B134" s="23" t="s">
        <v>4409</v>
      </c>
      <c r="C134" s="23" t="s">
        <v>4410</v>
      </c>
      <c r="D134" s="23" t="s">
        <v>3103</v>
      </c>
      <c r="E134" s="23" t="s">
        <v>4411</v>
      </c>
      <c r="F134" s="23" t="s">
        <v>4412</v>
      </c>
      <c r="G134" s="23">
        <v>9029414410</v>
      </c>
      <c r="I134" s="23" t="s">
        <v>4413</v>
      </c>
      <c r="J134" s="23" t="s">
        <v>4411</v>
      </c>
      <c r="K134" s="23" t="s">
        <v>4412</v>
      </c>
      <c r="L134" s="23" t="s">
        <v>4414</v>
      </c>
      <c r="M134" s="23" t="s">
        <v>4415</v>
      </c>
      <c r="N134" s="23" t="s">
        <v>2735</v>
      </c>
      <c r="O134" s="23">
        <v>1</v>
      </c>
      <c r="P134" s="23">
        <v>11550</v>
      </c>
      <c r="Q134" s="23">
        <v>1155</v>
      </c>
      <c r="R134" s="23" t="s">
        <v>3173</v>
      </c>
      <c r="S134" s="23" t="s">
        <v>3174</v>
      </c>
      <c r="T134" s="23" t="s">
        <v>2649</v>
      </c>
      <c r="V134" s="23" t="s">
        <v>3104</v>
      </c>
      <c r="W134" s="23">
        <v>12100</v>
      </c>
      <c r="X134" s="23">
        <v>550</v>
      </c>
      <c r="Z134" s="23">
        <v>0</v>
      </c>
      <c r="AA134" s="23">
        <v>0</v>
      </c>
      <c r="AB134" s="23">
        <v>0</v>
      </c>
      <c r="AC134" s="23">
        <v>10</v>
      </c>
      <c r="AD134" s="23">
        <v>0</v>
      </c>
      <c r="AE134" s="23">
        <v>0</v>
      </c>
      <c r="AG134" s="23" t="s">
        <v>3101</v>
      </c>
      <c r="AI134" s="25">
        <v>46203</v>
      </c>
      <c r="AK134" s="23" t="s">
        <v>5673</v>
      </c>
      <c r="AL134" s="23">
        <v>518875580764</v>
      </c>
      <c r="AM134" s="23" t="s">
        <v>3102</v>
      </c>
      <c r="AO134" s="23" t="s">
        <v>3102</v>
      </c>
    </row>
    <row r="135" spans="1:41">
      <c r="A135" s="25">
        <v>46200</v>
      </c>
      <c r="B135" s="23" t="s">
        <v>4416</v>
      </c>
      <c r="C135" s="23" t="s">
        <v>4417</v>
      </c>
      <c r="D135" s="23" t="s">
        <v>3108</v>
      </c>
      <c r="E135" s="23" t="s">
        <v>4418</v>
      </c>
      <c r="F135" s="23" t="s">
        <v>4419</v>
      </c>
      <c r="G135" s="23">
        <v>7028311885</v>
      </c>
      <c r="I135" s="23" t="s">
        <v>4420</v>
      </c>
      <c r="J135" s="23" t="s">
        <v>4418</v>
      </c>
      <c r="K135" s="23" t="s">
        <v>4419</v>
      </c>
      <c r="L135" s="23" t="s">
        <v>4421</v>
      </c>
      <c r="M135" s="23" t="s">
        <v>4422</v>
      </c>
      <c r="N135" s="23" t="s">
        <v>3116</v>
      </c>
      <c r="O135" s="23">
        <v>1</v>
      </c>
      <c r="P135" s="23">
        <v>14300</v>
      </c>
      <c r="Q135" s="23">
        <v>1430</v>
      </c>
      <c r="R135" s="23" t="s">
        <v>3162</v>
      </c>
      <c r="S135" s="23" t="s">
        <v>3150</v>
      </c>
      <c r="T135" s="23" t="s">
        <v>107</v>
      </c>
      <c r="V135" s="23" t="s">
        <v>3110</v>
      </c>
      <c r="W135" s="23">
        <v>14850</v>
      </c>
      <c r="X135" s="23">
        <v>550</v>
      </c>
      <c r="Z135" s="23">
        <v>0</v>
      </c>
      <c r="AA135" s="23">
        <v>0</v>
      </c>
      <c r="AB135" s="23">
        <v>0</v>
      </c>
      <c r="AC135" s="23">
        <v>10</v>
      </c>
      <c r="AD135" s="23">
        <v>0</v>
      </c>
      <c r="AE135" s="23">
        <v>0</v>
      </c>
      <c r="AG135" s="23" t="s">
        <v>3101</v>
      </c>
      <c r="AI135" s="25">
        <v>46203</v>
      </c>
      <c r="AK135" s="23" t="s">
        <v>5674</v>
      </c>
      <c r="AL135" s="23">
        <v>518875580672</v>
      </c>
      <c r="AM135" s="23" t="s">
        <v>3102</v>
      </c>
      <c r="AO135" s="23" t="s">
        <v>3102</v>
      </c>
    </row>
    <row r="136" spans="1:41">
      <c r="A136" s="25">
        <v>46200</v>
      </c>
      <c r="B136" s="23" t="s">
        <v>4423</v>
      </c>
      <c r="C136" s="23" t="s">
        <v>4424</v>
      </c>
      <c r="D136" s="23" t="s">
        <v>3105</v>
      </c>
      <c r="E136" s="23" t="s">
        <v>4425</v>
      </c>
      <c r="F136" s="23" t="s">
        <v>4426</v>
      </c>
      <c r="G136" s="23">
        <v>8057644614</v>
      </c>
      <c r="I136" s="23" t="s">
        <v>4427</v>
      </c>
      <c r="J136" s="23" t="s">
        <v>4425</v>
      </c>
      <c r="K136" s="23" t="s">
        <v>4426</v>
      </c>
      <c r="L136" s="23" t="s">
        <v>4428</v>
      </c>
      <c r="M136" s="23" t="s">
        <v>4429</v>
      </c>
      <c r="N136" s="23" t="s">
        <v>3112</v>
      </c>
      <c r="O136" s="23">
        <v>1</v>
      </c>
      <c r="P136" s="23">
        <v>14300</v>
      </c>
      <c r="Q136" s="23">
        <v>1430</v>
      </c>
      <c r="R136" s="23" t="s">
        <v>3149</v>
      </c>
      <c r="S136" s="23" t="s">
        <v>3150</v>
      </c>
      <c r="T136" s="23" t="s">
        <v>116</v>
      </c>
      <c r="V136" s="23" t="s">
        <v>3106</v>
      </c>
      <c r="W136" s="23">
        <v>14850</v>
      </c>
      <c r="X136" s="23">
        <v>550</v>
      </c>
      <c r="Z136" s="23">
        <v>0</v>
      </c>
      <c r="AA136" s="23">
        <v>0</v>
      </c>
      <c r="AB136" s="23">
        <v>0</v>
      </c>
      <c r="AC136" s="23">
        <v>10</v>
      </c>
      <c r="AD136" s="23">
        <v>0</v>
      </c>
      <c r="AE136" s="23">
        <v>0</v>
      </c>
      <c r="AG136" s="23" t="s">
        <v>3101</v>
      </c>
      <c r="AI136" s="25">
        <v>46203</v>
      </c>
      <c r="AK136" s="23" t="s">
        <v>5675</v>
      </c>
      <c r="AL136" s="23">
        <v>518875580576</v>
      </c>
      <c r="AM136" s="23" t="s">
        <v>3102</v>
      </c>
      <c r="AO136" s="23" t="s">
        <v>3102</v>
      </c>
    </row>
    <row r="137" spans="1:41">
      <c r="A137" s="25">
        <v>46200</v>
      </c>
      <c r="B137" s="23" t="s">
        <v>4430</v>
      </c>
      <c r="C137" s="23" t="s">
        <v>4431</v>
      </c>
      <c r="D137" s="23" t="s">
        <v>3103</v>
      </c>
      <c r="E137" s="23" t="s">
        <v>4432</v>
      </c>
      <c r="F137" s="23" t="s">
        <v>4433</v>
      </c>
      <c r="G137" s="23">
        <v>8014143615</v>
      </c>
      <c r="I137" s="23" t="s">
        <v>4434</v>
      </c>
      <c r="J137" s="23" t="s">
        <v>4435</v>
      </c>
      <c r="K137" s="23" t="s">
        <v>4436</v>
      </c>
      <c r="L137" s="23" t="s">
        <v>4437</v>
      </c>
      <c r="M137" s="23" t="s">
        <v>4438</v>
      </c>
      <c r="N137" s="23" t="s">
        <v>4439</v>
      </c>
      <c r="O137" s="23">
        <v>1</v>
      </c>
      <c r="P137" s="23">
        <v>13200</v>
      </c>
      <c r="Q137" s="23">
        <v>1320</v>
      </c>
      <c r="R137" s="23" t="s">
        <v>4440</v>
      </c>
      <c r="S137" s="23" t="s">
        <v>3158</v>
      </c>
      <c r="T137" s="23" t="s">
        <v>3285</v>
      </c>
      <c r="V137" s="23" t="s">
        <v>3104</v>
      </c>
      <c r="W137" s="23">
        <v>13750</v>
      </c>
      <c r="X137" s="23">
        <v>550</v>
      </c>
      <c r="Z137" s="23">
        <v>0</v>
      </c>
      <c r="AA137" s="23">
        <v>0</v>
      </c>
      <c r="AB137" s="23">
        <v>0</v>
      </c>
      <c r="AC137" s="23">
        <v>10</v>
      </c>
      <c r="AD137" s="23">
        <v>0</v>
      </c>
      <c r="AE137" s="23">
        <v>0</v>
      </c>
      <c r="AG137" s="23" t="s">
        <v>3101</v>
      </c>
      <c r="AI137" s="25">
        <v>46203</v>
      </c>
      <c r="AK137" s="23" t="s">
        <v>5676</v>
      </c>
      <c r="AL137" s="23">
        <v>518875580893</v>
      </c>
      <c r="AM137" s="23" t="s">
        <v>3102</v>
      </c>
      <c r="AO137" s="23" t="s">
        <v>3102</v>
      </c>
    </row>
    <row r="138" spans="1:41">
      <c r="A138" s="25">
        <v>46200</v>
      </c>
      <c r="B138" s="23" t="s">
        <v>4441</v>
      </c>
      <c r="C138" s="23" t="s">
        <v>4442</v>
      </c>
      <c r="D138" s="23" t="s">
        <v>3108</v>
      </c>
      <c r="E138" s="23" t="s">
        <v>4443</v>
      </c>
      <c r="F138" s="23" t="s">
        <v>4444</v>
      </c>
      <c r="G138" s="23">
        <v>8060147125</v>
      </c>
      <c r="I138" s="23" t="s">
        <v>4445</v>
      </c>
      <c r="J138" s="23" t="s">
        <v>4443</v>
      </c>
      <c r="K138" s="23" t="s">
        <v>4444</v>
      </c>
      <c r="L138" s="23" t="s">
        <v>4446</v>
      </c>
      <c r="M138" s="23" t="s">
        <v>4447</v>
      </c>
      <c r="N138" s="23" t="s">
        <v>3222</v>
      </c>
      <c r="O138" s="23">
        <v>1</v>
      </c>
      <c r="P138" s="23">
        <v>14300</v>
      </c>
      <c r="Q138" s="23">
        <v>1430</v>
      </c>
      <c r="R138" s="23" t="s">
        <v>3223</v>
      </c>
      <c r="S138" s="23" t="s">
        <v>3150</v>
      </c>
      <c r="T138" s="23" t="s">
        <v>2985</v>
      </c>
      <c r="V138" s="23" t="s">
        <v>3110</v>
      </c>
      <c r="W138" s="23">
        <v>14850</v>
      </c>
      <c r="X138" s="23">
        <v>550</v>
      </c>
      <c r="Z138" s="23">
        <v>0</v>
      </c>
      <c r="AA138" s="23">
        <v>0</v>
      </c>
      <c r="AB138" s="23">
        <v>0</v>
      </c>
      <c r="AC138" s="23">
        <v>10</v>
      </c>
      <c r="AD138" s="23">
        <v>0</v>
      </c>
      <c r="AE138" s="23">
        <v>0</v>
      </c>
      <c r="AG138" s="23" t="s">
        <v>3101</v>
      </c>
      <c r="AI138" s="25">
        <v>46203</v>
      </c>
      <c r="AK138" s="23" t="s">
        <v>5677</v>
      </c>
      <c r="AL138" s="23">
        <v>518875580532</v>
      </c>
      <c r="AM138" s="23" t="s">
        <v>3102</v>
      </c>
      <c r="AO138" s="23" t="s">
        <v>3102</v>
      </c>
    </row>
    <row r="139" spans="1:41">
      <c r="A139" s="25">
        <v>46200</v>
      </c>
      <c r="B139" s="23" t="s">
        <v>4448</v>
      </c>
      <c r="C139" s="23" t="s">
        <v>4449</v>
      </c>
      <c r="D139" s="23" t="s">
        <v>3105</v>
      </c>
      <c r="E139" s="23" t="s">
        <v>4450</v>
      </c>
      <c r="F139" s="23" t="s">
        <v>4451</v>
      </c>
      <c r="G139" s="23">
        <v>237533688</v>
      </c>
      <c r="I139" s="23" t="s">
        <v>4452</v>
      </c>
      <c r="J139" s="23" t="s">
        <v>4450</v>
      </c>
      <c r="K139" s="23" t="s">
        <v>4451</v>
      </c>
      <c r="L139" s="23" t="s">
        <v>4453</v>
      </c>
      <c r="M139" s="23" t="s">
        <v>4454</v>
      </c>
      <c r="N139" s="23" t="s">
        <v>4455</v>
      </c>
      <c r="O139" s="23">
        <v>1</v>
      </c>
      <c r="P139" s="23">
        <v>42900</v>
      </c>
      <c r="Q139" s="23">
        <v>4290</v>
      </c>
      <c r="R139" s="23" t="s">
        <v>4456</v>
      </c>
      <c r="S139" s="23" t="s">
        <v>4457</v>
      </c>
      <c r="T139" s="23" t="s">
        <v>4458</v>
      </c>
      <c r="V139" s="23" t="s">
        <v>3106</v>
      </c>
      <c r="W139" s="23">
        <v>43450</v>
      </c>
      <c r="X139" s="23">
        <v>550</v>
      </c>
      <c r="Z139" s="23">
        <v>0</v>
      </c>
      <c r="AA139" s="23">
        <v>0</v>
      </c>
      <c r="AB139" s="23">
        <v>0</v>
      </c>
      <c r="AC139" s="23">
        <v>10</v>
      </c>
      <c r="AD139" s="23">
        <v>0</v>
      </c>
      <c r="AE139" s="23">
        <v>0</v>
      </c>
      <c r="AG139" s="23" t="s">
        <v>3101</v>
      </c>
      <c r="AI139" s="25">
        <v>46203</v>
      </c>
      <c r="AK139" s="23" t="s">
        <v>5678</v>
      </c>
      <c r="AL139" s="23">
        <v>518875581081</v>
      </c>
      <c r="AM139" s="23" t="s">
        <v>3102</v>
      </c>
      <c r="AO139" s="23" t="s">
        <v>3102</v>
      </c>
    </row>
    <row r="140" spans="1:41">
      <c r="A140" s="25">
        <v>46200</v>
      </c>
      <c r="B140" s="23" t="s">
        <v>4459</v>
      </c>
      <c r="C140" s="23" t="s">
        <v>4460</v>
      </c>
      <c r="D140" s="23" t="s">
        <v>3103</v>
      </c>
      <c r="E140" s="23" t="s">
        <v>4461</v>
      </c>
      <c r="F140" s="23" t="s">
        <v>4462</v>
      </c>
      <c r="G140" s="23">
        <v>9014656412</v>
      </c>
      <c r="I140" s="23" t="s">
        <v>4463</v>
      </c>
      <c r="J140" s="23" t="s">
        <v>4461</v>
      </c>
      <c r="K140" s="23" t="s">
        <v>4462</v>
      </c>
      <c r="L140" s="23" t="s">
        <v>4464</v>
      </c>
      <c r="M140" s="23" t="s">
        <v>4465</v>
      </c>
      <c r="N140" s="23" t="s">
        <v>3499</v>
      </c>
      <c r="O140" s="23">
        <v>1</v>
      </c>
      <c r="P140" s="23">
        <v>23100</v>
      </c>
      <c r="Q140" s="23">
        <v>2310</v>
      </c>
      <c r="R140" s="23" t="s">
        <v>4466</v>
      </c>
      <c r="S140" s="23" t="s">
        <v>4467</v>
      </c>
      <c r="T140" s="23" t="s">
        <v>3498</v>
      </c>
      <c r="V140" s="23" t="s">
        <v>3104</v>
      </c>
      <c r="W140" s="23">
        <v>23650</v>
      </c>
      <c r="X140" s="23">
        <v>550</v>
      </c>
      <c r="Z140" s="23">
        <v>0</v>
      </c>
      <c r="AA140" s="23">
        <v>0</v>
      </c>
      <c r="AB140" s="23">
        <v>0</v>
      </c>
      <c r="AC140" s="23">
        <v>10</v>
      </c>
      <c r="AD140" s="23">
        <v>0</v>
      </c>
      <c r="AE140" s="23">
        <v>0</v>
      </c>
      <c r="AG140" s="23" t="s">
        <v>3101</v>
      </c>
      <c r="AI140" s="25">
        <v>46203</v>
      </c>
      <c r="AK140" s="23" t="s">
        <v>5679</v>
      </c>
      <c r="AL140" s="23">
        <v>518875580963</v>
      </c>
      <c r="AM140" s="23" t="s">
        <v>3102</v>
      </c>
      <c r="AO140" s="23" t="s">
        <v>3102</v>
      </c>
    </row>
    <row r="141" spans="1:41">
      <c r="A141" s="25">
        <v>46200</v>
      </c>
      <c r="B141" s="23" t="s">
        <v>4468</v>
      </c>
      <c r="C141" s="23" t="s">
        <v>4469</v>
      </c>
      <c r="D141" s="23" t="s">
        <v>3099</v>
      </c>
      <c r="E141" s="23" t="s">
        <v>4470</v>
      </c>
      <c r="F141" s="23" t="s">
        <v>4471</v>
      </c>
      <c r="G141" s="23">
        <v>9029816769</v>
      </c>
      <c r="I141" s="23" t="s">
        <v>4472</v>
      </c>
      <c r="J141" s="23" t="s">
        <v>4470</v>
      </c>
      <c r="K141" s="23" t="s">
        <v>4471</v>
      </c>
      <c r="L141" s="23" t="s">
        <v>4473</v>
      </c>
      <c r="M141" s="23" t="s">
        <v>4474</v>
      </c>
      <c r="N141" s="23" t="s">
        <v>3222</v>
      </c>
      <c r="O141" s="23">
        <v>1</v>
      </c>
      <c r="P141" s="23">
        <v>14300</v>
      </c>
      <c r="Q141" s="23">
        <v>1430</v>
      </c>
      <c r="R141" s="23" t="s">
        <v>3223</v>
      </c>
      <c r="S141" s="23" t="s">
        <v>3150</v>
      </c>
      <c r="T141" s="23" t="s">
        <v>2985</v>
      </c>
      <c r="V141" s="23" t="s">
        <v>3100</v>
      </c>
      <c r="W141" s="23">
        <v>15290</v>
      </c>
      <c r="X141" s="23">
        <v>550</v>
      </c>
      <c r="Z141" s="23">
        <v>440</v>
      </c>
      <c r="AA141" s="23">
        <v>0</v>
      </c>
      <c r="AB141" s="23">
        <v>0</v>
      </c>
      <c r="AC141" s="23">
        <v>10</v>
      </c>
      <c r="AD141" s="23">
        <v>0</v>
      </c>
      <c r="AE141" s="23">
        <v>0</v>
      </c>
      <c r="AG141" s="23" t="s">
        <v>3101</v>
      </c>
      <c r="AI141" s="25">
        <v>46203</v>
      </c>
      <c r="AK141" s="23" t="s">
        <v>5680</v>
      </c>
      <c r="AL141" s="23">
        <v>518875580543</v>
      </c>
      <c r="AM141" s="23" t="s">
        <v>3102</v>
      </c>
      <c r="AO141" s="23" t="s">
        <v>3102</v>
      </c>
    </row>
    <row r="142" spans="1:41">
      <c r="A142" s="25">
        <v>46200</v>
      </c>
      <c r="B142" s="23" t="s">
        <v>4475</v>
      </c>
      <c r="C142" s="23" t="s">
        <v>4476</v>
      </c>
      <c r="D142" s="23" t="s">
        <v>3105</v>
      </c>
      <c r="E142" s="23" t="s">
        <v>4477</v>
      </c>
      <c r="F142" s="23" t="s">
        <v>4478</v>
      </c>
      <c r="G142" s="23">
        <v>8061374742</v>
      </c>
      <c r="I142" s="23" t="s">
        <v>4479</v>
      </c>
      <c r="J142" s="23" t="s">
        <v>4477</v>
      </c>
      <c r="K142" s="23" t="s">
        <v>4478</v>
      </c>
      <c r="L142" s="23" t="s">
        <v>4480</v>
      </c>
      <c r="M142" s="23" t="s">
        <v>4481</v>
      </c>
      <c r="N142" s="23" t="s">
        <v>73</v>
      </c>
      <c r="O142" s="23">
        <v>1</v>
      </c>
      <c r="P142" s="23">
        <v>3850</v>
      </c>
      <c r="Q142" s="23">
        <v>385</v>
      </c>
      <c r="R142" s="23" t="s">
        <v>3175</v>
      </c>
      <c r="S142" s="23" t="s">
        <v>3176</v>
      </c>
      <c r="T142" s="23" t="s">
        <v>2611</v>
      </c>
      <c r="V142" s="23" t="s">
        <v>3106</v>
      </c>
      <c r="W142" s="23">
        <v>4400</v>
      </c>
      <c r="X142" s="23">
        <v>550</v>
      </c>
      <c r="Z142" s="23">
        <v>0</v>
      </c>
      <c r="AA142" s="23">
        <v>0</v>
      </c>
      <c r="AB142" s="23">
        <v>0</v>
      </c>
      <c r="AC142" s="23">
        <v>10</v>
      </c>
      <c r="AD142" s="23">
        <v>0</v>
      </c>
      <c r="AE142" s="23">
        <v>0</v>
      </c>
      <c r="AG142" s="23" t="s">
        <v>3101</v>
      </c>
      <c r="AI142" s="25">
        <v>46203</v>
      </c>
      <c r="AK142" s="23" t="s">
        <v>5681</v>
      </c>
      <c r="AL142" s="23">
        <v>518875581136</v>
      </c>
      <c r="AM142" s="23" t="s">
        <v>3102</v>
      </c>
      <c r="AO142" s="23" t="s">
        <v>3102</v>
      </c>
    </row>
    <row r="143" spans="1:41">
      <c r="A143" s="25">
        <v>46200</v>
      </c>
      <c r="B143" s="23" t="s">
        <v>4482</v>
      </c>
      <c r="C143" s="23" t="s">
        <v>4483</v>
      </c>
      <c r="D143" s="23" t="s">
        <v>3103</v>
      </c>
      <c r="E143" s="23" t="s">
        <v>4484</v>
      </c>
      <c r="F143" s="23" t="s">
        <v>4485</v>
      </c>
      <c r="G143" s="23">
        <v>9090799370</v>
      </c>
      <c r="I143" s="23" t="s">
        <v>4486</v>
      </c>
      <c r="J143" s="23" t="s">
        <v>4484</v>
      </c>
      <c r="K143" s="23" t="s">
        <v>4485</v>
      </c>
      <c r="L143" s="23" t="s">
        <v>4487</v>
      </c>
      <c r="M143" s="23" t="s">
        <v>4488</v>
      </c>
      <c r="N143" s="23" t="s">
        <v>3847</v>
      </c>
      <c r="O143" s="23">
        <v>1</v>
      </c>
      <c r="P143" s="23">
        <v>4950</v>
      </c>
      <c r="Q143" s="23">
        <v>495</v>
      </c>
      <c r="R143" s="23" t="s">
        <v>4489</v>
      </c>
      <c r="S143" s="23" t="s">
        <v>4490</v>
      </c>
      <c r="T143" s="23" t="s">
        <v>4491</v>
      </c>
      <c r="V143" s="23" t="s">
        <v>3104</v>
      </c>
      <c r="W143" s="23">
        <v>5500</v>
      </c>
      <c r="X143" s="23">
        <v>550</v>
      </c>
      <c r="Z143" s="23">
        <v>0</v>
      </c>
      <c r="AA143" s="23">
        <v>0</v>
      </c>
      <c r="AB143" s="23">
        <v>0</v>
      </c>
      <c r="AC143" s="23">
        <v>10</v>
      </c>
      <c r="AD143" s="23">
        <v>0</v>
      </c>
      <c r="AE143" s="23">
        <v>0</v>
      </c>
      <c r="AG143" s="23" t="s">
        <v>3101</v>
      </c>
      <c r="AI143" s="25">
        <v>46203</v>
      </c>
      <c r="AK143" s="23" t="s">
        <v>5682</v>
      </c>
      <c r="AL143" s="23">
        <v>518875581276</v>
      </c>
      <c r="AM143" s="23" t="s">
        <v>3102</v>
      </c>
      <c r="AO143" s="23" t="s">
        <v>3102</v>
      </c>
    </row>
    <row r="144" spans="1:41">
      <c r="A144" s="25">
        <v>46200</v>
      </c>
      <c r="B144" s="23" t="s">
        <v>4492</v>
      </c>
      <c r="C144" s="23" t="s">
        <v>4493</v>
      </c>
      <c r="D144" s="23" t="s">
        <v>3099</v>
      </c>
      <c r="E144" s="23" t="s">
        <v>4494</v>
      </c>
      <c r="F144" s="23" t="s">
        <v>4495</v>
      </c>
      <c r="G144" s="23">
        <v>8050930711</v>
      </c>
      <c r="I144" s="23" t="s">
        <v>4496</v>
      </c>
      <c r="J144" s="23" t="s">
        <v>4494</v>
      </c>
      <c r="K144" s="23" t="s">
        <v>4495</v>
      </c>
      <c r="L144" s="23" t="s">
        <v>4497</v>
      </c>
      <c r="M144" s="23" t="s">
        <v>4498</v>
      </c>
      <c r="N144" s="23" t="s">
        <v>3222</v>
      </c>
      <c r="O144" s="23">
        <v>1</v>
      </c>
      <c r="P144" s="23">
        <v>14300</v>
      </c>
      <c r="Q144" s="23">
        <v>1430</v>
      </c>
      <c r="R144" s="23" t="s">
        <v>3223</v>
      </c>
      <c r="S144" s="23" t="s">
        <v>3150</v>
      </c>
      <c r="T144" s="23" t="s">
        <v>2985</v>
      </c>
      <c r="V144" s="23" t="s">
        <v>3100</v>
      </c>
      <c r="W144" s="23">
        <v>15290</v>
      </c>
      <c r="X144" s="23">
        <v>550</v>
      </c>
      <c r="Z144" s="23">
        <v>440</v>
      </c>
      <c r="AA144" s="23">
        <v>0</v>
      </c>
      <c r="AB144" s="23">
        <v>0</v>
      </c>
      <c r="AC144" s="23">
        <v>10</v>
      </c>
      <c r="AD144" s="23">
        <v>0</v>
      </c>
      <c r="AE144" s="23">
        <v>0</v>
      </c>
      <c r="AG144" s="23" t="s">
        <v>3101</v>
      </c>
      <c r="AI144" s="25">
        <v>46203</v>
      </c>
      <c r="AK144" s="23" t="s">
        <v>5683</v>
      </c>
      <c r="AL144" s="23">
        <v>518875580554</v>
      </c>
      <c r="AM144" s="23" t="s">
        <v>3102</v>
      </c>
      <c r="AO144" s="23" t="s">
        <v>3102</v>
      </c>
    </row>
    <row r="145" spans="1:41">
      <c r="A145" s="25">
        <v>46200</v>
      </c>
      <c r="B145" s="23" t="s">
        <v>4499</v>
      </c>
      <c r="C145" s="23" t="s">
        <v>4500</v>
      </c>
      <c r="D145" s="23" t="s">
        <v>3103</v>
      </c>
      <c r="E145" s="23" t="s">
        <v>4501</v>
      </c>
      <c r="F145" s="23" t="s">
        <v>4502</v>
      </c>
      <c r="G145" s="23">
        <v>5142984832</v>
      </c>
      <c r="I145" s="23" t="s">
        <v>4503</v>
      </c>
      <c r="J145" s="23" t="s">
        <v>4501</v>
      </c>
      <c r="K145" s="23" t="s">
        <v>4504</v>
      </c>
      <c r="L145" s="23" t="s">
        <v>4505</v>
      </c>
      <c r="M145" s="23" t="s">
        <v>4506</v>
      </c>
      <c r="N145" s="23" t="s">
        <v>3796</v>
      </c>
      <c r="O145" s="23">
        <v>1</v>
      </c>
      <c r="P145" s="23">
        <v>6600</v>
      </c>
      <c r="Q145" s="23">
        <v>660</v>
      </c>
      <c r="R145" s="23" t="s">
        <v>4507</v>
      </c>
      <c r="S145" s="23" t="s">
        <v>4508</v>
      </c>
      <c r="T145" s="23" t="s">
        <v>4509</v>
      </c>
      <c r="V145" s="23" t="s">
        <v>3104</v>
      </c>
      <c r="W145" s="23">
        <v>7150</v>
      </c>
      <c r="X145" s="23">
        <v>550</v>
      </c>
      <c r="Z145" s="23">
        <v>0</v>
      </c>
      <c r="AA145" s="23">
        <v>0</v>
      </c>
      <c r="AB145" s="23">
        <v>0</v>
      </c>
      <c r="AC145" s="23">
        <v>10</v>
      </c>
      <c r="AD145" s="23">
        <v>0</v>
      </c>
      <c r="AE145" s="23">
        <v>0</v>
      </c>
      <c r="AG145" s="23" t="s">
        <v>3101</v>
      </c>
      <c r="AI145" s="25">
        <v>46203</v>
      </c>
      <c r="AK145" s="23" t="s">
        <v>5684</v>
      </c>
      <c r="AL145" s="23">
        <v>518875581254</v>
      </c>
      <c r="AM145" s="23" t="s">
        <v>3102</v>
      </c>
      <c r="AO145" s="23" t="s">
        <v>3102</v>
      </c>
    </row>
    <row r="146" spans="1:41">
      <c r="A146" s="25">
        <v>46200</v>
      </c>
      <c r="B146" s="23" t="s">
        <v>4510</v>
      </c>
      <c r="C146" s="23" t="s">
        <v>4511</v>
      </c>
      <c r="D146" s="23" t="s">
        <v>3103</v>
      </c>
      <c r="E146" s="23" t="s">
        <v>4512</v>
      </c>
      <c r="F146" s="23" t="s">
        <v>4513</v>
      </c>
      <c r="G146" s="23">
        <v>9075061735</v>
      </c>
      <c r="I146" s="23" t="s">
        <v>4514</v>
      </c>
      <c r="J146" s="23" t="s">
        <v>4512</v>
      </c>
      <c r="K146" s="23" t="s">
        <v>4513</v>
      </c>
      <c r="L146" s="23" t="s">
        <v>4515</v>
      </c>
      <c r="M146" s="23" t="s">
        <v>4516</v>
      </c>
      <c r="N146" s="23" t="s">
        <v>4005</v>
      </c>
      <c r="O146" s="23">
        <v>1</v>
      </c>
      <c r="P146" s="23">
        <v>1650</v>
      </c>
      <c r="Q146" s="23">
        <v>165</v>
      </c>
      <c r="R146" s="23" t="s">
        <v>4006</v>
      </c>
      <c r="S146" s="23" t="s">
        <v>4007</v>
      </c>
      <c r="T146" s="23" t="s">
        <v>2017</v>
      </c>
      <c r="V146" s="23" t="s">
        <v>3104</v>
      </c>
      <c r="W146" s="23">
        <v>2585</v>
      </c>
      <c r="X146" s="23">
        <v>550</v>
      </c>
      <c r="Z146" s="23">
        <v>0</v>
      </c>
      <c r="AA146" s="23">
        <v>-935</v>
      </c>
      <c r="AB146" s="23">
        <v>0</v>
      </c>
      <c r="AC146" s="23">
        <v>10</v>
      </c>
      <c r="AD146" s="23">
        <v>0</v>
      </c>
      <c r="AE146" s="23">
        <v>0</v>
      </c>
      <c r="AG146" s="23" t="s">
        <v>3101</v>
      </c>
      <c r="AI146" s="25">
        <v>46203</v>
      </c>
      <c r="AK146" s="23" t="s">
        <v>5685</v>
      </c>
      <c r="AL146" s="23">
        <v>518875581162</v>
      </c>
      <c r="AM146" s="23" t="s">
        <v>3102</v>
      </c>
      <c r="AO146" s="23" t="s">
        <v>3102</v>
      </c>
    </row>
    <row r="147" spans="1:41">
      <c r="A147" s="25">
        <v>46200</v>
      </c>
      <c r="B147" s="23" t="s">
        <v>4510</v>
      </c>
      <c r="C147" s="23" t="s">
        <v>4511</v>
      </c>
      <c r="D147" s="23" t="s">
        <v>3103</v>
      </c>
      <c r="E147" s="23" t="s">
        <v>4512</v>
      </c>
      <c r="F147" s="23" t="s">
        <v>4513</v>
      </c>
      <c r="G147" s="23">
        <v>9075061735</v>
      </c>
      <c r="I147" s="23" t="s">
        <v>4514</v>
      </c>
      <c r="J147" s="23" t="s">
        <v>4512</v>
      </c>
      <c r="K147" s="23" t="s">
        <v>4513</v>
      </c>
      <c r="L147" s="23" t="s">
        <v>4515</v>
      </c>
      <c r="M147" s="23" t="s">
        <v>4516</v>
      </c>
      <c r="N147" s="23" t="s">
        <v>5659</v>
      </c>
      <c r="O147" s="23">
        <v>2</v>
      </c>
      <c r="P147" s="23">
        <v>660</v>
      </c>
      <c r="Q147" s="23">
        <v>66</v>
      </c>
      <c r="R147" s="23" t="s">
        <v>5660</v>
      </c>
      <c r="S147" s="23" t="s">
        <v>5661</v>
      </c>
      <c r="T147" s="23" t="s">
        <v>5661</v>
      </c>
      <c r="V147" s="23" t="s">
        <v>3104</v>
      </c>
      <c r="W147" s="23">
        <v>2585</v>
      </c>
      <c r="X147" s="23">
        <v>550</v>
      </c>
      <c r="Z147" s="23">
        <v>0</v>
      </c>
      <c r="AA147" s="23">
        <v>-935</v>
      </c>
      <c r="AB147" s="23">
        <v>0</v>
      </c>
      <c r="AC147" s="23">
        <v>10</v>
      </c>
      <c r="AD147" s="23">
        <v>0</v>
      </c>
      <c r="AE147" s="23">
        <v>0</v>
      </c>
      <c r="AG147" s="23" t="s">
        <v>3101</v>
      </c>
      <c r="AI147" s="25">
        <v>46203</v>
      </c>
      <c r="AK147" s="23" t="s">
        <v>5685</v>
      </c>
      <c r="AL147" s="23">
        <v>518875581162</v>
      </c>
      <c r="AM147" s="23" t="s">
        <v>3102</v>
      </c>
      <c r="AO147" s="23" t="s">
        <v>3102</v>
      </c>
    </row>
    <row r="148" spans="1:41">
      <c r="A148" s="25">
        <v>46200</v>
      </c>
      <c r="B148" s="23" t="s">
        <v>4517</v>
      </c>
      <c r="C148" s="23" t="s">
        <v>4518</v>
      </c>
      <c r="D148" s="23" t="s">
        <v>3105</v>
      </c>
      <c r="E148" s="23" t="s">
        <v>4519</v>
      </c>
      <c r="F148" s="23" t="s">
        <v>4520</v>
      </c>
      <c r="G148" s="23">
        <v>9064494092</v>
      </c>
      <c r="I148" s="23" t="s">
        <v>4521</v>
      </c>
      <c r="J148" s="23" t="s">
        <v>4519</v>
      </c>
      <c r="K148" s="23" t="s">
        <v>4520</v>
      </c>
      <c r="L148" s="23" t="s">
        <v>4522</v>
      </c>
      <c r="M148" s="23" t="s">
        <v>4523</v>
      </c>
      <c r="N148" s="23" t="s">
        <v>3721</v>
      </c>
      <c r="O148" s="23">
        <v>1</v>
      </c>
      <c r="P148" s="23">
        <v>7150</v>
      </c>
      <c r="Q148" s="23">
        <v>715</v>
      </c>
      <c r="R148" s="23" t="s">
        <v>3722</v>
      </c>
      <c r="S148" s="23" t="s">
        <v>3723</v>
      </c>
      <c r="T148" s="23" t="s">
        <v>4524</v>
      </c>
      <c r="V148" s="23" t="s">
        <v>3106</v>
      </c>
      <c r="W148" s="23">
        <v>14000</v>
      </c>
      <c r="X148" s="23">
        <v>550</v>
      </c>
      <c r="Z148" s="23">
        <v>0</v>
      </c>
      <c r="AA148" s="23">
        <v>-3600</v>
      </c>
      <c r="AB148" s="23">
        <v>0</v>
      </c>
      <c r="AC148" s="23">
        <v>10</v>
      </c>
      <c r="AD148" s="23">
        <v>0</v>
      </c>
      <c r="AE148" s="23">
        <v>0</v>
      </c>
      <c r="AG148" s="23" t="s">
        <v>3101</v>
      </c>
      <c r="AI148" s="25">
        <v>46203</v>
      </c>
      <c r="AK148" s="23" t="s">
        <v>5686</v>
      </c>
      <c r="AL148" s="23">
        <v>518875580731</v>
      </c>
      <c r="AM148" s="23" t="s">
        <v>3102</v>
      </c>
      <c r="AO148" s="23" t="s">
        <v>3102</v>
      </c>
    </row>
    <row r="149" spans="1:41">
      <c r="A149" s="25">
        <v>46200</v>
      </c>
      <c r="B149" s="23" t="s">
        <v>4517</v>
      </c>
      <c r="C149" s="23" t="s">
        <v>4518</v>
      </c>
      <c r="D149" s="23" t="s">
        <v>3105</v>
      </c>
      <c r="E149" s="23" t="s">
        <v>4519</v>
      </c>
      <c r="F149" s="23" t="s">
        <v>4520</v>
      </c>
      <c r="G149" s="23">
        <v>9064494092</v>
      </c>
      <c r="I149" s="23" t="s">
        <v>4521</v>
      </c>
      <c r="J149" s="23" t="s">
        <v>4519</v>
      </c>
      <c r="K149" s="23" t="s">
        <v>4520</v>
      </c>
      <c r="L149" s="23" t="s">
        <v>4522</v>
      </c>
      <c r="M149" s="23" t="s">
        <v>4523</v>
      </c>
      <c r="N149" s="23" t="s">
        <v>3042</v>
      </c>
      <c r="O149" s="23">
        <v>1</v>
      </c>
      <c r="P149" s="23">
        <v>9900</v>
      </c>
      <c r="Q149" s="23">
        <v>990</v>
      </c>
      <c r="R149" s="23" t="s">
        <v>3171</v>
      </c>
      <c r="S149" s="23" t="s">
        <v>3172</v>
      </c>
      <c r="T149" s="23" t="s">
        <v>3888</v>
      </c>
      <c r="V149" s="23" t="s">
        <v>3106</v>
      </c>
      <c r="W149" s="23">
        <v>14000</v>
      </c>
      <c r="X149" s="23">
        <v>550</v>
      </c>
      <c r="Z149" s="23">
        <v>0</v>
      </c>
      <c r="AA149" s="23">
        <v>-3600</v>
      </c>
      <c r="AB149" s="23">
        <v>0</v>
      </c>
      <c r="AC149" s="23">
        <v>10</v>
      </c>
      <c r="AD149" s="23">
        <v>0</v>
      </c>
      <c r="AE149" s="23">
        <v>0</v>
      </c>
      <c r="AG149" s="23" t="s">
        <v>3101</v>
      </c>
      <c r="AI149" s="25">
        <v>46203</v>
      </c>
      <c r="AK149" s="23" t="s">
        <v>5686</v>
      </c>
      <c r="AL149" s="23">
        <v>518875580731</v>
      </c>
      <c r="AM149" s="23" t="s">
        <v>3102</v>
      </c>
      <c r="AO149" s="23" t="s">
        <v>3102</v>
      </c>
    </row>
    <row r="150" spans="1:41">
      <c r="A150" s="25">
        <v>46200</v>
      </c>
      <c r="B150" s="23" t="s">
        <v>4525</v>
      </c>
      <c r="C150" s="23" t="s">
        <v>4526</v>
      </c>
      <c r="D150" s="23" t="s">
        <v>3103</v>
      </c>
      <c r="E150" s="23" t="s">
        <v>4527</v>
      </c>
      <c r="F150" s="23" t="s">
        <v>4528</v>
      </c>
      <c r="G150" s="23">
        <v>928852722</v>
      </c>
      <c r="I150" s="23" t="s">
        <v>4529</v>
      </c>
      <c r="J150" s="23" t="s">
        <v>4527</v>
      </c>
      <c r="K150" s="23" t="s">
        <v>4528</v>
      </c>
      <c r="L150" s="23" t="s">
        <v>4530</v>
      </c>
      <c r="M150" s="23" t="s">
        <v>4531</v>
      </c>
      <c r="N150" s="23" t="s">
        <v>4532</v>
      </c>
      <c r="O150" s="23">
        <v>1</v>
      </c>
      <c r="P150" s="23">
        <v>23100</v>
      </c>
      <c r="Q150" s="23">
        <v>2310</v>
      </c>
      <c r="R150" s="23" t="s">
        <v>4533</v>
      </c>
      <c r="S150" s="23" t="s">
        <v>4534</v>
      </c>
      <c r="T150" s="23" t="s">
        <v>4535</v>
      </c>
      <c r="V150" s="23" t="s">
        <v>3104</v>
      </c>
      <c r="W150" s="23">
        <v>47231</v>
      </c>
      <c r="X150" s="23">
        <v>550</v>
      </c>
      <c r="Z150" s="23">
        <v>0</v>
      </c>
      <c r="AA150" s="23">
        <v>-1334</v>
      </c>
      <c r="AB150" s="23">
        <v>0</v>
      </c>
      <c r="AC150" s="23">
        <v>10</v>
      </c>
      <c r="AD150" s="23">
        <v>0</v>
      </c>
      <c r="AE150" s="23">
        <v>0</v>
      </c>
      <c r="AG150" s="23" t="s">
        <v>3101</v>
      </c>
      <c r="AI150" s="25">
        <v>46203</v>
      </c>
      <c r="AK150" s="23" t="s">
        <v>5687</v>
      </c>
      <c r="AL150" s="23">
        <v>518875581070</v>
      </c>
      <c r="AM150" s="23" t="s">
        <v>3102</v>
      </c>
      <c r="AO150" s="23" t="s">
        <v>3102</v>
      </c>
    </row>
    <row r="151" spans="1:41">
      <c r="A151" s="25">
        <v>46200</v>
      </c>
      <c r="B151" s="23" t="s">
        <v>4525</v>
      </c>
      <c r="C151" s="23" t="s">
        <v>4526</v>
      </c>
      <c r="D151" s="23" t="s">
        <v>3103</v>
      </c>
      <c r="E151" s="23" t="s">
        <v>4527</v>
      </c>
      <c r="F151" s="23" t="s">
        <v>4528</v>
      </c>
      <c r="G151" s="23">
        <v>928852722</v>
      </c>
      <c r="I151" s="23" t="s">
        <v>4529</v>
      </c>
      <c r="J151" s="23" t="s">
        <v>4527</v>
      </c>
      <c r="K151" s="23" t="s">
        <v>4528</v>
      </c>
      <c r="L151" s="23" t="s">
        <v>4530</v>
      </c>
      <c r="M151" s="23" t="s">
        <v>4531</v>
      </c>
      <c r="N151" s="23" t="s">
        <v>4536</v>
      </c>
      <c r="O151" s="23">
        <v>1</v>
      </c>
      <c r="P151" s="23">
        <v>30250</v>
      </c>
      <c r="Q151" s="23">
        <v>3025</v>
      </c>
      <c r="R151" s="23" t="s">
        <v>4537</v>
      </c>
      <c r="S151" s="23" t="s">
        <v>4538</v>
      </c>
      <c r="T151" s="23" t="s">
        <v>4539</v>
      </c>
      <c r="V151" s="23" t="s">
        <v>3104</v>
      </c>
      <c r="W151" s="23">
        <v>47231</v>
      </c>
      <c r="X151" s="23">
        <v>550</v>
      </c>
      <c r="Z151" s="23">
        <v>0</v>
      </c>
      <c r="AA151" s="23">
        <v>-1334</v>
      </c>
      <c r="AB151" s="23">
        <v>0</v>
      </c>
      <c r="AC151" s="23">
        <v>10</v>
      </c>
      <c r="AD151" s="23">
        <v>0</v>
      </c>
      <c r="AE151" s="23">
        <v>0</v>
      </c>
      <c r="AG151" s="23" t="s">
        <v>3101</v>
      </c>
      <c r="AI151" s="25">
        <v>46203</v>
      </c>
      <c r="AK151" s="23" t="s">
        <v>5687</v>
      </c>
      <c r="AL151" s="23">
        <v>518875581070</v>
      </c>
      <c r="AM151" s="23" t="s">
        <v>3102</v>
      </c>
      <c r="AO151" s="23" t="s">
        <v>3102</v>
      </c>
    </row>
    <row r="152" spans="1:41">
      <c r="A152" s="25">
        <v>46200</v>
      </c>
      <c r="B152" s="23" t="s">
        <v>4540</v>
      </c>
      <c r="C152" s="23" t="s">
        <v>4541</v>
      </c>
      <c r="D152" s="23" t="s">
        <v>3103</v>
      </c>
      <c r="E152" s="23" t="s">
        <v>4542</v>
      </c>
      <c r="F152" s="23" t="s">
        <v>4543</v>
      </c>
      <c r="G152" s="23">
        <v>522113796</v>
      </c>
      <c r="I152" s="23" t="s">
        <v>4544</v>
      </c>
      <c r="J152" s="23" t="s">
        <v>4542</v>
      </c>
      <c r="K152" s="23" t="s">
        <v>4543</v>
      </c>
      <c r="L152" s="23" t="s">
        <v>4545</v>
      </c>
      <c r="M152" s="23" t="s">
        <v>4546</v>
      </c>
      <c r="N152" s="23" t="s">
        <v>3758</v>
      </c>
      <c r="O152" s="23">
        <v>1</v>
      </c>
      <c r="P152" s="23">
        <v>6600</v>
      </c>
      <c r="Q152" s="23">
        <v>660</v>
      </c>
      <c r="R152" s="23" t="s">
        <v>4547</v>
      </c>
      <c r="S152" s="23" t="s">
        <v>4548</v>
      </c>
      <c r="T152" s="23" t="s">
        <v>4549</v>
      </c>
      <c r="V152" s="23" t="s">
        <v>3104</v>
      </c>
      <c r="W152" s="23">
        <v>6820</v>
      </c>
      <c r="X152" s="23">
        <v>550</v>
      </c>
      <c r="Z152" s="23">
        <v>0</v>
      </c>
      <c r="AA152" s="23">
        <v>0</v>
      </c>
      <c r="AB152" s="23">
        <v>0</v>
      </c>
      <c r="AC152" s="23">
        <v>10</v>
      </c>
      <c r="AD152" s="23">
        <v>0</v>
      </c>
      <c r="AE152" s="23">
        <v>0</v>
      </c>
      <c r="AG152" s="23" t="s">
        <v>3101</v>
      </c>
      <c r="AI152" s="25">
        <v>46203</v>
      </c>
      <c r="AK152" s="23" t="s">
        <v>5688</v>
      </c>
      <c r="AL152" s="23">
        <v>518875581022</v>
      </c>
      <c r="AM152" s="23" t="s">
        <v>3102</v>
      </c>
      <c r="AO152" s="23" t="s">
        <v>3102</v>
      </c>
    </row>
    <row r="153" spans="1:41">
      <c r="A153" s="25">
        <v>46200</v>
      </c>
      <c r="B153" s="23" t="s">
        <v>4540</v>
      </c>
      <c r="C153" s="23" t="s">
        <v>4541</v>
      </c>
      <c r="D153" s="23" t="s">
        <v>3103</v>
      </c>
      <c r="E153" s="23" t="s">
        <v>4542</v>
      </c>
      <c r="F153" s="23" t="s">
        <v>4543</v>
      </c>
      <c r="G153" s="23">
        <v>522113796</v>
      </c>
      <c r="I153" s="23" t="s">
        <v>4544</v>
      </c>
      <c r="J153" s="23" t="s">
        <v>4542</v>
      </c>
      <c r="K153" s="23" t="s">
        <v>4543</v>
      </c>
      <c r="L153" s="23" t="s">
        <v>4545</v>
      </c>
      <c r="M153" s="23" t="s">
        <v>4546</v>
      </c>
      <c r="N153" s="23" t="s">
        <v>5659</v>
      </c>
      <c r="O153" s="23">
        <v>1</v>
      </c>
      <c r="P153" s="23">
        <v>660</v>
      </c>
      <c r="Q153" s="23">
        <v>66</v>
      </c>
      <c r="R153" s="23" t="s">
        <v>5660</v>
      </c>
      <c r="S153" s="23" t="s">
        <v>5661</v>
      </c>
      <c r="T153" s="23" t="s">
        <v>5661</v>
      </c>
      <c r="V153" s="23" t="s">
        <v>3104</v>
      </c>
      <c r="W153" s="23">
        <v>6820</v>
      </c>
      <c r="X153" s="23">
        <v>550</v>
      </c>
      <c r="Z153" s="23">
        <v>0</v>
      </c>
      <c r="AA153" s="23">
        <v>0</v>
      </c>
      <c r="AB153" s="23">
        <v>0</v>
      </c>
      <c r="AC153" s="23">
        <v>10</v>
      </c>
      <c r="AD153" s="23">
        <v>0</v>
      </c>
      <c r="AE153" s="23">
        <v>0</v>
      </c>
      <c r="AG153" s="23" t="s">
        <v>3101</v>
      </c>
      <c r="AI153" s="25">
        <v>46203</v>
      </c>
      <c r="AK153" s="23" t="s">
        <v>5688</v>
      </c>
      <c r="AL153" s="23">
        <v>518875581022</v>
      </c>
      <c r="AM153" s="23" t="s">
        <v>3102</v>
      </c>
      <c r="AO153" s="23" t="s">
        <v>3102</v>
      </c>
    </row>
    <row r="154" spans="1:41">
      <c r="A154" s="25">
        <v>46200</v>
      </c>
      <c r="B154" s="23" t="s">
        <v>4550</v>
      </c>
      <c r="C154" s="23" t="s">
        <v>4551</v>
      </c>
      <c r="D154" s="23" t="s">
        <v>3103</v>
      </c>
      <c r="E154" s="23" t="s">
        <v>4552</v>
      </c>
      <c r="F154" s="23" t="s">
        <v>4553</v>
      </c>
      <c r="G154" s="23">
        <v>9022414783</v>
      </c>
      <c r="I154" s="23" t="s">
        <v>4554</v>
      </c>
      <c r="J154" s="23" t="s">
        <v>4552</v>
      </c>
      <c r="K154" s="23" t="s">
        <v>4553</v>
      </c>
      <c r="L154" s="23" t="s">
        <v>4555</v>
      </c>
      <c r="M154" s="23" t="s">
        <v>4556</v>
      </c>
      <c r="N154" s="23" t="s">
        <v>3201</v>
      </c>
      <c r="O154" s="23">
        <v>1</v>
      </c>
      <c r="P154" s="23">
        <v>7150</v>
      </c>
      <c r="Q154" s="23">
        <v>715</v>
      </c>
      <c r="R154" s="23" t="s">
        <v>3253</v>
      </c>
      <c r="S154" s="23" t="s">
        <v>3254</v>
      </c>
      <c r="T154" s="23" t="s">
        <v>4557</v>
      </c>
      <c r="V154" s="23" t="s">
        <v>3104</v>
      </c>
      <c r="W154" s="23">
        <v>66836</v>
      </c>
      <c r="X154" s="23">
        <v>550</v>
      </c>
      <c r="Z154" s="23">
        <v>0</v>
      </c>
      <c r="AA154" s="23">
        <v>-264</v>
      </c>
      <c r="AB154" s="23">
        <v>0</v>
      </c>
      <c r="AC154" s="23">
        <v>10</v>
      </c>
      <c r="AD154" s="23">
        <v>0</v>
      </c>
      <c r="AE154" s="23">
        <v>0</v>
      </c>
      <c r="AG154" s="23" t="s">
        <v>3101</v>
      </c>
      <c r="AI154" s="25">
        <v>46203</v>
      </c>
      <c r="AK154" s="23" t="s">
        <v>5689</v>
      </c>
      <c r="AL154" s="23">
        <v>518875580882</v>
      </c>
      <c r="AM154" s="23" t="s">
        <v>3102</v>
      </c>
      <c r="AO154" s="23" t="s">
        <v>3102</v>
      </c>
    </row>
    <row r="155" spans="1:41">
      <c r="A155" s="25">
        <v>46200</v>
      </c>
      <c r="B155" s="23" t="s">
        <v>4550</v>
      </c>
      <c r="C155" s="23" t="s">
        <v>4551</v>
      </c>
      <c r="D155" s="23" t="s">
        <v>3103</v>
      </c>
      <c r="E155" s="23" t="s">
        <v>4552</v>
      </c>
      <c r="F155" s="23" t="s">
        <v>4553</v>
      </c>
      <c r="G155" s="23">
        <v>9022414783</v>
      </c>
      <c r="I155" s="23" t="s">
        <v>4554</v>
      </c>
      <c r="J155" s="23" t="s">
        <v>4552</v>
      </c>
      <c r="K155" s="23" t="s">
        <v>4553</v>
      </c>
      <c r="L155" s="23" t="s">
        <v>4555</v>
      </c>
      <c r="M155" s="23" t="s">
        <v>4556</v>
      </c>
      <c r="N155" s="23" t="s">
        <v>5690</v>
      </c>
      <c r="O155" s="23">
        <v>1</v>
      </c>
      <c r="P155" s="23">
        <v>59400</v>
      </c>
      <c r="Q155" s="23">
        <v>5940</v>
      </c>
      <c r="R155" s="23" t="s">
        <v>5691</v>
      </c>
      <c r="S155" s="23" t="s">
        <v>5692</v>
      </c>
      <c r="T155" s="23" t="s">
        <v>5693</v>
      </c>
      <c r="V155" s="23" t="s">
        <v>3104</v>
      </c>
      <c r="W155" s="23">
        <v>66836</v>
      </c>
      <c r="X155" s="23">
        <v>550</v>
      </c>
      <c r="Z155" s="23">
        <v>0</v>
      </c>
      <c r="AA155" s="23">
        <v>-264</v>
      </c>
      <c r="AB155" s="23">
        <v>0</v>
      </c>
      <c r="AC155" s="23">
        <v>10</v>
      </c>
      <c r="AD155" s="23">
        <v>0</v>
      </c>
      <c r="AE155" s="23">
        <v>0</v>
      </c>
      <c r="AG155" s="23" t="s">
        <v>3101</v>
      </c>
      <c r="AI155" s="25">
        <v>46203</v>
      </c>
      <c r="AK155" s="23" t="s">
        <v>5689</v>
      </c>
      <c r="AL155" s="23">
        <v>518875580882</v>
      </c>
      <c r="AM155" s="23" t="s">
        <v>3102</v>
      </c>
      <c r="AO155" s="23" t="s">
        <v>3102</v>
      </c>
    </row>
    <row r="156" spans="1:41">
      <c r="A156" s="25">
        <v>46200</v>
      </c>
      <c r="B156" s="23" t="s">
        <v>4558</v>
      </c>
      <c r="C156" s="23" t="s">
        <v>4559</v>
      </c>
      <c r="D156" s="23" t="s">
        <v>3108</v>
      </c>
      <c r="E156" s="23" t="s">
        <v>4560</v>
      </c>
      <c r="F156" s="23" t="s">
        <v>4561</v>
      </c>
      <c r="G156" s="23">
        <v>9050751993</v>
      </c>
      <c r="I156" s="23" t="s">
        <v>4562</v>
      </c>
      <c r="J156" s="23" t="s">
        <v>4560</v>
      </c>
      <c r="K156" s="23" t="s">
        <v>4561</v>
      </c>
      <c r="L156" s="23" t="s">
        <v>4563</v>
      </c>
      <c r="M156" s="23" t="s">
        <v>4564</v>
      </c>
      <c r="N156" s="23" t="s">
        <v>3107</v>
      </c>
      <c r="O156" s="23">
        <v>1</v>
      </c>
      <c r="P156" s="23">
        <v>14300</v>
      </c>
      <c r="Q156" s="23">
        <v>1430</v>
      </c>
      <c r="R156" s="23" t="s">
        <v>3181</v>
      </c>
      <c r="S156" s="23" t="s">
        <v>3150</v>
      </c>
      <c r="T156" s="23" t="s">
        <v>91</v>
      </c>
      <c r="V156" s="23" t="s">
        <v>3110</v>
      </c>
      <c r="W156" s="23">
        <v>14850</v>
      </c>
      <c r="X156" s="23">
        <v>550</v>
      </c>
      <c r="Z156" s="23">
        <v>0</v>
      </c>
      <c r="AA156" s="23">
        <v>0</v>
      </c>
      <c r="AB156" s="23">
        <v>0</v>
      </c>
      <c r="AC156" s="23">
        <v>10</v>
      </c>
      <c r="AD156" s="23">
        <v>0</v>
      </c>
      <c r="AE156" s="23">
        <v>0</v>
      </c>
      <c r="AG156" s="23" t="s">
        <v>3101</v>
      </c>
      <c r="AI156" s="25">
        <v>46203</v>
      </c>
      <c r="AK156" s="23" t="s">
        <v>5694</v>
      </c>
      <c r="AL156" s="23">
        <v>518875580716</v>
      </c>
      <c r="AM156" s="23" t="s">
        <v>3102</v>
      </c>
      <c r="AO156" s="23" t="s">
        <v>3102</v>
      </c>
    </row>
    <row r="157" spans="1:41">
      <c r="A157" s="25">
        <v>46200</v>
      </c>
      <c r="B157" s="23" t="s">
        <v>4565</v>
      </c>
      <c r="C157" s="23" t="s">
        <v>4566</v>
      </c>
      <c r="D157" s="23" t="s">
        <v>3108</v>
      </c>
      <c r="E157" s="23" t="s">
        <v>4567</v>
      </c>
      <c r="F157" s="23" t="s">
        <v>4568</v>
      </c>
      <c r="G157" s="23">
        <v>9060788055</v>
      </c>
      <c r="I157" s="23" t="s">
        <v>4569</v>
      </c>
      <c r="J157" s="23" t="s">
        <v>4567</v>
      </c>
      <c r="K157" s="23" t="s">
        <v>4568</v>
      </c>
      <c r="L157" s="23" t="s">
        <v>4570</v>
      </c>
      <c r="M157" s="23" t="s">
        <v>4571</v>
      </c>
      <c r="N157" s="23" t="s">
        <v>361</v>
      </c>
      <c r="O157" s="23">
        <v>1</v>
      </c>
      <c r="P157" s="23">
        <v>6600</v>
      </c>
      <c r="Q157" s="23">
        <v>660</v>
      </c>
      <c r="R157" s="23" t="s">
        <v>4572</v>
      </c>
      <c r="S157" s="23" t="s">
        <v>4573</v>
      </c>
      <c r="T157" s="23" t="s">
        <v>2601</v>
      </c>
      <c r="V157" s="23" t="s">
        <v>3110</v>
      </c>
      <c r="W157" s="23">
        <v>33660</v>
      </c>
      <c r="X157" s="23">
        <v>550</v>
      </c>
      <c r="Z157" s="23">
        <v>0</v>
      </c>
      <c r="AA157" s="23">
        <v>0</v>
      </c>
      <c r="AB157" s="23">
        <v>0</v>
      </c>
      <c r="AC157" s="23">
        <v>10</v>
      </c>
      <c r="AD157" s="23">
        <v>0</v>
      </c>
      <c r="AE157" s="23">
        <v>0</v>
      </c>
      <c r="AG157" s="23" t="s">
        <v>3101</v>
      </c>
      <c r="AI157" s="25">
        <v>46203</v>
      </c>
      <c r="AK157" s="23" t="s">
        <v>5695</v>
      </c>
      <c r="AL157" s="23">
        <v>518875580694</v>
      </c>
      <c r="AM157" s="23" t="s">
        <v>3102</v>
      </c>
      <c r="AO157" s="23" t="s">
        <v>3102</v>
      </c>
    </row>
    <row r="158" spans="1:41">
      <c r="A158" s="25">
        <v>46200</v>
      </c>
      <c r="B158" s="23" t="s">
        <v>4565</v>
      </c>
      <c r="C158" s="23" t="s">
        <v>4566</v>
      </c>
      <c r="D158" s="23" t="s">
        <v>3108</v>
      </c>
      <c r="E158" s="23" t="s">
        <v>4567</v>
      </c>
      <c r="F158" s="23" t="s">
        <v>4568</v>
      </c>
      <c r="G158" s="23">
        <v>9060788055</v>
      </c>
      <c r="I158" s="23" t="s">
        <v>4569</v>
      </c>
      <c r="J158" s="23" t="s">
        <v>4567</v>
      </c>
      <c r="K158" s="23" t="s">
        <v>4568</v>
      </c>
      <c r="L158" s="23" t="s">
        <v>4570</v>
      </c>
      <c r="M158" s="23" t="s">
        <v>4571</v>
      </c>
      <c r="N158" s="23" t="s">
        <v>3117</v>
      </c>
      <c r="O158" s="23">
        <v>1</v>
      </c>
      <c r="P158" s="23">
        <v>14300</v>
      </c>
      <c r="Q158" s="23">
        <v>1430</v>
      </c>
      <c r="R158" s="23" t="s">
        <v>3159</v>
      </c>
      <c r="S158" s="23" t="s">
        <v>3150</v>
      </c>
      <c r="T158" s="23" t="s">
        <v>2965</v>
      </c>
      <c r="V158" s="23" t="s">
        <v>3110</v>
      </c>
      <c r="W158" s="23">
        <v>33660</v>
      </c>
      <c r="X158" s="23">
        <v>550</v>
      </c>
      <c r="Z158" s="23">
        <v>0</v>
      </c>
      <c r="AA158" s="23">
        <v>0</v>
      </c>
      <c r="AB158" s="23">
        <v>0</v>
      </c>
      <c r="AC158" s="23">
        <v>10</v>
      </c>
      <c r="AD158" s="23">
        <v>0</v>
      </c>
      <c r="AE158" s="23">
        <v>0</v>
      </c>
      <c r="AG158" s="23" t="s">
        <v>3101</v>
      </c>
      <c r="AI158" s="25">
        <v>46203</v>
      </c>
      <c r="AK158" s="23" t="s">
        <v>5695</v>
      </c>
      <c r="AL158" s="23">
        <v>518875580694</v>
      </c>
      <c r="AM158" s="23" t="s">
        <v>3102</v>
      </c>
      <c r="AO158" s="23" t="s">
        <v>3102</v>
      </c>
    </row>
    <row r="159" spans="1:41">
      <c r="A159" s="25">
        <v>46200</v>
      </c>
      <c r="B159" s="23" t="s">
        <v>4565</v>
      </c>
      <c r="C159" s="23" t="s">
        <v>4566</v>
      </c>
      <c r="D159" s="23" t="s">
        <v>3108</v>
      </c>
      <c r="E159" s="23" t="s">
        <v>4567</v>
      </c>
      <c r="F159" s="23" t="s">
        <v>4568</v>
      </c>
      <c r="G159" s="23">
        <v>9060788055</v>
      </c>
      <c r="I159" s="23" t="s">
        <v>4569</v>
      </c>
      <c r="J159" s="23" t="s">
        <v>4567</v>
      </c>
      <c r="K159" s="23" t="s">
        <v>4568</v>
      </c>
      <c r="L159" s="23" t="s">
        <v>4570</v>
      </c>
      <c r="M159" s="23" t="s">
        <v>4571</v>
      </c>
      <c r="N159" s="23" t="s">
        <v>5659</v>
      </c>
      <c r="O159" s="23">
        <v>2</v>
      </c>
      <c r="P159" s="23">
        <v>660</v>
      </c>
      <c r="Q159" s="23">
        <v>66</v>
      </c>
      <c r="R159" s="23" t="s">
        <v>5660</v>
      </c>
      <c r="S159" s="23" t="s">
        <v>5661</v>
      </c>
      <c r="T159" s="23" t="s">
        <v>5661</v>
      </c>
      <c r="V159" s="23" t="s">
        <v>3110</v>
      </c>
      <c r="W159" s="23">
        <v>33660</v>
      </c>
      <c r="X159" s="23">
        <v>550</v>
      </c>
      <c r="Z159" s="23">
        <v>0</v>
      </c>
      <c r="AA159" s="23">
        <v>0</v>
      </c>
      <c r="AB159" s="23">
        <v>0</v>
      </c>
      <c r="AC159" s="23">
        <v>10</v>
      </c>
      <c r="AD159" s="23">
        <v>0</v>
      </c>
      <c r="AE159" s="23">
        <v>0</v>
      </c>
      <c r="AG159" s="23" t="s">
        <v>3101</v>
      </c>
      <c r="AI159" s="25">
        <v>46203</v>
      </c>
      <c r="AK159" s="23" t="s">
        <v>5695</v>
      </c>
      <c r="AL159" s="23">
        <v>518875580694</v>
      </c>
      <c r="AM159" s="23" t="s">
        <v>3102</v>
      </c>
      <c r="AO159" s="23" t="s">
        <v>3102</v>
      </c>
    </row>
    <row r="160" spans="1:41">
      <c r="A160" s="25">
        <v>46200</v>
      </c>
      <c r="B160" s="23" t="s">
        <v>4565</v>
      </c>
      <c r="C160" s="23" t="s">
        <v>4566</v>
      </c>
      <c r="D160" s="23" t="s">
        <v>3108</v>
      </c>
      <c r="E160" s="23" t="s">
        <v>4567</v>
      </c>
      <c r="F160" s="23" t="s">
        <v>4568</v>
      </c>
      <c r="G160" s="23">
        <v>9060788055</v>
      </c>
      <c r="I160" s="23" t="s">
        <v>4569</v>
      </c>
      <c r="J160" s="23" t="s">
        <v>4567</v>
      </c>
      <c r="K160" s="23" t="s">
        <v>4568</v>
      </c>
      <c r="L160" s="23" t="s">
        <v>4570</v>
      </c>
      <c r="M160" s="23" t="s">
        <v>4571</v>
      </c>
      <c r="N160" s="23" t="s">
        <v>3262</v>
      </c>
      <c r="O160" s="23">
        <v>1</v>
      </c>
      <c r="P160" s="23">
        <v>12100</v>
      </c>
      <c r="Q160" s="23">
        <v>1210</v>
      </c>
      <c r="R160" s="23" t="s">
        <v>3263</v>
      </c>
      <c r="S160" s="23" t="s">
        <v>3264</v>
      </c>
      <c r="T160" s="23" t="s">
        <v>4574</v>
      </c>
      <c r="V160" s="23" t="s">
        <v>3110</v>
      </c>
      <c r="W160" s="23">
        <v>33660</v>
      </c>
      <c r="X160" s="23">
        <v>550</v>
      </c>
      <c r="Z160" s="23">
        <v>0</v>
      </c>
      <c r="AA160" s="23">
        <v>0</v>
      </c>
      <c r="AB160" s="23">
        <v>0</v>
      </c>
      <c r="AC160" s="23">
        <v>10</v>
      </c>
      <c r="AD160" s="23">
        <v>0</v>
      </c>
      <c r="AE160" s="23">
        <v>0</v>
      </c>
      <c r="AG160" s="23" t="s">
        <v>3101</v>
      </c>
      <c r="AI160" s="25">
        <v>46203</v>
      </c>
      <c r="AK160" s="23" t="s">
        <v>5695</v>
      </c>
      <c r="AL160" s="23">
        <v>518875580694</v>
      </c>
      <c r="AM160" s="23" t="s">
        <v>3102</v>
      </c>
      <c r="AO160" s="23" t="s">
        <v>3102</v>
      </c>
    </row>
    <row r="161" spans="1:41">
      <c r="A161" s="25">
        <v>46200</v>
      </c>
      <c r="B161" s="23" t="s">
        <v>4575</v>
      </c>
      <c r="C161" s="23" t="s">
        <v>4576</v>
      </c>
      <c r="D161" s="23" t="s">
        <v>3103</v>
      </c>
      <c r="E161" s="23" t="s">
        <v>4577</v>
      </c>
      <c r="F161" s="23" t="s">
        <v>4578</v>
      </c>
      <c r="G161" s="23">
        <v>8056916668</v>
      </c>
      <c r="I161" s="23" t="s">
        <v>4579</v>
      </c>
      <c r="J161" s="23" t="s">
        <v>4577</v>
      </c>
      <c r="K161" s="23" t="s">
        <v>4578</v>
      </c>
      <c r="L161" s="23" t="s">
        <v>4580</v>
      </c>
      <c r="M161" s="23" t="s">
        <v>4581</v>
      </c>
      <c r="N161" s="23" t="s">
        <v>3292</v>
      </c>
      <c r="O161" s="23">
        <v>1</v>
      </c>
      <c r="P161" s="23">
        <v>13200</v>
      </c>
      <c r="Q161" s="23">
        <v>1320</v>
      </c>
      <c r="R161" s="23" t="s">
        <v>4582</v>
      </c>
      <c r="S161" s="23" t="s">
        <v>4583</v>
      </c>
      <c r="T161" s="23" t="s">
        <v>3738</v>
      </c>
      <c r="V161" s="23" t="s">
        <v>3104</v>
      </c>
      <c r="W161" s="23">
        <v>13750</v>
      </c>
      <c r="X161" s="23">
        <v>550</v>
      </c>
      <c r="Z161" s="23">
        <v>0</v>
      </c>
      <c r="AA161" s="23">
        <v>0</v>
      </c>
      <c r="AB161" s="23">
        <v>0</v>
      </c>
      <c r="AC161" s="23">
        <v>10</v>
      </c>
      <c r="AD161" s="23">
        <v>0</v>
      </c>
      <c r="AE161" s="23">
        <v>0</v>
      </c>
      <c r="AG161" s="23" t="s">
        <v>3101</v>
      </c>
      <c r="AI161" s="25">
        <v>46203</v>
      </c>
      <c r="AK161" s="23" t="s">
        <v>5696</v>
      </c>
      <c r="AL161" s="23">
        <v>518875580952</v>
      </c>
      <c r="AM161" s="23" t="s">
        <v>3102</v>
      </c>
      <c r="AO161" s="23" t="s">
        <v>3102</v>
      </c>
    </row>
    <row r="162" spans="1:41">
      <c r="A162" s="25">
        <v>46200</v>
      </c>
      <c r="B162" s="23" t="s">
        <v>4584</v>
      </c>
      <c r="C162" s="23" t="s">
        <v>4585</v>
      </c>
      <c r="D162" s="23" t="s">
        <v>3105</v>
      </c>
      <c r="E162" s="23" t="s">
        <v>4586</v>
      </c>
      <c r="F162" s="23" t="s">
        <v>4587</v>
      </c>
      <c r="G162" s="23">
        <v>9048232418</v>
      </c>
      <c r="I162" s="23" t="s">
        <v>4588</v>
      </c>
      <c r="J162" s="23" t="s">
        <v>4586</v>
      </c>
      <c r="K162" s="23" t="s">
        <v>4587</v>
      </c>
      <c r="L162" s="23" t="s">
        <v>4589</v>
      </c>
      <c r="M162" s="23" t="s">
        <v>4133</v>
      </c>
      <c r="N162" s="23" t="s">
        <v>3034</v>
      </c>
      <c r="O162" s="23">
        <v>1</v>
      </c>
      <c r="P162" s="23">
        <v>8800</v>
      </c>
      <c r="Q162" s="23">
        <v>880</v>
      </c>
      <c r="R162" s="23" t="s">
        <v>3160</v>
      </c>
      <c r="S162" s="23" t="s">
        <v>3161</v>
      </c>
      <c r="T162" s="23" t="s">
        <v>3744</v>
      </c>
      <c r="V162" s="23" t="s">
        <v>3106</v>
      </c>
      <c r="W162" s="23">
        <v>9790</v>
      </c>
      <c r="X162" s="23">
        <v>550</v>
      </c>
      <c r="Z162" s="23">
        <v>0</v>
      </c>
      <c r="AA162" s="23">
        <v>0</v>
      </c>
      <c r="AB162" s="23">
        <v>0</v>
      </c>
      <c r="AC162" s="23">
        <v>10</v>
      </c>
      <c r="AD162" s="23">
        <v>0</v>
      </c>
      <c r="AE162" s="23">
        <v>0</v>
      </c>
      <c r="AG162" s="23" t="s">
        <v>3101</v>
      </c>
      <c r="AI162" s="25">
        <v>46203</v>
      </c>
      <c r="AK162" s="23" t="s">
        <v>5697</v>
      </c>
      <c r="AL162" s="23">
        <v>518875580926</v>
      </c>
      <c r="AM162" s="23" t="s">
        <v>3102</v>
      </c>
      <c r="AO162" s="23" t="s">
        <v>3102</v>
      </c>
    </row>
    <row r="163" spans="1:41">
      <c r="A163" s="25">
        <v>46200</v>
      </c>
      <c r="B163" s="23" t="s">
        <v>4584</v>
      </c>
      <c r="C163" s="23" t="s">
        <v>4585</v>
      </c>
      <c r="D163" s="23" t="s">
        <v>3105</v>
      </c>
      <c r="E163" s="23" t="s">
        <v>4586</v>
      </c>
      <c r="F163" s="23" t="s">
        <v>4587</v>
      </c>
      <c r="G163" s="23">
        <v>9048232418</v>
      </c>
      <c r="I163" s="23" t="s">
        <v>4588</v>
      </c>
      <c r="J163" s="23" t="s">
        <v>4586</v>
      </c>
      <c r="K163" s="23" t="s">
        <v>4587</v>
      </c>
      <c r="L163" s="23" t="s">
        <v>4589</v>
      </c>
      <c r="M163" s="23" t="s">
        <v>4133</v>
      </c>
      <c r="N163" s="23" t="s">
        <v>5354</v>
      </c>
      <c r="O163" s="23">
        <v>1</v>
      </c>
      <c r="P163" s="23">
        <v>440</v>
      </c>
      <c r="Q163" s="23">
        <v>44</v>
      </c>
      <c r="R163" s="23" t="s">
        <v>5355</v>
      </c>
      <c r="S163" s="23" t="s">
        <v>5356</v>
      </c>
      <c r="T163" s="23" t="s">
        <v>5356</v>
      </c>
      <c r="V163" s="23" t="s">
        <v>3106</v>
      </c>
      <c r="W163" s="23">
        <v>9790</v>
      </c>
      <c r="X163" s="23">
        <v>550</v>
      </c>
      <c r="Z163" s="23">
        <v>0</v>
      </c>
      <c r="AA163" s="23">
        <v>0</v>
      </c>
      <c r="AB163" s="23">
        <v>0</v>
      </c>
      <c r="AC163" s="23">
        <v>10</v>
      </c>
      <c r="AD163" s="23">
        <v>0</v>
      </c>
      <c r="AE163" s="23">
        <v>0</v>
      </c>
      <c r="AG163" s="23" t="s">
        <v>3101</v>
      </c>
      <c r="AI163" s="25">
        <v>46203</v>
      </c>
      <c r="AK163" s="23" t="s">
        <v>5697</v>
      </c>
      <c r="AL163" s="23">
        <v>518875580926</v>
      </c>
      <c r="AM163" s="23" t="s">
        <v>3102</v>
      </c>
      <c r="AO163" s="23" t="s">
        <v>3102</v>
      </c>
    </row>
    <row r="164" spans="1:41">
      <c r="A164" s="25">
        <v>46199</v>
      </c>
      <c r="B164" s="23" t="s">
        <v>4590</v>
      </c>
      <c r="C164" s="23" t="s">
        <v>4591</v>
      </c>
      <c r="D164" s="23" t="s">
        <v>3108</v>
      </c>
      <c r="E164" s="23" t="s">
        <v>4592</v>
      </c>
      <c r="F164" s="23" t="s">
        <v>4593</v>
      </c>
      <c r="G164" s="23">
        <v>8096174682</v>
      </c>
      <c r="I164" s="23" t="s">
        <v>4594</v>
      </c>
      <c r="J164" s="23" t="s">
        <v>4592</v>
      </c>
      <c r="K164" s="23" t="s">
        <v>4593</v>
      </c>
      <c r="L164" s="23" t="s">
        <v>4595</v>
      </c>
      <c r="M164" s="23" t="s">
        <v>4596</v>
      </c>
      <c r="N164" s="23" t="s">
        <v>3111</v>
      </c>
      <c r="O164" s="23">
        <v>1</v>
      </c>
      <c r="P164" s="23">
        <v>14300</v>
      </c>
      <c r="Q164" s="23">
        <v>1430</v>
      </c>
      <c r="R164" s="23" t="s">
        <v>3151</v>
      </c>
      <c r="S164" s="23" t="s">
        <v>3150</v>
      </c>
      <c r="T164" s="23" t="s">
        <v>99</v>
      </c>
      <c r="V164" s="23" t="s">
        <v>3110</v>
      </c>
      <c r="W164" s="23">
        <v>14850</v>
      </c>
      <c r="X164" s="23">
        <v>550</v>
      </c>
      <c r="Z164" s="23">
        <v>0</v>
      </c>
      <c r="AA164" s="23">
        <v>0</v>
      </c>
      <c r="AB164" s="23">
        <v>0</v>
      </c>
      <c r="AC164" s="23">
        <v>10</v>
      </c>
      <c r="AD164" s="23">
        <v>0</v>
      </c>
      <c r="AE164" s="23">
        <v>0</v>
      </c>
      <c r="AG164" s="23" t="s">
        <v>3101</v>
      </c>
      <c r="AI164" s="25">
        <v>46203</v>
      </c>
      <c r="AK164" s="23" t="s">
        <v>5698</v>
      </c>
      <c r="AL164" s="23">
        <v>518875580436</v>
      </c>
      <c r="AM164" s="23" t="s">
        <v>3102</v>
      </c>
      <c r="AO164" s="23" t="s">
        <v>3102</v>
      </c>
    </row>
    <row r="165" spans="1:41">
      <c r="A165" s="25">
        <v>46199</v>
      </c>
      <c r="B165" s="23" t="s">
        <v>4597</v>
      </c>
      <c r="C165" s="23" t="s">
        <v>4598</v>
      </c>
      <c r="D165" s="23" t="s">
        <v>3103</v>
      </c>
      <c r="E165" s="23" t="s">
        <v>4599</v>
      </c>
      <c r="F165" s="23" t="s">
        <v>4600</v>
      </c>
      <c r="G165" s="23">
        <v>9025792206</v>
      </c>
      <c r="I165" s="23" t="s">
        <v>4601</v>
      </c>
      <c r="J165" s="23" t="s">
        <v>4599</v>
      </c>
      <c r="K165" s="23" t="s">
        <v>4600</v>
      </c>
      <c r="L165" s="23" t="s">
        <v>4602</v>
      </c>
      <c r="M165" s="23" t="s">
        <v>4603</v>
      </c>
      <c r="N165" s="23" t="s">
        <v>3111</v>
      </c>
      <c r="O165" s="23">
        <v>1</v>
      </c>
      <c r="P165" s="23">
        <v>14300</v>
      </c>
      <c r="Q165" s="23">
        <v>1430</v>
      </c>
      <c r="R165" s="23" t="s">
        <v>3151</v>
      </c>
      <c r="S165" s="23" t="s">
        <v>3150</v>
      </c>
      <c r="T165" s="23" t="s">
        <v>99</v>
      </c>
      <c r="V165" s="23" t="s">
        <v>3104</v>
      </c>
      <c r="W165" s="23">
        <v>14850</v>
      </c>
      <c r="X165" s="23">
        <v>550</v>
      </c>
      <c r="Z165" s="23">
        <v>0</v>
      </c>
      <c r="AA165" s="23">
        <v>0</v>
      </c>
      <c r="AB165" s="23">
        <v>0</v>
      </c>
      <c r="AC165" s="23">
        <v>10</v>
      </c>
      <c r="AD165" s="23">
        <v>0</v>
      </c>
      <c r="AE165" s="23">
        <v>0</v>
      </c>
      <c r="AG165" s="23" t="s">
        <v>3101</v>
      </c>
      <c r="AI165" s="25">
        <v>46203</v>
      </c>
      <c r="AK165" s="23" t="s">
        <v>5699</v>
      </c>
      <c r="AL165" s="23">
        <v>518875580473</v>
      </c>
      <c r="AM165" s="23" t="s">
        <v>3102</v>
      </c>
      <c r="AO165" s="23" t="s">
        <v>3102</v>
      </c>
    </row>
    <row r="166" spans="1:41">
      <c r="A166" s="25">
        <v>46199</v>
      </c>
      <c r="B166" s="23" t="s">
        <v>5700</v>
      </c>
      <c r="C166" s="23" t="s">
        <v>5701</v>
      </c>
      <c r="D166" s="23" t="s">
        <v>3103</v>
      </c>
      <c r="E166" s="23" t="s">
        <v>5702</v>
      </c>
      <c r="F166" s="23" t="s">
        <v>5703</v>
      </c>
      <c r="G166" s="23">
        <v>896250343</v>
      </c>
      <c r="I166" s="23" t="s">
        <v>5704</v>
      </c>
      <c r="J166" s="23" t="s">
        <v>5702</v>
      </c>
      <c r="K166" s="23" t="s">
        <v>5705</v>
      </c>
      <c r="L166" s="23" t="s">
        <v>5706</v>
      </c>
      <c r="M166" s="23" t="s">
        <v>5707</v>
      </c>
      <c r="N166" s="23" t="s">
        <v>5659</v>
      </c>
      <c r="O166" s="23">
        <v>1</v>
      </c>
      <c r="P166" s="23">
        <v>660</v>
      </c>
      <c r="Q166" s="23">
        <v>66</v>
      </c>
      <c r="R166" s="23" t="s">
        <v>5660</v>
      </c>
      <c r="S166" s="23" t="s">
        <v>5661</v>
      </c>
      <c r="T166" s="23" t="s">
        <v>5661</v>
      </c>
      <c r="V166" s="23" t="s">
        <v>3104</v>
      </c>
      <c r="W166" s="23">
        <v>869</v>
      </c>
      <c r="X166" s="23">
        <v>550</v>
      </c>
      <c r="Z166" s="23">
        <v>0</v>
      </c>
      <c r="AA166" s="23">
        <v>-341</v>
      </c>
      <c r="AB166" s="23">
        <v>0</v>
      </c>
      <c r="AC166" s="23">
        <v>10</v>
      </c>
      <c r="AD166" s="23">
        <v>0</v>
      </c>
      <c r="AE166" s="23">
        <v>0</v>
      </c>
      <c r="AG166" s="23" t="s">
        <v>3101</v>
      </c>
      <c r="AI166" s="25">
        <v>46203</v>
      </c>
      <c r="AK166" s="23" t="s">
        <v>5708</v>
      </c>
      <c r="AL166" s="23">
        <v>518875581221</v>
      </c>
      <c r="AM166" s="23" t="s">
        <v>3102</v>
      </c>
      <c r="AO166" s="23" t="s">
        <v>3102</v>
      </c>
    </row>
    <row r="167" spans="1:41">
      <c r="A167" s="25">
        <v>46199</v>
      </c>
      <c r="B167" s="23" t="s">
        <v>4604</v>
      </c>
      <c r="C167" s="23" t="s">
        <v>4605</v>
      </c>
      <c r="D167" s="23" t="s">
        <v>3105</v>
      </c>
      <c r="E167" s="23" t="s">
        <v>4606</v>
      </c>
      <c r="F167" s="23" t="s">
        <v>4607</v>
      </c>
      <c r="G167" s="23">
        <v>9085760355</v>
      </c>
      <c r="I167" s="23" t="s">
        <v>4608</v>
      </c>
      <c r="J167" s="23" t="s">
        <v>4606</v>
      </c>
      <c r="K167" s="23" t="s">
        <v>4607</v>
      </c>
      <c r="L167" s="23" t="s">
        <v>4609</v>
      </c>
      <c r="M167" s="23" t="s">
        <v>4610</v>
      </c>
      <c r="N167" s="23" t="s">
        <v>4611</v>
      </c>
      <c r="O167" s="23">
        <v>1</v>
      </c>
      <c r="P167" s="23">
        <v>70400</v>
      </c>
      <c r="Q167" s="23">
        <v>7040</v>
      </c>
      <c r="R167" s="23" t="s">
        <v>4612</v>
      </c>
      <c r="S167" s="23" t="s">
        <v>4613</v>
      </c>
      <c r="T167" s="23" t="s">
        <v>747</v>
      </c>
      <c r="V167" s="23" t="s">
        <v>3106</v>
      </c>
      <c r="W167" s="23">
        <v>62249</v>
      </c>
      <c r="X167" s="23">
        <v>550</v>
      </c>
      <c r="Z167" s="23">
        <v>0</v>
      </c>
      <c r="AA167" s="23">
        <v>-341</v>
      </c>
      <c r="AB167" s="23">
        <v>0</v>
      </c>
      <c r="AC167" s="23">
        <v>10</v>
      </c>
      <c r="AD167" s="23">
        <v>0</v>
      </c>
      <c r="AE167" s="23">
        <v>0</v>
      </c>
      <c r="AG167" s="23" t="s">
        <v>3101</v>
      </c>
      <c r="AI167" s="25">
        <v>46203</v>
      </c>
      <c r="AK167" s="23" t="s">
        <v>5709</v>
      </c>
      <c r="AL167" s="23">
        <v>518875581103</v>
      </c>
      <c r="AM167" s="23" t="s">
        <v>3102</v>
      </c>
      <c r="AO167" s="23" t="s">
        <v>3102</v>
      </c>
    </row>
    <row r="168" spans="1:41">
      <c r="A168" s="25">
        <v>46199</v>
      </c>
      <c r="B168" s="23" t="s">
        <v>4604</v>
      </c>
      <c r="C168" s="23" t="s">
        <v>4605</v>
      </c>
      <c r="D168" s="23" t="s">
        <v>3105</v>
      </c>
      <c r="E168" s="23" t="s">
        <v>4606</v>
      </c>
      <c r="F168" s="23" t="s">
        <v>4607</v>
      </c>
      <c r="G168" s="23">
        <v>9085760355</v>
      </c>
      <c r="I168" s="23" t="s">
        <v>4608</v>
      </c>
      <c r="J168" s="23" t="s">
        <v>4606</v>
      </c>
      <c r="K168" s="23" t="s">
        <v>4607</v>
      </c>
      <c r="L168" s="23" t="s">
        <v>4609</v>
      </c>
      <c r="M168" s="23" t="s">
        <v>4610</v>
      </c>
      <c r="N168" s="23" t="s">
        <v>5302</v>
      </c>
      <c r="O168" s="23">
        <v>1</v>
      </c>
      <c r="P168" s="23">
        <v>550</v>
      </c>
      <c r="Q168" s="23">
        <v>55</v>
      </c>
      <c r="R168" s="23" t="s">
        <v>5303</v>
      </c>
      <c r="S168" s="23" t="s">
        <v>5304</v>
      </c>
      <c r="T168" s="23" t="s">
        <v>5304</v>
      </c>
      <c r="V168" s="23" t="s">
        <v>3106</v>
      </c>
      <c r="W168" s="23">
        <v>62249</v>
      </c>
      <c r="X168" s="23">
        <v>550</v>
      </c>
      <c r="Z168" s="23">
        <v>0</v>
      </c>
      <c r="AA168" s="23">
        <v>-341</v>
      </c>
      <c r="AB168" s="23">
        <v>0</v>
      </c>
      <c r="AC168" s="23">
        <v>10</v>
      </c>
      <c r="AD168" s="23">
        <v>0</v>
      </c>
      <c r="AE168" s="23">
        <v>0</v>
      </c>
      <c r="AG168" s="23" t="s">
        <v>3101</v>
      </c>
      <c r="AI168" s="25">
        <v>46203</v>
      </c>
      <c r="AK168" s="23" t="s">
        <v>5709</v>
      </c>
      <c r="AL168" s="23">
        <v>518875581103</v>
      </c>
      <c r="AM168" s="23" t="s">
        <v>3102</v>
      </c>
      <c r="AO168" s="23" t="s">
        <v>3102</v>
      </c>
    </row>
    <row r="169" spans="1:41">
      <c r="A169" s="25">
        <v>46199</v>
      </c>
      <c r="B169" s="23" t="s">
        <v>4604</v>
      </c>
      <c r="C169" s="23" t="s">
        <v>4605</v>
      </c>
      <c r="D169" s="23" t="s">
        <v>3105</v>
      </c>
      <c r="E169" s="23" t="s">
        <v>4606</v>
      </c>
      <c r="F169" s="23" t="s">
        <v>4607</v>
      </c>
      <c r="G169" s="23">
        <v>9085760355</v>
      </c>
      <c r="I169" s="23" t="s">
        <v>4608</v>
      </c>
      <c r="J169" s="23" t="s">
        <v>4606</v>
      </c>
      <c r="K169" s="23" t="s">
        <v>4607</v>
      </c>
      <c r="L169" s="23" t="s">
        <v>4609</v>
      </c>
      <c r="M169" s="23" t="s">
        <v>4610</v>
      </c>
      <c r="N169" s="23" t="s">
        <v>5710</v>
      </c>
      <c r="O169" s="23">
        <v>1</v>
      </c>
      <c r="P169" s="23">
        <v>330</v>
      </c>
      <c r="Q169" s="23">
        <v>33</v>
      </c>
      <c r="R169" s="23" t="s">
        <v>5711</v>
      </c>
      <c r="S169" s="23" t="s">
        <v>5712</v>
      </c>
      <c r="T169" s="23" t="s">
        <v>5712</v>
      </c>
      <c r="V169" s="23" t="s">
        <v>3106</v>
      </c>
      <c r="W169" s="23">
        <v>62249</v>
      </c>
      <c r="X169" s="23">
        <v>550</v>
      </c>
      <c r="Z169" s="23">
        <v>0</v>
      </c>
      <c r="AA169" s="23">
        <v>-341</v>
      </c>
      <c r="AB169" s="23">
        <v>0</v>
      </c>
      <c r="AC169" s="23">
        <v>10</v>
      </c>
      <c r="AD169" s="23">
        <v>0</v>
      </c>
      <c r="AE169" s="23">
        <v>0</v>
      </c>
      <c r="AG169" s="23" t="s">
        <v>3101</v>
      </c>
      <c r="AI169" s="25">
        <v>46203</v>
      </c>
      <c r="AK169" s="23" t="s">
        <v>5709</v>
      </c>
      <c r="AL169" s="23">
        <v>518875581103</v>
      </c>
      <c r="AM169" s="23" t="s">
        <v>3102</v>
      </c>
      <c r="AO169" s="23" t="s">
        <v>3102</v>
      </c>
    </row>
    <row r="170" spans="1:41">
      <c r="A170" s="25">
        <v>46199</v>
      </c>
      <c r="B170" s="23" t="s">
        <v>4604</v>
      </c>
      <c r="C170" s="23" t="s">
        <v>4605</v>
      </c>
      <c r="D170" s="23" t="s">
        <v>3105</v>
      </c>
      <c r="E170" s="23" t="s">
        <v>4606</v>
      </c>
      <c r="F170" s="23" t="s">
        <v>4607</v>
      </c>
      <c r="G170" s="23">
        <v>9085760355</v>
      </c>
      <c r="I170" s="23" t="s">
        <v>4608</v>
      </c>
      <c r="J170" s="23" t="s">
        <v>4606</v>
      </c>
      <c r="K170" s="23" t="s">
        <v>4607</v>
      </c>
      <c r="L170" s="23" t="s">
        <v>4609</v>
      </c>
      <c r="M170" s="23" t="s">
        <v>4610</v>
      </c>
      <c r="N170" s="23" t="s">
        <v>5659</v>
      </c>
      <c r="O170" s="23">
        <v>2</v>
      </c>
      <c r="P170" s="23">
        <v>660</v>
      </c>
      <c r="Q170" s="23">
        <v>66</v>
      </c>
      <c r="R170" s="23" t="s">
        <v>5660</v>
      </c>
      <c r="S170" s="23" t="s">
        <v>5661</v>
      </c>
      <c r="T170" s="23" t="s">
        <v>5661</v>
      </c>
      <c r="V170" s="23" t="s">
        <v>3106</v>
      </c>
      <c r="W170" s="23">
        <v>62249</v>
      </c>
      <c r="X170" s="23">
        <v>550</v>
      </c>
      <c r="Z170" s="23">
        <v>0</v>
      </c>
      <c r="AA170" s="23">
        <v>-341</v>
      </c>
      <c r="AB170" s="23">
        <v>0</v>
      </c>
      <c r="AC170" s="23">
        <v>10</v>
      </c>
      <c r="AD170" s="23">
        <v>0</v>
      </c>
      <c r="AE170" s="23">
        <v>0</v>
      </c>
      <c r="AG170" s="23" t="s">
        <v>3101</v>
      </c>
      <c r="AI170" s="25">
        <v>46203</v>
      </c>
      <c r="AK170" s="23" t="s">
        <v>5709</v>
      </c>
      <c r="AL170" s="23">
        <v>518875581103</v>
      </c>
      <c r="AM170" s="23" t="s">
        <v>3102</v>
      </c>
      <c r="AO170" s="23" t="s">
        <v>3102</v>
      </c>
    </row>
    <row r="171" spans="1:41">
      <c r="A171" s="25">
        <v>46199</v>
      </c>
      <c r="B171" s="23" t="s">
        <v>4614</v>
      </c>
      <c r="C171" s="23" t="s">
        <v>4615</v>
      </c>
      <c r="D171" s="23" t="s">
        <v>3103</v>
      </c>
      <c r="E171" s="23" t="s">
        <v>4616</v>
      </c>
      <c r="F171" s="23" t="s">
        <v>4617</v>
      </c>
      <c r="G171" s="23">
        <v>8032707097</v>
      </c>
      <c r="I171" s="23" t="s">
        <v>4618</v>
      </c>
      <c r="J171" s="23" t="s">
        <v>4619</v>
      </c>
      <c r="K171" s="23" t="s">
        <v>4620</v>
      </c>
      <c r="L171" s="23" t="s">
        <v>4621</v>
      </c>
      <c r="M171" s="23" t="s">
        <v>4622</v>
      </c>
      <c r="N171" s="23" t="s">
        <v>3111</v>
      </c>
      <c r="O171" s="23">
        <v>1</v>
      </c>
      <c r="P171" s="23">
        <v>14300</v>
      </c>
      <c r="Q171" s="23">
        <v>1430</v>
      </c>
      <c r="R171" s="23" t="s">
        <v>3151</v>
      </c>
      <c r="S171" s="23" t="s">
        <v>3150</v>
      </c>
      <c r="T171" s="23" t="s">
        <v>99</v>
      </c>
      <c r="V171" s="23" t="s">
        <v>3104</v>
      </c>
      <c r="W171" s="23">
        <v>14850</v>
      </c>
      <c r="X171" s="23">
        <v>550</v>
      </c>
      <c r="Z171" s="23">
        <v>0</v>
      </c>
      <c r="AA171" s="23">
        <v>0</v>
      </c>
      <c r="AB171" s="23">
        <v>0</v>
      </c>
      <c r="AC171" s="23">
        <v>10</v>
      </c>
      <c r="AD171" s="23">
        <v>0</v>
      </c>
      <c r="AE171" s="23">
        <v>0</v>
      </c>
      <c r="AG171" s="23" t="s">
        <v>3101</v>
      </c>
      <c r="AI171" s="23">
        <v>46203</v>
      </c>
      <c r="AK171" s="23" t="s">
        <v>5713</v>
      </c>
      <c r="AL171" s="23">
        <v>518875580451</v>
      </c>
      <c r="AM171" s="23" t="s">
        <v>3102</v>
      </c>
      <c r="AO171" s="23" t="s">
        <v>3102</v>
      </c>
    </row>
    <row r="172" spans="1:41">
      <c r="A172" s="25">
        <v>46199</v>
      </c>
      <c r="B172" s="23" t="s">
        <v>4623</v>
      </c>
      <c r="C172" s="23" t="s">
        <v>4624</v>
      </c>
      <c r="D172" s="23" t="s">
        <v>3105</v>
      </c>
      <c r="E172" s="23" t="s">
        <v>4625</v>
      </c>
      <c r="F172" s="23" t="s">
        <v>4626</v>
      </c>
      <c r="G172" s="23">
        <v>797751014</v>
      </c>
      <c r="I172" s="23" t="s">
        <v>4627</v>
      </c>
      <c r="J172" s="23" t="s">
        <v>4625</v>
      </c>
      <c r="K172" s="23" t="s">
        <v>4626</v>
      </c>
      <c r="L172" s="23" t="s">
        <v>4628</v>
      </c>
      <c r="M172" s="23" t="s">
        <v>4629</v>
      </c>
      <c r="N172" s="23" t="s">
        <v>4630</v>
      </c>
      <c r="O172" s="23">
        <v>1</v>
      </c>
      <c r="P172" s="23">
        <v>8030</v>
      </c>
      <c r="Q172" s="23">
        <v>803</v>
      </c>
      <c r="R172" s="23" t="s">
        <v>4631</v>
      </c>
      <c r="S172" s="23" t="s">
        <v>4632</v>
      </c>
      <c r="T172" s="23" t="s">
        <v>4633</v>
      </c>
      <c r="V172" s="23" t="s">
        <v>3106</v>
      </c>
      <c r="W172" s="23">
        <v>8460</v>
      </c>
      <c r="X172" s="23">
        <v>550</v>
      </c>
      <c r="Z172" s="23">
        <v>0</v>
      </c>
      <c r="AA172" s="23">
        <v>-120</v>
      </c>
      <c r="AB172" s="23">
        <v>0</v>
      </c>
      <c r="AC172" s="23">
        <v>10</v>
      </c>
      <c r="AD172" s="23">
        <v>0</v>
      </c>
      <c r="AE172" s="23">
        <v>0</v>
      </c>
      <c r="AG172" s="23" t="s">
        <v>3101</v>
      </c>
      <c r="AI172" s="25">
        <v>46203</v>
      </c>
      <c r="AK172" s="23" t="s">
        <v>5714</v>
      </c>
      <c r="AL172" s="23">
        <v>518875581011</v>
      </c>
      <c r="AM172" s="23" t="s">
        <v>3102</v>
      </c>
      <c r="AO172" s="23" t="s">
        <v>3102</v>
      </c>
    </row>
    <row r="173" spans="1:41">
      <c r="A173" s="25">
        <v>46199</v>
      </c>
      <c r="B173" s="23" t="s">
        <v>4634</v>
      </c>
      <c r="C173" s="23" t="s">
        <v>4635</v>
      </c>
      <c r="D173" s="23" t="s">
        <v>3103</v>
      </c>
      <c r="E173" s="23" t="s">
        <v>4365</v>
      </c>
      <c r="F173" s="23" t="s">
        <v>4366</v>
      </c>
      <c r="G173" s="23">
        <v>9035239088</v>
      </c>
      <c r="I173" s="23" t="s">
        <v>4367</v>
      </c>
      <c r="J173" s="23" t="s">
        <v>4365</v>
      </c>
      <c r="K173" s="23" t="s">
        <v>4366</v>
      </c>
      <c r="L173" s="23" t="s">
        <v>4368</v>
      </c>
      <c r="M173" s="23" t="s">
        <v>4369</v>
      </c>
      <c r="N173" s="23" t="s">
        <v>308</v>
      </c>
      <c r="O173" s="23">
        <v>1</v>
      </c>
      <c r="P173" s="23">
        <v>4730</v>
      </c>
      <c r="Q173" s="23">
        <v>473</v>
      </c>
      <c r="R173" s="23" t="s">
        <v>4021</v>
      </c>
      <c r="S173" s="23" t="s">
        <v>4022</v>
      </c>
      <c r="T173" s="23" t="s">
        <v>4636</v>
      </c>
      <c r="V173" s="23" t="s">
        <v>3104</v>
      </c>
      <c r="W173" s="23">
        <v>5071</v>
      </c>
      <c r="X173" s="23">
        <v>550</v>
      </c>
      <c r="Z173" s="23">
        <v>0</v>
      </c>
      <c r="AA173" s="23">
        <v>-209</v>
      </c>
      <c r="AB173" s="23">
        <v>0</v>
      </c>
      <c r="AC173" s="23">
        <v>10</v>
      </c>
      <c r="AD173" s="23">
        <v>0</v>
      </c>
      <c r="AE173" s="23">
        <v>0</v>
      </c>
      <c r="AG173" s="23" t="s">
        <v>3101</v>
      </c>
      <c r="AI173" s="25">
        <v>46203</v>
      </c>
      <c r="AK173" s="23" t="s">
        <v>5715</v>
      </c>
      <c r="AL173" s="23">
        <v>518875581195</v>
      </c>
      <c r="AM173" s="23" t="s">
        <v>3102</v>
      </c>
      <c r="AO173" s="23" t="s">
        <v>3102</v>
      </c>
    </row>
    <row r="174" spans="1:41">
      <c r="A174" s="25">
        <v>46199</v>
      </c>
      <c r="B174" s="23" t="s">
        <v>4637</v>
      </c>
      <c r="C174" s="23" t="s">
        <v>4638</v>
      </c>
      <c r="D174" s="23" t="s">
        <v>3105</v>
      </c>
      <c r="E174" s="23" t="s">
        <v>3248</v>
      </c>
      <c r="F174" s="23" t="s">
        <v>3249</v>
      </c>
      <c r="G174" s="23">
        <v>9036480515</v>
      </c>
      <c r="I174" s="23" t="s">
        <v>3250</v>
      </c>
      <c r="J174" s="23" t="s">
        <v>3248</v>
      </c>
      <c r="K174" s="23" t="s">
        <v>3249</v>
      </c>
      <c r="L174" s="23" t="s">
        <v>3251</v>
      </c>
      <c r="M174" s="23" t="s">
        <v>3252</v>
      </c>
      <c r="N174" s="23" t="s">
        <v>3728</v>
      </c>
      <c r="O174" s="23">
        <v>1</v>
      </c>
      <c r="P174" s="23">
        <v>27500</v>
      </c>
      <c r="Q174" s="23">
        <v>2750</v>
      </c>
      <c r="R174" s="23" t="s">
        <v>3729</v>
      </c>
      <c r="S174" s="23" t="s">
        <v>3730</v>
      </c>
      <c r="T174" s="23" t="s">
        <v>4639</v>
      </c>
      <c r="V174" s="23" t="s">
        <v>3106</v>
      </c>
      <c r="W174" s="23">
        <v>35163</v>
      </c>
      <c r="X174" s="23">
        <v>550</v>
      </c>
      <c r="Z174" s="23">
        <v>0</v>
      </c>
      <c r="AA174" s="23">
        <v>-5867</v>
      </c>
      <c r="AB174" s="23">
        <v>0</v>
      </c>
      <c r="AC174" s="23">
        <v>10</v>
      </c>
      <c r="AD174" s="23">
        <v>0</v>
      </c>
      <c r="AE174" s="23">
        <v>0</v>
      </c>
      <c r="AG174" s="23" t="s">
        <v>3101</v>
      </c>
      <c r="AI174" s="25">
        <v>46203</v>
      </c>
      <c r="AK174" s="23" t="s">
        <v>5716</v>
      </c>
      <c r="AL174" s="23">
        <v>518875581055</v>
      </c>
      <c r="AM174" s="23" t="s">
        <v>3102</v>
      </c>
      <c r="AO174" s="23" t="s">
        <v>3102</v>
      </c>
    </row>
    <row r="175" spans="1:41">
      <c r="A175" s="25">
        <v>46199</v>
      </c>
      <c r="B175" s="23" t="s">
        <v>4637</v>
      </c>
      <c r="C175" s="23" t="s">
        <v>4638</v>
      </c>
      <c r="D175" s="23" t="s">
        <v>3105</v>
      </c>
      <c r="E175" s="23" t="s">
        <v>3248</v>
      </c>
      <c r="F175" s="23" t="s">
        <v>3249</v>
      </c>
      <c r="G175" s="23">
        <v>9036480515</v>
      </c>
      <c r="I175" s="23" t="s">
        <v>3250</v>
      </c>
      <c r="J175" s="23" t="s">
        <v>3248</v>
      </c>
      <c r="K175" s="23" t="s">
        <v>3249</v>
      </c>
      <c r="L175" s="23" t="s">
        <v>3251</v>
      </c>
      <c r="M175" s="23" t="s">
        <v>3252</v>
      </c>
      <c r="N175" s="23" t="s">
        <v>5659</v>
      </c>
      <c r="O175" s="23">
        <v>1</v>
      </c>
      <c r="P175" s="23">
        <v>1320</v>
      </c>
      <c r="Q175" s="23">
        <v>132</v>
      </c>
      <c r="R175" s="23" t="s">
        <v>5717</v>
      </c>
      <c r="S175" s="23" t="s">
        <v>5718</v>
      </c>
      <c r="T175" s="23" t="s">
        <v>5718</v>
      </c>
      <c r="V175" s="23" t="s">
        <v>3106</v>
      </c>
      <c r="W175" s="23">
        <v>35163</v>
      </c>
      <c r="X175" s="23">
        <v>550</v>
      </c>
      <c r="Z175" s="23">
        <v>0</v>
      </c>
      <c r="AA175" s="23">
        <v>-5867</v>
      </c>
      <c r="AB175" s="23">
        <v>0</v>
      </c>
      <c r="AC175" s="23">
        <v>10</v>
      </c>
      <c r="AD175" s="23">
        <v>0</v>
      </c>
      <c r="AE175" s="23">
        <v>0</v>
      </c>
      <c r="AG175" s="23" t="s">
        <v>3101</v>
      </c>
      <c r="AI175" s="25">
        <v>46203</v>
      </c>
      <c r="AK175" s="23" t="s">
        <v>5716</v>
      </c>
      <c r="AL175" s="23">
        <v>518875581055</v>
      </c>
      <c r="AM175" s="23" t="s">
        <v>3102</v>
      </c>
      <c r="AO175" s="23" t="s">
        <v>3102</v>
      </c>
    </row>
    <row r="176" spans="1:41">
      <c r="A176" s="25">
        <v>46199</v>
      </c>
      <c r="B176" s="23" t="s">
        <v>4637</v>
      </c>
      <c r="C176" s="23" t="s">
        <v>4638</v>
      </c>
      <c r="D176" s="23" t="s">
        <v>3105</v>
      </c>
      <c r="E176" s="23" t="s">
        <v>3248</v>
      </c>
      <c r="F176" s="23" t="s">
        <v>3249</v>
      </c>
      <c r="G176" s="23">
        <v>9036480515</v>
      </c>
      <c r="I176" s="23" t="s">
        <v>3250</v>
      </c>
      <c r="J176" s="23" t="s">
        <v>3248</v>
      </c>
      <c r="K176" s="23" t="s">
        <v>3249</v>
      </c>
      <c r="L176" s="23" t="s">
        <v>3251</v>
      </c>
      <c r="M176" s="23" t="s">
        <v>3252</v>
      </c>
      <c r="N176" s="23" t="s">
        <v>4640</v>
      </c>
      <c r="O176" s="23">
        <v>1</v>
      </c>
      <c r="P176" s="23">
        <v>21450</v>
      </c>
      <c r="Q176" s="23">
        <v>2145</v>
      </c>
      <c r="R176" s="23" t="s">
        <v>4641</v>
      </c>
      <c r="S176" s="23" t="s">
        <v>4642</v>
      </c>
      <c r="T176" s="23" t="s">
        <v>4643</v>
      </c>
      <c r="V176" s="23" t="s">
        <v>3106</v>
      </c>
      <c r="W176" s="23">
        <v>35163</v>
      </c>
      <c r="X176" s="23">
        <v>550</v>
      </c>
      <c r="Z176" s="23">
        <v>0</v>
      </c>
      <c r="AA176" s="23">
        <v>-5867</v>
      </c>
      <c r="AB176" s="23">
        <v>0</v>
      </c>
      <c r="AC176" s="23">
        <v>10</v>
      </c>
      <c r="AD176" s="23">
        <v>0</v>
      </c>
      <c r="AE176" s="23">
        <v>0</v>
      </c>
      <c r="AG176" s="23" t="s">
        <v>3101</v>
      </c>
      <c r="AI176" s="25">
        <v>46203</v>
      </c>
      <c r="AK176" s="23" t="s">
        <v>5716</v>
      </c>
      <c r="AL176" s="23">
        <v>518875581055</v>
      </c>
      <c r="AM176" s="23" t="s">
        <v>3102</v>
      </c>
      <c r="AO176" s="23" t="s">
        <v>3102</v>
      </c>
    </row>
    <row r="177" spans="1:41">
      <c r="A177" s="25">
        <v>46199</v>
      </c>
      <c r="B177" s="23" t="s">
        <v>4644</v>
      </c>
      <c r="C177" s="23" t="s">
        <v>4645</v>
      </c>
      <c r="D177" s="23" t="s">
        <v>3105</v>
      </c>
      <c r="E177" s="23" t="s">
        <v>4646</v>
      </c>
      <c r="F177" s="23" t="s">
        <v>4647</v>
      </c>
      <c r="G177" s="23">
        <v>9037078181</v>
      </c>
      <c r="I177" s="23" t="s">
        <v>4648</v>
      </c>
      <c r="J177" s="23" t="s">
        <v>4646</v>
      </c>
      <c r="K177" s="23" t="s">
        <v>4647</v>
      </c>
      <c r="L177" s="23" t="s">
        <v>4649</v>
      </c>
      <c r="M177" s="23" t="s">
        <v>4650</v>
      </c>
      <c r="N177" s="23" t="s">
        <v>3114</v>
      </c>
      <c r="O177" s="23">
        <v>1</v>
      </c>
      <c r="P177" s="23">
        <v>14300</v>
      </c>
      <c r="Q177" s="23">
        <v>1430</v>
      </c>
      <c r="R177" s="23" t="s">
        <v>3154</v>
      </c>
      <c r="S177" s="23" t="s">
        <v>3150</v>
      </c>
      <c r="T177" s="23" t="s">
        <v>2963</v>
      </c>
      <c r="V177" s="23" t="s">
        <v>3106</v>
      </c>
      <c r="W177" s="23">
        <v>14850</v>
      </c>
      <c r="X177" s="23">
        <v>550</v>
      </c>
      <c r="Z177" s="23">
        <v>0</v>
      </c>
      <c r="AA177" s="23">
        <v>0</v>
      </c>
      <c r="AB177" s="23">
        <v>0</v>
      </c>
      <c r="AC177" s="23">
        <v>10</v>
      </c>
      <c r="AD177" s="23">
        <v>0</v>
      </c>
      <c r="AE177" s="23">
        <v>0</v>
      </c>
      <c r="AG177" s="23" t="s">
        <v>3101</v>
      </c>
      <c r="AI177" s="25">
        <v>46203</v>
      </c>
      <c r="AK177" s="23" t="s">
        <v>5719</v>
      </c>
      <c r="AL177" s="23">
        <v>518875580613</v>
      </c>
      <c r="AM177" s="23" t="s">
        <v>3102</v>
      </c>
      <c r="AO177" s="23" t="s">
        <v>3102</v>
      </c>
    </row>
    <row r="178" spans="1:41">
      <c r="A178" s="25">
        <v>46199</v>
      </c>
      <c r="B178" s="23" t="s">
        <v>4651</v>
      </c>
      <c r="C178" s="23" t="s">
        <v>4652</v>
      </c>
      <c r="D178" s="23" t="s">
        <v>3103</v>
      </c>
      <c r="E178" s="23" t="s">
        <v>4653</v>
      </c>
      <c r="F178" s="23" t="s">
        <v>4654</v>
      </c>
      <c r="G178" s="23">
        <v>9051913415</v>
      </c>
      <c r="I178" s="23" t="s">
        <v>4655</v>
      </c>
      <c r="J178" s="23" t="s">
        <v>4653</v>
      </c>
      <c r="K178" s="23" t="s">
        <v>4654</v>
      </c>
      <c r="L178" s="23" t="s">
        <v>4656</v>
      </c>
      <c r="M178" s="23" t="s">
        <v>4657</v>
      </c>
      <c r="N178" s="23" t="s">
        <v>73</v>
      </c>
      <c r="O178" s="23">
        <v>1</v>
      </c>
      <c r="P178" s="23">
        <v>3850</v>
      </c>
      <c r="Q178" s="23">
        <v>385</v>
      </c>
      <c r="R178" s="23" t="s">
        <v>3175</v>
      </c>
      <c r="S178" s="23" t="s">
        <v>3176</v>
      </c>
      <c r="T178" s="23" t="s">
        <v>3194</v>
      </c>
      <c r="V178" s="23" t="s">
        <v>3104</v>
      </c>
      <c r="W178" s="23">
        <v>18366</v>
      </c>
      <c r="X178" s="23">
        <v>550</v>
      </c>
      <c r="Z178" s="23">
        <v>0</v>
      </c>
      <c r="AA178" s="23">
        <v>-994</v>
      </c>
      <c r="AB178" s="23">
        <v>0</v>
      </c>
      <c r="AC178" s="23">
        <v>10</v>
      </c>
      <c r="AD178" s="23">
        <v>0</v>
      </c>
      <c r="AE178" s="23">
        <v>0</v>
      </c>
      <c r="AG178" s="23" t="s">
        <v>3101</v>
      </c>
      <c r="AI178" s="25">
        <v>46203</v>
      </c>
      <c r="AK178" s="23" t="s">
        <v>5720</v>
      </c>
      <c r="AL178" s="23">
        <v>518875580742</v>
      </c>
      <c r="AM178" s="23" t="s">
        <v>3102</v>
      </c>
      <c r="AO178" s="23" t="s">
        <v>3102</v>
      </c>
    </row>
    <row r="179" spans="1:41">
      <c r="A179" s="25">
        <v>46199</v>
      </c>
      <c r="B179" s="23" t="s">
        <v>4651</v>
      </c>
      <c r="C179" s="23" t="s">
        <v>4652</v>
      </c>
      <c r="D179" s="23" t="s">
        <v>3103</v>
      </c>
      <c r="E179" s="23" t="s">
        <v>4653</v>
      </c>
      <c r="F179" s="23" t="s">
        <v>4654</v>
      </c>
      <c r="G179" s="23">
        <v>9051913415</v>
      </c>
      <c r="I179" s="23" t="s">
        <v>4655</v>
      </c>
      <c r="J179" s="23" t="s">
        <v>4653</v>
      </c>
      <c r="K179" s="23" t="s">
        <v>4654</v>
      </c>
      <c r="L179" s="23" t="s">
        <v>4656</v>
      </c>
      <c r="M179" s="23" t="s">
        <v>4657</v>
      </c>
      <c r="N179" s="23" t="s">
        <v>3113</v>
      </c>
      <c r="O179" s="23">
        <v>1</v>
      </c>
      <c r="P179" s="23">
        <v>14300</v>
      </c>
      <c r="Q179" s="23">
        <v>1430</v>
      </c>
      <c r="R179" s="23" t="s">
        <v>3169</v>
      </c>
      <c r="S179" s="23" t="s">
        <v>3150</v>
      </c>
      <c r="T179" s="23" t="s">
        <v>2983</v>
      </c>
      <c r="V179" s="23" t="s">
        <v>3104</v>
      </c>
      <c r="W179" s="23">
        <v>18366</v>
      </c>
      <c r="X179" s="23">
        <v>550</v>
      </c>
      <c r="Z179" s="23">
        <v>0</v>
      </c>
      <c r="AA179" s="23">
        <v>-994</v>
      </c>
      <c r="AB179" s="23">
        <v>0</v>
      </c>
      <c r="AC179" s="23">
        <v>10</v>
      </c>
      <c r="AD179" s="23">
        <v>0</v>
      </c>
      <c r="AE179" s="23">
        <v>0</v>
      </c>
      <c r="AG179" s="23" t="s">
        <v>3101</v>
      </c>
      <c r="AI179" s="25">
        <v>46203</v>
      </c>
      <c r="AK179" s="23" t="s">
        <v>5720</v>
      </c>
      <c r="AL179" s="23">
        <v>518875580742</v>
      </c>
      <c r="AM179" s="23" t="s">
        <v>3102</v>
      </c>
      <c r="AO179" s="23" t="s">
        <v>3102</v>
      </c>
    </row>
    <row r="180" spans="1:41">
      <c r="A180" s="25">
        <v>46199</v>
      </c>
      <c r="B180" s="23" t="s">
        <v>4651</v>
      </c>
      <c r="C180" s="23" t="s">
        <v>4652</v>
      </c>
      <c r="D180" s="23" t="s">
        <v>3103</v>
      </c>
      <c r="E180" s="23" t="s">
        <v>4653</v>
      </c>
      <c r="F180" s="23" t="s">
        <v>4654</v>
      </c>
      <c r="G180" s="23">
        <v>9051913415</v>
      </c>
      <c r="I180" s="23" t="s">
        <v>4655</v>
      </c>
      <c r="J180" s="23" t="s">
        <v>4653</v>
      </c>
      <c r="K180" s="23" t="s">
        <v>4654</v>
      </c>
      <c r="L180" s="23" t="s">
        <v>4656</v>
      </c>
      <c r="M180" s="23" t="s">
        <v>4657</v>
      </c>
      <c r="N180" s="23" t="s">
        <v>5659</v>
      </c>
      <c r="O180" s="23">
        <v>1</v>
      </c>
      <c r="P180" s="23">
        <v>660</v>
      </c>
      <c r="Q180" s="23">
        <v>66</v>
      </c>
      <c r="R180" s="23" t="s">
        <v>5660</v>
      </c>
      <c r="S180" s="23" t="s">
        <v>5661</v>
      </c>
      <c r="T180" s="23" t="s">
        <v>5661</v>
      </c>
      <c r="V180" s="23" t="s">
        <v>3104</v>
      </c>
      <c r="W180" s="23">
        <v>18366</v>
      </c>
      <c r="X180" s="23">
        <v>550</v>
      </c>
      <c r="Z180" s="23">
        <v>0</v>
      </c>
      <c r="AA180" s="23">
        <v>-994</v>
      </c>
      <c r="AB180" s="23">
        <v>0</v>
      </c>
      <c r="AC180" s="23">
        <v>10</v>
      </c>
      <c r="AD180" s="23">
        <v>0</v>
      </c>
      <c r="AE180" s="23">
        <v>0</v>
      </c>
      <c r="AG180" s="23" t="s">
        <v>3101</v>
      </c>
      <c r="AI180" s="25">
        <v>46203</v>
      </c>
      <c r="AK180" s="23" t="s">
        <v>5720</v>
      </c>
      <c r="AL180" s="23">
        <v>518875580742</v>
      </c>
      <c r="AM180" s="23" t="s">
        <v>3102</v>
      </c>
      <c r="AO180" s="23" t="s">
        <v>3102</v>
      </c>
    </row>
    <row r="181" spans="1:41">
      <c r="A181" s="25">
        <v>46199</v>
      </c>
      <c r="B181" s="23" t="s">
        <v>4658</v>
      </c>
      <c r="C181" s="23" t="s">
        <v>4659</v>
      </c>
      <c r="D181" s="23" t="s">
        <v>3108</v>
      </c>
      <c r="E181" s="23" t="s">
        <v>4660</v>
      </c>
      <c r="F181" s="23" t="s">
        <v>4661</v>
      </c>
      <c r="G181" s="23">
        <v>9084568083</v>
      </c>
      <c r="I181" s="23" t="s">
        <v>4662</v>
      </c>
      <c r="J181" s="23" t="s">
        <v>4660</v>
      </c>
      <c r="K181" s="23" t="s">
        <v>4661</v>
      </c>
      <c r="L181" s="23" t="s">
        <v>4663</v>
      </c>
      <c r="M181" s="23" t="s">
        <v>4664</v>
      </c>
      <c r="N181" s="23" t="s">
        <v>3111</v>
      </c>
      <c r="O181" s="23">
        <v>1</v>
      </c>
      <c r="P181" s="23">
        <v>14300</v>
      </c>
      <c r="Q181" s="23">
        <v>1430</v>
      </c>
      <c r="R181" s="23" t="s">
        <v>3151</v>
      </c>
      <c r="S181" s="23" t="s">
        <v>3150</v>
      </c>
      <c r="T181" s="23" t="s">
        <v>99</v>
      </c>
      <c r="V181" s="23" t="s">
        <v>3110</v>
      </c>
      <c r="W181" s="23">
        <v>14850</v>
      </c>
      <c r="X181" s="23">
        <v>550</v>
      </c>
      <c r="Z181" s="23">
        <v>0</v>
      </c>
      <c r="AA181" s="23">
        <v>0</v>
      </c>
      <c r="AB181" s="23">
        <v>0</v>
      </c>
      <c r="AC181" s="23">
        <v>10</v>
      </c>
      <c r="AD181" s="23">
        <v>0</v>
      </c>
      <c r="AE181" s="23">
        <v>0</v>
      </c>
      <c r="AG181" s="23" t="s">
        <v>3101</v>
      </c>
      <c r="AI181" s="25">
        <v>46203</v>
      </c>
      <c r="AK181" s="23" t="s">
        <v>5721</v>
      </c>
      <c r="AL181" s="23">
        <v>518875580440</v>
      </c>
      <c r="AM181" s="23" t="s">
        <v>3102</v>
      </c>
      <c r="AO181" s="23" t="s">
        <v>3102</v>
      </c>
    </row>
    <row r="182" spans="1:41">
      <c r="A182" s="25">
        <v>46199</v>
      </c>
      <c r="B182" s="23" t="s">
        <v>4665</v>
      </c>
      <c r="C182" s="23" t="s">
        <v>4666</v>
      </c>
      <c r="D182" s="23" t="s">
        <v>3103</v>
      </c>
      <c r="E182" s="23" t="s">
        <v>4667</v>
      </c>
      <c r="F182" s="23" t="s">
        <v>4668</v>
      </c>
      <c r="G182" s="23">
        <v>9024334894</v>
      </c>
      <c r="I182" s="23" t="s">
        <v>4669</v>
      </c>
      <c r="J182" s="23" t="s">
        <v>4667</v>
      </c>
      <c r="K182" s="23" t="s">
        <v>4668</v>
      </c>
      <c r="L182" s="23" t="s">
        <v>4670</v>
      </c>
      <c r="M182" s="23" t="s">
        <v>4671</v>
      </c>
      <c r="N182" s="23" t="s">
        <v>3507</v>
      </c>
      <c r="O182" s="23">
        <v>1</v>
      </c>
      <c r="P182" s="23">
        <v>12100</v>
      </c>
      <c r="Q182" s="23">
        <v>1210</v>
      </c>
      <c r="R182" s="23" t="s">
        <v>4672</v>
      </c>
      <c r="S182" s="23" t="s">
        <v>4673</v>
      </c>
      <c r="T182" s="23" t="s">
        <v>3506</v>
      </c>
      <c r="V182" s="23" t="s">
        <v>3104</v>
      </c>
      <c r="W182" s="23">
        <v>12650</v>
      </c>
      <c r="X182" s="23">
        <v>550</v>
      </c>
      <c r="Z182" s="23">
        <v>0</v>
      </c>
      <c r="AA182" s="23">
        <v>0</v>
      </c>
      <c r="AB182" s="23">
        <v>0</v>
      </c>
      <c r="AC182" s="23">
        <v>10</v>
      </c>
      <c r="AD182" s="23">
        <v>0</v>
      </c>
      <c r="AE182" s="23">
        <v>0</v>
      </c>
      <c r="AG182" s="23" t="s">
        <v>3101</v>
      </c>
      <c r="AI182" s="25">
        <v>46202</v>
      </c>
      <c r="AK182" s="23" t="s">
        <v>5722</v>
      </c>
      <c r="AL182" s="23">
        <v>518875580226</v>
      </c>
      <c r="AM182" s="23" t="s">
        <v>3102</v>
      </c>
      <c r="AO182" s="23" t="s">
        <v>3102</v>
      </c>
    </row>
    <row r="183" spans="1:41">
      <c r="A183" s="25">
        <v>46199</v>
      </c>
      <c r="B183" s="23" t="s">
        <v>4674</v>
      </c>
      <c r="C183" s="23" t="s">
        <v>4675</v>
      </c>
      <c r="D183" s="23" t="s">
        <v>3105</v>
      </c>
      <c r="E183" s="23" t="s">
        <v>4676</v>
      </c>
      <c r="F183" s="23" t="s">
        <v>4677</v>
      </c>
      <c r="G183" s="23">
        <v>9072935755</v>
      </c>
      <c r="I183" s="23" t="s">
        <v>4678</v>
      </c>
      <c r="J183" s="23" t="s">
        <v>4676</v>
      </c>
      <c r="K183" s="23" t="s">
        <v>4677</v>
      </c>
      <c r="L183" s="23" t="s">
        <v>4679</v>
      </c>
      <c r="M183" s="23" t="s">
        <v>4680</v>
      </c>
      <c r="N183" s="23" t="s">
        <v>4681</v>
      </c>
      <c r="O183" s="23">
        <v>1</v>
      </c>
      <c r="P183" s="23">
        <v>58300</v>
      </c>
      <c r="Q183" s="23">
        <v>5830</v>
      </c>
      <c r="R183" s="23" t="s">
        <v>4682</v>
      </c>
      <c r="S183" s="23" t="s">
        <v>4683</v>
      </c>
      <c r="T183" s="23" t="s">
        <v>4684</v>
      </c>
      <c r="V183" s="23" t="s">
        <v>3106</v>
      </c>
      <c r="W183" s="23">
        <v>45000</v>
      </c>
      <c r="X183" s="23">
        <v>550</v>
      </c>
      <c r="Z183" s="23">
        <v>0</v>
      </c>
      <c r="AA183" s="23">
        <v>-2190</v>
      </c>
      <c r="AB183" s="23">
        <v>0</v>
      </c>
      <c r="AC183" s="23">
        <v>10</v>
      </c>
      <c r="AD183" s="23">
        <v>0</v>
      </c>
      <c r="AE183" s="23">
        <v>0</v>
      </c>
      <c r="AG183" s="23" t="s">
        <v>3101</v>
      </c>
      <c r="AI183" s="25">
        <v>46202</v>
      </c>
      <c r="AK183" s="23" t="s">
        <v>5723</v>
      </c>
      <c r="AL183" s="23">
        <v>518875580090</v>
      </c>
      <c r="AM183" s="23" t="s">
        <v>3102</v>
      </c>
      <c r="AO183" s="23" t="s">
        <v>3102</v>
      </c>
    </row>
    <row r="184" spans="1:41">
      <c r="A184" s="25">
        <v>46199</v>
      </c>
      <c r="B184" s="23" t="s">
        <v>5724</v>
      </c>
      <c r="C184" s="23" t="s">
        <v>5725</v>
      </c>
      <c r="D184" s="23" t="s">
        <v>3103</v>
      </c>
      <c r="E184" s="23" t="s">
        <v>5726</v>
      </c>
      <c r="F184" s="23" t="s">
        <v>5727</v>
      </c>
      <c r="G184" s="23">
        <v>8094040015</v>
      </c>
      <c r="I184" s="23" t="s">
        <v>5728</v>
      </c>
      <c r="J184" s="23" t="s">
        <v>5726</v>
      </c>
      <c r="K184" s="23" t="s">
        <v>5729</v>
      </c>
      <c r="L184" s="23" t="s">
        <v>5730</v>
      </c>
      <c r="M184" s="23" t="s">
        <v>5731</v>
      </c>
      <c r="N184" s="23" t="s">
        <v>5659</v>
      </c>
      <c r="O184" s="23">
        <v>2</v>
      </c>
      <c r="P184" s="23">
        <v>660</v>
      </c>
      <c r="Q184" s="23">
        <v>66</v>
      </c>
      <c r="R184" s="23" t="s">
        <v>5660</v>
      </c>
      <c r="S184" s="23" t="s">
        <v>5661</v>
      </c>
      <c r="T184" s="23" t="s">
        <v>5661</v>
      </c>
      <c r="V184" s="23" t="s">
        <v>3104</v>
      </c>
      <c r="W184" s="23">
        <v>1870</v>
      </c>
      <c r="X184" s="23">
        <v>550</v>
      </c>
      <c r="Z184" s="23">
        <v>0</v>
      </c>
      <c r="AA184" s="23">
        <v>0</v>
      </c>
      <c r="AB184" s="23">
        <v>0</v>
      </c>
      <c r="AC184" s="23">
        <v>10</v>
      </c>
      <c r="AD184" s="23">
        <v>0</v>
      </c>
      <c r="AE184" s="23">
        <v>0</v>
      </c>
      <c r="AG184" s="23" t="s">
        <v>3101</v>
      </c>
      <c r="AI184" s="25">
        <v>46202</v>
      </c>
      <c r="AK184" s="23" t="s">
        <v>5732</v>
      </c>
      <c r="AL184" s="23">
        <v>518875580171</v>
      </c>
      <c r="AM184" s="23" t="s">
        <v>3102</v>
      </c>
      <c r="AO184" s="23" t="s">
        <v>3102</v>
      </c>
    </row>
    <row r="185" spans="1:41">
      <c r="A185" s="25">
        <v>46199</v>
      </c>
      <c r="B185" s="23" t="s">
        <v>4685</v>
      </c>
      <c r="C185" s="23" t="s">
        <v>4686</v>
      </c>
      <c r="D185" s="23" t="s">
        <v>3105</v>
      </c>
      <c r="E185" s="23" t="s">
        <v>4687</v>
      </c>
      <c r="F185" s="23" t="s">
        <v>4688</v>
      </c>
      <c r="G185" s="23">
        <v>8010310298</v>
      </c>
      <c r="I185" s="23" t="s">
        <v>4689</v>
      </c>
      <c r="J185" s="23" t="s">
        <v>4687</v>
      </c>
      <c r="K185" s="23" t="s">
        <v>4688</v>
      </c>
      <c r="L185" s="23" t="s">
        <v>4690</v>
      </c>
      <c r="M185" s="23" t="s">
        <v>4691</v>
      </c>
      <c r="N185" s="23" t="s">
        <v>3222</v>
      </c>
      <c r="O185" s="23">
        <v>1</v>
      </c>
      <c r="P185" s="23">
        <v>14300</v>
      </c>
      <c r="Q185" s="23">
        <v>1430</v>
      </c>
      <c r="R185" s="23" t="s">
        <v>3223</v>
      </c>
      <c r="S185" s="23" t="s">
        <v>3150</v>
      </c>
      <c r="T185" s="23" t="s">
        <v>2985</v>
      </c>
      <c r="V185" s="23" t="s">
        <v>3106</v>
      </c>
      <c r="W185" s="23">
        <v>14850</v>
      </c>
      <c r="X185" s="23">
        <v>550</v>
      </c>
      <c r="Z185" s="23">
        <v>0</v>
      </c>
      <c r="AA185" s="23">
        <v>0</v>
      </c>
      <c r="AB185" s="23">
        <v>0</v>
      </c>
      <c r="AC185" s="23">
        <v>10</v>
      </c>
      <c r="AD185" s="23">
        <v>0</v>
      </c>
      <c r="AE185" s="23">
        <v>0</v>
      </c>
      <c r="AG185" s="23" t="s">
        <v>3101</v>
      </c>
      <c r="AI185" s="25">
        <v>46202</v>
      </c>
      <c r="AK185" s="23" t="s">
        <v>5733</v>
      </c>
      <c r="AL185" s="23">
        <v>518875580230</v>
      </c>
      <c r="AM185" s="23" t="s">
        <v>3102</v>
      </c>
      <c r="AO185" s="23" t="s">
        <v>3102</v>
      </c>
    </row>
    <row r="186" spans="1:41">
      <c r="A186" s="25">
        <v>46199</v>
      </c>
      <c r="B186" s="23" t="s">
        <v>4692</v>
      </c>
      <c r="C186" s="23" t="s">
        <v>4693</v>
      </c>
      <c r="D186" s="23" t="s">
        <v>3103</v>
      </c>
      <c r="E186" s="23" t="s">
        <v>4694</v>
      </c>
      <c r="F186" s="23" t="s">
        <v>4695</v>
      </c>
      <c r="G186" s="23">
        <v>422372052</v>
      </c>
      <c r="I186" s="23" t="s">
        <v>4696</v>
      </c>
      <c r="J186" s="23" t="s">
        <v>4697</v>
      </c>
      <c r="K186" s="23" t="s">
        <v>4695</v>
      </c>
      <c r="L186" s="23" t="s">
        <v>4698</v>
      </c>
      <c r="M186" s="23" t="s">
        <v>4699</v>
      </c>
      <c r="N186" s="23" t="s">
        <v>3112</v>
      </c>
      <c r="O186" s="23">
        <v>1</v>
      </c>
      <c r="P186" s="23">
        <v>14300</v>
      </c>
      <c r="Q186" s="23">
        <v>1430</v>
      </c>
      <c r="R186" s="23" t="s">
        <v>3149</v>
      </c>
      <c r="S186" s="23" t="s">
        <v>3150</v>
      </c>
      <c r="T186" s="23" t="s">
        <v>116</v>
      </c>
      <c r="V186" s="23" t="s">
        <v>3104</v>
      </c>
      <c r="W186" s="23">
        <v>14850</v>
      </c>
      <c r="X186" s="23">
        <v>550</v>
      </c>
      <c r="Z186" s="23">
        <v>0</v>
      </c>
      <c r="AA186" s="23">
        <v>0</v>
      </c>
      <c r="AB186" s="23">
        <v>0</v>
      </c>
      <c r="AC186" s="23">
        <v>10</v>
      </c>
      <c r="AD186" s="23">
        <v>0</v>
      </c>
      <c r="AE186" s="23">
        <v>0</v>
      </c>
      <c r="AG186" s="23" t="s">
        <v>3101</v>
      </c>
      <c r="AI186" s="25">
        <v>46202</v>
      </c>
      <c r="AK186" s="23" t="s">
        <v>5734</v>
      </c>
      <c r="AL186" s="23">
        <v>518875580263</v>
      </c>
      <c r="AM186" s="23" t="s">
        <v>3102</v>
      </c>
      <c r="AO186" s="23" t="s">
        <v>3102</v>
      </c>
    </row>
    <row r="187" spans="1:41">
      <c r="A187" s="25">
        <v>46199</v>
      </c>
      <c r="B187" s="23" t="s">
        <v>4700</v>
      </c>
      <c r="C187" s="23" t="s">
        <v>4701</v>
      </c>
      <c r="D187" s="23" t="s">
        <v>3103</v>
      </c>
      <c r="E187" s="23" t="s">
        <v>4702</v>
      </c>
      <c r="F187" s="23" t="s">
        <v>4703</v>
      </c>
      <c r="G187" s="23">
        <v>8050471483</v>
      </c>
      <c r="I187" s="23" t="s">
        <v>4704</v>
      </c>
      <c r="J187" s="23" t="s">
        <v>4702</v>
      </c>
      <c r="K187" s="23" t="s">
        <v>4703</v>
      </c>
      <c r="L187" s="23" t="s">
        <v>4705</v>
      </c>
      <c r="M187" s="23" t="s">
        <v>4706</v>
      </c>
      <c r="N187" s="23" t="s">
        <v>3721</v>
      </c>
      <c r="O187" s="23">
        <v>1</v>
      </c>
      <c r="P187" s="23">
        <v>7150</v>
      </c>
      <c r="Q187" s="23">
        <v>715</v>
      </c>
      <c r="R187" s="23" t="s">
        <v>3722</v>
      </c>
      <c r="S187" s="23" t="s">
        <v>3723</v>
      </c>
      <c r="T187" s="23" t="s">
        <v>4707</v>
      </c>
      <c r="V187" s="23" t="s">
        <v>3104</v>
      </c>
      <c r="W187" s="23">
        <v>12931</v>
      </c>
      <c r="X187" s="23">
        <v>550</v>
      </c>
      <c r="Z187" s="23">
        <v>0</v>
      </c>
      <c r="AA187" s="23">
        <v>-489</v>
      </c>
      <c r="AB187" s="23">
        <v>0</v>
      </c>
      <c r="AC187" s="23">
        <v>10</v>
      </c>
      <c r="AD187" s="23">
        <v>0</v>
      </c>
      <c r="AE187" s="23">
        <v>0</v>
      </c>
      <c r="AG187" s="23" t="s">
        <v>3101</v>
      </c>
      <c r="AI187" s="25">
        <v>46202</v>
      </c>
      <c r="AK187" s="23" t="s">
        <v>5735</v>
      </c>
      <c r="AL187" s="23">
        <v>518875580123</v>
      </c>
      <c r="AM187" s="23" t="s">
        <v>3102</v>
      </c>
      <c r="AO187" s="23" t="s">
        <v>3102</v>
      </c>
    </row>
    <row r="188" spans="1:41">
      <c r="A188" s="25">
        <v>46199</v>
      </c>
      <c r="B188" s="23" t="s">
        <v>4700</v>
      </c>
      <c r="C188" s="23" t="s">
        <v>4701</v>
      </c>
      <c r="D188" s="23" t="s">
        <v>3103</v>
      </c>
      <c r="E188" s="23" t="s">
        <v>4702</v>
      </c>
      <c r="F188" s="23" t="s">
        <v>4703</v>
      </c>
      <c r="G188" s="23">
        <v>8050471483</v>
      </c>
      <c r="I188" s="23" t="s">
        <v>4704</v>
      </c>
      <c r="J188" s="23" t="s">
        <v>4702</v>
      </c>
      <c r="K188" s="23" t="s">
        <v>4703</v>
      </c>
      <c r="L188" s="23" t="s">
        <v>4705</v>
      </c>
      <c r="M188" s="23" t="s">
        <v>4706</v>
      </c>
      <c r="N188" s="23" t="s">
        <v>4708</v>
      </c>
      <c r="O188" s="23">
        <v>1</v>
      </c>
      <c r="P188" s="23">
        <v>7150</v>
      </c>
      <c r="Q188" s="23">
        <v>715</v>
      </c>
      <c r="R188" s="23" t="s">
        <v>4709</v>
      </c>
      <c r="S188" s="23" t="s">
        <v>4710</v>
      </c>
      <c r="T188" s="23" t="s">
        <v>4711</v>
      </c>
      <c r="V188" s="23" t="s">
        <v>3104</v>
      </c>
      <c r="W188" s="23">
        <v>12931</v>
      </c>
      <c r="X188" s="23">
        <v>550</v>
      </c>
      <c r="Z188" s="23">
        <v>0</v>
      </c>
      <c r="AA188" s="23">
        <v>-489</v>
      </c>
      <c r="AB188" s="23">
        <v>0</v>
      </c>
      <c r="AC188" s="23">
        <v>10</v>
      </c>
      <c r="AD188" s="23">
        <v>0</v>
      </c>
      <c r="AE188" s="23">
        <v>0</v>
      </c>
      <c r="AG188" s="23" t="s">
        <v>3101</v>
      </c>
      <c r="AI188" s="25">
        <v>46202</v>
      </c>
      <c r="AK188" s="23" t="s">
        <v>5735</v>
      </c>
      <c r="AL188" s="23">
        <v>518875580123</v>
      </c>
      <c r="AM188" s="23" t="s">
        <v>3102</v>
      </c>
      <c r="AO188" s="23" t="s">
        <v>3102</v>
      </c>
    </row>
    <row r="189" spans="1:41">
      <c r="A189" s="25">
        <v>46199</v>
      </c>
      <c r="B189" s="23" t="s">
        <v>4712</v>
      </c>
      <c r="C189" s="23" t="s">
        <v>4713</v>
      </c>
      <c r="D189" s="23" t="s">
        <v>3105</v>
      </c>
      <c r="E189" s="23" t="s">
        <v>4714</v>
      </c>
      <c r="F189" s="23" t="s">
        <v>4715</v>
      </c>
      <c r="G189" s="23">
        <v>9091834797</v>
      </c>
      <c r="I189" s="23" t="s">
        <v>4716</v>
      </c>
      <c r="J189" s="23" t="s">
        <v>4714</v>
      </c>
      <c r="K189" s="23" t="s">
        <v>4715</v>
      </c>
      <c r="L189" s="23" t="s">
        <v>4717</v>
      </c>
      <c r="M189" s="23" t="s">
        <v>4718</v>
      </c>
      <c r="N189" s="23" t="s">
        <v>4630</v>
      </c>
      <c r="O189" s="23">
        <v>1</v>
      </c>
      <c r="P189" s="23">
        <v>8030</v>
      </c>
      <c r="Q189" s="23">
        <v>803</v>
      </c>
      <c r="R189" s="23" t="s">
        <v>4631</v>
      </c>
      <c r="S189" s="23" t="s">
        <v>4632</v>
      </c>
      <c r="T189" s="23" t="s">
        <v>3839</v>
      </c>
      <c r="V189" s="23" t="s">
        <v>3106</v>
      </c>
      <c r="W189" s="23">
        <v>33529</v>
      </c>
      <c r="X189" s="23">
        <v>550</v>
      </c>
      <c r="Z189" s="23">
        <v>0</v>
      </c>
      <c r="AA189" s="23">
        <v>-401</v>
      </c>
      <c r="AB189" s="23">
        <v>0</v>
      </c>
      <c r="AC189" s="23">
        <v>10</v>
      </c>
      <c r="AD189" s="23">
        <v>0</v>
      </c>
      <c r="AE189" s="23">
        <v>0</v>
      </c>
      <c r="AG189" s="23" t="s">
        <v>3101</v>
      </c>
      <c r="AI189" s="25">
        <v>46202</v>
      </c>
      <c r="AK189" s="23" t="s">
        <v>5736</v>
      </c>
      <c r="AL189" s="23">
        <v>518875580156</v>
      </c>
      <c r="AM189" s="23" t="s">
        <v>3102</v>
      </c>
      <c r="AO189" s="23" t="s">
        <v>3102</v>
      </c>
    </row>
    <row r="190" spans="1:41">
      <c r="A190" s="25">
        <v>46199</v>
      </c>
      <c r="B190" s="23" t="s">
        <v>4712</v>
      </c>
      <c r="C190" s="23" t="s">
        <v>4713</v>
      </c>
      <c r="D190" s="23" t="s">
        <v>3105</v>
      </c>
      <c r="E190" s="23" t="s">
        <v>4714</v>
      </c>
      <c r="F190" s="23" t="s">
        <v>4715</v>
      </c>
      <c r="G190" s="23">
        <v>9091834797</v>
      </c>
      <c r="I190" s="23" t="s">
        <v>4716</v>
      </c>
      <c r="J190" s="23" t="s">
        <v>4714</v>
      </c>
      <c r="K190" s="23" t="s">
        <v>4715</v>
      </c>
      <c r="L190" s="23" t="s">
        <v>4717</v>
      </c>
      <c r="M190" s="23" t="s">
        <v>4718</v>
      </c>
      <c r="N190" s="23" t="s">
        <v>4719</v>
      </c>
      <c r="O190" s="23">
        <v>1</v>
      </c>
      <c r="P190" s="23">
        <v>9790</v>
      </c>
      <c r="Q190" s="23">
        <v>979</v>
      </c>
      <c r="R190" s="23" t="s">
        <v>4720</v>
      </c>
      <c r="S190" s="23" t="s">
        <v>4721</v>
      </c>
      <c r="T190" s="23" t="s">
        <v>4722</v>
      </c>
      <c r="V190" s="23" t="s">
        <v>3106</v>
      </c>
      <c r="W190" s="23">
        <v>33529</v>
      </c>
      <c r="X190" s="23">
        <v>550</v>
      </c>
      <c r="Z190" s="23">
        <v>0</v>
      </c>
      <c r="AA190" s="23">
        <v>-401</v>
      </c>
      <c r="AB190" s="23">
        <v>0</v>
      </c>
      <c r="AC190" s="23">
        <v>10</v>
      </c>
      <c r="AD190" s="23">
        <v>0</v>
      </c>
      <c r="AE190" s="23">
        <v>0</v>
      </c>
      <c r="AG190" s="23" t="s">
        <v>3101</v>
      </c>
      <c r="AI190" s="25">
        <v>46202</v>
      </c>
      <c r="AK190" s="23" t="s">
        <v>5736</v>
      </c>
      <c r="AL190" s="23">
        <v>518875580156</v>
      </c>
      <c r="AM190" s="23" t="s">
        <v>3102</v>
      </c>
      <c r="AO190" s="23" t="s">
        <v>3102</v>
      </c>
    </row>
    <row r="191" spans="1:41">
      <c r="A191" s="25">
        <v>46199</v>
      </c>
      <c r="B191" s="23" t="s">
        <v>4712</v>
      </c>
      <c r="C191" s="23" t="s">
        <v>4713</v>
      </c>
      <c r="D191" s="23" t="s">
        <v>3105</v>
      </c>
      <c r="E191" s="23" t="s">
        <v>4714</v>
      </c>
      <c r="F191" s="23" t="s">
        <v>4715</v>
      </c>
      <c r="G191" s="23">
        <v>9091834797</v>
      </c>
      <c r="I191" s="23" t="s">
        <v>4716</v>
      </c>
      <c r="J191" s="23" t="s">
        <v>4714</v>
      </c>
      <c r="K191" s="23" t="s">
        <v>4715</v>
      </c>
      <c r="L191" s="23" t="s">
        <v>4717</v>
      </c>
      <c r="M191" s="23" t="s">
        <v>4718</v>
      </c>
      <c r="N191" s="23" t="s">
        <v>4723</v>
      </c>
      <c r="O191" s="23">
        <v>1</v>
      </c>
      <c r="P191" s="23">
        <v>21450</v>
      </c>
      <c r="Q191" s="23">
        <v>2145</v>
      </c>
      <c r="R191" s="23" t="s">
        <v>4724</v>
      </c>
      <c r="S191" s="23" t="s">
        <v>4725</v>
      </c>
      <c r="T191" s="23" t="s">
        <v>4726</v>
      </c>
      <c r="V191" s="23" t="s">
        <v>3106</v>
      </c>
      <c r="W191" s="23">
        <v>33529</v>
      </c>
      <c r="X191" s="23">
        <v>550</v>
      </c>
      <c r="Z191" s="23">
        <v>0</v>
      </c>
      <c r="AA191" s="23">
        <v>-401</v>
      </c>
      <c r="AB191" s="23">
        <v>0</v>
      </c>
      <c r="AC191" s="23">
        <v>10</v>
      </c>
      <c r="AD191" s="23">
        <v>0</v>
      </c>
      <c r="AE191" s="23">
        <v>0</v>
      </c>
      <c r="AG191" s="23" t="s">
        <v>3101</v>
      </c>
      <c r="AI191" s="25">
        <v>46202</v>
      </c>
      <c r="AK191" s="23" t="s">
        <v>5736</v>
      </c>
      <c r="AL191" s="23">
        <v>518875580156</v>
      </c>
      <c r="AM191" s="23" t="s">
        <v>3102</v>
      </c>
      <c r="AO191" s="23" t="s">
        <v>3102</v>
      </c>
    </row>
    <row r="192" spans="1:41">
      <c r="A192" s="25">
        <v>46199</v>
      </c>
      <c r="B192" s="23" t="s">
        <v>4727</v>
      </c>
      <c r="C192" s="23" t="s">
        <v>4728</v>
      </c>
      <c r="D192" s="23" t="s">
        <v>3103</v>
      </c>
      <c r="E192" s="23" t="s">
        <v>4729</v>
      </c>
      <c r="F192" s="23" t="s">
        <v>4730</v>
      </c>
      <c r="G192" s="23">
        <v>364137014</v>
      </c>
      <c r="I192" s="23" t="s">
        <v>4731</v>
      </c>
      <c r="J192" s="23" t="s">
        <v>4729</v>
      </c>
      <c r="K192" s="23" t="s">
        <v>4732</v>
      </c>
      <c r="L192" s="23" t="s">
        <v>4733</v>
      </c>
      <c r="M192" s="23" t="s">
        <v>4734</v>
      </c>
      <c r="N192" s="23" t="s">
        <v>4735</v>
      </c>
      <c r="O192" s="23">
        <v>1</v>
      </c>
      <c r="P192" s="23">
        <v>7920</v>
      </c>
      <c r="Q192" s="23">
        <v>792</v>
      </c>
      <c r="R192" s="23" t="s">
        <v>4736</v>
      </c>
      <c r="S192" s="23" t="s">
        <v>4737</v>
      </c>
      <c r="T192" s="23" t="s">
        <v>4738</v>
      </c>
      <c r="V192" s="23" t="s">
        <v>3104</v>
      </c>
      <c r="W192" s="23">
        <v>9130</v>
      </c>
      <c r="X192" s="23">
        <v>550</v>
      </c>
      <c r="Z192" s="23">
        <v>0</v>
      </c>
      <c r="AA192" s="23">
        <v>0</v>
      </c>
      <c r="AB192" s="23">
        <v>0</v>
      </c>
      <c r="AC192" s="23">
        <v>10</v>
      </c>
      <c r="AD192" s="23">
        <v>0</v>
      </c>
      <c r="AE192" s="23">
        <v>0</v>
      </c>
      <c r="AG192" s="23" t="s">
        <v>3101</v>
      </c>
      <c r="AI192" s="25">
        <v>46202</v>
      </c>
      <c r="AK192" s="23" t="s">
        <v>5737</v>
      </c>
      <c r="AL192" s="23">
        <v>518875580215</v>
      </c>
      <c r="AM192" s="23" t="s">
        <v>3102</v>
      </c>
      <c r="AO192" s="23" t="s">
        <v>3102</v>
      </c>
    </row>
    <row r="193" spans="1:42">
      <c r="A193" s="25">
        <v>46199</v>
      </c>
      <c r="B193" s="23" t="s">
        <v>4727</v>
      </c>
      <c r="C193" s="23" t="s">
        <v>4728</v>
      </c>
      <c r="D193" s="23" t="s">
        <v>3103</v>
      </c>
      <c r="E193" s="23" t="s">
        <v>4729</v>
      </c>
      <c r="F193" s="23" t="s">
        <v>4730</v>
      </c>
      <c r="G193" s="23">
        <v>364137014</v>
      </c>
      <c r="I193" s="23" t="s">
        <v>4731</v>
      </c>
      <c r="J193" s="23" t="s">
        <v>4729</v>
      </c>
      <c r="K193" s="23" t="s">
        <v>4732</v>
      </c>
      <c r="L193" s="23" t="s">
        <v>4733</v>
      </c>
      <c r="M193" s="23" t="s">
        <v>4734</v>
      </c>
      <c r="N193" s="23" t="s">
        <v>5659</v>
      </c>
      <c r="O193" s="23">
        <v>1</v>
      </c>
      <c r="P193" s="23">
        <v>660</v>
      </c>
      <c r="Q193" s="23">
        <v>66</v>
      </c>
      <c r="R193" s="23" t="s">
        <v>5660</v>
      </c>
      <c r="S193" s="23" t="s">
        <v>5661</v>
      </c>
      <c r="T193" s="23" t="s">
        <v>5661</v>
      </c>
      <c r="V193" s="23" t="s">
        <v>3104</v>
      </c>
      <c r="W193" s="23">
        <v>9130</v>
      </c>
      <c r="X193" s="23">
        <v>550</v>
      </c>
      <c r="Z193" s="23">
        <v>0</v>
      </c>
      <c r="AA193" s="23">
        <v>0</v>
      </c>
      <c r="AB193" s="23">
        <v>0</v>
      </c>
      <c r="AC193" s="23">
        <v>10</v>
      </c>
      <c r="AD193" s="23">
        <v>0</v>
      </c>
      <c r="AE193" s="23">
        <v>0</v>
      </c>
      <c r="AG193" s="23" t="s">
        <v>3101</v>
      </c>
      <c r="AI193" s="25">
        <v>46202</v>
      </c>
      <c r="AK193" s="23" t="s">
        <v>5737</v>
      </c>
      <c r="AL193" s="23">
        <v>518875580215</v>
      </c>
      <c r="AM193" s="23" t="s">
        <v>3102</v>
      </c>
      <c r="AO193" s="23" t="s">
        <v>3102</v>
      </c>
    </row>
    <row r="194" spans="1:42">
      <c r="A194" s="25">
        <v>46199</v>
      </c>
      <c r="B194" s="23" t="s">
        <v>4739</v>
      </c>
      <c r="C194" s="23" t="s">
        <v>4740</v>
      </c>
      <c r="D194" s="23" t="s">
        <v>3105</v>
      </c>
      <c r="E194" s="23" t="s">
        <v>4741</v>
      </c>
      <c r="F194" s="23" t="s">
        <v>4742</v>
      </c>
      <c r="G194" s="23">
        <v>9090808204</v>
      </c>
      <c r="I194" s="23" t="s">
        <v>4743</v>
      </c>
      <c r="J194" s="23" t="s">
        <v>4741</v>
      </c>
      <c r="K194" s="23" t="s">
        <v>4742</v>
      </c>
      <c r="L194" s="23" t="s">
        <v>4744</v>
      </c>
      <c r="M194" s="23" t="s">
        <v>4745</v>
      </c>
      <c r="N194" s="23" t="s">
        <v>4746</v>
      </c>
      <c r="O194" s="23">
        <v>1</v>
      </c>
      <c r="P194" s="23">
        <v>24200</v>
      </c>
      <c r="Q194" s="23">
        <v>2420</v>
      </c>
      <c r="R194" s="23" t="s">
        <v>4747</v>
      </c>
      <c r="S194" s="23" t="s">
        <v>4748</v>
      </c>
      <c r="T194" s="23" t="s">
        <v>4749</v>
      </c>
      <c r="V194" s="23" t="s">
        <v>3106</v>
      </c>
      <c r="W194" s="23">
        <v>34200</v>
      </c>
      <c r="X194" s="23">
        <v>550</v>
      </c>
      <c r="Z194" s="23">
        <v>0</v>
      </c>
      <c r="AA194" s="23">
        <v>-1000</v>
      </c>
      <c r="AB194" s="23">
        <v>0</v>
      </c>
      <c r="AC194" s="23">
        <v>10</v>
      </c>
      <c r="AD194" s="23">
        <v>0</v>
      </c>
      <c r="AE194" s="23">
        <v>0</v>
      </c>
      <c r="AG194" s="23" t="s">
        <v>3101</v>
      </c>
      <c r="AI194" s="25">
        <v>46202</v>
      </c>
      <c r="AK194" s="23" t="s">
        <v>5738</v>
      </c>
      <c r="AL194" s="23">
        <v>518875580160</v>
      </c>
      <c r="AM194" s="23" t="s">
        <v>3102</v>
      </c>
      <c r="AO194" s="23" t="s">
        <v>3102</v>
      </c>
    </row>
    <row r="195" spans="1:42">
      <c r="A195" s="25">
        <v>46199</v>
      </c>
      <c r="B195" s="23" t="s">
        <v>4739</v>
      </c>
      <c r="C195" s="23" t="s">
        <v>4740</v>
      </c>
      <c r="D195" s="23" t="s">
        <v>3105</v>
      </c>
      <c r="E195" s="23" t="s">
        <v>4741</v>
      </c>
      <c r="F195" s="23" t="s">
        <v>4742</v>
      </c>
      <c r="G195" s="23">
        <v>9090808204</v>
      </c>
      <c r="I195" s="23" t="s">
        <v>4743</v>
      </c>
      <c r="J195" s="23" t="s">
        <v>4741</v>
      </c>
      <c r="K195" s="23" t="s">
        <v>4742</v>
      </c>
      <c r="L195" s="23" t="s">
        <v>4744</v>
      </c>
      <c r="M195" s="23" t="s">
        <v>4745</v>
      </c>
      <c r="N195" s="23" t="s">
        <v>3721</v>
      </c>
      <c r="O195" s="23">
        <v>1</v>
      </c>
      <c r="P195" s="23">
        <v>7150</v>
      </c>
      <c r="Q195" s="23">
        <v>715</v>
      </c>
      <c r="R195" s="23" t="s">
        <v>3722</v>
      </c>
      <c r="S195" s="23" t="s">
        <v>3723</v>
      </c>
      <c r="T195" s="23" t="s">
        <v>4750</v>
      </c>
      <c r="V195" s="23" t="s">
        <v>3106</v>
      </c>
      <c r="W195" s="23">
        <v>34200</v>
      </c>
      <c r="X195" s="23">
        <v>550</v>
      </c>
      <c r="Z195" s="23">
        <v>0</v>
      </c>
      <c r="AA195" s="23">
        <v>-1000</v>
      </c>
      <c r="AB195" s="23">
        <v>0</v>
      </c>
      <c r="AC195" s="23">
        <v>10</v>
      </c>
      <c r="AD195" s="23">
        <v>0</v>
      </c>
      <c r="AE195" s="23">
        <v>0</v>
      </c>
      <c r="AG195" s="23" t="s">
        <v>3101</v>
      </c>
      <c r="AI195" s="25">
        <v>46202</v>
      </c>
      <c r="AK195" s="23" t="s">
        <v>5738</v>
      </c>
      <c r="AL195" s="23">
        <v>518875580160</v>
      </c>
      <c r="AM195" s="23" t="s">
        <v>3102</v>
      </c>
      <c r="AO195" s="23" t="s">
        <v>3102</v>
      </c>
    </row>
    <row r="196" spans="1:42">
      <c r="A196" s="25">
        <v>46199</v>
      </c>
      <c r="B196" s="23" t="s">
        <v>4739</v>
      </c>
      <c r="C196" s="23" t="s">
        <v>4740</v>
      </c>
      <c r="D196" s="23" t="s">
        <v>3105</v>
      </c>
      <c r="E196" s="23" t="s">
        <v>4741</v>
      </c>
      <c r="F196" s="23" t="s">
        <v>4742</v>
      </c>
      <c r="G196" s="23">
        <v>9090808204</v>
      </c>
      <c r="I196" s="23" t="s">
        <v>4743</v>
      </c>
      <c r="J196" s="23" t="s">
        <v>4741</v>
      </c>
      <c r="K196" s="23" t="s">
        <v>4742</v>
      </c>
      <c r="L196" s="23" t="s">
        <v>4744</v>
      </c>
      <c r="M196" s="23" t="s">
        <v>4745</v>
      </c>
      <c r="N196" s="23" t="s">
        <v>4708</v>
      </c>
      <c r="O196" s="23">
        <v>1</v>
      </c>
      <c r="P196" s="23">
        <v>7150</v>
      </c>
      <c r="Q196" s="23">
        <v>715</v>
      </c>
      <c r="R196" s="23" t="s">
        <v>4709</v>
      </c>
      <c r="S196" s="23" t="s">
        <v>4710</v>
      </c>
      <c r="T196" s="23" t="s">
        <v>3312</v>
      </c>
      <c r="V196" s="23" t="s">
        <v>3106</v>
      </c>
      <c r="W196" s="23">
        <v>34200</v>
      </c>
      <c r="X196" s="23">
        <v>550</v>
      </c>
      <c r="Z196" s="23">
        <v>0</v>
      </c>
      <c r="AA196" s="23">
        <v>-1000</v>
      </c>
      <c r="AB196" s="23">
        <v>0</v>
      </c>
      <c r="AC196" s="23">
        <v>10</v>
      </c>
      <c r="AD196" s="23">
        <v>0</v>
      </c>
      <c r="AE196" s="23">
        <v>0</v>
      </c>
      <c r="AG196" s="23" t="s">
        <v>3101</v>
      </c>
      <c r="AI196" s="25">
        <v>46202</v>
      </c>
      <c r="AK196" s="23" t="s">
        <v>5738</v>
      </c>
      <c r="AL196" s="23">
        <v>518875580160</v>
      </c>
      <c r="AM196" s="23" t="s">
        <v>3102</v>
      </c>
      <c r="AO196" s="23" t="s">
        <v>3102</v>
      </c>
    </row>
    <row r="197" spans="1:42">
      <c r="A197" s="25">
        <v>46199</v>
      </c>
      <c r="B197" s="23" t="s">
        <v>4751</v>
      </c>
      <c r="C197" s="23" t="s">
        <v>4752</v>
      </c>
      <c r="D197" s="23" t="s">
        <v>3103</v>
      </c>
      <c r="E197" s="23" t="s">
        <v>4753</v>
      </c>
      <c r="F197" s="23" t="s">
        <v>4754</v>
      </c>
      <c r="G197" s="23">
        <v>8057077991</v>
      </c>
      <c r="I197" s="23" t="s">
        <v>4755</v>
      </c>
      <c r="J197" s="23" t="s">
        <v>4753</v>
      </c>
      <c r="K197" s="23" t="s">
        <v>4754</v>
      </c>
      <c r="L197" s="23" t="s">
        <v>4756</v>
      </c>
      <c r="M197" s="23" t="s">
        <v>4757</v>
      </c>
      <c r="N197" s="23" t="s">
        <v>3014</v>
      </c>
      <c r="O197" s="23">
        <v>1</v>
      </c>
      <c r="P197" s="23">
        <v>11000</v>
      </c>
      <c r="Q197" s="23">
        <v>1100</v>
      </c>
      <c r="R197" s="23" t="s">
        <v>3179</v>
      </c>
      <c r="S197" s="23" t="s">
        <v>3180</v>
      </c>
      <c r="T197" s="23" t="s">
        <v>3350</v>
      </c>
      <c r="V197" s="23" t="s">
        <v>3104</v>
      </c>
      <c r="W197" s="23">
        <v>11550</v>
      </c>
      <c r="X197" s="23">
        <v>550</v>
      </c>
      <c r="Z197" s="23">
        <v>0</v>
      </c>
      <c r="AA197" s="23">
        <v>0</v>
      </c>
      <c r="AB197" s="23">
        <v>0</v>
      </c>
      <c r="AC197" s="23">
        <v>10</v>
      </c>
      <c r="AD197" s="23">
        <v>0</v>
      </c>
      <c r="AE197" s="23">
        <v>0</v>
      </c>
      <c r="AG197" s="23" t="s">
        <v>3101</v>
      </c>
      <c r="AI197" s="25">
        <v>46202</v>
      </c>
      <c r="AK197" s="23" t="s">
        <v>5739</v>
      </c>
      <c r="AL197" s="23">
        <v>518875580204</v>
      </c>
      <c r="AM197" s="23" t="s">
        <v>3102</v>
      </c>
      <c r="AO197" s="23" t="s">
        <v>3102</v>
      </c>
    </row>
    <row r="198" spans="1:42">
      <c r="A198" s="25">
        <v>46199</v>
      </c>
      <c r="B198" s="23" t="s">
        <v>4758</v>
      </c>
      <c r="C198" s="23" t="s">
        <v>4759</v>
      </c>
      <c r="D198" s="23" t="s">
        <v>3103</v>
      </c>
      <c r="E198" s="23" t="s">
        <v>4083</v>
      </c>
      <c r="F198" s="23" t="s">
        <v>4760</v>
      </c>
      <c r="G198" s="23">
        <v>9028724636</v>
      </c>
      <c r="I198" s="23" t="s">
        <v>4084</v>
      </c>
      <c r="J198" s="23" t="s">
        <v>4083</v>
      </c>
      <c r="K198" s="23" t="s">
        <v>4760</v>
      </c>
      <c r="L198" s="23" t="s">
        <v>4085</v>
      </c>
      <c r="M198" s="23" t="s">
        <v>4086</v>
      </c>
      <c r="N198" s="23" t="s">
        <v>3435</v>
      </c>
      <c r="O198" s="23">
        <v>1</v>
      </c>
      <c r="P198" s="23">
        <v>34100</v>
      </c>
      <c r="Q198" s="23">
        <v>3410</v>
      </c>
      <c r="R198" s="23" t="s">
        <v>4353</v>
      </c>
      <c r="S198" s="23" t="s">
        <v>4354</v>
      </c>
      <c r="T198" s="23" t="s">
        <v>3434</v>
      </c>
      <c r="V198" s="23" t="s">
        <v>3104</v>
      </c>
      <c r="W198" s="23">
        <v>35420</v>
      </c>
      <c r="X198" s="23">
        <v>0</v>
      </c>
      <c r="Z198" s="23">
        <v>0</v>
      </c>
      <c r="AA198" s="23">
        <v>0</v>
      </c>
      <c r="AB198" s="23">
        <v>0</v>
      </c>
      <c r="AC198" s="23">
        <v>10</v>
      </c>
      <c r="AD198" s="23">
        <v>0</v>
      </c>
      <c r="AE198" s="23">
        <v>0</v>
      </c>
      <c r="AG198" s="23" t="s">
        <v>4761</v>
      </c>
      <c r="AI198" s="25"/>
      <c r="AK198" s="23" t="s">
        <v>3148</v>
      </c>
      <c r="AM198" s="23" t="s">
        <v>3102</v>
      </c>
      <c r="AO198" s="23" t="s">
        <v>3102</v>
      </c>
      <c r="AP198" s="23" t="s">
        <v>4761</v>
      </c>
    </row>
    <row r="199" spans="1:42">
      <c r="A199" s="25">
        <v>46199</v>
      </c>
      <c r="B199" s="23" t="s">
        <v>4758</v>
      </c>
      <c r="C199" s="23" t="s">
        <v>4759</v>
      </c>
      <c r="D199" s="23" t="s">
        <v>3103</v>
      </c>
      <c r="E199" s="23" t="s">
        <v>4083</v>
      </c>
      <c r="F199" s="23" t="s">
        <v>4760</v>
      </c>
      <c r="G199" s="23">
        <v>9028724636</v>
      </c>
      <c r="I199" s="23" t="s">
        <v>4084</v>
      </c>
      <c r="J199" s="23" t="s">
        <v>4083</v>
      </c>
      <c r="K199" s="23" t="s">
        <v>4760</v>
      </c>
      <c r="L199" s="23" t="s">
        <v>4085</v>
      </c>
      <c r="M199" s="23" t="s">
        <v>4086</v>
      </c>
      <c r="N199" s="23" t="s">
        <v>5659</v>
      </c>
      <c r="O199" s="23">
        <v>2</v>
      </c>
      <c r="P199" s="23">
        <v>660</v>
      </c>
      <c r="Q199" s="23">
        <v>66</v>
      </c>
      <c r="R199" s="23" t="s">
        <v>5660</v>
      </c>
      <c r="S199" s="23" t="s">
        <v>5661</v>
      </c>
      <c r="T199" s="23" t="s">
        <v>5661</v>
      </c>
      <c r="V199" s="23" t="s">
        <v>3104</v>
      </c>
      <c r="W199" s="23">
        <v>35420</v>
      </c>
      <c r="X199" s="23">
        <v>0</v>
      </c>
      <c r="Z199" s="23">
        <v>0</v>
      </c>
      <c r="AA199" s="23">
        <v>0</v>
      </c>
      <c r="AB199" s="23">
        <v>0</v>
      </c>
      <c r="AC199" s="23">
        <v>10</v>
      </c>
      <c r="AD199" s="23">
        <v>0</v>
      </c>
      <c r="AE199" s="23">
        <v>0</v>
      </c>
      <c r="AG199" s="23" t="s">
        <v>4761</v>
      </c>
      <c r="AI199" s="25"/>
      <c r="AK199" s="23" t="s">
        <v>3148</v>
      </c>
      <c r="AM199" s="23" t="s">
        <v>3102</v>
      </c>
      <c r="AO199" s="23" t="s">
        <v>3102</v>
      </c>
      <c r="AP199" s="23" t="s">
        <v>4761</v>
      </c>
    </row>
    <row r="200" spans="1:42">
      <c r="A200" s="25">
        <v>46199</v>
      </c>
      <c r="B200" s="23" t="s">
        <v>4762</v>
      </c>
      <c r="C200" s="23" t="s">
        <v>4763</v>
      </c>
      <c r="D200" s="23" t="s">
        <v>3105</v>
      </c>
      <c r="E200" s="23" t="s">
        <v>4764</v>
      </c>
      <c r="F200" s="23" t="s">
        <v>4765</v>
      </c>
      <c r="G200" s="23">
        <v>8030218297</v>
      </c>
      <c r="I200" s="23" t="s">
        <v>4766</v>
      </c>
      <c r="J200" s="23" t="s">
        <v>4764</v>
      </c>
      <c r="K200" s="23" t="s">
        <v>4765</v>
      </c>
      <c r="L200" s="23" t="s">
        <v>4767</v>
      </c>
      <c r="M200" s="23" t="s">
        <v>4768</v>
      </c>
      <c r="N200" s="23" t="s">
        <v>3814</v>
      </c>
      <c r="O200" s="23">
        <v>1</v>
      </c>
      <c r="P200" s="23">
        <v>5830</v>
      </c>
      <c r="Q200" s="23">
        <v>583</v>
      </c>
      <c r="R200" s="23" t="s">
        <v>4769</v>
      </c>
      <c r="S200" s="23" t="s">
        <v>4770</v>
      </c>
      <c r="T200" s="23" t="s">
        <v>3813</v>
      </c>
      <c r="V200" s="23" t="s">
        <v>3106</v>
      </c>
      <c r="W200" s="23">
        <v>6699</v>
      </c>
      <c r="X200" s="23">
        <v>550</v>
      </c>
      <c r="Z200" s="23">
        <v>0</v>
      </c>
      <c r="AA200" s="23">
        <v>-341</v>
      </c>
      <c r="AB200" s="23">
        <v>0</v>
      </c>
      <c r="AC200" s="23">
        <v>10</v>
      </c>
      <c r="AD200" s="23">
        <v>0</v>
      </c>
      <c r="AE200" s="23">
        <v>0</v>
      </c>
      <c r="AG200" s="23" t="s">
        <v>3101</v>
      </c>
      <c r="AI200" s="25">
        <v>46202</v>
      </c>
      <c r="AK200" s="23" t="s">
        <v>5740</v>
      </c>
      <c r="AL200" s="23">
        <v>518875580145</v>
      </c>
      <c r="AM200" s="23" t="s">
        <v>3102</v>
      </c>
      <c r="AO200" s="23" t="s">
        <v>3102</v>
      </c>
    </row>
    <row r="201" spans="1:42">
      <c r="A201" s="25">
        <v>46199</v>
      </c>
      <c r="B201" s="23" t="s">
        <v>4762</v>
      </c>
      <c r="C201" s="23" t="s">
        <v>4763</v>
      </c>
      <c r="D201" s="23" t="s">
        <v>3105</v>
      </c>
      <c r="E201" s="23" t="s">
        <v>4764</v>
      </c>
      <c r="F201" s="23" t="s">
        <v>4765</v>
      </c>
      <c r="G201" s="23">
        <v>8030218297</v>
      </c>
      <c r="I201" s="23" t="s">
        <v>4766</v>
      </c>
      <c r="J201" s="23" t="s">
        <v>4764</v>
      </c>
      <c r="K201" s="23" t="s">
        <v>4765</v>
      </c>
      <c r="L201" s="23" t="s">
        <v>4767</v>
      </c>
      <c r="M201" s="23" t="s">
        <v>4768</v>
      </c>
      <c r="N201" s="23" t="s">
        <v>5659</v>
      </c>
      <c r="O201" s="23">
        <v>1</v>
      </c>
      <c r="P201" s="23">
        <v>660</v>
      </c>
      <c r="Q201" s="23">
        <v>66</v>
      </c>
      <c r="R201" s="23" t="s">
        <v>5660</v>
      </c>
      <c r="S201" s="23" t="s">
        <v>5661</v>
      </c>
      <c r="T201" s="23" t="s">
        <v>5661</v>
      </c>
      <c r="V201" s="23" t="s">
        <v>3106</v>
      </c>
      <c r="W201" s="23">
        <v>6699</v>
      </c>
      <c r="X201" s="23">
        <v>550</v>
      </c>
      <c r="Z201" s="23">
        <v>0</v>
      </c>
      <c r="AA201" s="23">
        <v>-341</v>
      </c>
      <c r="AB201" s="23">
        <v>0</v>
      </c>
      <c r="AC201" s="23">
        <v>10</v>
      </c>
      <c r="AD201" s="23">
        <v>0</v>
      </c>
      <c r="AE201" s="23">
        <v>0</v>
      </c>
      <c r="AG201" s="23" t="s">
        <v>3101</v>
      </c>
      <c r="AI201" s="25">
        <v>46202</v>
      </c>
      <c r="AK201" s="23" t="s">
        <v>5740</v>
      </c>
      <c r="AL201" s="23">
        <v>518875580145</v>
      </c>
      <c r="AM201" s="23" t="s">
        <v>3102</v>
      </c>
      <c r="AO201" s="23" t="s">
        <v>3102</v>
      </c>
    </row>
    <row r="202" spans="1:42">
      <c r="A202" s="25">
        <v>46198</v>
      </c>
      <c r="B202" s="23" t="s">
        <v>4771</v>
      </c>
      <c r="C202" s="23" t="s">
        <v>4772</v>
      </c>
      <c r="D202" s="23" t="s">
        <v>3108</v>
      </c>
      <c r="E202" s="23" t="s">
        <v>4773</v>
      </c>
      <c r="F202" s="23" t="s">
        <v>4774</v>
      </c>
      <c r="G202" s="23">
        <v>9091565971</v>
      </c>
      <c r="I202" s="23" t="s">
        <v>4775</v>
      </c>
      <c r="J202" s="23" t="s">
        <v>4773</v>
      </c>
      <c r="K202" s="23" t="s">
        <v>4774</v>
      </c>
      <c r="L202" s="23" t="s">
        <v>4776</v>
      </c>
      <c r="M202" s="23" t="s">
        <v>4777</v>
      </c>
      <c r="N202" s="23" t="s">
        <v>3115</v>
      </c>
      <c r="O202" s="23">
        <v>1</v>
      </c>
      <c r="P202" s="23">
        <v>14300</v>
      </c>
      <c r="Q202" s="23">
        <v>715</v>
      </c>
      <c r="R202" s="23" t="s">
        <v>3153</v>
      </c>
      <c r="S202" s="23" t="s">
        <v>3150</v>
      </c>
      <c r="T202" s="23" t="s">
        <v>118</v>
      </c>
      <c r="V202" s="23" t="s">
        <v>3110</v>
      </c>
      <c r="W202" s="23">
        <v>29150</v>
      </c>
      <c r="X202" s="23">
        <v>550</v>
      </c>
      <c r="Z202" s="23">
        <v>0</v>
      </c>
      <c r="AA202" s="23">
        <v>0</v>
      </c>
      <c r="AB202" s="23">
        <v>0</v>
      </c>
      <c r="AC202" s="23">
        <v>10</v>
      </c>
      <c r="AD202" s="23">
        <v>0</v>
      </c>
      <c r="AE202" s="23">
        <v>0</v>
      </c>
      <c r="AG202" s="23" t="s">
        <v>3101</v>
      </c>
      <c r="AI202" s="25">
        <v>46202</v>
      </c>
      <c r="AK202" s="23" t="s">
        <v>5741</v>
      </c>
      <c r="AL202" s="23">
        <v>518875580370</v>
      </c>
      <c r="AM202" s="23" t="s">
        <v>3102</v>
      </c>
      <c r="AO202" s="23" t="s">
        <v>3102</v>
      </c>
    </row>
    <row r="203" spans="1:42">
      <c r="A203" s="25">
        <v>46198</v>
      </c>
      <c r="B203" s="23" t="s">
        <v>4771</v>
      </c>
      <c r="C203" s="23" t="s">
        <v>4772</v>
      </c>
      <c r="D203" s="23" t="s">
        <v>3108</v>
      </c>
      <c r="E203" s="23" t="s">
        <v>4773</v>
      </c>
      <c r="F203" s="23" t="s">
        <v>4774</v>
      </c>
      <c r="G203" s="23">
        <v>9091565971</v>
      </c>
      <c r="I203" s="23" t="s">
        <v>4775</v>
      </c>
      <c r="J203" s="23" t="s">
        <v>4773</v>
      </c>
      <c r="K203" s="23" t="s">
        <v>4774</v>
      </c>
      <c r="L203" s="23" t="s">
        <v>4776</v>
      </c>
      <c r="M203" s="23" t="s">
        <v>4777</v>
      </c>
      <c r="N203" s="23" t="s">
        <v>3111</v>
      </c>
      <c r="O203" s="23">
        <v>1</v>
      </c>
      <c r="P203" s="23">
        <v>14300</v>
      </c>
      <c r="Q203" s="23">
        <v>715</v>
      </c>
      <c r="R203" s="23" t="s">
        <v>3151</v>
      </c>
      <c r="S203" s="23" t="s">
        <v>3150</v>
      </c>
      <c r="T203" s="23" t="s">
        <v>99</v>
      </c>
      <c r="V203" s="23" t="s">
        <v>3110</v>
      </c>
      <c r="W203" s="23">
        <v>29150</v>
      </c>
      <c r="X203" s="23">
        <v>550</v>
      </c>
      <c r="Z203" s="23">
        <v>0</v>
      </c>
      <c r="AA203" s="23">
        <v>0</v>
      </c>
      <c r="AB203" s="23">
        <v>0</v>
      </c>
      <c r="AC203" s="23">
        <v>10</v>
      </c>
      <c r="AD203" s="23">
        <v>0</v>
      </c>
      <c r="AE203" s="23">
        <v>0</v>
      </c>
      <c r="AG203" s="23" t="s">
        <v>3101</v>
      </c>
      <c r="AI203" s="25">
        <v>46202</v>
      </c>
      <c r="AK203" s="23" t="s">
        <v>5741</v>
      </c>
      <c r="AL203" s="23">
        <v>518875580370</v>
      </c>
      <c r="AM203" s="23" t="s">
        <v>3102</v>
      </c>
      <c r="AO203" s="23" t="s">
        <v>3102</v>
      </c>
    </row>
    <row r="204" spans="1:42">
      <c r="A204" s="25">
        <v>46198</v>
      </c>
      <c r="B204" s="23" t="s">
        <v>4778</v>
      </c>
      <c r="C204" s="23" t="s">
        <v>4779</v>
      </c>
      <c r="D204" s="23" t="s">
        <v>3099</v>
      </c>
      <c r="E204" s="23" t="s">
        <v>4780</v>
      </c>
      <c r="F204" s="23" t="s">
        <v>4781</v>
      </c>
      <c r="G204" s="23">
        <v>8053048505</v>
      </c>
      <c r="I204" s="23" t="s">
        <v>4782</v>
      </c>
      <c r="J204" s="23" t="s">
        <v>4780</v>
      </c>
      <c r="K204" s="23" t="s">
        <v>4781</v>
      </c>
      <c r="L204" s="23" t="s">
        <v>4783</v>
      </c>
      <c r="M204" s="23" t="s">
        <v>4784</v>
      </c>
      <c r="N204" s="23" t="s">
        <v>2627</v>
      </c>
      <c r="O204" s="23">
        <v>1</v>
      </c>
      <c r="P204" s="23">
        <v>4950</v>
      </c>
      <c r="Q204" s="23">
        <v>247</v>
      </c>
      <c r="R204" s="23" t="s">
        <v>3224</v>
      </c>
      <c r="S204" s="23" t="s">
        <v>3225</v>
      </c>
      <c r="T204" s="23" t="s">
        <v>2626</v>
      </c>
      <c r="V204" s="23" t="s">
        <v>3100</v>
      </c>
      <c r="W204" s="23">
        <v>8910</v>
      </c>
      <c r="X204" s="23">
        <v>550</v>
      </c>
      <c r="Z204" s="23">
        <v>330</v>
      </c>
      <c r="AA204" s="23">
        <v>-1320</v>
      </c>
      <c r="AB204" s="23">
        <v>0</v>
      </c>
      <c r="AC204" s="23">
        <v>10</v>
      </c>
      <c r="AD204" s="23">
        <v>0</v>
      </c>
      <c r="AE204" s="23">
        <v>0</v>
      </c>
      <c r="AG204" s="23" t="s">
        <v>3101</v>
      </c>
      <c r="AI204" s="25">
        <v>46202</v>
      </c>
      <c r="AK204" s="23" t="s">
        <v>5742</v>
      </c>
      <c r="AL204" s="23">
        <v>518875580241</v>
      </c>
      <c r="AM204" s="23" t="s">
        <v>3102</v>
      </c>
      <c r="AO204" s="23" t="s">
        <v>3102</v>
      </c>
    </row>
    <row r="205" spans="1:42">
      <c r="A205" s="25">
        <v>46198</v>
      </c>
      <c r="B205" s="23" t="s">
        <v>4778</v>
      </c>
      <c r="C205" s="23" t="s">
        <v>4779</v>
      </c>
      <c r="D205" s="23" t="s">
        <v>3099</v>
      </c>
      <c r="E205" s="23" t="s">
        <v>4780</v>
      </c>
      <c r="F205" s="23" t="s">
        <v>4781</v>
      </c>
      <c r="G205" s="23">
        <v>8053048505</v>
      </c>
      <c r="I205" s="23" t="s">
        <v>4782</v>
      </c>
      <c r="J205" s="23" t="s">
        <v>4780</v>
      </c>
      <c r="K205" s="23" t="s">
        <v>4781</v>
      </c>
      <c r="L205" s="23" t="s">
        <v>4783</v>
      </c>
      <c r="M205" s="23" t="s">
        <v>4784</v>
      </c>
      <c r="N205" s="23" t="s">
        <v>2617</v>
      </c>
      <c r="O205" s="23">
        <v>1</v>
      </c>
      <c r="P205" s="23">
        <v>4400</v>
      </c>
      <c r="Q205" s="23">
        <v>220</v>
      </c>
      <c r="R205" s="23" t="s">
        <v>3226</v>
      </c>
      <c r="S205" s="23" t="s">
        <v>3227</v>
      </c>
      <c r="T205" s="23" t="s">
        <v>2715</v>
      </c>
      <c r="V205" s="23" t="s">
        <v>3100</v>
      </c>
      <c r="W205" s="23">
        <v>8910</v>
      </c>
      <c r="X205" s="23">
        <v>550</v>
      </c>
      <c r="Z205" s="23">
        <v>330</v>
      </c>
      <c r="AA205" s="23">
        <v>-1320</v>
      </c>
      <c r="AB205" s="23">
        <v>0</v>
      </c>
      <c r="AC205" s="23">
        <v>10</v>
      </c>
      <c r="AD205" s="23">
        <v>0</v>
      </c>
      <c r="AE205" s="23">
        <v>0</v>
      </c>
      <c r="AG205" s="23" t="s">
        <v>3101</v>
      </c>
      <c r="AI205" s="25">
        <v>46202</v>
      </c>
      <c r="AK205" s="23" t="s">
        <v>5742</v>
      </c>
      <c r="AL205" s="23">
        <v>518875580241</v>
      </c>
      <c r="AM205" s="23" t="s">
        <v>3102</v>
      </c>
      <c r="AO205" s="23" t="s">
        <v>3102</v>
      </c>
    </row>
    <row r="206" spans="1:42">
      <c r="A206" s="25">
        <v>46198</v>
      </c>
      <c r="B206" s="23" t="s">
        <v>4785</v>
      </c>
      <c r="C206" s="23" t="s">
        <v>4786</v>
      </c>
      <c r="D206" s="23" t="s">
        <v>3103</v>
      </c>
      <c r="E206" s="23" t="s">
        <v>4787</v>
      </c>
      <c r="F206" s="23" t="s">
        <v>4788</v>
      </c>
      <c r="G206" s="23">
        <v>8013292111</v>
      </c>
      <c r="I206" s="23" t="s">
        <v>4789</v>
      </c>
      <c r="J206" s="23" t="s">
        <v>4790</v>
      </c>
      <c r="K206" s="23" t="s">
        <v>4791</v>
      </c>
      <c r="L206" s="23" t="s">
        <v>4792</v>
      </c>
      <c r="M206" s="23" t="s">
        <v>4793</v>
      </c>
      <c r="N206" s="23" t="s">
        <v>73</v>
      </c>
      <c r="O206" s="23">
        <v>1</v>
      </c>
      <c r="P206" s="23">
        <v>3850</v>
      </c>
      <c r="Q206" s="23">
        <v>192</v>
      </c>
      <c r="R206" s="23" t="s">
        <v>3175</v>
      </c>
      <c r="S206" s="23" t="s">
        <v>3176</v>
      </c>
      <c r="T206" s="23" t="s">
        <v>2607</v>
      </c>
      <c r="V206" s="23" t="s">
        <v>3104</v>
      </c>
      <c r="W206" s="23">
        <v>19250</v>
      </c>
      <c r="X206" s="23">
        <v>550</v>
      </c>
      <c r="Z206" s="23">
        <v>0</v>
      </c>
      <c r="AA206" s="23">
        <v>0</v>
      </c>
      <c r="AB206" s="23">
        <v>0</v>
      </c>
      <c r="AC206" s="23">
        <v>10</v>
      </c>
      <c r="AD206" s="23">
        <v>0</v>
      </c>
      <c r="AE206" s="23">
        <v>0</v>
      </c>
      <c r="AG206" s="23" t="s">
        <v>3101</v>
      </c>
      <c r="AI206" s="25">
        <v>46202</v>
      </c>
      <c r="AK206" s="23" t="s">
        <v>5743</v>
      </c>
      <c r="AL206" s="23">
        <v>518875580101</v>
      </c>
      <c r="AM206" s="23" t="s">
        <v>3102</v>
      </c>
      <c r="AO206" s="23" t="s">
        <v>3102</v>
      </c>
    </row>
    <row r="207" spans="1:42">
      <c r="A207" s="25">
        <v>46198</v>
      </c>
      <c r="B207" s="23" t="s">
        <v>4785</v>
      </c>
      <c r="C207" s="23" t="s">
        <v>4786</v>
      </c>
      <c r="D207" s="23" t="s">
        <v>3103</v>
      </c>
      <c r="E207" s="23" t="s">
        <v>4787</v>
      </c>
      <c r="F207" s="23" t="s">
        <v>4788</v>
      </c>
      <c r="G207" s="23">
        <v>8013292111</v>
      </c>
      <c r="I207" s="23" t="s">
        <v>4789</v>
      </c>
      <c r="J207" s="23" t="s">
        <v>4790</v>
      </c>
      <c r="K207" s="23" t="s">
        <v>4791</v>
      </c>
      <c r="L207" s="23" t="s">
        <v>4792</v>
      </c>
      <c r="M207" s="23" t="s">
        <v>4793</v>
      </c>
      <c r="N207" s="23" t="s">
        <v>5302</v>
      </c>
      <c r="O207" s="23">
        <v>1</v>
      </c>
      <c r="P207" s="23">
        <v>550</v>
      </c>
      <c r="Q207" s="23">
        <v>27</v>
      </c>
      <c r="R207" s="23" t="s">
        <v>5303</v>
      </c>
      <c r="S207" s="23" t="s">
        <v>5304</v>
      </c>
      <c r="T207" s="23" t="s">
        <v>5304</v>
      </c>
      <c r="V207" s="23" t="s">
        <v>3104</v>
      </c>
      <c r="W207" s="23">
        <v>19250</v>
      </c>
      <c r="X207" s="23">
        <v>550</v>
      </c>
      <c r="Z207" s="23">
        <v>0</v>
      </c>
      <c r="AA207" s="23">
        <v>0</v>
      </c>
      <c r="AB207" s="23">
        <v>0</v>
      </c>
      <c r="AC207" s="23">
        <v>10</v>
      </c>
      <c r="AD207" s="23">
        <v>0</v>
      </c>
      <c r="AE207" s="23">
        <v>0</v>
      </c>
      <c r="AG207" s="23" t="s">
        <v>3101</v>
      </c>
      <c r="AI207" s="25">
        <v>46202</v>
      </c>
      <c r="AK207" s="23" t="s">
        <v>5743</v>
      </c>
      <c r="AL207" s="23">
        <v>518875580101</v>
      </c>
      <c r="AM207" s="23" t="s">
        <v>3102</v>
      </c>
      <c r="AO207" s="23" t="s">
        <v>3102</v>
      </c>
    </row>
    <row r="208" spans="1:42">
      <c r="A208" s="25">
        <v>46198</v>
      </c>
      <c r="B208" s="23" t="s">
        <v>4785</v>
      </c>
      <c r="C208" s="23" t="s">
        <v>4786</v>
      </c>
      <c r="D208" s="23" t="s">
        <v>3103</v>
      </c>
      <c r="E208" s="23" t="s">
        <v>4787</v>
      </c>
      <c r="F208" s="23" t="s">
        <v>4788</v>
      </c>
      <c r="G208" s="23">
        <v>8013292111</v>
      </c>
      <c r="I208" s="23" t="s">
        <v>4789</v>
      </c>
      <c r="J208" s="23" t="s">
        <v>4790</v>
      </c>
      <c r="K208" s="23" t="s">
        <v>4791</v>
      </c>
      <c r="L208" s="23" t="s">
        <v>4792</v>
      </c>
      <c r="M208" s="23" t="s">
        <v>4793</v>
      </c>
      <c r="N208" s="23" t="s">
        <v>3222</v>
      </c>
      <c r="O208" s="23">
        <v>1</v>
      </c>
      <c r="P208" s="23">
        <v>14300</v>
      </c>
      <c r="Q208" s="23">
        <v>715</v>
      </c>
      <c r="R208" s="23" t="s">
        <v>3223</v>
      </c>
      <c r="S208" s="23" t="s">
        <v>3150</v>
      </c>
      <c r="T208" s="23" t="s">
        <v>2985</v>
      </c>
      <c r="V208" s="23" t="s">
        <v>3104</v>
      </c>
      <c r="W208" s="23">
        <v>19250</v>
      </c>
      <c r="X208" s="23">
        <v>550</v>
      </c>
      <c r="Z208" s="23">
        <v>0</v>
      </c>
      <c r="AA208" s="23">
        <v>0</v>
      </c>
      <c r="AB208" s="23">
        <v>0</v>
      </c>
      <c r="AC208" s="23">
        <v>10</v>
      </c>
      <c r="AD208" s="23">
        <v>0</v>
      </c>
      <c r="AE208" s="23">
        <v>0</v>
      </c>
      <c r="AG208" s="23" t="s">
        <v>3101</v>
      </c>
      <c r="AI208" s="25">
        <v>46202</v>
      </c>
      <c r="AK208" s="23" t="s">
        <v>5743</v>
      </c>
      <c r="AL208" s="23">
        <v>518875580101</v>
      </c>
      <c r="AM208" s="23" t="s">
        <v>3102</v>
      </c>
      <c r="AO208" s="23" t="s">
        <v>3102</v>
      </c>
    </row>
    <row r="209" spans="1:42">
      <c r="A209" s="25">
        <v>46198</v>
      </c>
      <c r="B209" s="23" t="s">
        <v>4794</v>
      </c>
      <c r="C209" s="23" t="s">
        <v>4795</v>
      </c>
      <c r="D209" s="23" t="s">
        <v>3108</v>
      </c>
      <c r="E209" s="23" t="s">
        <v>4796</v>
      </c>
      <c r="F209" s="23" t="s">
        <v>4797</v>
      </c>
      <c r="G209" s="23">
        <v>8066564841</v>
      </c>
      <c r="I209" s="23" t="s">
        <v>4798</v>
      </c>
      <c r="J209" s="23" t="s">
        <v>4796</v>
      </c>
      <c r="K209" s="23" t="s">
        <v>4797</v>
      </c>
      <c r="L209" s="23" t="s">
        <v>4799</v>
      </c>
      <c r="M209" s="23" t="s">
        <v>4800</v>
      </c>
      <c r="N209" s="23" t="s">
        <v>3109</v>
      </c>
      <c r="O209" s="23">
        <v>1</v>
      </c>
      <c r="P209" s="23">
        <v>14300</v>
      </c>
      <c r="Q209" s="23">
        <v>715</v>
      </c>
      <c r="R209" s="23" t="s">
        <v>3166</v>
      </c>
      <c r="S209" s="23" t="s">
        <v>3150</v>
      </c>
      <c r="T209" s="23" t="s">
        <v>2976</v>
      </c>
      <c r="V209" s="23" t="s">
        <v>3110</v>
      </c>
      <c r="W209" s="23">
        <v>14850</v>
      </c>
      <c r="X209" s="23">
        <v>550</v>
      </c>
      <c r="Z209" s="23">
        <v>0</v>
      </c>
      <c r="AA209" s="23">
        <v>0</v>
      </c>
      <c r="AB209" s="23">
        <v>0</v>
      </c>
      <c r="AC209" s="23">
        <v>10</v>
      </c>
      <c r="AD209" s="23">
        <v>0</v>
      </c>
      <c r="AE209" s="23">
        <v>0</v>
      </c>
      <c r="AG209" s="23" t="s">
        <v>3101</v>
      </c>
      <c r="AI209" s="25">
        <v>46202</v>
      </c>
      <c r="AK209" s="23" t="s">
        <v>5744</v>
      </c>
      <c r="AL209" s="23">
        <v>518875580366</v>
      </c>
      <c r="AM209" s="23" t="s">
        <v>3102</v>
      </c>
      <c r="AO209" s="23" t="s">
        <v>3102</v>
      </c>
    </row>
    <row r="210" spans="1:42">
      <c r="A210" s="25">
        <v>46198</v>
      </c>
      <c r="B210" s="23" t="s">
        <v>4801</v>
      </c>
      <c r="C210" s="23" t="s">
        <v>4802</v>
      </c>
      <c r="D210" s="23" t="s">
        <v>3103</v>
      </c>
      <c r="E210" s="23" t="s">
        <v>4803</v>
      </c>
      <c r="F210" s="23" t="s">
        <v>4804</v>
      </c>
      <c r="G210" s="23">
        <v>8069958999</v>
      </c>
      <c r="I210" s="23" t="s">
        <v>4805</v>
      </c>
      <c r="J210" s="23" t="s">
        <v>4803</v>
      </c>
      <c r="K210" s="23" t="s">
        <v>4804</v>
      </c>
      <c r="L210" s="23" t="s">
        <v>4806</v>
      </c>
      <c r="M210" s="23" t="s">
        <v>4807</v>
      </c>
      <c r="N210" s="23" t="s">
        <v>3034</v>
      </c>
      <c r="O210" s="23">
        <v>1</v>
      </c>
      <c r="P210" s="23">
        <v>8800</v>
      </c>
      <c r="Q210" s="23">
        <v>440</v>
      </c>
      <c r="R210" s="23" t="s">
        <v>3160</v>
      </c>
      <c r="S210" s="23" t="s">
        <v>3161</v>
      </c>
      <c r="T210" s="23" t="s">
        <v>3744</v>
      </c>
      <c r="V210" s="23" t="s">
        <v>3104</v>
      </c>
      <c r="W210" s="23">
        <v>9350</v>
      </c>
      <c r="X210" s="23">
        <v>550</v>
      </c>
      <c r="Z210" s="23">
        <v>0</v>
      </c>
      <c r="AA210" s="23">
        <v>0</v>
      </c>
      <c r="AB210" s="23">
        <v>0</v>
      </c>
      <c r="AC210" s="23">
        <v>10</v>
      </c>
      <c r="AD210" s="23">
        <v>0</v>
      </c>
      <c r="AE210" s="23">
        <v>0</v>
      </c>
      <c r="AG210" s="23" t="s">
        <v>3101</v>
      </c>
      <c r="AI210" s="25">
        <v>46202</v>
      </c>
      <c r="AK210" s="23" t="s">
        <v>5745</v>
      </c>
      <c r="AL210" s="23">
        <v>518875580274</v>
      </c>
      <c r="AM210" s="23" t="s">
        <v>3102</v>
      </c>
      <c r="AO210" s="23" t="s">
        <v>3102</v>
      </c>
    </row>
    <row r="211" spans="1:42">
      <c r="A211" s="25">
        <v>46198</v>
      </c>
      <c r="B211" s="23" t="s">
        <v>4808</v>
      </c>
      <c r="C211" s="23" t="s">
        <v>4809</v>
      </c>
      <c r="D211" s="23" t="s">
        <v>3105</v>
      </c>
      <c r="E211" s="23" t="s">
        <v>4810</v>
      </c>
      <c r="F211" s="23" t="s">
        <v>4811</v>
      </c>
      <c r="G211" s="23">
        <v>9042681268</v>
      </c>
      <c r="I211" s="23" t="s">
        <v>4812</v>
      </c>
      <c r="J211" s="23" t="s">
        <v>4810</v>
      </c>
      <c r="K211" s="23" t="s">
        <v>4811</v>
      </c>
      <c r="L211" s="23" t="s">
        <v>4813</v>
      </c>
      <c r="M211" s="23" t="s">
        <v>4814</v>
      </c>
      <c r="N211" s="23" t="s">
        <v>3111</v>
      </c>
      <c r="O211" s="23">
        <v>1</v>
      </c>
      <c r="P211" s="23">
        <v>14300</v>
      </c>
      <c r="Q211" s="23">
        <v>715</v>
      </c>
      <c r="R211" s="23" t="s">
        <v>3151</v>
      </c>
      <c r="S211" s="23" t="s">
        <v>3150</v>
      </c>
      <c r="T211" s="23" t="s">
        <v>99</v>
      </c>
      <c r="V211" s="23" t="s">
        <v>3106</v>
      </c>
      <c r="W211" s="23">
        <v>14850</v>
      </c>
      <c r="X211" s="23">
        <v>550</v>
      </c>
      <c r="Z211" s="23">
        <v>0</v>
      </c>
      <c r="AA211" s="23">
        <v>0</v>
      </c>
      <c r="AB211" s="23">
        <v>0</v>
      </c>
      <c r="AC211" s="23">
        <v>10</v>
      </c>
      <c r="AD211" s="23">
        <v>0</v>
      </c>
      <c r="AE211" s="23">
        <v>0</v>
      </c>
      <c r="AG211" s="23" t="s">
        <v>3101</v>
      </c>
      <c r="AI211" s="25">
        <v>46202</v>
      </c>
      <c r="AK211" s="23" t="s">
        <v>5746</v>
      </c>
      <c r="AL211" s="23">
        <v>518875580344</v>
      </c>
      <c r="AM211" s="23" t="s">
        <v>3102</v>
      </c>
      <c r="AO211" s="23" t="s">
        <v>3102</v>
      </c>
    </row>
    <row r="212" spans="1:42">
      <c r="A212" s="25">
        <v>46198</v>
      </c>
      <c r="B212" s="23" t="s">
        <v>4815</v>
      </c>
      <c r="C212" s="23" t="s">
        <v>4816</v>
      </c>
      <c r="D212" s="23" t="s">
        <v>3103</v>
      </c>
      <c r="E212" s="23" t="s">
        <v>4817</v>
      </c>
      <c r="F212" s="23" t="s">
        <v>4818</v>
      </c>
      <c r="G212" s="23">
        <v>9069032111</v>
      </c>
      <c r="I212" s="23" t="s">
        <v>4819</v>
      </c>
      <c r="J212" s="23" t="s">
        <v>4817</v>
      </c>
      <c r="K212" s="23" t="s">
        <v>4818</v>
      </c>
      <c r="L212" s="23" t="s">
        <v>4820</v>
      </c>
      <c r="M212" s="23" t="s">
        <v>4821</v>
      </c>
      <c r="N212" s="23" t="s">
        <v>3116</v>
      </c>
      <c r="O212" s="23">
        <v>1</v>
      </c>
      <c r="P212" s="23">
        <v>14300</v>
      </c>
      <c r="Q212" s="23">
        <v>715</v>
      </c>
      <c r="R212" s="23" t="s">
        <v>3162</v>
      </c>
      <c r="S212" s="23" t="s">
        <v>3150</v>
      </c>
      <c r="T212" s="23" t="s">
        <v>107</v>
      </c>
      <c r="V212" s="23" t="s">
        <v>3104</v>
      </c>
      <c r="W212" s="23">
        <v>14850</v>
      </c>
      <c r="X212" s="23">
        <v>550</v>
      </c>
      <c r="Z212" s="23">
        <v>0</v>
      </c>
      <c r="AA212" s="23">
        <v>0</v>
      </c>
      <c r="AB212" s="23">
        <v>0</v>
      </c>
      <c r="AC212" s="23">
        <v>10</v>
      </c>
      <c r="AD212" s="23">
        <v>0</v>
      </c>
      <c r="AE212" s="23">
        <v>0</v>
      </c>
      <c r="AG212" s="23" t="s">
        <v>3101</v>
      </c>
      <c r="AI212" s="25">
        <v>46202</v>
      </c>
      <c r="AK212" s="23" t="s">
        <v>5747</v>
      </c>
      <c r="AL212" s="23">
        <v>518875580322</v>
      </c>
      <c r="AM212" s="23" t="s">
        <v>3102</v>
      </c>
      <c r="AO212" s="23" t="s">
        <v>3102</v>
      </c>
    </row>
    <row r="213" spans="1:42">
      <c r="A213" s="25">
        <v>46198</v>
      </c>
      <c r="B213" s="23" t="s">
        <v>4822</v>
      </c>
      <c r="C213" s="23" t="s">
        <v>4823</v>
      </c>
      <c r="D213" s="23" t="s">
        <v>3103</v>
      </c>
      <c r="E213" s="23" t="s">
        <v>4824</v>
      </c>
      <c r="F213" s="23" t="s">
        <v>4825</v>
      </c>
      <c r="G213" s="23">
        <v>9034504036</v>
      </c>
      <c r="I213" s="23" t="s">
        <v>4826</v>
      </c>
      <c r="J213" s="23" t="s">
        <v>4824</v>
      </c>
      <c r="K213" s="23" t="s">
        <v>4825</v>
      </c>
      <c r="L213" s="23" t="s">
        <v>4827</v>
      </c>
      <c r="M213" s="23" t="s">
        <v>4828</v>
      </c>
      <c r="N213" s="23" t="s">
        <v>3109</v>
      </c>
      <c r="O213" s="23">
        <v>1</v>
      </c>
      <c r="P213" s="23">
        <v>14300</v>
      </c>
      <c r="Q213" s="23">
        <v>715</v>
      </c>
      <c r="R213" s="23" t="s">
        <v>3166</v>
      </c>
      <c r="S213" s="23" t="s">
        <v>3150</v>
      </c>
      <c r="T213" s="23" t="s">
        <v>2976</v>
      </c>
      <c r="V213" s="23" t="s">
        <v>3104</v>
      </c>
      <c r="W213" s="23">
        <v>14850</v>
      </c>
      <c r="X213" s="23">
        <v>550</v>
      </c>
      <c r="Z213" s="23">
        <v>0</v>
      </c>
      <c r="AA213" s="23">
        <v>0</v>
      </c>
      <c r="AB213" s="23">
        <v>0</v>
      </c>
      <c r="AC213" s="23">
        <v>10</v>
      </c>
      <c r="AD213" s="23">
        <v>0</v>
      </c>
      <c r="AE213" s="23">
        <v>0</v>
      </c>
      <c r="AG213" s="23" t="s">
        <v>3101</v>
      </c>
      <c r="AI213" s="25">
        <v>46202</v>
      </c>
      <c r="AK213" s="23" t="s">
        <v>5748</v>
      </c>
      <c r="AL213" s="23">
        <v>518875580311</v>
      </c>
      <c r="AM213" s="23" t="s">
        <v>3102</v>
      </c>
      <c r="AO213" s="23" t="s">
        <v>3102</v>
      </c>
    </row>
    <row r="214" spans="1:42">
      <c r="A214" s="25">
        <v>46198</v>
      </c>
      <c r="B214" s="23" t="s">
        <v>4829</v>
      </c>
      <c r="C214" s="23" t="s">
        <v>4830</v>
      </c>
      <c r="D214" s="23" t="s">
        <v>3108</v>
      </c>
      <c r="E214" s="23" t="s">
        <v>4831</v>
      </c>
      <c r="F214" s="23" t="s">
        <v>4832</v>
      </c>
      <c r="G214" s="23">
        <v>9058294835</v>
      </c>
      <c r="I214" s="23" t="s">
        <v>4833</v>
      </c>
      <c r="J214" s="23" t="s">
        <v>4831</v>
      </c>
      <c r="K214" s="23" t="s">
        <v>4832</v>
      </c>
      <c r="L214" s="23" t="s">
        <v>4834</v>
      </c>
      <c r="M214" s="23" t="s">
        <v>4835</v>
      </c>
      <c r="N214" s="23" t="s">
        <v>3116</v>
      </c>
      <c r="O214" s="23">
        <v>1</v>
      </c>
      <c r="P214" s="23">
        <v>14300</v>
      </c>
      <c r="Q214" s="23">
        <v>715</v>
      </c>
      <c r="R214" s="23" t="s">
        <v>3162</v>
      </c>
      <c r="S214" s="23" t="s">
        <v>3150</v>
      </c>
      <c r="T214" s="23" t="s">
        <v>107</v>
      </c>
      <c r="V214" s="23" t="s">
        <v>3110</v>
      </c>
      <c r="W214" s="23">
        <v>14850</v>
      </c>
      <c r="X214" s="23">
        <v>550</v>
      </c>
      <c r="Z214" s="23">
        <v>0</v>
      </c>
      <c r="AA214" s="23">
        <v>0</v>
      </c>
      <c r="AB214" s="23">
        <v>0</v>
      </c>
      <c r="AC214" s="23">
        <v>10</v>
      </c>
      <c r="AD214" s="23">
        <v>0</v>
      </c>
      <c r="AE214" s="23">
        <v>0</v>
      </c>
      <c r="AG214" s="23" t="s">
        <v>3101</v>
      </c>
      <c r="AI214" s="25">
        <v>46202</v>
      </c>
      <c r="AK214" s="23" t="s">
        <v>5749</v>
      </c>
      <c r="AL214" s="23">
        <v>518875580333</v>
      </c>
      <c r="AM214" s="23" t="s">
        <v>3102</v>
      </c>
      <c r="AO214" s="23" t="s">
        <v>3102</v>
      </c>
    </row>
    <row r="215" spans="1:42">
      <c r="A215" s="25">
        <v>46198</v>
      </c>
      <c r="B215" s="23" t="s">
        <v>4836</v>
      </c>
      <c r="C215" s="23" t="s">
        <v>4837</v>
      </c>
      <c r="D215" s="23" t="s">
        <v>3105</v>
      </c>
      <c r="E215" s="23" t="s">
        <v>4838</v>
      </c>
      <c r="F215" s="23" t="s">
        <v>4839</v>
      </c>
      <c r="G215" s="23">
        <v>9018418988</v>
      </c>
      <c r="I215" s="23" t="s">
        <v>4840</v>
      </c>
      <c r="J215" s="23" t="s">
        <v>4838</v>
      </c>
      <c r="K215" s="23" t="s">
        <v>4839</v>
      </c>
      <c r="L215" s="23" t="s">
        <v>4841</v>
      </c>
      <c r="M215" s="23" t="s">
        <v>4842</v>
      </c>
      <c r="N215" s="23" t="s">
        <v>3111</v>
      </c>
      <c r="O215" s="23">
        <v>1</v>
      </c>
      <c r="P215" s="23">
        <v>14300</v>
      </c>
      <c r="Q215" s="23">
        <v>715</v>
      </c>
      <c r="R215" s="23" t="s">
        <v>3151</v>
      </c>
      <c r="S215" s="23" t="s">
        <v>3150</v>
      </c>
      <c r="T215" s="23" t="s">
        <v>99</v>
      </c>
      <c r="V215" s="23" t="s">
        <v>3106</v>
      </c>
      <c r="W215" s="23">
        <v>14850</v>
      </c>
      <c r="X215" s="23">
        <v>550</v>
      </c>
      <c r="Z215" s="23">
        <v>0</v>
      </c>
      <c r="AA215" s="23">
        <v>0</v>
      </c>
      <c r="AB215" s="23">
        <v>0</v>
      </c>
      <c r="AC215" s="23">
        <v>10</v>
      </c>
      <c r="AD215" s="23">
        <v>0</v>
      </c>
      <c r="AE215" s="23">
        <v>0</v>
      </c>
      <c r="AG215" s="23" t="s">
        <v>3101</v>
      </c>
      <c r="AI215" s="25">
        <v>46202</v>
      </c>
      <c r="AK215" s="23" t="s">
        <v>5750</v>
      </c>
      <c r="AL215" s="23">
        <v>518875580355</v>
      </c>
      <c r="AM215" s="23" t="s">
        <v>3102</v>
      </c>
      <c r="AO215" s="23" t="s">
        <v>3102</v>
      </c>
    </row>
    <row r="216" spans="1:42">
      <c r="A216" s="25">
        <v>46198</v>
      </c>
      <c r="B216" s="23" t="s">
        <v>4843</v>
      </c>
      <c r="C216" s="23" t="s">
        <v>4844</v>
      </c>
      <c r="D216" s="23" t="s">
        <v>3105</v>
      </c>
      <c r="E216" s="23" t="s">
        <v>4845</v>
      </c>
      <c r="F216" s="23" t="s">
        <v>4846</v>
      </c>
      <c r="G216" s="23">
        <v>9071392232</v>
      </c>
      <c r="I216" s="23" t="s">
        <v>4847</v>
      </c>
      <c r="J216" s="23" t="s">
        <v>4845</v>
      </c>
      <c r="K216" s="23" t="s">
        <v>4846</v>
      </c>
      <c r="L216" s="23" t="s">
        <v>4848</v>
      </c>
      <c r="M216" s="23" t="s">
        <v>4849</v>
      </c>
      <c r="N216" s="23" t="s">
        <v>3109</v>
      </c>
      <c r="O216" s="23">
        <v>1</v>
      </c>
      <c r="P216" s="23">
        <v>14300</v>
      </c>
      <c r="Q216" s="23">
        <v>715</v>
      </c>
      <c r="R216" s="23" t="s">
        <v>3166</v>
      </c>
      <c r="S216" s="23" t="s">
        <v>3150</v>
      </c>
      <c r="T216" s="23" t="s">
        <v>2976</v>
      </c>
      <c r="V216" s="23" t="s">
        <v>3106</v>
      </c>
      <c r="W216" s="23">
        <v>14850</v>
      </c>
      <c r="X216" s="23">
        <v>550</v>
      </c>
      <c r="Z216" s="23">
        <v>0</v>
      </c>
      <c r="AA216" s="23">
        <v>0</v>
      </c>
      <c r="AB216" s="23">
        <v>0</v>
      </c>
      <c r="AC216" s="23">
        <v>10</v>
      </c>
      <c r="AD216" s="23">
        <v>0</v>
      </c>
      <c r="AE216" s="23">
        <v>0</v>
      </c>
      <c r="AG216" s="23" t="s">
        <v>3101</v>
      </c>
      <c r="AI216" s="25">
        <v>46202</v>
      </c>
      <c r="AK216" s="23" t="s">
        <v>5751</v>
      </c>
      <c r="AL216" s="23">
        <v>518875580285</v>
      </c>
      <c r="AM216" s="23" t="s">
        <v>3102</v>
      </c>
      <c r="AO216" s="23" t="s">
        <v>3102</v>
      </c>
    </row>
    <row r="217" spans="1:42">
      <c r="A217" s="25">
        <v>46198</v>
      </c>
      <c r="B217" s="23" t="s">
        <v>4850</v>
      </c>
      <c r="C217" s="23" t="s">
        <v>4851</v>
      </c>
      <c r="D217" s="23" t="s">
        <v>3108</v>
      </c>
      <c r="E217" s="23" t="s">
        <v>4852</v>
      </c>
      <c r="F217" s="23" t="s">
        <v>4853</v>
      </c>
      <c r="G217" s="23">
        <v>8013550430</v>
      </c>
      <c r="I217" s="23" t="s">
        <v>4854</v>
      </c>
      <c r="J217" s="23" t="s">
        <v>4852</v>
      </c>
      <c r="K217" s="23" t="s">
        <v>4853</v>
      </c>
      <c r="L217" s="23" t="s">
        <v>4855</v>
      </c>
      <c r="M217" s="23" t="s">
        <v>4856</v>
      </c>
      <c r="N217" s="23" t="s">
        <v>3222</v>
      </c>
      <c r="O217" s="23">
        <v>1</v>
      </c>
      <c r="P217" s="23">
        <v>14300</v>
      </c>
      <c r="Q217" s="23">
        <v>715</v>
      </c>
      <c r="R217" s="23" t="s">
        <v>3223</v>
      </c>
      <c r="S217" s="23" t="s">
        <v>3150</v>
      </c>
      <c r="T217" s="23" t="s">
        <v>2985</v>
      </c>
      <c r="V217" s="23" t="s">
        <v>3110</v>
      </c>
      <c r="W217" s="23">
        <v>14850</v>
      </c>
      <c r="X217" s="23">
        <v>550</v>
      </c>
      <c r="Z217" s="23">
        <v>0</v>
      </c>
      <c r="AA217" s="23">
        <v>0</v>
      </c>
      <c r="AB217" s="23">
        <v>0</v>
      </c>
      <c r="AC217" s="23">
        <v>10</v>
      </c>
      <c r="AD217" s="23">
        <v>0</v>
      </c>
      <c r="AE217" s="23">
        <v>0</v>
      </c>
      <c r="AG217" s="23" t="s">
        <v>3101</v>
      </c>
      <c r="AI217" s="25">
        <v>46202</v>
      </c>
      <c r="AK217" s="23" t="s">
        <v>5752</v>
      </c>
      <c r="AL217" s="23">
        <v>518875580381</v>
      </c>
      <c r="AM217" s="23" t="s">
        <v>3102</v>
      </c>
      <c r="AO217" s="23" t="s">
        <v>3102</v>
      </c>
      <c r="AP217" s="23" t="s">
        <v>4857</v>
      </c>
    </row>
    <row r="218" spans="1:42">
      <c r="A218" s="25">
        <v>46198</v>
      </c>
      <c r="B218" s="23" t="s">
        <v>4858</v>
      </c>
      <c r="C218" s="23" t="s">
        <v>4859</v>
      </c>
      <c r="D218" s="23" t="s">
        <v>3108</v>
      </c>
      <c r="E218" s="23" t="s">
        <v>4860</v>
      </c>
      <c r="F218" s="23" t="s">
        <v>4861</v>
      </c>
      <c r="G218" s="23">
        <v>9073493634</v>
      </c>
      <c r="I218" s="23" t="s">
        <v>4862</v>
      </c>
      <c r="J218" s="23" t="s">
        <v>4860</v>
      </c>
      <c r="K218" s="23" t="s">
        <v>4861</v>
      </c>
      <c r="L218" s="23" t="s">
        <v>4863</v>
      </c>
      <c r="M218" s="23" t="s">
        <v>4864</v>
      </c>
      <c r="N218" s="23" t="s">
        <v>3118</v>
      </c>
      <c r="O218" s="23">
        <v>1</v>
      </c>
      <c r="P218" s="23">
        <v>14300</v>
      </c>
      <c r="Q218" s="23">
        <v>715</v>
      </c>
      <c r="R218" s="23" t="s">
        <v>3170</v>
      </c>
      <c r="S218" s="23" t="s">
        <v>3150</v>
      </c>
      <c r="T218" s="23" t="s">
        <v>1555</v>
      </c>
      <c r="V218" s="23" t="s">
        <v>3110</v>
      </c>
      <c r="W218" s="23">
        <v>14850</v>
      </c>
      <c r="X218" s="23">
        <v>550</v>
      </c>
      <c r="Z218" s="23">
        <v>0</v>
      </c>
      <c r="AA218" s="23">
        <v>0</v>
      </c>
      <c r="AB218" s="23">
        <v>0</v>
      </c>
      <c r="AC218" s="23">
        <v>10</v>
      </c>
      <c r="AD218" s="23">
        <v>0</v>
      </c>
      <c r="AE218" s="23">
        <v>0</v>
      </c>
      <c r="AG218" s="23" t="s">
        <v>3101</v>
      </c>
      <c r="AI218" s="25">
        <v>46202</v>
      </c>
      <c r="AK218" s="23" t="s">
        <v>5753</v>
      </c>
      <c r="AL218" s="23">
        <v>518875580182</v>
      </c>
      <c r="AM218" s="23" t="s">
        <v>3102</v>
      </c>
      <c r="AO218" s="23" t="s">
        <v>3102</v>
      </c>
    </row>
    <row r="219" spans="1:42">
      <c r="A219" s="25">
        <v>46198</v>
      </c>
      <c r="B219" s="23" t="s">
        <v>4865</v>
      </c>
      <c r="C219" s="23" t="s">
        <v>4866</v>
      </c>
      <c r="D219" s="23" t="s">
        <v>3103</v>
      </c>
      <c r="E219" s="23" t="s">
        <v>4867</v>
      </c>
      <c r="F219" s="23" t="s">
        <v>4868</v>
      </c>
      <c r="G219" s="23">
        <v>488574340</v>
      </c>
      <c r="I219" s="23" t="s">
        <v>4869</v>
      </c>
      <c r="J219" s="23" t="s">
        <v>4867</v>
      </c>
      <c r="K219" s="23" t="s">
        <v>4868</v>
      </c>
      <c r="L219" s="23" t="s">
        <v>4870</v>
      </c>
      <c r="M219" s="23" t="s">
        <v>4871</v>
      </c>
      <c r="N219" s="23" t="s">
        <v>3143</v>
      </c>
      <c r="O219" s="23">
        <v>1</v>
      </c>
      <c r="P219" s="23">
        <v>14300</v>
      </c>
      <c r="Q219" s="23">
        <v>715</v>
      </c>
      <c r="R219" s="23" t="s">
        <v>3152</v>
      </c>
      <c r="S219" s="23" t="s">
        <v>3150</v>
      </c>
      <c r="T219" s="23" t="s">
        <v>2969</v>
      </c>
      <c r="V219" s="23" t="s">
        <v>3104</v>
      </c>
      <c r="W219" s="23">
        <v>14850</v>
      </c>
      <c r="X219" s="23">
        <v>550</v>
      </c>
      <c r="Z219" s="23">
        <v>0</v>
      </c>
      <c r="AA219" s="23">
        <v>0</v>
      </c>
      <c r="AB219" s="23">
        <v>0</v>
      </c>
      <c r="AC219" s="23">
        <v>10</v>
      </c>
      <c r="AD219" s="23">
        <v>0</v>
      </c>
      <c r="AE219" s="23">
        <v>0</v>
      </c>
      <c r="AG219" s="23" t="s">
        <v>3101</v>
      </c>
      <c r="AI219" s="25">
        <v>46202</v>
      </c>
      <c r="AK219" s="23" t="s">
        <v>5754</v>
      </c>
      <c r="AL219" s="23">
        <v>518875580252</v>
      </c>
      <c r="AM219" s="23" t="s">
        <v>3102</v>
      </c>
      <c r="AO219" s="23" t="s">
        <v>3102</v>
      </c>
    </row>
    <row r="220" spans="1:42">
      <c r="A220" s="25">
        <v>46198</v>
      </c>
      <c r="B220" s="23" t="s">
        <v>4872</v>
      </c>
      <c r="C220" s="23" t="s">
        <v>4873</v>
      </c>
      <c r="D220" s="23" t="s">
        <v>5628</v>
      </c>
      <c r="E220" s="23" t="s">
        <v>4083</v>
      </c>
      <c r="F220" s="23">
        <v>9028724636</v>
      </c>
      <c r="G220" s="23">
        <v>9028724636</v>
      </c>
      <c r="I220" s="23" t="s">
        <v>4084</v>
      </c>
      <c r="J220" s="23" t="s">
        <v>4083</v>
      </c>
      <c r="K220" s="23">
        <v>9028724636</v>
      </c>
      <c r="L220" s="23" t="s">
        <v>4085</v>
      </c>
      <c r="M220" s="23" t="s">
        <v>4086</v>
      </c>
      <c r="N220" s="23" t="s">
        <v>4874</v>
      </c>
      <c r="O220" s="23">
        <v>1</v>
      </c>
      <c r="P220" s="23">
        <v>6050</v>
      </c>
      <c r="Q220" s="23">
        <v>5</v>
      </c>
      <c r="R220" s="23" t="s">
        <v>4875</v>
      </c>
      <c r="S220" s="23" t="s">
        <v>4876</v>
      </c>
      <c r="T220" s="23" t="s">
        <v>4877</v>
      </c>
      <c r="V220" s="23" t="s">
        <v>3119</v>
      </c>
      <c r="W220" s="23">
        <v>6050</v>
      </c>
      <c r="X220" s="23">
        <v>0</v>
      </c>
      <c r="Z220" s="23">
        <v>0</v>
      </c>
      <c r="AA220" s="23">
        <v>0</v>
      </c>
      <c r="AB220" s="23">
        <v>0</v>
      </c>
      <c r="AC220" s="23">
        <v>10</v>
      </c>
      <c r="AD220" s="23">
        <v>0</v>
      </c>
      <c r="AE220" s="23">
        <v>0</v>
      </c>
      <c r="AG220" s="23" t="s">
        <v>3120</v>
      </c>
      <c r="AI220" s="25">
        <v>46202</v>
      </c>
      <c r="AK220" s="23" t="s">
        <v>5755</v>
      </c>
      <c r="AL220" s="23">
        <v>518875580193</v>
      </c>
      <c r="AM220" s="23" t="s">
        <v>3102</v>
      </c>
      <c r="AO220" s="23" t="s">
        <v>3102</v>
      </c>
    </row>
    <row r="221" spans="1:42">
      <c r="A221" s="23">
        <v>46198</v>
      </c>
      <c r="B221" s="23" t="s">
        <v>4878</v>
      </c>
      <c r="C221" s="23" t="s">
        <v>4879</v>
      </c>
      <c r="D221" s="23" t="s">
        <v>3108</v>
      </c>
      <c r="E221" s="23" t="s">
        <v>4880</v>
      </c>
      <c r="F221" s="23" t="s">
        <v>4881</v>
      </c>
      <c r="G221" s="23">
        <v>8083538097</v>
      </c>
      <c r="I221" s="23" t="s">
        <v>4882</v>
      </c>
      <c r="J221" s="23" t="s">
        <v>4880</v>
      </c>
      <c r="K221" s="23" t="s">
        <v>4881</v>
      </c>
      <c r="L221" s="23" t="s">
        <v>4883</v>
      </c>
      <c r="M221" s="23" t="s">
        <v>4884</v>
      </c>
      <c r="N221" s="23" t="s">
        <v>852</v>
      </c>
      <c r="O221" s="23">
        <v>1</v>
      </c>
      <c r="P221" s="23">
        <v>19800</v>
      </c>
      <c r="Q221" s="23">
        <v>990</v>
      </c>
      <c r="R221" s="23" t="s">
        <v>4885</v>
      </c>
      <c r="S221" s="23" t="s">
        <v>4886</v>
      </c>
      <c r="T221" s="23" t="s">
        <v>4887</v>
      </c>
      <c r="V221" s="23" t="s">
        <v>3110</v>
      </c>
      <c r="W221" s="23">
        <v>20350</v>
      </c>
      <c r="X221" s="23">
        <v>550</v>
      </c>
      <c r="Z221" s="23">
        <v>0</v>
      </c>
      <c r="AA221" s="23">
        <v>0</v>
      </c>
      <c r="AB221" s="23">
        <v>0</v>
      </c>
      <c r="AC221" s="23">
        <v>10</v>
      </c>
      <c r="AD221" s="23">
        <v>0</v>
      </c>
      <c r="AE221" s="23">
        <v>0</v>
      </c>
      <c r="AG221" s="23" t="s">
        <v>3101</v>
      </c>
      <c r="AI221" s="23">
        <v>46202</v>
      </c>
      <c r="AK221" s="23" t="s">
        <v>5756</v>
      </c>
      <c r="AL221" s="23">
        <v>518875580134</v>
      </c>
      <c r="AM221" s="23" t="s">
        <v>3102</v>
      </c>
      <c r="AO221" s="23" t="s">
        <v>3102</v>
      </c>
    </row>
    <row r="222" spans="1:42">
      <c r="A222" s="23">
        <v>46198</v>
      </c>
      <c r="B222" s="23" t="s">
        <v>4888</v>
      </c>
      <c r="C222" s="23" t="s">
        <v>4889</v>
      </c>
      <c r="D222" s="23" t="s">
        <v>3103</v>
      </c>
      <c r="E222" s="23" t="s">
        <v>4890</v>
      </c>
      <c r="F222" s="23" t="s">
        <v>4891</v>
      </c>
      <c r="G222" s="23">
        <v>9042138111</v>
      </c>
      <c r="I222" s="23" t="s">
        <v>4892</v>
      </c>
      <c r="J222" s="23" t="s">
        <v>4890</v>
      </c>
      <c r="K222" s="23" t="s">
        <v>4891</v>
      </c>
      <c r="L222" s="23" t="s">
        <v>4893</v>
      </c>
      <c r="M222" s="23" t="s">
        <v>4894</v>
      </c>
      <c r="N222" s="23" t="s">
        <v>3232</v>
      </c>
      <c r="O222" s="23">
        <v>1</v>
      </c>
      <c r="P222" s="23">
        <v>13200</v>
      </c>
      <c r="Q222" s="23">
        <v>660</v>
      </c>
      <c r="R222" s="23" t="s">
        <v>3233</v>
      </c>
      <c r="S222" s="23" t="s">
        <v>3158</v>
      </c>
      <c r="T222" s="23" t="s">
        <v>3211</v>
      </c>
      <c r="V222" s="23" t="s">
        <v>3104</v>
      </c>
      <c r="W222" s="23">
        <v>13750</v>
      </c>
      <c r="X222" s="23">
        <v>550</v>
      </c>
      <c r="Z222" s="23">
        <v>0</v>
      </c>
      <c r="AA222" s="23">
        <v>0</v>
      </c>
      <c r="AB222" s="23">
        <v>0</v>
      </c>
      <c r="AC222" s="23">
        <v>10</v>
      </c>
      <c r="AD222" s="23">
        <v>0</v>
      </c>
      <c r="AE222" s="23">
        <v>0</v>
      </c>
      <c r="AG222" s="23" t="s">
        <v>3101</v>
      </c>
      <c r="AI222" s="23">
        <v>46199</v>
      </c>
      <c r="AK222" s="23" t="s">
        <v>4895</v>
      </c>
      <c r="AL222" s="23">
        <v>518875598942</v>
      </c>
      <c r="AM222" s="23" t="s">
        <v>3102</v>
      </c>
      <c r="AO222" s="23" t="s">
        <v>3102</v>
      </c>
    </row>
    <row r="223" spans="1:42">
      <c r="A223" s="23">
        <v>46198</v>
      </c>
      <c r="B223" s="23" t="s">
        <v>4896</v>
      </c>
      <c r="C223" s="23" t="s">
        <v>4897</v>
      </c>
      <c r="D223" s="23" t="s">
        <v>3105</v>
      </c>
      <c r="E223" s="23" t="s">
        <v>4898</v>
      </c>
      <c r="F223" s="23" t="s">
        <v>4899</v>
      </c>
      <c r="G223" s="23">
        <v>586433221</v>
      </c>
      <c r="I223" s="23" t="s">
        <v>4900</v>
      </c>
      <c r="J223" s="23" t="s">
        <v>4898</v>
      </c>
      <c r="K223" s="23" t="s">
        <v>4899</v>
      </c>
      <c r="L223" s="23" t="s">
        <v>4901</v>
      </c>
      <c r="M223" s="23" t="s">
        <v>4902</v>
      </c>
      <c r="N223" s="23" t="s">
        <v>3665</v>
      </c>
      <c r="O223" s="23">
        <v>1</v>
      </c>
      <c r="P223" s="23">
        <v>13200</v>
      </c>
      <c r="Q223" s="23">
        <v>660</v>
      </c>
      <c r="R223" s="23" t="s">
        <v>3666</v>
      </c>
      <c r="S223" s="23" t="s">
        <v>3158</v>
      </c>
      <c r="T223" s="23" t="s">
        <v>3539</v>
      </c>
      <c r="V223" s="23" t="s">
        <v>3106</v>
      </c>
      <c r="W223" s="23">
        <v>13750</v>
      </c>
      <c r="X223" s="23">
        <v>550</v>
      </c>
      <c r="Z223" s="23">
        <v>0</v>
      </c>
      <c r="AA223" s="23">
        <v>0</v>
      </c>
      <c r="AB223" s="23">
        <v>0</v>
      </c>
      <c r="AC223" s="23">
        <v>10</v>
      </c>
      <c r="AD223" s="23">
        <v>0</v>
      </c>
      <c r="AE223" s="23">
        <v>0</v>
      </c>
      <c r="AG223" s="23" t="s">
        <v>3101</v>
      </c>
      <c r="AI223" s="23">
        <v>46199</v>
      </c>
      <c r="AK223" s="23" t="s">
        <v>4903</v>
      </c>
      <c r="AL223" s="23">
        <v>518875598975</v>
      </c>
      <c r="AM223" s="23" t="s">
        <v>3102</v>
      </c>
      <c r="AO223" s="23" t="s">
        <v>3102</v>
      </c>
    </row>
    <row r="224" spans="1:42">
      <c r="A224" s="23">
        <v>46198</v>
      </c>
      <c r="B224" s="23" t="s">
        <v>4904</v>
      </c>
      <c r="C224" s="23" t="s">
        <v>4905</v>
      </c>
      <c r="D224" s="23" t="s">
        <v>3103</v>
      </c>
      <c r="E224" s="23" t="s">
        <v>4906</v>
      </c>
      <c r="F224" s="23" t="s">
        <v>4907</v>
      </c>
      <c r="G224" s="23">
        <v>8067990211</v>
      </c>
      <c r="I224" s="23" t="s">
        <v>4908</v>
      </c>
      <c r="J224" s="23" t="s">
        <v>4906</v>
      </c>
      <c r="K224" s="23" t="s">
        <v>4907</v>
      </c>
      <c r="L224" s="23" t="s">
        <v>4909</v>
      </c>
      <c r="M224" s="23" t="s">
        <v>4910</v>
      </c>
      <c r="N224" s="23" t="s">
        <v>3111</v>
      </c>
      <c r="O224" s="23">
        <v>1</v>
      </c>
      <c r="P224" s="23">
        <v>14300</v>
      </c>
      <c r="Q224" s="23">
        <v>715</v>
      </c>
      <c r="R224" s="23" t="s">
        <v>3151</v>
      </c>
      <c r="S224" s="23" t="s">
        <v>3150</v>
      </c>
      <c r="T224" s="23" t="s">
        <v>99</v>
      </c>
      <c r="V224" s="23" t="s">
        <v>3104</v>
      </c>
      <c r="W224" s="23">
        <v>14850</v>
      </c>
      <c r="X224" s="23">
        <v>550</v>
      </c>
      <c r="Z224" s="23">
        <v>0</v>
      </c>
      <c r="AA224" s="23">
        <v>0</v>
      </c>
      <c r="AB224" s="23">
        <v>0</v>
      </c>
      <c r="AC224" s="23">
        <v>10</v>
      </c>
      <c r="AD224" s="23">
        <v>0</v>
      </c>
      <c r="AE224" s="23">
        <v>0</v>
      </c>
      <c r="AG224" s="23" t="s">
        <v>3101</v>
      </c>
      <c r="AI224" s="23">
        <v>46199</v>
      </c>
      <c r="AK224" s="23" t="s">
        <v>4911</v>
      </c>
      <c r="AL224" s="23">
        <v>518875580042</v>
      </c>
      <c r="AM224" s="23" t="s">
        <v>3102</v>
      </c>
      <c r="AO224" s="23" t="s">
        <v>3102</v>
      </c>
    </row>
    <row r="225" spans="1:41">
      <c r="A225" s="23">
        <v>46198</v>
      </c>
      <c r="B225" s="23" t="s">
        <v>4912</v>
      </c>
      <c r="C225" s="23" t="s">
        <v>4913</v>
      </c>
      <c r="D225" s="23" t="s">
        <v>3105</v>
      </c>
      <c r="E225" s="23" t="s">
        <v>4914</v>
      </c>
      <c r="F225" s="23" t="s">
        <v>4915</v>
      </c>
      <c r="G225" s="23">
        <v>8059346981</v>
      </c>
      <c r="I225" s="23" t="s">
        <v>4916</v>
      </c>
      <c r="J225" s="23" t="s">
        <v>4914</v>
      </c>
      <c r="K225" s="23" t="s">
        <v>4915</v>
      </c>
      <c r="L225" s="23" t="s">
        <v>4917</v>
      </c>
      <c r="M225" s="23" t="s">
        <v>4918</v>
      </c>
      <c r="N225" s="23" t="s">
        <v>631</v>
      </c>
      <c r="O225" s="23">
        <v>1</v>
      </c>
      <c r="P225" s="23">
        <v>6820</v>
      </c>
      <c r="Q225" s="23">
        <v>341</v>
      </c>
      <c r="R225" s="23" t="s">
        <v>3260</v>
      </c>
      <c r="S225" s="23" t="s">
        <v>3261</v>
      </c>
      <c r="T225" s="23" t="s">
        <v>3362</v>
      </c>
      <c r="V225" s="23" t="s">
        <v>3106</v>
      </c>
      <c r="W225" s="23">
        <v>7370</v>
      </c>
      <c r="X225" s="23">
        <v>550</v>
      </c>
      <c r="Z225" s="23">
        <v>0</v>
      </c>
      <c r="AA225" s="23">
        <v>0</v>
      </c>
      <c r="AB225" s="23">
        <v>0</v>
      </c>
      <c r="AC225" s="23">
        <v>10</v>
      </c>
      <c r="AD225" s="23">
        <v>0</v>
      </c>
      <c r="AE225" s="23">
        <v>0</v>
      </c>
      <c r="AG225" s="23" t="s">
        <v>3101</v>
      </c>
      <c r="AI225" s="23">
        <v>46199</v>
      </c>
      <c r="AK225" s="23" t="s">
        <v>4919</v>
      </c>
      <c r="AL225" s="23">
        <v>518875598964</v>
      </c>
      <c r="AM225" s="23" t="s">
        <v>3102</v>
      </c>
      <c r="AO225" s="23" t="s">
        <v>3102</v>
      </c>
    </row>
    <row r="226" spans="1:41">
      <c r="A226" s="23">
        <v>46198</v>
      </c>
      <c r="B226" s="23" t="s">
        <v>4920</v>
      </c>
      <c r="C226" s="23" t="s">
        <v>4921</v>
      </c>
      <c r="D226" s="23" t="s">
        <v>3103</v>
      </c>
      <c r="E226" s="23" t="s">
        <v>4922</v>
      </c>
      <c r="F226" s="23" t="s">
        <v>4923</v>
      </c>
      <c r="G226" s="23">
        <v>8035840913</v>
      </c>
      <c r="I226" s="23" t="s">
        <v>4924</v>
      </c>
      <c r="J226" s="23" t="s">
        <v>4922</v>
      </c>
      <c r="K226" s="23" t="s">
        <v>4923</v>
      </c>
      <c r="L226" s="23" t="s">
        <v>4925</v>
      </c>
      <c r="M226" s="23" t="s">
        <v>4926</v>
      </c>
      <c r="N226" s="23" t="s">
        <v>3012</v>
      </c>
      <c r="O226" s="23">
        <v>1</v>
      </c>
      <c r="P226" s="23">
        <v>20900</v>
      </c>
      <c r="Q226" s="23">
        <v>1045</v>
      </c>
      <c r="R226" s="23" t="s">
        <v>3234</v>
      </c>
      <c r="S226" s="23" t="s">
        <v>3235</v>
      </c>
      <c r="T226" s="23" t="s">
        <v>3422</v>
      </c>
      <c r="V226" s="23" t="s">
        <v>3104</v>
      </c>
      <c r="W226" s="23">
        <v>21307</v>
      </c>
      <c r="X226" s="23">
        <v>550</v>
      </c>
      <c r="Z226" s="23">
        <v>0</v>
      </c>
      <c r="AA226" s="23">
        <v>-143</v>
      </c>
      <c r="AB226" s="23">
        <v>0</v>
      </c>
      <c r="AC226" s="23">
        <v>10</v>
      </c>
      <c r="AD226" s="23">
        <v>0</v>
      </c>
      <c r="AE226" s="23">
        <v>0</v>
      </c>
      <c r="AG226" s="23" t="s">
        <v>3101</v>
      </c>
      <c r="AI226" s="23">
        <v>46199</v>
      </c>
      <c r="AK226" s="23" t="s">
        <v>4927</v>
      </c>
      <c r="AL226" s="23">
        <v>518875598931</v>
      </c>
      <c r="AM226" s="23" t="s">
        <v>3102</v>
      </c>
      <c r="AO226" s="23" t="s">
        <v>3102</v>
      </c>
    </row>
    <row r="227" spans="1:41">
      <c r="A227" s="23">
        <v>46198</v>
      </c>
      <c r="B227" s="23" t="s">
        <v>4928</v>
      </c>
      <c r="C227" s="23" t="s">
        <v>4929</v>
      </c>
      <c r="D227" s="23" t="s">
        <v>3105</v>
      </c>
      <c r="E227" s="23" t="s">
        <v>4930</v>
      </c>
      <c r="F227" s="23" t="s">
        <v>4931</v>
      </c>
      <c r="G227" s="23">
        <v>466285227</v>
      </c>
      <c r="I227" s="23" t="s">
        <v>4932</v>
      </c>
      <c r="J227" s="23" t="s">
        <v>4930</v>
      </c>
      <c r="K227" s="23" t="s">
        <v>4931</v>
      </c>
      <c r="L227" s="23" t="s">
        <v>4933</v>
      </c>
      <c r="M227" s="23" t="s">
        <v>4934</v>
      </c>
      <c r="N227" s="23" t="s">
        <v>3109</v>
      </c>
      <c r="O227" s="23">
        <v>1</v>
      </c>
      <c r="P227" s="23">
        <v>14300</v>
      </c>
      <c r="Q227" s="23">
        <v>715</v>
      </c>
      <c r="R227" s="23" t="s">
        <v>3166</v>
      </c>
      <c r="S227" s="23" t="s">
        <v>3150</v>
      </c>
      <c r="T227" s="23" t="s">
        <v>2976</v>
      </c>
      <c r="V227" s="23" t="s">
        <v>3106</v>
      </c>
      <c r="W227" s="23">
        <v>14850</v>
      </c>
      <c r="X227" s="23">
        <v>550</v>
      </c>
      <c r="Z227" s="23">
        <v>0</v>
      </c>
      <c r="AA227" s="23">
        <v>0</v>
      </c>
      <c r="AB227" s="23">
        <v>0</v>
      </c>
      <c r="AC227" s="23">
        <v>10</v>
      </c>
      <c r="AD227" s="23">
        <v>0</v>
      </c>
      <c r="AE227" s="23">
        <v>0</v>
      </c>
      <c r="AG227" s="23" t="s">
        <v>3101</v>
      </c>
      <c r="AI227" s="23">
        <v>46199</v>
      </c>
      <c r="AK227" s="23" t="s">
        <v>4935</v>
      </c>
      <c r="AL227" s="23">
        <v>518875580016</v>
      </c>
      <c r="AM227" s="23" t="s">
        <v>3102</v>
      </c>
      <c r="AO227" s="23" t="s">
        <v>3102</v>
      </c>
    </row>
    <row r="228" spans="1:41">
      <c r="A228" s="23">
        <v>46197</v>
      </c>
      <c r="B228" s="23" t="s">
        <v>4936</v>
      </c>
      <c r="C228" s="23" t="s">
        <v>4937</v>
      </c>
      <c r="D228" s="23" t="s">
        <v>3105</v>
      </c>
      <c r="E228" s="23" t="s">
        <v>4938</v>
      </c>
      <c r="F228" s="23" t="s">
        <v>4939</v>
      </c>
      <c r="G228" s="23">
        <v>9060851720</v>
      </c>
      <c r="I228" s="23" t="s">
        <v>4940</v>
      </c>
      <c r="J228" s="23" t="s">
        <v>4938</v>
      </c>
      <c r="K228" s="23" t="s">
        <v>4939</v>
      </c>
      <c r="L228" s="23" t="s">
        <v>4941</v>
      </c>
      <c r="M228" s="23" t="s">
        <v>4942</v>
      </c>
      <c r="N228" s="23" t="s">
        <v>4078</v>
      </c>
      <c r="O228" s="23">
        <v>1</v>
      </c>
      <c r="P228" s="23">
        <v>22000</v>
      </c>
      <c r="Q228" s="23">
        <v>1100</v>
      </c>
      <c r="R228" s="23" t="s">
        <v>4079</v>
      </c>
      <c r="S228" s="23" t="s">
        <v>4080</v>
      </c>
      <c r="T228" s="23" t="s">
        <v>229</v>
      </c>
      <c r="V228" s="23" t="s">
        <v>3106</v>
      </c>
      <c r="W228" s="23">
        <v>22550</v>
      </c>
      <c r="X228" s="23">
        <v>550</v>
      </c>
      <c r="Z228" s="23">
        <v>0</v>
      </c>
      <c r="AA228" s="23">
        <v>0</v>
      </c>
      <c r="AB228" s="23">
        <v>0</v>
      </c>
      <c r="AC228" s="23">
        <v>10</v>
      </c>
      <c r="AD228" s="23">
        <v>0</v>
      </c>
      <c r="AE228" s="23">
        <v>0</v>
      </c>
      <c r="AG228" s="23" t="s">
        <v>3101</v>
      </c>
      <c r="AI228" s="23">
        <v>46199</v>
      </c>
      <c r="AK228" s="23" t="s">
        <v>4943</v>
      </c>
      <c r="AL228" s="23">
        <v>518875599001</v>
      </c>
      <c r="AM228" s="23" t="s">
        <v>3102</v>
      </c>
      <c r="AO228" s="23" t="s">
        <v>3102</v>
      </c>
    </row>
    <row r="229" spans="1:41">
      <c r="A229" s="23">
        <v>46197</v>
      </c>
      <c r="B229" s="23" t="s">
        <v>4944</v>
      </c>
      <c r="C229" s="23" t="s">
        <v>4945</v>
      </c>
      <c r="D229" s="23" t="s">
        <v>3103</v>
      </c>
      <c r="E229" s="23" t="s">
        <v>4946</v>
      </c>
      <c r="F229" s="23" t="s">
        <v>4947</v>
      </c>
      <c r="G229" s="23">
        <v>9095127823</v>
      </c>
      <c r="I229" s="23" t="s">
        <v>4948</v>
      </c>
      <c r="J229" s="23" t="s">
        <v>4946</v>
      </c>
      <c r="K229" s="23" t="s">
        <v>4947</v>
      </c>
      <c r="L229" s="23" t="s">
        <v>4949</v>
      </c>
      <c r="M229" s="23" t="s">
        <v>4950</v>
      </c>
      <c r="N229" s="23" t="s">
        <v>3118</v>
      </c>
      <c r="O229" s="23">
        <v>1</v>
      </c>
      <c r="P229" s="23">
        <v>14300</v>
      </c>
      <c r="Q229" s="23">
        <v>715</v>
      </c>
      <c r="R229" s="23" t="s">
        <v>3170</v>
      </c>
      <c r="S229" s="23" t="s">
        <v>3150</v>
      </c>
      <c r="T229" s="23" t="s">
        <v>1555</v>
      </c>
      <c r="V229" s="23" t="s">
        <v>3104</v>
      </c>
      <c r="W229" s="23">
        <v>14850</v>
      </c>
      <c r="X229" s="23">
        <v>550</v>
      </c>
      <c r="Z229" s="23">
        <v>0</v>
      </c>
      <c r="AA229" s="23">
        <v>0</v>
      </c>
      <c r="AB229" s="23">
        <v>0</v>
      </c>
      <c r="AC229" s="23">
        <v>10</v>
      </c>
      <c r="AD229" s="23">
        <v>0</v>
      </c>
      <c r="AE229" s="23">
        <v>0</v>
      </c>
      <c r="AG229" s="23" t="s">
        <v>3101</v>
      </c>
      <c r="AI229" s="23">
        <v>46199</v>
      </c>
      <c r="AK229" s="23" t="s">
        <v>4951</v>
      </c>
      <c r="AL229" s="23">
        <v>518875580053</v>
      </c>
      <c r="AM229" s="23" t="s">
        <v>3102</v>
      </c>
      <c r="AO229" s="23" t="s">
        <v>3102</v>
      </c>
    </row>
    <row r="230" spans="1:41">
      <c r="A230" s="23">
        <v>46197</v>
      </c>
      <c r="B230" s="23" t="s">
        <v>4952</v>
      </c>
      <c r="C230" s="23" t="s">
        <v>4953</v>
      </c>
      <c r="D230" s="23" t="s">
        <v>3105</v>
      </c>
      <c r="E230" s="23" t="s">
        <v>4954</v>
      </c>
      <c r="F230" s="23" t="s">
        <v>4955</v>
      </c>
      <c r="G230" s="23">
        <v>8039783556</v>
      </c>
      <c r="I230" s="23" t="s">
        <v>4956</v>
      </c>
      <c r="J230" s="23" t="s">
        <v>4954</v>
      </c>
      <c r="K230" s="23" t="s">
        <v>4955</v>
      </c>
      <c r="L230" s="23" t="s">
        <v>4957</v>
      </c>
      <c r="M230" s="23" t="s">
        <v>4958</v>
      </c>
      <c r="N230" s="23" t="s">
        <v>3121</v>
      </c>
      <c r="O230" s="23">
        <v>1</v>
      </c>
      <c r="P230" s="23">
        <v>14300</v>
      </c>
      <c r="Q230" s="23">
        <v>715</v>
      </c>
      <c r="R230" s="23" t="s">
        <v>3184</v>
      </c>
      <c r="S230" s="23" t="s">
        <v>3150</v>
      </c>
      <c r="T230" s="23" t="s">
        <v>88</v>
      </c>
      <c r="V230" s="23" t="s">
        <v>3106</v>
      </c>
      <c r="W230" s="23">
        <v>14850</v>
      </c>
      <c r="X230" s="23">
        <v>550</v>
      </c>
      <c r="Z230" s="23">
        <v>0</v>
      </c>
      <c r="AA230" s="23">
        <v>0</v>
      </c>
      <c r="AB230" s="23">
        <v>0</v>
      </c>
      <c r="AC230" s="23">
        <v>10</v>
      </c>
      <c r="AD230" s="23">
        <v>0</v>
      </c>
      <c r="AE230" s="23">
        <v>0</v>
      </c>
      <c r="AG230" s="23" t="s">
        <v>3101</v>
      </c>
      <c r="AI230" s="23">
        <v>46199</v>
      </c>
      <c r="AK230" s="23" t="s">
        <v>4959</v>
      </c>
      <c r="AL230" s="23">
        <v>518875580064</v>
      </c>
      <c r="AM230" s="23" t="s">
        <v>3102</v>
      </c>
      <c r="AO230" s="23" t="s">
        <v>3102</v>
      </c>
    </row>
    <row r="231" spans="1:41">
      <c r="A231" s="23">
        <v>46197</v>
      </c>
      <c r="B231" s="23" t="s">
        <v>4960</v>
      </c>
      <c r="C231" s="23" t="s">
        <v>4961</v>
      </c>
      <c r="D231" s="23" t="s">
        <v>3105</v>
      </c>
      <c r="E231" s="23" t="s">
        <v>4962</v>
      </c>
      <c r="F231" s="23" t="s">
        <v>4963</v>
      </c>
      <c r="G231" s="23">
        <v>9028276660</v>
      </c>
      <c r="I231" s="23" t="s">
        <v>4964</v>
      </c>
      <c r="J231" s="23" t="s">
        <v>4962</v>
      </c>
      <c r="K231" s="23" t="s">
        <v>4963</v>
      </c>
      <c r="L231" s="23" t="s">
        <v>4965</v>
      </c>
      <c r="M231" s="23" t="s">
        <v>4966</v>
      </c>
      <c r="N231" s="23" t="s">
        <v>3109</v>
      </c>
      <c r="O231" s="23">
        <v>1</v>
      </c>
      <c r="P231" s="23">
        <v>14300</v>
      </c>
      <c r="Q231" s="23">
        <v>715</v>
      </c>
      <c r="R231" s="23" t="s">
        <v>3166</v>
      </c>
      <c r="S231" s="23" t="s">
        <v>3150</v>
      </c>
      <c r="T231" s="23" t="s">
        <v>2976</v>
      </c>
      <c r="V231" s="23" t="s">
        <v>3106</v>
      </c>
      <c r="W231" s="23">
        <v>14850</v>
      </c>
      <c r="X231" s="23">
        <v>550</v>
      </c>
      <c r="Z231" s="23">
        <v>0</v>
      </c>
      <c r="AA231" s="23">
        <v>0</v>
      </c>
      <c r="AB231" s="23">
        <v>0</v>
      </c>
      <c r="AC231" s="23">
        <v>10</v>
      </c>
      <c r="AD231" s="23">
        <v>0</v>
      </c>
      <c r="AE231" s="23">
        <v>0</v>
      </c>
      <c r="AG231" s="23" t="s">
        <v>3101</v>
      </c>
      <c r="AI231" s="23">
        <v>46199</v>
      </c>
      <c r="AK231" s="23" t="s">
        <v>4967</v>
      </c>
      <c r="AL231" s="23">
        <v>518875580020</v>
      </c>
      <c r="AM231" s="23" t="s">
        <v>3102</v>
      </c>
      <c r="AO231" s="23" t="s">
        <v>3102</v>
      </c>
    </row>
    <row r="232" spans="1:41">
      <c r="A232" s="23">
        <v>46197</v>
      </c>
      <c r="B232" s="23" t="s">
        <v>4968</v>
      </c>
      <c r="C232" s="23" t="s">
        <v>4969</v>
      </c>
      <c r="D232" s="23" t="s">
        <v>3103</v>
      </c>
      <c r="E232" s="23" t="s">
        <v>4970</v>
      </c>
      <c r="F232" s="23" t="s">
        <v>4971</v>
      </c>
      <c r="G232" s="23">
        <v>9067941201</v>
      </c>
      <c r="I232" s="23" t="s">
        <v>4972</v>
      </c>
      <c r="J232" s="23" t="s">
        <v>4970</v>
      </c>
      <c r="K232" s="23" t="s">
        <v>4971</v>
      </c>
      <c r="L232" s="23" t="s">
        <v>4973</v>
      </c>
      <c r="M232" s="23" t="s">
        <v>4974</v>
      </c>
      <c r="N232" s="23" t="s">
        <v>3143</v>
      </c>
      <c r="O232" s="23">
        <v>1</v>
      </c>
      <c r="P232" s="23">
        <v>14300</v>
      </c>
      <c r="Q232" s="23">
        <v>715</v>
      </c>
      <c r="R232" s="23" t="s">
        <v>3152</v>
      </c>
      <c r="S232" s="23" t="s">
        <v>3150</v>
      </c>
      <c r="T232" s="23" t="s">
        <v>2969</v>
      </c>
      <c r="V232" s="23" t="s">
        <v>3104</v>
      </c>
      <c r="W232" s="23">
        <v>14850</v>
      </c>
      <c r="X232" s="23">
        <v>550</v>
      </c>
      <c r="Z232" s="23">
        <v>0</v>
      </c>
      <c r="AA232" s="23">
        <v>0</v>
      </c>
      <c r="AB232" s="23">
        <v>0</v>
      </c>
      <c r="AC232" s="23">
        <v>10</v>
      </c>
      <c r="AD232" s="23">
        <v>0</v>
      </c>
      <c r="AE232" s="23">
        <v>0</v>
      </c>
      <c r="AG232" s="23" t="s">
        <v>3101</v>
      </c>
      <c r="AI232" s="23">
        <v>46199</v>
      </c>
      <c r="AK232" s="23" t="s">
        <v>4975</v>
      </c>
      <c r="AL232" s="23">
        <v>518875580031</v>
      </c>
      <c r="AM232" s="23" t="s">
        <v>3102</v>
      </c>
      <c r="AO232" s="23" t="s">
        <v>3102</v>
      </c>
    </row>
    <row r="233" spans="1:41">
      <c r="A233" s="23">
        <v>46197</v>
      </c>
      <c r="B233" s="23" t="s">
        <v>4976</v>
      </c>
      <c r="C233" s="23" t="s">
        <v>4977</v>
      </c>
      <c r="D233" s="23" t="s">
        <v>3099</v>
      </c>
      <c r="E233" s="23" t="s">
        <v>4978</v>
      </c>
      <c r="F233" s="23" t="s">
        <v>4979</v>
      </c>
      <c r="G233" s="23">
        <v>9054254620</v>
      </c>
      <c r="I233" s="23" t="s">
        <v>4980</v>
      </c>
      <c r="J233" s="23" t="s">
        <v>4978</v>
      </c>
      <c r="K233" s="23" t="s">
        <v>4979</v>
      </c>
      <c r="L233" s="23" t="s">
        <v>4981</v>
      </c>
      <c r="M233" s="23" t="s">
        <v>4982</v>
      </c>
      <c r="N233" s="23" t="s">
        <v>3143</v>
      </c>
      <c r="O233" s="23">
        <v>1</v>
      </c>
      <c r="P233" s="23">
        <v>14300</v>
      </c>
      <c r="Q233" s="23">
        <v>715</v>
      </c>
      <c r="R233" s="23" t="s">
        <v>3152</v>
      </c>
      <c r="S233" s="23" t="s">
        <v>3150</v>
      </c>
      <c r="T233" s="23" t="s">
        <v>2969</v>
      </c>
      <c r="V233" s="23" t="s">
        <v>3100</v>
      </c>
      <c r="W233" s="23">
        <v>15290</v>
      </c>
      <c r="X233" s="23">
        <v>550</v>
      </c>
      <c r="Z233" s="23">
        <v>440</v>
      </c>
      <c r="AA233" s="23">
        <v>0</v>
      </c>
      <c r="AB233" s="23">
        <v>0</v>
      </c>
      <c r="AC233" s="23">
        <v>10</v>
      </c>
      <c r="AD233" s="23">
        <v>0</v>
      </c>
      <c r="AE233" s="23">
        <v>0</v>
      </c>
      <c r="AG233" s="23" t="s">
        <v>3101</v>
      </c>
      <c r="AI233" s="23">
        <v>46199</v>
      </c>
      <c r="AK233" s="23" t="s">
        <v>4983</v>
      </c>
      <c r="AL233" s="23">
        <v>518875580086</v>
      </c>
      <c r="AM233" s="23" t="s">
        <v>3102</v>
      </c>
      <c r="AO233" s="23" t="s">
        <v>3102</v>
      </c>
    </row>
    <row r="234" spans="1:41">
      <c r="A234" s="23">
        <v>46197</v>
      </c>
      <c r="B234" s="23" t="s">
        <v>4984</v>
      </c>
      <c r="C234" s="23" t="s">
        <v>4985</v>
      </c>
      <c r="D234" s="23" t="s">
        <v>3105</v>
      </c>
      <c r="E234" s="23" t="s">
        <v>4986</v>
      </c>
      <c r="F234" s="23" t="s">
        <v>4987</v>
      </c>
      <c r="G234" s="23">
        <v>424849401</v>
      </c>
      <c r="I234" s="23" t="s">
        <v>4988</v>
      </c>
      <c r="J234" s="23" t="s">
        <v>4986</v>
      </c>
      <c r="K234" s="23" t="s">
        <v>4987</v>
      </c>
      <c r="L234" s="23" t="s">
        <v>4989</v>
      </c>
      <c r="M234" s="23" t="s">
        <v>4990</v>
      </c>
      <c r="N234" s="23" t="s">
        <v>3146</v>
      </c>
      <c r="O234" s="23">
        <v>1</v>
      </c>
      <c r="P234" s="23">
        <v>18700</v>
      </c>
      <c r="Q234" s="23">
        <v>935</v>
      </c>
      <c r="R234" s="23" t="s">
        <v>3182</v>
      </c>
      <c r="S234" s="23" t="s">
        <v>3183</v>
      </c>
      <c r="T234" s="23" t="s">
        <v>3048</v>
      </c>
      <c r="V234" s="23" t="s">
        <v>3106</v>
      </c>
      <c r="W234" s="23">
        <v>19250</v>
      </c>
      <c r="X234" s="23">
        <v>550</v>
      </c>
      <c r="Z234" s="23">
        <v>0</v>
      </c>
      <c r="AA234" s="23">
        <v>0</v>
      </c>
      <c r="AB234" s="23">
        <v>0</v>
      </c>
      <c r="AC234" s="23">
        <v>10</v>
      </c>
      <c r="AD234" s="23">
        <v>0</v>
      </c>
      <c r="AE234" s="23">
        <v>0</v>
      </c>
      <c r="AG234" s="23" t="s">
        <v>3101</v>
      </c>
      <c r="AI234" s="23">
        <v>46199</v>
      </c>
      <c r="AK234" s="23" t="s">
        <v>4991</v>
      </c>
      <c r="AL234" s="23">
        <v>518875598986</v>
      </c>
      <c r="AM234" s="23" t="s">
        <v>3102</v>
      </c>
      <c r="AO234" s="23" t="s">
        <v>3102</v>
      </c>
    </row>
    <row r="235" spans="1:41">
      <c r="A235" s="23">
        <v>46197</v>
      </c>
      <c r="B235" s="23" t="s">
        <v>4992</v>
      </c>
      <c r="C235" s="23" t="s">
        <v>4993</v>
      </c>
      <c r="D235" s="23" t="s">
        <v>3105</v>
      </c>
      <c r="E235" s="23" t="s">
        <v>4994</v>
      </c>
      <c r="F235" s="23" t="s">
        <v>4995</v>
      </c>
      <c r="G235" s="23">
        <v>8061730656</v>
      </c>
      <c r="I235" s="23" t="s">
        <v>4996</v>
      </c>
      <c r="J235" s="23" t="s">
        <v>4994</v>
      </c>
      <c r="K235" s="23" t="s">
        <v>4995</v>
      </c>
      <c r="L235" s="23" t="s">
        <v>4997</v>
      </c>
      <c r="M235" s="23" t="s">
        <v>4998</v>
      </c>
      <c r="N235" s="23" t="s">
        <v>3016</v>
      </c>
      <c r="O235" s="23">
        <v>1</v>
      </c>
      <c r="P235" s="23">
        <v>7150</v>
      </c>
      <c r="Q235" s="23">
        <v>357</v>
      </c>
      <c r="R235" s="23" t="s">
        <v>3229</v>
      </c>
      <c r="S235" s="23" t="s">
        <v>3230</v>
      </c>
      <c r="T235" s="23" t="s">
        <v>3316</v>
      </c>
      <c r="V235" s="23" t="s">
        <v>3106</v>
      </c>
      <c r="W235" s="23">
        <v>7700</v>
      </c>
      <c r="X235" s="23">
        <v>550</v>
      </c>
      <c r="Z235" s="23">
        <v>0</v>
      </c>
      <c r="AA235" s="23">
        <v>0</v>
      </c>
      <c r="AB235" s="23">
        <v>0</v>
      </c>
      <c r="AC235" s="23">
        <v>10</v>
      </c>
      <c r="AD235" s="23">
        <v>0</v>
      </c>
      <c r="AE235" s="23">
        <v>0</v>
      </c>
      <c r="AG235" s="23" t="s">
        <v>3101</v>
      </c>
      <c r="AI235" s="23">
        <v>46199</v>
      </c>
      <c r="AK235" s="23" t="s">
        <v>4999</v>
      </c>
      <c r="AL235" s="23">
        <v>518875598990</v>
      </c>
      <c r="AM235" s="23" t="s">
        <v>3102</v>
      </c>
      <c r="AO235" s="23" t="s">
        <v>3102</v>
      </c>
    </row>
    <row r="236" spans="1:41">
      <c r="A236" s="23">
        <v>46197</v>
      </c>
      <c r="B236" s="23" t="s">
        <v>5000</v>
      </c>
      <c r="C236" s="23" t="s">
        <v>5001</v>
      </c>
      <c r="D236" s="23" t="s">
        <v>3103</v>
      </c>
      <c r="E236" s="23" t="s">
        <v>5002</v>
      </c>
      <c r="F236" s="23" t="s">
        <v>5003</v>
      </c>
      <c r="G236" s="23">
        <v>9050414144</v>
      </c>
      <c r="I236" s="23" t="s">
        <v>5004</v>
      </c>
      <c r="J236" s="23" t="s">
        <v>5002</v>
      </c>
      <c r="K236" s="23" t="s">
        <v>5003</v>
      </c>
      <c r="L236" s="23" t="s">
        <v>5005</v>
      </c>
      <c r="M236" s="23" t="s">
        <v>5006</v>
      </c>
      <c r="N236" s="23" t="s">
        <v>3144</v>
      </c>
      <c r="O236" s="23">
        <v>1</v>
      </c>
      <c r="P236" s="23">
        <v>14300</v>
      </c>
      <c r="Q236" s="23">
        <v>715</v>
      </c>
      <c r="R236" s="23" t="s">
        <v>3155</v>
      </c>
      <c r="S236" s="23" t="s">
        <v>3150</v>
      </c>
      <c r="T236" s="23" t="s">
        <v>3011</v>
      </c>
      <c r="V236" s="23" t="s">
        <v>3104</v>
      </c>
      <c r="W236" s="23">
        <v>14850</v>
      </c>
      <c r="X236" s="23">
        <v>550</v>
      </c>
      <c r="Z236" s="23">
        <v>0</v>
      </c>
      <c r="AA236" s="23">
        <v>0</v>
      </c>
      <c r="AB236" s="23">
        <v>0</v>
      </c>
      <c r="AC236" s="23">
        <v>10</v>
      </c>
      <c r="AD236" s="23">
        <v>0</v>
      </c>
      <c r="AE236" s="23">
        <v>0</v>
      </c>
      <c r="AG236" s="23" t="s">
        <v>3101</v>
      </c>
      <c r="AI236" s="23">
        <v>46199</v>
      </c>
      <c r="AK236" s="23" t="s">
        <v>5007</v>
      </c>
      <c r="AL236" s="23">
        <v>518875580075</v>
      </c>
      <c r="AM236" s="23" t="s">
        <v>3102</v>
      </c>
      <c r="AO236" s="23" t="s">
        <v>3102</v>
      </c>
    </row>
    <row r="237" spans="1:41">
      <c r="A237" s="23">
        <v>46197</v>
      </c>
      <c r="B237" s="23" t="s">
        <v>4604</v>
      </c>
      <c r="C237" s="23" t="s">
        <v>5008</v>
      </c>
      <c r="D237" s="23" t="s">
        <v>3103</v>
      </c>
      <c r="E237" s="23" t="s">
        <v>5009</v>
      </c>
      <c r="F237" s="23" t="s">
        <v>5010</v>
      </c>
      <c r="G237" s="23">
        <v>9092160285</v>
      </c>
      <c r="I237" s="23" t="s">
        <v>5011</v>
      </c>
      <c r="J237" s="23" t="s">
        <v>5009</v>
      </c>
      <c r="K237" s="23" t="s">
        <v>5010</v>
      </c>
      <c r="L237" s="23" t="s">
        <v>5012</v>
      </c>
      <c r="M237" s="23" t="s">
        <v>5013</v>
      </c>
      <c r="N237" s="23" t="s">
        <v>3112</v>
      </c>
      <c r="O237" s="23">
        <v>1</v>
      </c>
      <c r="P237" s="23">
        <v>14300</v>
      </c>
      <c r="Q237" s="23">
        <v>715</v>
      </c>
      <c r="R237" s="23" t="s">
        <v>3149</v>
      </c>
      <c r="S237" s="23" t="s">
        <v>3150</v>
      </c>
      <c r="T237" s="23" t="s">
        <v>116</v>
      </c>
      <c r="V237" s="23" t="s">
        <v>3104</v>
      </c>
      <c r="W237" s="23">
        <v>14850</v>
      </c>
      <c r="X237" s="23">
        <v>550</v>
      </c>
      <c r="Z237" s="23">
        <v>0</v>
      </c>
      <c r="AA237" s="23">
        <v>0</v>
      </c>
      <c r="AB237" s="23">
        <v>0</v>
      </c>
      <c r="AC237" s="23">
        <v>10</v>
      </c>
      <c r="AD237" s="23">
        <v>0</v>
      </c>
      <c r="AE237" s="23">
        <v>0</v>
      </c>
      <c r="AG237" s="23" t="s">
        <v>3101</v>
      </c>
      <c r="AI237" s="23">
        <v>46199</v>
      </c>
      <c r="AK237" s="23" t="s">
        <v>5014</v>
      </c>
      <c r="AL237" s="23">
        <v>518875599012</v>
      </c>
      <c r="AM237" s="23" t="s">
        <v>3102</v>
      </c>
      <c r="AO237" s="23" t="s">
        <v>3102</v>
      </c>
    </row>
    <row r="238" spans="1:41">
      <c r="A238" s="23">
        <v>46197</v>
      </c>
      <c r="B238" s="23" t="s">
        <v>5015</v>
      </c>
      <c r="C238" s="23" t="s">
        <v>5016</v>
      </c>
      <c r="D238" s="23" t="s">
        <v>3103</v>
      </c>
      <c r="E238" s="23" t="s">
        <v>5017</v>
      </c>
      <c r="F238" s="23" t="s">
        <v>5018</v>
      </c>
      <c r="G238" s="23">
        <v>8013443401</v>
      </c>
      <c r="I238" s="23" t="s">
        <v>5019</v>
      </c>
      <c r="J238" s="23" t="s">
        <v>5017</v>
      </c>
      <c r="K238" s="23" t="s">
        <v>5018</v>
      </c>
      <c r="L238" s="23" t="s">
        <v>5020</v>
      </c>
      <c r="M238" s="23" t="s">
        <v>5021</v>
      </c>
      <c r="N238" s="23" t="s">
        <v>5022</v>
      </c>
      <c r="O238" s="23">
        <v>1</v>
      </c>
      <c r="P238" s="23">
        <v>13200</v>
      </c>
      <c r="Q238" s="23">
        <v>660</v>
      </c>
      <c r="R238" s="23" t="s">
        <v>5023</v>
      </c>
      <c r="S238" s="23" t="s">
        <v>3158</v>
      </c>
      <c r="T238" s="23" t="s">
        <v>182</v>
      </c>
      <c r="V238" s="23" t="s">
        <v>3104</v>
      </c>
      <c r="W238" s="23">
        <v>15950</v>
      </c>
      <c r="X238" s="23">
        <v>550</v>
      </c>
      <c r="Z238" s="23">
        <v>0</v>
      </c>
      <c r="AA238" s="23">
        <v>0</v>
      </c>
      <c r="AB238" s="23">
        <v>0</v>
      </c>
      <c r="AC238" s="23">
        <v>10</v>
      </c>
      <c r="AD238" s="23">
        <v>0</v>
      </c>
      <c r="AE238" s="23">
        <v>0</v>
      </c>
      <c r="AG238" s="23" t="s">
        <v>3101</v>
      </c>
      <c r="AI238" s="23">
        <v>46199</v>
      </c>
      <c r="AK238" s="23" t="s">
        <v>5024</v>
      </c>
      <c r="AL238" s="23">
        <v>518875598953</v>
      </c>
      <c r="AM238" s="23" t="s">
        <v>3102</v>
      </c>
      <c r="AO238" s="23" t="s">
        <v>3102</v>
      </c>
    </row>
    <row r="239" spans="1:41">
      <c r="A239" s="23">
        <v>46197</v>
      </c>
      <c r="B239" s="23" t="s">
        <v>5015</v>
      </c>
      <c r="C239" s="23" t="s">
        <v>5016</v>
      </c>
      <c r="D239" s="23" t="s">
        <v>3103</v>
      </c>
      <c r="E239" s="23" t="s">
        <v>5017</v>
      </c>
      <c r="F239" s="23" t="s">
        <v>5018</v>
      </c>
      <c r="G239" s="23">
        <v>8013443401</v>
      </c>
      <c r="I239" s="23" t="s">
        <v>5019</v>
      </c>
      <c r="J239" s="23" t="s">
        <v>5017</v>
      </c>
      <c r="K239" s="23" t="s">
        <v>5018</v>
      </c>
      <c r="L239" s="23" t="s">
        <v>5020</v>
      </c>
      <c r="M239" s="23" t="s">
        <v>5021</v>
      </c>
      <c r="N239" s="23" t="s">
        <v>3206</v>
      </c>
      <c r="O239" s="23">
        <v>1</v>
      </c>
      <c r="P239" s="23">
        <v>2200</v>
      </c>
      <c r="Q239" s="23">
        <v>110</v>
      </c>
      <c r="R239" s="23" t="s">
        <v>3236</v>
      </c>
      <c r="S239" s="23" t="s">
        <v>3237</v>
      </c>
      <c r="T239" s="23" t="s">
        <v>3205</v>
      </c>
      <c r="V239" s="23" t="s">
        <v>3104</v>
      </c>
      <c r="W239" s="23">
        <v>15950</v>
      </c>
      <c r="X239" s="23">
        <v>550</v>
      </c>
      <c r="Z239" s="23">
        <v>0</v>
      </c>
      <c r="AA239" s="23">
        <v>0</v>
      </c>
      <c r="AB239" s="23">
        <v>0</v>
      </c>
      <c r="AC239" s="23">
        <v>10</v>
      </c>
      <c r="AD239" s="23">
        <v>0</v>
      </c>
      <c r="AE239" s="23">
        <v>0</v>
      </c>
      <c r="AG239" s="23" t="s">
        <v>3101</v>
      </c>
      <c r="AI239" s="23">
        <v>46199</v>
      </c>
      <c r="AK239" s="23" t="s">
        <v>5024</v>
      </c>
      <c r="AL239" s="23">
        <v>518875598953</v>
      </c>
      <c r="AM239" s="23" t="s">
        <v>3102</v>
      </c>
      <c r="AO239" s="23" t="s">
        <v>3102</v>
      </c>
    </row>
    <row r="240" spans="1:41">
      <c r="A240" s="23">
        <v>46197</v>
      </c>
      <c r="B240" s="23" t="s">
        <v>5025</v>
      </c>
      <c r="C240" s="23" t="s">
        <v>5026</v>
      </c>
      <c r="D240" s="23" t="s">
        <v>3105</v>
      </c>
      <c r="E240" s="23" t="s">
        <v>5027</v>
      </c>
      <c r="F240" s="23" t="s">
        <v>5028</v>
      </c>
      <c r="G240" s="23">
        <v>8098222358</v>
      </c>
      <c r="I240" s="23" t="s">
        <v>5029</v>
      </c>
      <c r="J240" s="23" t="s">
        <v>5027</v>
      </c>
      <c r="K240" s="23" t="s">
        <v>5028</v>
      </c>
      <c r="L240" s="23" t="s">
        <v>5030</v>
      </c>
      <c r="M240" s="23" t="s">
        <v>5031</v>
      </c>
      <c r="N240" s="23" t="s">
        <v>3116</v>
      </c>
      <c r="O240" s="23">
        <v>1</v>
      </c>
      <c r="P240" s="23">
        <v>14300</v>
      </c>
      <c r="Q240" s="23">
        <v>715</v>
      </c>
      <c r="R240" s="23" t="s">
        <v>3162</v>
      </c>
      <c r="S240" s="23" t="s">
        <v>3150</v>
      </c>
      <c r="T240" s="23" t="s">
        <v>107</v>
      </c>
      <c r="V240" s="23" t="s">
        <v>3106</v>
      </c>
      <c r="W240" s="23">
        <v>14850</v>
      </c>
      <c r="X240" s="23">
        <v>550</v>
      </c>
      <c r="Z240" s="23">
        <v>0</v>
      </c>
      <c r="AA240" s="23">
        <v>0</v>
      </c>
      <c r="AB240" s="23">
        <v>0</v>
      </c>
      <c r="AC240" s="23">
        <v>10</v>
      </c>
      <c r="AD240" s="23">
        <v>0</v>
      </c>
      <c r="AE240" s="23">
        <v>0</v>
      </c>
      <c r="AG240" s="23" t="s">
        <v>3101</v>
      </c>
      <c r="AI240" s="23">
        <v>46198</v>
      </c>
      <c r="AK240" s="23" t="s">
        <v>5032</v>
      </c>
      <c r="AL240" s="23">
        <v>518875598916</v>
      </c>
      <c r="AM240" s="23" t="s">
        <v>3102</v>
      </c>
      <c r="AO240" s="23" t="s">
        <v>3102</v>
      </c>
    </row>
    <row r="241" spans="1:42">
      <c r="A241" s="23">
        <v>46197</v>
      </c>
      <c r="B241" s="23" t="s">
        <v>5033</v>
      </c>
      <c r="C241" s="23" t="s">
        <v>5034</v>
      </c>
      <c r="D241" s="23" t="s">
        <v>3105</v>
      </c>
      <c r="E241" s="23" t="s">
        <v>5035</v>
      </c>
      <c r="F241" s="23" t="s">
        <v>5036</v>
      </c>
      <c r="G241" s="23">
        <v>8096489513</v>
      </c>
      <c r="I241" s="23" t="s">
        <v>5037</v>
      </c>
      <c r="J241" s="23" t="s">
        <v>5035</v>
      </c>
      <c r="K241" s="23" t="s">
        <v>5036</v>
      </c>
      <c r="L241" s="23" t="s">
        <v>5038</v>
      </c>
      <c r="M241" s="23" t="s">
        <v>4275</v>
      </c>
      <c r="N241" s="23" t="s">
        <v>4439</v>
      </c>
      <c r="O241" s="23">
        <v>1</v>
      </c>
      <c r="P241" s="23">
        <v>13200</v>
      </c>
      <c r="Q241" s="23">
        <v>660</v>
      </c>
      <c r="R241" s="23" t="s">
        <v>4440</v>
      </c>
      <c r="S241" s="23" t="s">
        <v>3158</v>
      </c>
      <c r="T241" s="23" t="s">
        <v>3285</v>
      </c>
      <c r="V241" s="23" t="s">
        <v>3106</v>
      </c>
      <c r="W241" s="23">
        <v>13750</v>
      </c>
      <c r="X241" s="23">
        <v>550</v>
      </c>
      <c r="Z241" s="23">
        <v>0</v>
      </c>
      <c r="AA241" s="23">
        <v>0</v>
      </c>
      <c r="AB241" s="23">
        <v>0</v>
      </c>
      <c r="AC241" s="23">
        <v>10</v>
      </c>
      <c r="AD241" s="23">
        <v>0</v>
      </c>
      <c r="AE241" s="23">
        <v>0</v>
      </c>
      <c r="AG241" s="23" t="s">
        <v>3101</v>
      </c>
      <c r="AI241" s="23">
        <v>46198</v>
      </c>
      <c r="AK241" s="23" t="s">
        <v>5039</v>
      </c>
      <c r="AL241" s="23">
        <v>518875598905</v>
      </c>
      <c r="AM241" s="23" t="s">
        <v>3102</v>
      </c>
      <c r="AO241" s="23" t="s">
        <v>3102</v>
      </c>
      <c r="AP241" s="23" t="s">
        <v>5040</v>
      </c>
    </row>
    <row r="242" spans="1:42">
      <c r="A242" s="23">
        <v>46197</v>
      </c>
      <c r="B242" s="23" t="s">
        <v>5041</v>
      </c>
      <c r="C242" s="23" t="s">
        <v>5042</v>
      </c>
      <c r="D242" s="23" t="s">
        <v>3103</v>
      </c>
      <c r="E242" s="23" t="s">
        <v>5043</v>
      </c>
      <c r="F242" s="23" t="s">
        <v>5044</v>
      </c>
      <c r="G242" s="23">
        <v>9091024292</v>
      </c>
      <c r="I242" s="23" t="s">
        <v>5045</v>
      </c>
      <c r="J242" s="23" t="s">
        <v>5043</v>
      </c>
      <c r="K242" s="23" t="s">
        <v>5044</v>
      </c>
      <c r="L242" s="23" t="s">
        <v>5046</v>
      </c>
      <c r="M242" s="23" t="s">
        <v>5047</v>
      </c>
      <c r="N242" s="23" t="s">
        <v>3306</v>
      </c>
      <c r="O242" s="23">
        <v>1</v>
      </c>
      <c r="P242" s="23">
        <v>12100</v>
      </c>
      <c r="Q242" s="23">
        <v>605</v>
      </c>
      <c r="R242" s="23" t="s">
        <v>5048</v>
      </c>
      <c r="S242" s="23" t="s">
        <v>5049</v>
      </c>
      <c r="T242" s="23" t="s">
        <v>5050</v>
      </c>
      <c r="V242" s="23" t="s">
        <v>3104</v>
      </c>
      <c r="W242" s="23">
        <v>12650</v>
      </c>
      <c r="X242" s="23">
        <v>550</v>
      </c>
      <c r="Z242" s="23">
        <v>0</v>
      </c>
      <c r="AA242" s="23">
        <v>0</v>
      </c>
      <c r="AB242" s="23">
        <v>0</v>
      </c>
      <c r="AC242" s="23">
        <v>10</v>
      </c>
      <c r="AD242" s="23">
        <v>0</v>
      </c>
      <c r="AE242" s="23">
        <v>0</v>
      </c>
      <c r="AG242" s="23" t="s">
        <v>3101</v>
      </c>
      <c r="AI242" s="23">
        <v>46198</v>
      </c>
      <c r="AK242" s="23" t="s">
        <v>5051</v>
      </c>
      <c r="AL242" s="23">
        <v>518875598835</v>
      </c>
      <c r="AM242" s="23" t="s">
        <v>3102</v>
      </c>
      <c r="AO242" s="23" t="s">
        <v>3102</v>
      </c>
    </row>
    <row r="243" spans="1:42">
      <c r="A243" s="23">
        <v>46196</v>
      </c>
      <c r="B243" s="23" t="s">
        <v>5052</v>
      </c>
      <c r="C243" s="23" t="s">
        <v>5053</v>
      </c>
      <c r="D243" s="23" t="s">
        <v>3103</v>
      </c>
      <c r="E243" s="23" t="s">
        <v>5054</v>
      </c>
      <c r="F243" s="23" t="s">
        <v>5055</v>
      </c>
      <c r="G243" s="23">
        <v>9048436439</v>
      </c>
      <c r="I243" s="23" t="s">
        <v>5056</v>
      </c>
      <c r="J243" s="23" t="s">
        <v>5054</v>
      </c>
      <c r="K243" s="23" t="s">
        <v>5055</v>
      </c>
      <c r="L243" s="23" t="s">
        <v>5057</v>
      </c>
      <c r="M243" s="23" t="s">
        <v>5058</v>
      </c>
      <c r="N243" s="23" t="s">
        <v>3028</v>
      </c>
      <c r="O243" s="23">
        <v>1</v>
      </c>
      <c r="P243" s="23">
        <v>18700</v>
      </c>
      <c r="Q243" s="23">
        <v>935</v>
      </c>
      <c r="R243" s="23" t="s">
        <v>4344</v>
      </c>
      <c r="S243" s="23" t="s">
        <v>4345</v>
      </c>
      <c r="T243" s="23" t="s">
        <v>5059</v>
      </c>
      <c r="V243" s="23" t="s">
        <v>3104</v>
      </c>
      <c r="W243" s="23">
        <v>19250</v>
      </c>
      <c r="X243" s="23">
        <v>550</v>
      </c>
      <c r="Z243" s="23">
        <v>0</v>
      </c>
      <c r="AA243" s="23">
        <v>0</v>
      </c>
      <c r="AB243" s="23">
        <v>0</v>
      </c>
      <c r="AC243" s="23">
        <v>10</v>
      </c>
      <c r="AD243" s="23">
        <v>0</v>
      </c>
      <c r="AE243" s="23">
        <v>0</v>
      </c>
      <c r="AG243" s="23" t="s">
        <v>3101</v>
      </c>
      <c r="AI243" s="23">
        <v>46198</v>
      </c>
      <c r="AK243" s="23" t="s">
        <v>5060</v>
      </c>
      <c r="AL243" s="23">
        <v>518875598920</v>
      </c>
      <c r="AM243" s="23" t="s">
        <v>3102</v>
      </c>
      <c r="AO243" s="23" t="s">
        <v>3102</v>
      </c>
    </row>
    <row r="244" spans="1:42">
      <c r="A244" s="23">
        <v>46196</v>
      </c>
      <c r="B244" s="23" t="s">
        <v>5061</v>
      </c>
      <c r="C244" s="23" t="s">
        <v>5062</v>
      </c>
      <c r="D244" s="23" t="s">
        <v>3103</v>
      </c>
      <c r="E244" s="23" t="s">
        <v>5063</v>
      </c>
      <c r="F244" s="23" t="s">
        <v>5064</v>
      </c>
      <c r="G244" s="23">
        <v>9072205716</v>
      </c>
      <c r="I244" s="23" t="s">
        <v>5065</v>
      </c>
      <c r="J244" s="23" t="s">
        <v>5063</v>
      </c>
      <c r="K244" s="23" t="s">
        <v>5064</v>
      </c>
      <c r="L244" s="23" t="s">
        <v>5066</v>
      </c>
      <c r="M244" s="23" t="s">
        <v>5067</v>
      </c>
      <c r="N244" s="23" t="s">
        <v>3111</v>
      </c>
      <c r="O244" s="23">
        <v>1</v>
      </c>
      <c r="P244" s="23">
        <v>14300</v>
      </c>
      <c r="Q244" s="23">
        <v>715</v>
      </c>
      <c r="R244" s="23" t="s">
        <v>3151</v>
      </c>
      <c r="S244" s="23" t="s">
        <v>3150</v>
      </c>
      <c r="T244" s="23" t="s">
        <v>99</v>
      </c>
      <c r="V244" s="23" t="s">
        <v>3104</v>
      </c>
      <c r="W244" s="23">
        <v>14850</v>
      </c>
      <c r="X244" s="23">
        <v>550</v>
      </c>
      <c r="Z244" s="23">
        <v>0</v>
      </c>
      <c r="AA244" s="23">
        <v>0</v>
      </c>
      <c r="AB244" s="23">
        <v>0</v>
      </c>
      <c r="AC244" s="23">
        <v>10</v>
      </c>
      <c r="AD244" s="23">
        <v>0</v>
      </c>
      <c r="AE244" s="23">
        <v>0</v>
      </c>
      <c r="AG244" s="23" t="s">
        <v>3101</v>
      </c>
      <c r="AI244" s="23">
        <v>46198</v>
      </c>
      <c r="AK244" s="23" t="s">
        <v>5068</v>
      </c>
      <c r="AL244" s="23">
        <v>518875598861</v>
      </c>
      <c r="AM244" s="23" t="s">
        <v>3102</v>
      </c>
      <c r="AO244" s="23" t="s">
        <v>3102</v>
      </c>
    </row>
    <row r="245" spans="1:42">
      <c r="A245" s="23">
        <v>46196</v>
      </c>
      <c r="B245" s="23" t="s">
        <v>5069</v>
      </c>
      <c r="C245" s="23" t="s">
        <v>5070</v>
      </c>
      <c r="D245" s="23" t="s">
        <v>3103</v>
      </c>
      <c r="E245" s="23" t="s">
        <v>5071</v>
      </c>
      <c r="F245" s="23" t="s">
        <v>5072</v>
      </c>
      <c r="G245" s="23">
        <v>9067108389</v>
      </c>
      <c r="I245" s="23" t="s">
        <v>5073</v>
      </c>
      <c r="J245" s="23" t="s">
        <v>5071</v>
      </c>
      <c r="K245" s="23" t="s">
        <v>5072</v>
      </c>
      <c r="L245" s="23" t="s">
        <v>5074</v>
      </c>
      <c r="M245" s="23" t="s">
        <v>5075</v>
      </c>
      <c r="N245" s="23" t="s">
        <v>3041</v>
      </c>
      <c r="O245" s="23">
        <v>1</v>
      </c>
      <c r="P245" s="23">
        <v>15400</v>
      </c>
      <c r="Q245" s="23">
        <v>770</v>
      </c>
      <c r="R245" s="23" t="s">
        <v>3164</v>
      </c>
      <c r="S245" s="23" t="s">
        <v>3165</v>
      </c>
      <c r="T245" s="23" t="s">
        <v>3220</v>
      </c>
      <c r="V245" s="23" t="s">
        <v>3104</v>
      </c>
      <c r="W245" s="23">
        <v>15950</v>
      </c>
      <c r="X245" s="23">
        <v>550</v>
      </c>
      <c r="Z245" s="23">
        <v>0</v>
      </c>
      <c r="AA245" s="23">
        <v>0</v>
      </c>
      <c r="AB245" s="23">
        <v>0</v>
      </c>
      <c r="AC245" s="23">
        <v>10</v>
      </c>
      <c r="AD245" s="23">
        <v>0</v>
      </c>
      <c r="AE245" s="23">
        <v>0</v>
      </c>
      <c r="AG245" s="23" t="s">
        <v>3101</v>
      </c>
      <c r="AI245" s="23">
        <v>46198</v>
      </c>
      <c r="AK245" s="23" t="s">
        <v>5076</v>
      </c>
      <c r="AL245" s="23">
        <v>518875598824</v>
      </c>
      <c r="AM245" s="23" t="s">
        <v>3102</v>
      </c>
      <c r="AO245" s="23" t="s">
        <v>3102</v>
      </c>
    </row>
    <row r="246" spans="1:42">
      <c r="A246" s="23">
        <v>46196</v>
      </c>
      <c r="B246" s="23" t="s">
        <v>5077</v>
      </c>
      <c r="C246" s="23" t="s">
        <v>5078</v>
      </c>
      <c r="D246" s="23" t="s">
        <v>3103</v>
      </c>
      <c r="E246" s="23" t="s">
        <v>5079</v>
      </c>
      <c r="F246" s="23" t="s">
        <v>5080</v>
      </c>
      <c r="G246" s="23">
        <v>9017648168</v>
      </c>
      <c r="I246" s="23" t="s">
        <v>5081</v>
      </c>
      <c r="J246" s="23" t="s">
        <v>5079</v>
      </c>
      <c r="K246" s="23" t="s">
        <v>5080</v>
      </c>
      <c r="L246" s="23" t="s">
        <v>5082</v>
      </c>
      <c r="M246" s="23" t="s">
        <v>5083</v>
      </c>
      <c r="N246" s="23" t="s">
        <v>5302</v>
      </c>
      <c r="O246" s="23">
        <v>1</v>
      </c>
      <c r="P246" s="23">
        <v>550</v>
      </c>
      <c r="Q246" s="23">
        <v>27</v>
      </c>
      <c r="R246" s="23" t="s">
        <v>5303</v>
      </c>
      <c r="S246" s="23" t="s">
        <v>5304</v>
      </c>
      <c r="T246" s="23" t="s">
        <v>5304</v>
      </c>
      <c r="V246" s="23" t="s">
        <v>3104</v>
      </c>
      <c r="W246" s="23">
        <v>15400</v>
      </c>
      <c r="X246" s="23">
        <v>550</v>
      </c>
      <c r="Z246" s="23">
        <v>0</v>
      </c>
      <c r="AA246" s="23">
        <v>0</v>
      </c>
      <c r="AB246" s="23">
        <v>0</v>
      </c>
      <c r="AC246" s="23">
        <v>10</v>
      </c>
      <c r="AD246" s="23">
        <v>0</v>
      </c>
      <c r="AE246" s="23">
        <v>0</v>
      </c>
      <c r="AG246" s="23" t="s">
        <v>3101</v>
      </c>
      <c r="AI246" s="23">
        <v>46198</v>
      </c>
      <c r="AK246" s="23" t="s">
        <v>5084</v>
      </c>
      <c r="AL246" s="23">
        <v>518875598872</v>
      </c>
      <c r="AM246" s="23" t="s">
        <v>3102</v>
      </c>
      <c r="AO246" s="23" t="s">
        <v>3102</v>
      </c>
    </row>
    <row r="247" spans="1:42">
      <c r="A247" s="23">
        <v>46196</v>
      </c>
      <c r="B247" s="23" t="s">
        <v>5077</v>
      </c>
      <c r="C247" s="23" t="s">
        <v>5078</v>
      </c>
      <c r="D247" s="23" t="s">
        <v>3103</v>
      </c>
      <c r="E247" s="23" t="s">
        <v>5079</v>
      </c>
      <c r="F247" s="23" t="s">
        <v>5080</v>
      </c>
      <c r="G247" s="23">
        <v>9017648168</v>
      </c>
      <c r="I247" s="23" t="s">
        <v>5081</v>
      </c>
      <c r="J247" s="23" t="s">
        <v>5079</v>
      </c>
      <c r="K247" s="23" t="s">
        <v>5080</v>
      </c>
      <c r="L247" s="23" t="s">
        <v>5082</v>
      </c>
      <c r="M247" s="23" t="s">
        <v>5083</v>
      </c>
      <c r="N247" s="23" t="s">
        <v>3111</v>
      </c>
      <c r="O247" s="23">
        <v>1</v>
      </c>
      <c r="P247" s="23">
        <v>14300</v>
      </c>
      <c r="Q247" s="23">
        <v>715</v>
      </c>
      <c r="R247" s="23" t="s">
        <v>3151</v>
      </c>
      <c r="S247" s="23" t="s">
        <v>3150</v>
      </c>
      <c r="T247" s="23" t="s">
        <v>99</v>
      </c>
      <c r="V247" s="23" t="s">
        <v>3104</v>
      </c>
      <c r="W247" s="23">
        <v>15400</v>
      </c>
      <c r="X247" s="23">
        <v>550</v>
      </c>
      <c r="Z247" s="23">
        <v>0</v>
      </c>
      <c r="AA247" s="23">
        <v>0</v>
      </c>
      <c r="AB247" s="23">
        <v>0</v>
      </c>
      <c r="AC247" s="23">
        <v>10</v>
      </c>
      <c r="AD247" s="23">
        <v>0</v>
      </c>
      <c r="AE247" s="23">
        <v>0</v>
      </c>
      <c r="AG247" s="23" t="s">
        <v>3101</v>
      </c>
      <c r="AI247" s="23">
        <v>46198</v>
      </c>
      <c r="AK247" s="23" t="s">
        <v>5084</v>
      </c>
      <c r="AL247" s="23">
        <v>518875598872</v>
      </c>
      <c r="AM247" s="23" t="s">
        <v>3102</v>
      </c>
      <c r="AO247" s="23" t="s">
        <v>3102</v>
      </c>
    </row>
    <row r="248" spans="1:42">
      <c r="A248" s="23">
        <v>46196</v>
      </c>
      <c r="B248" s="23" t="s">
        <v>5085</v>
      </c>
      <c r="C248" s="23" t="s">
        <v>5086</v>
      </c>
      <c r="D248" s="23" t="s">
        <v>3103</v>
      </c>
      <c r="E248" s="23" t="s">
        <v>5087</v>
      </c>
      <c r="F248" s="23" t="s">
        <v>5088</v>
      </c>
      <c r="G248" s="23">
        <v>9017328486</v>
      </c>
      <c r="I248" s="23" t="s">
        <v>5089</v>
      </c>
      <c r="J248" s="23" t="s">
        <v>5087</v>
      </c>
      <c r="K248" s="23" t="s">
        <v>5088</v>
      </c>
      <c r="L248" s="23" t="s">
        <v>5090</v>
      </c>
      <c r="M248" s="23" t="s">
        <v>5091</v>
      </c>
      <c r="N248" s="23" t="s">
        <v>3121</v>
      </c>
      <c r="O248" s="23">
        <v>1</v>
      </c>
      <c r="P248" s="23">
        <v>14300</v>
      </c>
      <c r="Q248" s="23">
        <v>715</v>
      </c>
      <c r="R248" s="23" t="s">
        <v>3184</v>
      </c>
      <c r="S248" s="23" t="s">
        <v>3150</v>
      </c>
      <c r="T248" s="23" t="s">
        <v>88</v>
      </c>
      <c r="V248" s="23" t="s">
        <v>3104</v>
      </c>
      <c r="W248" s="23">
        <v>14850</v>
      </c>
      <c r="X248" s="23">
        <v>550</v>
      </c>
      <c r="Z248" s="23">
        <v>0</v>
      </c>
      <c r="AA248" s="23">
        <v>0</v>
      </c>
      <c r="AB248" s="23">
        <v>0</v>
      </c>
      <c r="AC248" s="23">
        <v>10</v>
      </c>
      <c r="AD248" s="23">
        <v>0</v>
      </c>
      <c r="AE248" s="23">
        <v>0</v>
      </c>
      <c r="AG248" s="23" t="s">
        <v>3101</v>
      </c>
      <c r="AI248" s="23">
        <v>46198</v>
      </c>
      <c r="AK248" s="23" t="s">
        <v>5092</v>
      </c>
      <c r="AL248" s="23">
        <v>518875598846</v>
      </c>
      <c r="AM248" s="23" t="s">
        <v>3102</v>
      </c>
      <c r="AO248" s="23" t="s">
        <v>3102</v>
      </c>
    </row>
    <row r="249" spans="1:42">
      <c r="A249" s="23">
        <v>46196</v>
      </c>
      <c r="B249" s="23" t="s">
        <v>5093</v>
      </c>
      <c r="C249" s="23" t="s">
        <v>5094</v>
      </c>
      <c r="D249" s="23" t="s">
        <v>3105</v>
      </c>
      <c r="E249" s="23" t="s">
        <v>5095</v>
      </c>
      <c r="F249" s="23" t="s">
        <v>5096</v>
      </c>
      <c r="G249" s="23">
        <v>9070794394</v>
      </c>
      <c r="I249" s="23" t="s">
        <v>5097</v>
      </c>
      <c r="J249" s="23" t="s">
        <v>5095</v>
      </c>
      <c r="K249" s="23" t="s">
        <v>5096</v>
      </c>
      <c r="L249" s="23" t="s">
        <v>5098</v>
      </c>
      <c r="M249" s="23" t="s">
        <v>5099</v>
      </c>
      <c r="N249" s="23" t="s">
        <v>3144</v>
      </c>
      <c r="O249" s="23">
        <v>1</v>
      </c>
      <c r="P249" s="23">
        <v>14300</v>
      </c>
      <c r="Q249" s="23">
        <v>715</v>
      </c>
      <c r="R249" s="23" t="s">
        <v>3155</v>
      </c>
      <c r="S249" s="23" t="s">
        <v>3150</v>
      </c>
      <c r="T249" s="23" t="s">
        <v>3011</v>
      </c>
      <c r="V249" s="23" t="s">
        <v>3106</v>
      </c>
      <c r="W249" s="23">
        <v>14850</v>
      </c>
      <c r="X249" s="23">
        <v>550</v>
      </c>
      <c r="Z249" s="23">
        <v>0</v>
      </c>
      <c r="AA249" s="23">
        <v>0</v>
      </c>
      <c r="AB249" s="23">
        <v>0</v>
      </c>
      <c r="AC249" s="23">
        <v>10</v>
      </c>
      <c r="AD249" s="23">
        <v>0</v>
      </c>
      <c r="AE249" s="23">
        <v>0</v>
      </c>
      <c r="AG249" s="23" t="s">
        <v>3101</v>
      </c>
      <c r="AI249" s="23">
        <v>46198</v>
      </c>
      <c r="AK249" s="23" t="s">
        <v>5100</v>
      </c>
      <c r="AL249" s="23">
        <v>518875598894</v>
      </c>
      <c r="AM249" s="23" t="s">
        <v>3102</v>
      </c>
      <c r="AO249" s="23" t="s">
        <v>3102</v>
      </c>
    </row>
    <row r="250" spans="1:42">
      <c r="A250" s="23">
        <v>46196</v>
      </c>
      <c r="B250" s="23" t="s">
        <v>5101</v>
      </c>
      <c r="C250" s="23" t="s">
        <v>5102</v>
      </c>
      <c r="D250" s="23" t="s">
        <v>3105</v>
      </c>
      <c r="E250" s="23" t="s">
        <v>5103</v>
      </c>
      <c r="F250" s="23" t="s">
        <v>5104</v>
      </c>
      <c r="G250" s="23">
        <v>9076261114</v>
      </c>
      <c r="I250" s="23" t="s">
        <v>5105</v>
      </c>
      <c r="J250" s="23" t="s">
        <v>5103</v>
      </c>
      <c r="K250" s="23" t="s">
        <v>5104</v>
      </c>
      <c r="L250" s="23" t="s">
        <v>5106</v>
      </c>
      <c r="M250" s="23" t="s">
        <v>5107</v>
      </c>
      <c r="N250" s="23" t="s">
        <v>3674</v>
      </c>
      <c r="O250" s="23">
        <v>1</v>
      </c>
      <c r="P250" s="23">
        <v>14300</v>
      </c>
      <c r="Q250" s="23">
        <v>715</v>
      </c>
      <c r="R250" s="23" t="s">
        <v>3675</v>
      </c>
      <c r="S250" s="23" t="s">
        <v>3150</v>
      </c>
      <c r="T250" s="23" t="s">
        <v>133</v>
      </c>
      <c r="V250" s="23" t="s">
        <v>3106</v>
      </c>
      <c r="W250" s="23">
        <v>14850</v>
      </c>
      <c r="X250" s="23">
        <v>550</v>
      </c>
      <c r="Z250" s="23">
        <v>0</v>
      </c>
      <c r="AA250" s="23">
        <v>0</v>
      </c>
      <c r="AB250" s="23">
        <v>0</v>
      </c>
      <c r="AC250" s="23">
        <v>10</v>
      </c>
      <c r="AD250" s="23">
        <v>0</v>
      </c>
      <c r="AE250" s="23">
        <v>0</v>
      </c>
      <c r="AG250" s="23" t="s">
        <v>3101</v>
      </c>
      <c r="AI250" s="23">
        <v>46198</v>
      </c>
      <c r="AK250" s="23" t="s">
        <v>5108</v>
      </c>
      <c r="AL250" s="23">
        <v>518875598850</v>
      </c>
      <c r="AM250" s="23" t="s">
        <v>3102</v>
      </c>
      <c r="AO250" s="23" t="s">
        <v>3102</v>
      </c>
    </row>
    <row r="251" spans="1:42">
      <c r="A251" s="23">
        <v>46196</v>
      </c>
      <c r="B251" s="23" t="s">
        <v>5109</v>
      </c>
      <c r="C251" s="23" t="s">
        <v>5110</v>
      </c>
      <c r="D251" s="23" t="s">
        <v>3105</v>
      </c>
      <c r="E251" s="23" t="s">
        <v>5111</v>
      </c>
      <c r="F251" s="23" t="s">
        <v>5112</v>
      </c>
      <c r="G251" s="23">
        <v>8055813807</v>
      </c>
      <c r="I251" s="23" t="s">
        <v>5113</v>
      </c>
      <c r="J251" s="23" t="s">
        <v>5111</v>
      </c>
      <c r="K251" s="23" t="s">
        <v>5112</v>
      </c>
      <c r="L251" s="23" t="s">
        <v>5114</v>
      </c>
      <c r="M251" s="23" t="s">
        <v>5115</v>
      </c>
      <c r="N251" s="23" t="s">
        <v>737</v>
      </c>
      <c r="O251" s="23">
        <v>1</v>
      </c>
      <c r="P251" s="23">
        <v>8140</v>
      </c>
      <c r="Q251" s="23">
        <v>407</v>
      </c>
      <c r="R251" s="23" t="s">
        <v>3726</v>
      </c>
      <c r="S251" s="23" t="s">
        <v>3727</v>
      </c>
      <c r="T251" s="23" t="s">
        <v>3793</v>
      </c>
      <c r="V251" s="23" t="s">
        <v>3106</v>
      </c>
      <c r="W251" s="23">
        <v>7645</v>
      </c>
      <c r="X251" s="23">
        <v>550</v>
      </c>
      <c r="Z251" s="23">
        <v>0</v>
      </c>
      <c r="AA251" s="23">
        <v>0</v>
      </c>
      <c r="AB251" s="23">
        <v>0</v>
      </c>
      <c r="AC251" s="23">
        <v>10</v>
      </c>
      <c r="AD251" s="23">
        <v>0</v>
      </c>
      <c r="AE251" s="23">
        <v>-7095</v>
      </c>
      <c r="AG251" s="23" t="s">
        <v>3101</v>
      </c>
      <c r="AI251" s="23">
        <v>46198</v>
      </c>
      <c r="AK251" s="23" t="s">
        <v>5116</v>
      </c>
      <c r="AL251" s="23">
        <v>518875598802</v>
      </c>
      <c r="AM251" s="23" t="s">
        <v>3102</v>
      </c>
      <c r="AO251" s="23" t="s">
        <v>3102</v>
      </c>
      <c r="AP251" s="23" t="s">
        <v>5117</v>
      </c>
    </row>
    <row r="252" spans="1:42">
      <c r="A252" s="23">
        <v>46196</v>
      </c>
      <c r="B252" s="23" t="s">
        <v>5109</v>
      </c>
      <c r="C252" s="23" t="s">
        <v>5110</v>
      </c>
      <c r="D252" s="23" t="s">
        <v>3105</v>
      </c>
      <c r="E252" s="23" t="s">
        <v>5111</v>
      </c>
      <c r="F252" s="23" t="s">
        <v>5112</v>
      </c>
      <c r="G252" s="23">
        <v>8055813807</v>
      </c>
      <c r="I252" s="23" t="s">
        <v>5113</v>
      </c>
      <c r="J252" s="23" t="s">
        <v>5111</v>
      </c>
      <c r="K252" s="23" t="s">
        <v>5112</v>
      </c>
      <c r="L252" s="23" t="s">
        <v>5114</v>
      </c>
      <c r="M252" s="23" t="s">
        <v>5115</v>
      </c>
      <c r="N252" s="23" t="s">
        <v>5118</v>
      </c>
      <c r="O252" s="23">
        <v>1</v>
      </c>
      <c r="P252" s="23">
        <v>6050</v>
      </c>
      <c r="Q252" s="23">
        <v>302</v>
      </c>
      <c r="R252" s="23" t="s">
        <v>5119</v>
      </c>
      <c r="S252" s="23" t="s">
        <v>5120</v>
      </c>
      <c r="T252" s="23" t="s">
        <v>5121</v>
      </c>
      <c r="V252" s="23" t="s">
        <v>3106</v>
      </c>
      <c r="W252" s="23">
        <v>7645</v>
      </c>
      <c r="X252" s="23">
        <v>550</v>
      </c>
      <c r="Z252" s="23">
        <v>0</v>
      </c>
      <c r="AA252" s="23">
        <v>0</v>
      </c>
      <c r="AB252" s="23">
        <v>0</v>
      </c>
      <c r="AC252" s="23">
        <v>10</v>
      </c>
      <c r="AD252" s="23">
        <v>0</v>
      </c>
      <c r="AE252" s="23">
        <v>-7095</v>
      </c>
      <c r="AG252" s="23" t="s">
        <v>3101</v>
      </c>
      <c r="AI252" s="23">
        <v>46198</v>
      </c>
      <c r="AK252" s="23" t="s">
        <v>5116</v>
      </c>
      <c r="AL252" s="23">
        <v>518875598802</v>
      </c>
      <c r="AM252" s="23" t="s">
        <v>3102</v>
      </c>
      <c r="AO252" s="23" t="s">
        <v>3102</v>
      </c>
      <c r="AP252" s="23" t="s">
        <v>5117</v>
      </c>
    </row>
    <row r="253" spans="1:42">
      <c r="A253" s="23">
        <v>46196</v>
      </c>
      <c r="B253" s="23" t="s">
        <v>5122</v>
      </c>
      <c r="C253" s="23" t="s">
        <v>5123</v>
      </c>
      <c r="D253" s="23" t="s">
        <v>3103</v>
      </c>
      <c r="E253" s="23" t="s">
        <v>5124</v>
      </c>
      <c r="F253" s="23" t="s">
        <v>5125</v>
      </c>
      <c r="G253" s="23">
        <v>8031111397</v>
      </c>
      <c r="I253" s="23" t="s">
        <v>5126</v>
      </c>
      <c r="J253" s="23" t="s">
        <v>5124</v>
      </c>
      <c r="K253" s="23" t="s">
        <v>5125</v>
      </c>
      <c r="L253" s="23" t="s">
        <v>5127</v>
      </c>
      <c r="M253" s="23" t="s">
        <v>5128</v>
      </c>
      <c r="N253" s="23" t="s">
        <v>3306</v>
      </c>
      <c r="O253" s="23">
        <v>1</v>
      </c>
      <c r="P253" s="23">
        <v>12100</v>
      </c>
      <c r="Q253" s="23">
        <v>605</v>
      </c>
      <c r="R253" s="23" t="s">
        <v>5048</v>
      </c>
      <c r="S253" s="23" t="s">
        <v>5049</v>
      </c>
      <c r="T253" s="23" t="s">
        <v>3348</v>
      </c>
      <c r="V253" s="23" t="s">
        <v>3104</v>
      </c>
      <c r="W253" s="23">
        <v>9653</v>
      </c>
      <c r="X253" s="23">
        <v>550</v>
      </c>
      <c r="Z253" s="23">
        <v>0</v>
      </c>
      <c r="AA253" s="23">
        <v>-2997</v>
      </c>
      <c r="AB253" s="23">
        <v>0</v>
      </c>
      <c r="AC253" s="23">
        <v>10</v>
      </c>
      <c r="AD253" s="23">
        <v>0</v>
      </c>
      <c r="AE253" s="23">
        <v>0</v>
      </c>
      <c r="AG253" s="23" t="s">
        <v>3101</v>
      </c>
      <c r="AI253" s="23">
        <v>46198</v>
      </c>
      <c r="AK253" s="23" t="s">
        <v>5129</v>
      </c>
      <c r="AL253" s="23">
        <v>518875598813</v>
      </c>
      <c r="AM253" s="23" t="s">
        <v>3102</v>
      </c>
      <c r="AO253" s="23" t="s">
        <v>3102</v>
      </c>
    </row>
    <row r="254" spans="1:42">
      <c r="A254" s="23">
        <v>46196</v>
      </c>
      <c r="B254" s="23" t="s">
        <v>5130</v>
      </c>
      <c r="C254" s="23" t="s">
        <v>5131</v>
      </c>
      <c r="D254" s="23" t="s">
        <v>3105</v>
      </c>
      <c r="E254" s="23" t="s">
        <v>5132</v>
      </c>
      <c r="F254" s="23" t="s">
        <v>5133</v>
      </c>
      <c r="G254" s="23">
        <v>9048182623</v>
      </c>
      <c r="I254" s="23" t="s">
        <v>5134</v>
      </c>
      <c r="J254" s="23" t="s">
        <v>5132</v>
      </c>
      <c r="K254" s="23" t="s">
        <v>5133</v>
      </c>
      <c r="L254" s="23" t="s">
        <v>5135</v>
      </c>
      <c r="M254" s="23" t="s">
        <v>5136</v>
      </c>
      <c r="N254" s="23" t="s">
        <v>3222</v>
      </c>
      <c r="O254" s="23">
        <v>1</v>
      </c>
      <c r="P254" s="23">
        <v>14300</v>
      </c>
      <c r="Q254" s="23">
        <v>715</v>
      </c>
      <c r="R254" s="23" t="s">
        <v>3223</v>
      </c>
      <c r="S254" s="23" t="s">
        <v>3150</v>
      </c>
      <c r="T254" s="23" t="s">
        <v>2985</v>
      </c>
      <c r="V254" s="23" t="s">
        <v>3106</v>
      </c>
      <c r="W254" s="23">
        <v>14850</v>
      </c>
      <c r="X254" s="23">
        <v>550</v>
      </c>
      <c r="Z254" s="23">
        <v>0</v>
      </c>
      <c r="AA254" s="23">
        <v>0</v>
      </c>
      <c r="AB254" s="23">
        <v>0</v>
      </c>
      <c r="AC254" s="23">
        <v>10</v>
      </c>
      <c r="AD254" s="23">
        <v>0</v>
      </c>
      <c r="AE254" s="23">
        <v>0</v>
      </c>
      <c r="AG254" s="23" t="s">
        <v>3101</v>
      </c>
      <c r="AI254" s="23">
        <v>46198</v>
      </c>
      <c r="AK254" s="23" t="s">
        <v>5137</v>
      </c>
      <c r="AL254" s="23">
        <v>518875598883</v>
      </c>
      <c r="AM254" s="23" t="s">
        <v>3102</v>
      </c>
      <c r="AO254" s="23" t="s">
        <v>3102</v>
      </c>
      <c r="AP254" s="23" t="s">
        <v>5138</v>
      </c>
    </row>
    <row r="255" spans="1:42">
      <c r="A255" s="23">
        <v>46196</v>
      </c>
      <c r="B255" s="23" t="s">
        <v>3541</v>
      </c>
      <c r="C255" s="23" t="s">
        <v>3542</v>
      </c>
      <c r="D255" s="23" t="s">
        <v>3108</v>
      </c>
      <c r="E255" s="23" t="s">
        <v>3543</v>
      </c>
      <c r="F255" s="23" t="s">
        <v>3544</v>
      </c>
      <c r="G255" s="23">
        <v>8054997928</v>
      </c>
      <c r="I255" s="23" t="s">
        <v>3545</v>
      </c>
      <c r="J255" s="23" t="s">
        <v>3543</v>
      </c>
      <c r="K255" s="23" t="s">
        <v>3544</v>
      </c>
      <c r="L255" s="23" t="s">
        <v>3546</v>
      </c>
      <c r="M255" s="23" t="s">
        <v>3547</v>
      </c>
      <c r="N255" s="23" t="s">
        <v>3144</v>
      </c>
      <c r="O255" s="23">
        <v>1</v>
      </c>
      <c r="P255" s="23">
        <v>14300</v>
      </c>
      <c r="Q255" s="23">
        <v>715</v>
      </c>
      <c r="R255" s="23" t="s">
        <v>3155</v>
      </c>
      <c r="S255" s="23" t="s">
        <v>3150</v>
      </c>
      <c r="T255" s="23" t="s">
        <v>3011</v>
      </c>
      <c r="V255" s="23" t="s">
        <v>3110</v>
      </c>
      <c r="W255" s="23">
        <v>14850</v>
      </c>
      <c r="X255" s="23">
        <v>550</v>
      </c>
      <c r="Z255" s="23">
        <v>0</v>
      </c>
      <c r="AA255" s="23">
        <v>0</v>
      </c>
      <c r="AB255" s="23">
        <v>0</v>
      </c>
      <c r="AC255" s="23">
        <v>10</v>
      </c>
      <c r="AD255" s="23">
        <v>0</v>
      </c>
      <c r="AE255" s="23">
        <v>0</v>
      </c>
      <c r="AG255" s="23" t="s">
        <v>3101</v>
      </c>
      <c r="AI255" s="23">
        <v>46197</v>
      </c>
      <c r="AK255" s="23" t="s">
        <v>5139</v>
      </c>
      <c r="AL255" s="23">
        <v>518875598614</v>
      </c>
      <c r="AM255" s="23" t="s">
        <v>3102</v>
      </c>
      <c r="AO255" s="23" t="s">
        <v>3102</v>
      </c>
    </row>
    <row r="256" spans="1:42">
      <c r="A256" s="23">
        <v>46196</v>
      </c>
      <c r="B256" s="23" t="s">
        <v>3548</v>
      </c>
      <c r="C256" s="23" t="s">
        <v>3549</v>
      </c>
      <c r="D256" s="23" t="s">
        <v>3103</v>
      </c>
      <c r="E256" s="23" t="s">
        <v>3550</v>
      </c>
      <c r="F256" s="23" t="s">
        <v>3551</v>
      </c>
      <c r="G256" s="23">
        <v>9093181310</v>
      </c>
      <c r="I256" s="23" t="s">
        <v>3552</v>
      </c>
      <c r="J256" s="23" t="s">
        <v>3553</v>
      </c>
      <c r="K256" s="23" t="s">
        <v>3554</v>
      </c>
      <c r="L256" s="23" t="s">
        <v>3555</v>
      </c>
      <c r="M256" s="23" t="s">
        <v>3556</v>
      </c>
      <c r="N256" s="23" t="s">
        <v>3041</v>
      </c>
      <c r="O256" s="23">
        <v>1</v>
      </c>
      <c r="P256" s="23">
        <v>15400</v>
      </c>
      <c r="Q256" s="23">
        <v>770</v>
      </c>
      <c r="R256" s="23" t="s">
        <v>3164</v>
      </c>
      <c r="S256" s="23" t="s">
        <v>3165</v>
      </c>
      <c r="T256" s="23" t="s">
        <v>2975</v>
      </c>
      <c r="V256" s="23" t="s">
        <v>3104</v>
      </c>
      <c r="W256" s="23">
        <v>15950</v>
      </c>
      <c r="X256" s="23">
        <v>550</v>
      </c>
      <c r="Z256" s="23">
        <v>0</v>
      </c>
      <c r="AA256" s="23">
        <v>0</v>
      </c>
      <c r="AB256" s="23">
        <v>0</v>
      </c>
      <c r="AC256" s="23">
        <v>10</v>
      </c>
      <c r="AD256" s="23">
        <v>0</v>
      </c>
      <c r="AE256" s="23">
        <v>0</v>
      </c>
      <c r="AG256" s="23" t="s">
        <v>3101</v>
      </c>
      <c r="AI256" s="23">
        <v>46197</v>
      </c>
      <c r="AK256" s="23" t="s">
        <v>5140</v>
      </c>
      <c r="AL256" s="23">
        <v>518875598732</v>
      </c>
      <c r="AM256" s="23" t="s">
        <v>3102</v>
      </c>
      <c r="AO256" s="23" t="s">
        <v>3102</v>
      </c>
    </row>
    <row r="257" spans="1:41">
      <c r="A257" s="23">
        <v>46196</v>
      </c>
      <c r="B257" s="23" t="s">
        <v>3557</v>
      </c>
      <c r="C257" s="23" t="s">
        <v>3558</v>
      </c>
      <c r="D257" s="23" t="s">
        <v>3103</v>
      </c>
      <c r="E257" s="23" t="s">
        <v>3559</v>
      </c>
      <c r="F257" s="23" t="s">
        <v>3560</v>
      </c>
      <c r="G257" s="23">
        <v>9073042497</v>
      </c>
      <c r="I257" s="23" t="s">
        <v>3561</v>
      </c>
      <c r="J257" s="23" t="s">
        <v>3559</v>
      </c>
      <c r="K257" s="23" t="s">
        <v>3560</v>
      </c>
      <c r="L257" s="23" t="s">
        <v>3562</v>
      </c>
      <c r="M257" s="23" t="s">
        <v>3563</v>
      </c>
      <c r="N257" s="23" t="s">
        <v>3144</v>
      </c>
      <c r="O257" s="23">
        <v>1</v>
      </c>
      <c r="P257" s="23">
        <v>14300</v>
      </c>
      <c r="Q257" s="23">
        <v>715</v>
      </c>
      <c r="R257" s="23" t="s">
        <v>3155</v>
      </c>
      <c r="S257" s="23" t="s">
        <v>3150</v>
      </c>
      <c r="T257" s="23" t="s">
        <v>3011</v>
      </c>
      <c r="V257" s="23" t="s">
        <v>3104</v>
      </c>
      <c r="W257" s="23">
        <v>14850</v>
      </c>
      <c r="X257" s="23">
        <v>550</v>
      </c>
      <c r="Z257" s="23">
        <v>0</v>
      </c>
      <c r="AA257" s="23">
        <v>0</v>
      </c>
      <c r="AB257" s="23">
        <v>0</v>
      </c>
      <c r="AC257" s="23">
        <v>10</v>
      </c>
      <c r="AD257" s="23">
        <v>0</v>
      </c>
      <c r="AE257" s="23">
        <v>0</v>
      </c>
      <c r="AG257" s="23" t="s">
        <v>3101</v>
      </c>
      <c r="AI257" s="23">
        <v>46197</v>
      </c>
      <c r="AK257" s="23" t="s">
        <v>5141</v>
      </c>
      <c r="AL257" s="23">
        <v>518875598625</v>
      </c>
      <c r="AM257" s="23" t="s">
        <v>3102</v>
      </c>
      <c r="AO257" s="23" t="s">
        <v>3102</v>
      </c>
    </row>
    <row r="258" spans="1:41">
      <c r="A258" s="23">
        <v>46196</v>
      </c>
      <c r="B258" s="23" t="s">
        <v>3564</v>
      </c>
      <c r="C258" s="23" t="s">
        <v>3565</v>
      </c>
      <c r="D258" s="23" t="s">
        <v>3105</v>
      </c>
      <c r="E258" s="23" t="s">
        <v>3240</v>
      </c>
      <c r="F258" s="23" t="s">
        <v>3241</v>
      </c>
      <c r="G258" s="23">
        <v>8054184222</v>
      </c>
      <c r="I258" s="23" t="s">
        <v>3242</v>
      </c>
      <c r="J258" s="23" t="s">
        <v>3240</v>
      </c>
      <c r="K258" s="23" t="s">
        <v>3241</v>
      </c>
      <c r="L258" s="23" t="s">
        <v>3243</v>
      </c>
      <c r="M258" s="23" t="s">
        <v>3244</v>
      </c>
      <c r="N258" s="23" t="s">
        <v>3020</v>
      </c>
      <c r="O258" s="23">
        <v>1</v>
      </c>
      <c r="P258" s="23">
        <v>5500</v>
      </c>
      <c r="Q258" s="23">
        <v>275</v>
      </c>
      <c r="R258" s="23" t="s">
        <v>3177</v>
      </c>
      <c r="S258" s="23" t="s">
        <v>3178</v>
      </c>
      <c r="T258" s="23" t="s">
        <v>3339</v>
      </c>
      <c r="V258" s="23" t="s">
        <v>3106</v>
      </c>
      <c r="W258" s="23">
        <v>6050</v>
      </c>
      <c r="X258" s="23">
        <v>550</v>
      </c>
      <c r="Z258" s="23">
        <v>0</v>
      </c>
      <c r="AA258" s="23">
        <v>0</v>
      </c>
      <c r="AB258" s="23">
        <v>0</v>
      </c>
      <c r="AC258" s="23">
        <v>10</v>
      </c>
      <c r="AD258" s="23">
        <v>0</v>
      </c>
      <c r="AE258" s="23">
        <v>0</v>
      </c>
      <c r="AG258" s="23" t="s">
        <v>3101</v>
      </c>
      <c r="AI258" s="23">
        <v>46197</v>
      </c>
      <c r="AK258" s="23" t="s">
        <v>5142</v>
      </c>
      <c r="AL258" s="23">
        <v>518875598791</v>
      </c>
      <c r="AM258" s="23" t="s">
        <v>3102</v>
      </c>
      <c r="AO258" s="23" t="s">
        <v>3102</v>
      </c>
    </row>
    <row r="259" spans="1:41">
      <c r="A259" s="23">
        <v>46196</v>
      </c>
      <c r="B259" s="23" t="s">
        <v>3566</v>
      </c>
      <c r="C259" s="23" t="s">
        <v>3567</v>
      </c>
      <c r="D259" s="23" t="s">
        <v>3103</v>
      </c>
      <c r="E259" s="23" t="s">
        <v>3568</v>
      </c>
      <c r="F259" s="23" t="s">
        <v>3569</v>
      </c>
      <c r="G259" s="23">
        <v>495731200</v>
      </c>
      <c r="I259" s="23" t="s">
        <v>3570</v>
      </c>
      <c r="J259" s="23" t="s">
        <v>3568</v>
      </c>
      <c r="K259" s="23" t="s">
        <v>3569</v>
      </c>
      <c r="L259" s="23" t="s">
        <v>3571</v>
      </c>
      <c r="M259" s="23" t="s">
        <v>3572</v>
      </c>
      <c r="N259" s="23" t="s">
        <v>3121</v>
      </c>
      <c r="O259" s="23">
        <v>1</v>
      </c>
      <c r="P259" s="23">
        <v>14300</v>
      </c>
      <c r="Q259" s="23">
        <v>715</v>
      </c>
      <c r="R259" s="23" t="s">
        <v>3184</v>
      </c>
      <c r="S259" s="23" t="s">
        <v>3150</v>
      </c>
      <c r="T259" s="23" t="s">
        <v>88</v>
      </c>
      <c r="V259" s="23" t="s">
        <v>3104</v>
      </c>
      <c r="W259" s="23">
        <v>14850</v>
      </c>
      <c r="X259" s="23">
        <v>550</v>
      </c>
      <c r="Z259" s="23">
        <v>0</v>
      </c>
      <c r="AA259" s="23">
        <v>0</v>
      </c>
      <c r="AB259" s="23">
        <v>0</v>
      </c>
      <c r="AC259" s="23">
        <v>10</v>
      </c>
      <c r="AD259" s="23">
        <v>0</v>
      </c>
      <c r="AE259" s="23">
        <v>0</v>
      </c>
      <c r="AG259" s="23" t="s">
        <v>3101</v>
      </c>
      <c r="AI259" s="23">
        <v>46197</v>
      </c>
      <c r="AK259" s="23" t="s">
        <v>5143</v>
      </c>
      <c r="AL259" s="23">
        <v>518875598695</v>
      </c>
      <c r="AM259" s="23" t="s">
        <v>3573</v>
      </c>
      <c r="AO259" s="23" t="s">
        <v>3573</v>
      </c>
    </row>
    <row r="260" spans="1:41">
      <c r="A260" s="23">
        <v>46195</v>
      </c>
      <c r="B260" s="23" t="s">
        <v>3574</v>
      </c>
      <c r="C260" s="23" t="s">
        <v>3575</v>
      </c>
      <c r="D260" s="23" t="s">
        <v>3103</v>
      </c>
      <c r="E260" s="23" t="s">
        <v>3576</v>
      </c>
      <c r="F260" s="23" t="s">
        <v>3577</v>
      </c>
      <c r="G260" s="23">
        <v>9054563223</v>
      </c>
      <c r="I260" s="23" t="s">
        <v>3578</v>
      </c>
      <c r="J260" s="23" t="s">
        <v>3576</v>
      </c>
      <c r="K260" s="23" t="s">
        <v>3577</v>
      </c>
      <c r="L260" s="23" t="s">
        <v>3579</v>
      </c>
      <c r="M260" s="23" t="s">
        <v>3580</v>
      </c>
      <c r="N260" s="23" t="s">
        <v>3118</v>
      </c>
      <c r="O260" s="23">
        <v>1</v>
      </c>
      <c r="P260" s="23">
        <v>14300</v>
      </c>
      <c r="Q260" s="23">
        <v>715</v>
      </c>
      <c r="R260" s="23" t="s">
        <v>3170</v>
      </c>
      <c r="S260" s="23" t="s">
        <v>3150</v>
      </c>
      <c r="T260" s="23" t="s">
        <v>1555</v>
      </c>
      <c r="V260" s="23" t="s">
        <v>3104</v>
      </c>
      <c r="W260" s="23">
        <v>29150</v>
      </c>
      <c r="X260" s="23">
        <v>550</v>
      </c>
      <c r="Z260" s="23">
        <v>0</v>
      </c>
      <c r="AA260" s="23">
        <v>0</v>
      </c>
      <c r="AB260" s="23">
        <v>0</v>
      </c>
      <c r="AC260" s="23">
        <v>10</v>
      </c>
      <c r="AD260" s="23">
        <v>0</v>
      </c>
      <c r="AE260" s="23">
        <v>0</v>
      </c>
      <c r="AG260" s="23" t="s">
        <v>3101</v>
      </c>
      <c r="AI260" s="23">
        <v>46197</v>
      </c>
      <c r="AK260" s="23" t="s">
        <v>5144</v>
      </c>
      <c r="AL260" s="23">
        <v>518875598651</v>
      </c>
      <c r="AM260" s="23" t="s">
        <v>3102</v>
      </c>
      <c r="AO260" s="23" t="s">
        <v>3102</v>
      </c>
    </row>
    <row r="261" spans="1:41">
      <c r="A261" s="23">
        <v>46195</v>
      </c>
      <c r="B261" s="23" t="s">
        <v>3574</v>
      </c>
      <c r="C261" s="23" t="s">
        <v>3575</v>
      </c>
      <c r="D261" s="23" t="s">
        <v>3103</v>
      </c>
      <c r="E261" s="23" t="s">
        <v>3576</v>
      </c>
      <c r="F261" s="23" t="s">
        <v>3577</v>
      </c>
      <c r="G261" s="23">
        <v>9054563223</v>
      </c>
      <c r="I261" s="23" t="s">
        <v>3578</v>
      </c>
      <c r="J261" s="23" t="s">
        <v>3576</v>
      </c>
      <c r="K261" s="23" t="s">
        <v>3577</v>
      </c>
      <c r="L261" s="23" t="s">
        <v>3579</v>
      </c>
      <c r="M261" s="23" t="s">
        <v>3580</v>
      </c>
      <c r="N261" s="23" t="s">
        <v>3144</v>
      </c>
      <c r="O261" s="23">
        <v>1</v>
      </c>
      <c r="P261" s="23">
        <v>14300</v>
      </c>
      <c r="Q261" s="23">
        <v>715</v>
      </c>
      <c r="R261" s="23" t="s">
        <v>3155</v>
      </c>
      <c r="S261" s="23" t="s">
        <v>3150</v>
      </c>
      <c r="T261" s="23" t="s">
        <v>3011</v>
      </c>
      <c r="V261" s="23" t="s">
        <v>3104</v>
      </c>
      <c r="W261" s="23">
        <v>29150</v>
      </c>
      <c r="X261" s="23">
        <v>550</v>
      </c>
      <c r="Z261" s="23">
        <v>0</v>
      </c>
      <c r="AA261" s="23">
        <v>0</v>
      </c>
      <c r="AB261" s="23">
        <v>0</v>
      </c>
      <c r="AC261" s="23">
        <v>10</v>
      </c>
      <c r="AD261" s="23">
        <v>0</v>
      </c>
      <c r="AE261" s="23">
        <v>0</v>
      </c>
      <c r="AG261" s="23" t="s">
        <v>3101</v>
      </c>
      <c r="AI261" s="23">
        <v>46197</v>
      </c>
      <c r="AK261" s="23" t="s">
        <v>5144</v>
      </c>
      <c r="AL261" s="23">
        <v>518875598651</v>
      </c>
      <c r="AM261" s="23" t="s">
        <v>3102</v>
      </c>
      <c r="AO261" s="23" t="s">
        <v>3102</v>
      </c>
    </row>
    <row r="262" spans="1:41">
      <c r="A262" s="23">
        <v>46195</v>
      </c>
      <c r="B262" s="23" t="s">
        <v>3581</v>
      </c>
      <c r="C262" s="23" t="s">
        <v>3582</v>
      </c>
      <c r="D262" s="23" t="s">
        <v>3105</v>
      </c>
      <c r="E262" s="23" t="s">
        <v>3583</v>
      </c>
      <c r="F262" s="23" t="s">
        <v>3584</v>
      </c>
      <c r="G262" s="23">
        <v>8026603768</v>
      </c>
      <c r="I262" s="23" t="s">
        <v>3585</v>
      </c>
      <c r="J262" s="23" t="s">
        <v>3583</v>
      </c>
      <c r="K262" s="23" t="s">
        <v>3584</v>
      </c>
      <c r="L262" s="23" t="s">
        <v>3586</v>
      </c>
      <c r="M262" s="23" t="s">
        <v>3587</v>
      </c>
      <c r="N262" s="23" t="s">
        <v>3588</v>
      </c>
      <c r="O262" s="23">
        <v>1</v>
      </c>
      <c r="P262" s="23">
        <v>14300</v>
      </c>
      <c r="Q262" s="23">
        <v>715</v>
      </c>
      <c r="R262" s="23" t="s">
        <v>3589</v>
      </c>
      <c r="S262" s="23" t="s">
        <v>3150</v>
      </c>
      <c r="T262" s="23" t="s">
        <v>3397</v>
      </c>
      <c r="V262" s="23" t="s">
        <v>3106</v>
      </c>
      <c r="W262" s="23">
        <v>14850</v>
      </c>
      <c r="X262" s="23">
        <v>550</v>
      </c>
      <c r="Z262" s="23">
        <v>0</v>
      </c>
      <c r="AA262" s="23">
        <v>0</v>
      </c>
      <c r="AB262" s="23">
        <v>0</v>
      </c>
      <c r="AC262" s="23">
        <v>10</v>
      </c>
      <c r="AD262" s="23">
        <v>0</v>
      </c>
      <c r="AE262" s="23">
        <v>0</v>
      </c>
      <c r="AG262" s="23" t="s">
        <v>3101</v>
      </c>
      <c r="AI262" s="23">
        <v>46197</v>
      </c>
      <c r="AK262" s="23" t="s">
        <v>5145</v>
      </c>
      <c r="AL262" s="23">
        <v>518875598592</v>
      </c>
      <c r="AM262" s="23" t="s">
        <v>3102</v>
      </c>
      <c r="AO262" s="23" t="s">
        <v>3102</v>
      </c>
    </row>
    <row r="263" spans="1:41">
      <c r="A263" s="23">
        <v>46195</v>
      </c>
      <c r="B263" s="23" t="s">
        <v>3590</v>
      </c>
      <c r="C263" s="23" t="s">
        <v>3591</v>
      </c>
      <c r="D263" s="23" t="s">
        <v>3105</v>
      </c>
      <c r="E263" s="23" t="s">
        <v>3592</v>
      </c>
      <c r="F263" s="23" t="s">
        <v>3593</v>
      </c>
      <c r="G263" s="23">
        <v>8033008801</v>
      </c>
      <c r="I263" s="23" t="s">
        <v>3594</v>
      </c>
      <c r="J263" s="23" t="s">
        <v>3592</v>
      </c>
      <c r="K263" s="23" t="s">
        <v>3593</v>
      </c>
      <c r="L263" s="23" t="s">
        <v>3595</v>
      </c>
      <c r="M263" s="23" t="s">
        <v>3596</v>
      </c>
      <c r="N263" s="23" t="s">
        <v>3597</v>
      </c>
      <c r="O263" s="23">
        <v>1</v>
      </c>
      <c r="P263" s="23">
        <v>28600</v>
      </c>
      <c r="Q263" s="23">
        <v>1430</v>
      </c>
      <c r="R263" s="23" t="s">
        <v>3598</v>
      </c>
      <c r="S263" s="23" t="s">
        <v>3599</v>
      </c>
      <c r="T263" s="23" t="s">
        <v>3277</v>
      </c>
      <c r="V263" s="23" t="s">
        <v>3106</v>
      </c>
      <c r="W263" s="23">
        <v>29150</v>
      </c>
      <c r="X263" s="23">
        <v>550</v>
      </c>
      <c r="Z263" s="23">
        <v>0</v>
      </c>
      <c r="AA263" s="23">
        <v>0</v>
      </c>
      <c r="AB263" s="23">
        <v>0</v>
      </c>
      <c r="AC263" s="23">
        <v>10</v>
      </c>
      <c r="AD263" s="23">
        <v>0</v>
      </c>
      <c r="AE263" s="23">
        <v>0</v>
      </c>
      <c r="AG263" s="23" t="s">
        <v>3101</v>
      </c>
      <c r="AI263" s="23">
        <v>46197</v>
      </c>
      <c r="AK263" s="23" t="s">
        <v>5146</v>
      </c>
      <c r="AL263" s="23">
        <v>518875598765</v>
      </c>
      <c r="AM263" s="23" t="s">
        <v>3102</v>
      </c>
      <c r="AO263" s="23" t="s">
        <v>3102</v>
      </c>
    </row>
    <row r="264" spans="1:41">
      <c r="A264" s="23">
        <v>46195</v>
      </c>
      <c r="B264" s="23" t="s">
        <v>3600</v>
      </c>
      <c r="C264" s="23" t="s">
        <v>3601</v>
      </c>
      <c r="D264" s="23" t="s">
        <v>3103</v>
      </c>
      <c r="E264" s="23" t="s">
        <v>3602</v>
      </c>
      <c r="F264" s="23" t="s">
        <v>3603</v>
      </c>
      <c r="G264" s="23">
        <v>9039003328</v>
      </c>
      <c r="I264" s="23" t="s">
        <v>3604</v>
      </c>
      <c r="J264" s="23" t="s">
        <v>3602</v>
      </c>
      <c r="K264" s="23" t="s">
        <v>3603</v>
      </c>
      <c r="L264" s="23" t="s">
        <v>3605</v>
      </c>
      <c r="M264" s="23" t="s">
        <v>3606</v>
      </c>
      <c r="N264" s="23" t="s">
        <v>3144</v>
      </c>
      <c r="O264" s="23">
        <v>1</v>
      </c>
      <c r="P264" s="23">
        <v>14300</v>
      </c>
      <c r="Q264" s="23">
        <v>715</v>
      </c>
      <c r="R264" s="23" t="s">
        <v>3155</v>
      </c>
      <c r="S264" s="23" t="s">
        <v>3150</v>
      </c>
      <c r="T264" s="23" t="s">
        <v>3011</v>
      </c>
      <c r="V264" s="23" t="s">
        <v>3104</v>
      </c>
      <c r="W264" s="23">
        <v>14850</v>
      </c>
      <c r="X264" s="23">
        <v>550</v>
      </c>
      <c r="Z264" s="23">
        <v>0</v>
      </c>
      <c r="AA264" s="23">
        <v>0</v>
      </c>
      <c r="AB264" s="23">
        <v>0</v>
      </c>
      <c r="AC264" s="23">
        <v>10</v>
      </c>
      <c r="AD264" s="23">
        <v>0</v>
      </c>
      <c r="AE264" s="23">
        <v>0</v>
      </c>
      <c r="AG264" s="23" t="s">
        <v>3101</v>
      </c>
      <c r="AI264" s="23">
        <v>46197</v>
      </c>
      <c r="AK264" s="23" t="s">
        <v>5147</v>
      </c>
      <c r="AL264" s="23">
        <v>518875598640</v>
      </c>
      <c r="AM264" s="23" t="s">
        <v>3102</v>
      </c>
      <c r="AO264" s="23" t="s">
        <v>3102</v>
      </c>
    </row>
    <row r="265" spans="1:41">
      <c r="A265" s="23">
        <v>46195</v>
      </c>
      <c r="B265" s="23" t="s">
        <v>3607</v>
      </c>
      <c r="C265" s="23" t="s">
        <v>3608</v>
      </c>
      <c r="D265" s="23" t="s">
        <v>3105</v>
      </c>
      <c r="E265" s="23" t="s">
        <v>3609</v>
      </c>
      <c r="F265" s="23" t="s">
        <v>3610</v>
      </c>
      <c r="G265" s="23">
        <v>7089377874</v>
      </c>
      <c r="I265" s="23" t="s">
        <v>3611</v>
      </c>
      <c r="J265" s="23" t="s">
        <v>3609</v>
      </c>
      <c r="K265" s="23" t="s">
        <v>3610</v>
      </c>
      <c r="L265" s="23" t="s">
        <v>3612</v>
      </c>
      <c r="M265" s="23" t="s">
        <v>3613</v>
      </c>
      <c r="N265" s="23" t="s">
        <v>3387</v>
      </c>
      <c r="O265" s="23">
        <v>1</v>
      </c>
      <c r="P265" s="23">
        <v>31900</v>
      </c>
      <c r="Q265" s="23">
        <v>1595</v>
      </c>
      <c r="R265" s="23" t="s">
        <v>3614</v>
      </c>
      <c r="S265" s="23" t="s">
        <v>3615</v>
      </c>
      <c r="T265" s="23" t="s">
        <v>3386</v>
      </c>
      <c r="V265" s="23" t="s">
        <v>3106</v>
      </c>
      <c r="W265" s="23">
        <v>32450</v>
      </c>
      <c r="X265" s="23">
        <v>550</v>
      </c>
      <c r="Z265" s="23">
        <v>0</v>
      </c>
      <c r="AA265" s="23">
        <v>0</v>
      </c>
      <c r="AB265" s="23">
        <v>0</v>
      </c>
      <c r="AC265" s="23">
        <v>10</v>
      </c>
      <c r="AD265" s="23">
        <v>0</v>
      </c>
      <c r="AE265" s="23">
        <v>0</v>
      </c>
      <c r="AG265" s="23" t="s">
        <v>3101</v>
      </c>
      <c r="AI265" s="23">
        <v>46197</v>
      </c>
      <c r="AK265" s="23" t="s">
        <v>5148</v>
      </c>
      <c r="AL265" s="23">
        <v>518875598780</v>
      </c>
      <c r="AM265" s="23" t="s">
        <v>3102</v>
      </c>
      <c r="AO265" s="23" t="s">
        <v>3102</v>
      </c>
    </row>
    <row r="266" spans="1:41">
      <c r="A266" s="23">
        <v>46195</v>
      </c>
      <c r="B266" s="23" t="s">
        <v>3616</v>
      </c>
      <c r="C266" s="23" t="s">
        <v>3617</v>
      </c>
      <c r="D266" s="23" t="s">
        <v>3103</v>
      </c>
      <c r="E266" s="23" t="s">
        <v>3618</v>
      </c>
      <c r="F266" s="23" t="s">
        <v>3619</v>
      </c>
      <c r="G266" s="23">
        <v>425079900</v>
      </c>
      <c r="I266" s="23" t="s">
        <v>3620</v>
      </c>
      <c r="J266" s="23" t="s">
        <v>3618</v>
      </c>
      <c r="K266" s="23" t="s">
        <v>3621</v>
      </c>
      <c r="L266" s="23" t="s">
        <v>3622</v>
      </c>
      <c r="M266" s="23" t="s">
        <v>3623</v>
      </c>
      <c r="N266" s="23" t="s">
        <v>3116</v>
      </c>
      <c r="O266" s="23">
        <v>1</v>
      </c>
      <c r="P266" s="23">
        <v>14300</v>
      </c>
      <c r="Q266" s="23">
        <v>715</v>
      </c>
      <c r="R266" s="23" t="s">
        <v>3162</v>
      </c>
      <c r="S266" s="23" t="s">
        <v>3150</v>
      </c>
      <c r="T266" s="23" t="s">
        <v>107</v>
      </c>
      <c r="V266" s="23" t="s">
        <v>3104</v>
      </c>
      <c r="W266" s="23">
        <v>14850</v>
      </c>
      <c r="X266" s="23">
        <v>550</v>
      </c>
      <c r="Z266" s="23">
        <v>0</v>
      </c>
      <c r="AA266" s="23">
        <v>0</v>
      </c>
      <c r="AB266" s="23">
        <v>0</v>
      </c>
      <c r="AC266" s="23">
        <v>10</v>
      </c>
      <c r="AD266" s="23">
        <v>0</v>
      </c>
      <c r="AE266" s="23">
        <v>0</v>
      </c>
      <c r="AG266" s="23" t="s">
        <v>3101</v>
      </c>
      <c r="AI266" s="23">
        <v>46197</v>
      </c>
      <c r="AK266" s="23" t="s">
        <v>5149</v>
      </c>
      <c r="AL266" s="23">
        <v>518875598706</v>
      </c>
      <c r="AM266" s="23" t="s">
        <v>3102</v>
      </c>
      <c r="AO266" s="23" t="s">
        <v>3102</v>
      </c>
    </row>
    <row r="267" spans="1:41">
      <c r="A267" s="23">
        <v>46195</v>
      </c>
      <c r="B267" s="23" t="s">
        <v>3624</v>
      </c>
      <c r="C267" s="23" t="s">
        <v>3625</v>
      </c>
      <c r="D267" s="23" t="s">
        <v>3103</v>
      </c>
      <c r="E267" s="23" t="s">
        <v>3626</v>
      </c>
      <c r="F267" s="23" t="s">
        <v>3627</v>
      </c>
      <c r="G267" s="23">
        <v>778224301</v>
      </c>
      <c r="I267" s="23" t="s">
        <v>3628</v>
      </c>
      <c r="J267" s="23" t="s">
        <v>3626</v>
      </c>
      <c r="K267" s="23" t="s">
        <v>3627</v>
      </c>
      <c r="L267" s="23" t="s">
        <v>3629</v>
      </c>
      <c r="M267" s="23" t="s">
        <v>3630</v>
      </c>
      <c r="N267" s="23" t="s">
        <v>3144</v>
      </c>
      <c r="O267" s="23">
        <v>1</v>
      </c>
      <c r="P267" s="23">
        <v>14300</v>
      </c>
      <c r="Q267" s="23">
        <v>715</v>
      </c>
      <c r="R267" s="23" t="s">
        <v>3155</v>
      </c>
      <c r="S267" s="23" t="s">
        <v>3150</v>
      </c>
      <c r="T267" s="23" t="s">
        <v>3011</v>
      </c>
      <c r="V267" s="23" t="s">
        <v>3104</v>
      </c>
      <c r="W267" s="23">
        <v>14850</v>
      </c>
      <c r="X267" s="23">
        <v>550</v>
      </c>
      <c r="Z267" s="23">
        <v>0</v>
      </c>
      <c r="AA267" s="23">
        <v>0</v>
      </c>
      <c r="AB267" s="23">
        <v>0</v>
      </c>
      <c r="AC267" s="23">
        <v>10</v>
      </c>
      <c r="AD267" s="23">
        <v>0</v>
      </c>
      <c r="AE267" s="23">
        <v>0</v>
      </c>
      <c r="AG267" s="23" t="s">
        <v>3101</v>
      </c>
      <c r="AI267" s="23">
        <v>46197</v>
      </c>
      <c r="AK267" s="23" t="s">
        <v>5150</v>
      </c>
      <c r="AL267" s="23">
        <v>518875598662</v>
      </c>
      <c r="AM267" s="23" t="s">
        <v>3102</v>
      </c>
      <c r="AO267" s="23" t="s">
        <v>3102</v>
      </c>
    </row>
    <row r="268" spans="1:41">
      <c r="A268" s="23">
        <v>46195</v>
      </c>
      <c r="B268" s="23" t="s">
        <v>3631</v>
      </c>
      <c r="C268" s="23" t="s">
        <v>3632</v>
      </c>
      <c r="D268" s="23" t="s">
        <v>3108</v>
      </c>
      <c r="E268" s="23" t="s">
        <v>3633</v>
      </c>
      <c r="F268" s="23" t="s">
        <v>3634</v>
      </c>
      <c r="G268" s="23">
        <v>8030972187</v>
      </c>
      <c r="I268" s="23" t="s">
        <v>3635</v>
      </c>
      <c r="J268" s="23" t="s">
        <v>3633</v>
      </c>
      <c r="K268" s="23" t="s">
        <v>3634</v>
      </c>
      <c r="L268" s="23" t="s">
        <v>3636</v>
      </c>
      <c r="M268" s="23" t="s">
        <v>3637</v>
      </c>
      <c r="N268" s="23" t="s">
        <v>3144</v>
      </c>
      <c r="O268" s="23">
        <v>1</v>
      </c>
      <c r="P268" s="23">
        <v>14300</v>
      </c>
      <c r="Q268" s="23">
        <v>715</v>
      </c>
      <c r="R268" s="23" t="s">
        <v>3155</v>
      </c>
      <c r="S268" s="23" t="s">
        <v>3150</v>
      </c>
      <c r="T268" s="23" t="s">
        <v>3011</v>
      </c>
      <c r="V268" s="23" t="s">
        <v>3110</v>
      </c>
      <c r="W268" s="23">
        <v>14850</v>
      </c>
      <c r="X268" s="23">
        <v>550</v>
      </c>
      <c r="Z268" s="23">
        <v>0</v>
      </c>
      <c r="AA268" s="23">
        <v>0</v>
      </c>
      <c r="AB268" s="23">
        <v>0</v>
      </c>
      <c r="AC268" s="23">
        <v>10</v>
      </c>
      <c r="AD268" s="23">
        <v>0</v>
      </c>
      <c r="AE268" s="23">
        <v>0</v>
      </c>
      <c r="AG268" s="23" t="s">
        <v>3101</v>
      </c>
      <c r="AI268" s="23">
        <v>46197</v>
      </c>
      <c r="AK268" s="23" t="s">
        <v>5151</v>
      </c>
      <c r="AL268" s="23">
        <v>518875598603</v>
      </c>
      <c r="AM268" s="23" t="s">
        <v>3102</v>
      </c>
      <c r="AO268" s="23" t="s">
        <v>3102</v>
      </c>
    </row>
    <row r="269" spans="1:41">
      <c r="A269" s="23">
        <v>46195</v>
      </c>
      <c r="B269" s="23" t="s">
        <v>3638</v>
      </c>
      <c r="C269" s="23" t="s">
        <v>3639</v>
      </c>
      <c r="D269" s="23" t="s">
        <v>3105</v>
      </c>
      <c r="E269" s="23" t="s">
        <v>3640</v>
      </c>
      <c r="F269" s="23" t="s">
        <v>3641</v>
      </c>
      <c r="G269" s="23">
        <v>8086255606</v>
      </c>
      <c r="I269" s="23" t="s">
        <v>3642</v>
      </c>
      <c r="J269" s="23" t="s">
        <v>3640</v>
      </c>
      <c r="K269" s="23" t="s">
        <v>3641</v>
      </c>
      <c r="L269" s="23" t="s">
        <v>3643</v>
      </c>
      <c r="M269" s="23" t="s">
        <v>3644</v>
      </c>
      <c r="N269" s="23" t="s">
        <v>3645</v>
      </c>
      <c r="O269" s="23">
        <v>1</v>
      </c>
      <c r="P269" s="23">
        <v>34100</v>
      </c>
      <c r="Q269" s="23">
        <v>1705</v>
      </c>
      <c r="R269" s="23" t="s">
        <v>3646</v>
      </c>
      <c r="S269" s="23" t="s">
        <v>3647</v>
      </c>
      <c r="T269" s="23" t="s">
        <v>3648</v>
      </c>
      <c r="V269" s="23" t="s">
        <v>3106</v>
      </c>
      <c r="W269" s="23">
        <v>34650</v>
      </c>
      <c r="X269" s="23">
        <v>550</v>
      </c>
      <c r="Z269" s="23">
        <v>0</v>
      </c>
      <c r="AA269" s="23">
        <v>0</v>
      </c>
      <c r="AB269" s="23">
        <v>0</v>
      </c>
      <c r="AC269" s="23">
        <v>10</v>
      </c>
      <c r="AD269" s="23">
        <v>0</v>
      </c>
      <c r="AE269" s="23">
        <v>0</v>
      </c>
      <c r="AG269" s="23" t="s">
        <v>3101</v>
      </c>
      <c r="AI269" s="23">
        <v>46197</v>
      </c>
      <c r="AK269" s="23" t="s">
        <v>5152</v>
      </c>
      <c r="AL269" s="23">
        <v>518875598776</v>
      </c>
      <c r="AM269" s="23" t="s">
        <v>3102</v>
      </c>
      <c r="AO269" s="23" t="s">
        <v>3102</v>
      </c>
    </row>
    <row r="270" spans="1:41">
      <c r="A270" s="23">
        <v>46195</v>
      </c>
      <c r="B270" s="23" t="s">
        <v>3649</v>
      </c>
      <c r="C270" s="23" t="s">
        <v>3650</v>
      </c>
      <c r="D270" s="23" t="s">
        <v>3103</v>
      </c>
      <c r="E270" s="23" t="s">
        <v>3651</v>
      </c>
      <c r="F270" s="23" t="s">
        <v>3652</v>
      </c>
      <c r="G270" s="23">
        <v>8071938589</v>
      </c>
      <c r="I270" s="23" t="s">
        <v>3653</v>
      </c>
      <c r="J270" s="23" t="s">
        <v>3654</v>
      </c>
      <c r="K270" s="23" t="s">
        <v>3652</v>
      </c>
      <c r="L270" s="23" t="s">
        <v>3655</v>
      </c>
      <c r="M270" s="23" t="s">
        <v>3656</v>
      </c>
      <c r="N270" s="23" t="s">
        <v>73</v>
      </c>
      <c r="O270" s="23">
        <v>1</v>
      </c>
      <c r="P270" s="23">
        <v>3850</v>
      </c>
      <c r="Q270" s="23">
        <v>192</v>
      </c>
      <c r="R270" s="23" t="s">
        <v>3175</v>
      </c>
      <c r="S270" s="23" t="s">
        <v>3176</v>
      </c>
      <c r="T270" s="23" t="s">
        <v>3194</v>
      </c>
      <c r="V270" s="23" t="s">
        <v>3104</v>
      </c>
      <c r="W270" s="23">
        <v>4400</v>
      </c>
      <c r="X270" s="23">
        <v>550</v>
      </c>
      <c r="Z270" s="23">
        <v>0</v>
      </c>
      <c r="AA270" s="23">
        <v>0</v>
      </c>
      <c r="AB270" s="23">
        <v>0</v>
      </c>
      <c r="AC270" s="23">
        <v>10</v>
      </c>
      <c r="AD270" s="23">
        <v>0</v>
      </c>
      <c r="AE270" s="23">
        <v>0</v>
      </c>
      <c r="AG270" s="23" t="s">
        <v>3101</v>
      </c>
      <c r="AI270" s="23">
        <v>46197</v>
      </c>
      <c r="AK270" s="23" t="s">
        <v>5153</v>
      </c>
      <c r="AL270" s="23">
        <v>518875598754</v>
      </c>
      <c r="AM270" s="23" t="s">
        <v>3102</v>
      </c>
      <c r="AO270" s="23" t="s">
        <v>3102</v>
      </c>
    </row>
    <row r="271" spans="1:41">
      <c r="A271" s="23">
        <v>46195</v>
      </c>
      <c r="B271" s="23" t="s">
        <v>3657</v>
      </c>
      <c r="C271" s="23" t="s">
        <v>3658</v>
      </c>
      <c r="D271" s="23" t="s">
        <v>3103</v>
      </c>
      <c r="E271" s="23" t="s">
        <v>3659</v>
      </c>
      <c r="F271" s="23" t="s">
        <v>3660</v>
      </c>
      <c r="G271" s="23">
        <v>9051627560</v>
      </c>
      <c r="I271" s="23" t="s">
        <v>3661</v>
      </c>
      <c r="J271" s="23" t="s">
        <v>3662</v>
      </c>
      <c r="K271" s="23" t="s">
        <v>3660</v>
      </c>
      <c r="L271" s="23" t="s">
        <v>3663</v>
      </c>
      <c r="M271" s="23" t="s">
        <v>3664</v>
      </c>
      <c r="N271" s="23" t="s">
        <v>3665</v>
      </c>
      <c r="O271" s="23">
        <v>1</v>
      </c>
      <c r="P271" s="23">
        <v>13200</v>
      </c>
      <c r="Q271" s="23">
        <v>660</v>
      </c>
      <c r="R271" s="23" t="s">
        <v>3666</v>
      </c>
      <c r="S271" s="23" t="s">
        <v>3158</v>
      </c>
      <c r="T271" s="23" t="s">
        <v>3539</v>
      </c>
      <c r="V271" s="23" t="s">
        <v>3104</v>
      </c>
      <c r="W271" s="23">
        <v>14190</v>
      </c>
      <c r="X271" s="23">
        <v>550</v>
      </c>
      <c r="Z271" s="23">
        <v>0</v>
      </c>
      <c r="AA271" s="23">
        <v>0</v>
      </c>
      <c r="AB271" s="23">
        <v>0</v>
      </c>
      <c r="AC271" s="23">
        <v>10</v>
      </c>
      <c r="AD271" s="23">
        <v>0</v>
      </c>
      <c r="AE271" s="23">
        <v>0</v>
      </c>
      <c r="AG271" s="23" t="s">
        <v>3101</v>
      </c>
      <c r="AI271" s="23">
        <v>46197</v>
      </c>
      <c r="AK271" s="23" t="s">
        <v>5154</v>
      </c>
      <c r="AL271" s="23">
        <v>518875598721</v>
      </c>
      <c r="AM271" s="23" t="s">
        <v>3102</v>
      </c>
      <c r="AO271" s="23" t="s">
        <v>3102</v>
      </c>
    </row>
    <row r="272" spans="1:41">
      <c r="A272" s="23">
        <v>46195</v>
      </c>
      <c r="B272" s="23" t="s">
        <v>3657</v>
      </c>
      <c r="C272" s="23" t="s">
        <v>3658</v>
      </c>
      <c r="D272" s="23" t="s">
        <v>3103</v>
      </c>
      <c r="E272" s="23" t="s">
        <v>3659</v>
      </c>
      <c r="F272" s="23" t="s">
        <v>3660</v>
      </c>
      <c r="G272" s="23">
        <v>9051627560</v>
      </c>
      <c r="I272" s="23" t="s">
        <v>3661</v>
      </c>
      <c r="J272" s="23" t="s">
        <v>3662</v>
      </c>
      <c r="K272" s="23" t="s">
        <v>3660</v>
      </c>
      <c r="L272" s="23" t="s">
        <v>3663</v>
      </c>
      <c r="M272" s="23" t="s">
        <v>3664</v>
      </c>
      <c r="N272" s="23" t="s">
        <v>5354</v>
      </c>
      <c r="O272" s="23">
        <v>1</v>
      </c>
      <c r="P272" s="23">
        <v>440</v>
      </c>
      <c r="Q272" s="23">
        <v>22</v>
      </c>
      <c r="R272" s="23" t="s">
        <v>5355</v>
      </c>
      <c r="S272" s="23" t="s">
        <v>5356</v>
      </c>
      <c r="T272" s="23" t="s">
        <v>5356</v>
      </c>
      <c r="V272" s="23" t="s">
        <v>3104</v>
      </c>
      <c r="W272" s="23">
        <v>14190</v>
      </c>
      <c r="X272" s="23">
        <v>550</v>
      </c>
      <c r="Z272" s="23">
        <v>0</v>
      </c>
      <c r="AA272" s="23">
        <v>0</v>
      </c>
      <c r="AB272" s="23">
        <v>0</v>
      </c>
      <c r="AC272" s="23">
        <v>10</v>
      </c>
      <c r="AD272" s="23">
        <v>0</v>
      </c>
      <c r="AE272" s="23">
        <v>0</v>
      </c>
      <c r="AG272" s="23" t="s">
        <v>3101</v>
      </c>
      <c r="AI272" s="23">
        <v>46197</v>
      </c>
      <c r="AK272" s="23" t="s">
        <v>5154</v>
      </c>
      <c r="AL272" s="23">
        <v>518875598721</v>
      </c>
      <c r="AM272" s="23" t="s">
        <v>3102</v>
      </c>
      <c r="AO272" s="23" t="s">
        <v>3102</v>
      </c>
    </row>
    <row r="273" spans="1:41">
      <c r="A273" s="23">
        <v>46195</v>
      </c>
      <c r="B273" s="23" t="s">
        <v>3667</v>
      </c>
      <c r="C273" s="23" t="s">
        <v>3668</v>
      </c>
      <c r="D273" s="23" t="s">
        <v>3105</v>
      </c>
      <c r="E273" s="23" t="s">
        <v>3669</v>
      </c>
      <c r="F273" s="23" t="s">
        <v>3670</v>
      </c>
      <c r="G273" s="23">
        <v>9069030889</v>
      </c>
      <c r="I273" s="23" t="s">
        <v>3671</v>
      </c>
      <c r="J273" s="23" t="s">
        <v>3669</v>
      </c>
      <c r="K273" s="23" t="s">
        <v>3670</v>
      </c>
      <c r="L273" s="23" t="s">
        <v>3672</v>
      </c>
      <c r="M273" s="23" t="s">
        <v>3673</v>
      </c>
      <c r="N273" s="23" t="s">
        <v>3674</v>
      </c>
      <c r="O273" s="23">
        <v>1</v>
      </c>
      <c r="P273" s="23">
        <v>14300</v>
      </c>
      <c r="Q273" s="23">
        <v>715</v>
      </c>
      <c r="R273" s="23" t="s">
        <v>3675</v>
      </c>
      <c r="S273" s="23" t="s">
        <v>3150</v>
      </c>
      <c r="T273" s="23" t="s">
        <v>133</v>
      </c>
      <c r="V273" s="23" t="s">
        <v>3106</v>
      </c>
      <c r="W273" s="23">
        <v>14850</v>
      </c>
      <c r="X273" s="23">
        <v>550</v>
      </c>
      <c r="Z273" s="23">
        <v>0</v>
      </c>
      <c r="AA273" s="23">
        <v>0</v>
      </c>
      <c r="AB273" s="23">
        <v>0</v>
      </c>
      <c r="AC273" s="23">
        <v>10</v>
      </c>
      <c r="AD273" s="23">
        <v>0</v>
      </c>
      <c r="AE273" s="23">
        <v>0</v>
      </c>
      <c r="AG273" s="23" t="s">
        <v>3101</v>
      </c>
      <c r="AI273" s="23">
        <v>46197</v>
      </c>
      <c r="AK273" s="23" t="s">
        <v>5155</v>
      </c>
      <c r="AL273" s="23">
        <v>518875598581</v>
      </c>
      <c r="AM273" s="23" t="s">
        <v>3102</v>
      </c>
      <c r="AO273" s="23" t="s">
        <v>3102</v>
      </c>
    </row>
    <row r="274" spans="1:41">
      <c r="A274" s="23">
        <v>46195</v>
      </c>
      <c r="B274" s="23" t="s">
        <v>3676</v>
      </c>
      <c r="C274" s="23" t="s">
        <v>3677</v>
      </c>
      <c r="D274" s="23" t="s">
        <v>3108</v>
      </c>
      <c r="E274" s="23" t="s">
        <v>3678</v>
      </c>
      <c r="F274" s="23" t="s">
        <v>3679</v>
      </c>
      <c r="G274" s="23">
        <v>9050747565</v>
      </c>
      <c r="I274" s="23" t="s">
        <v>3680</v>
      </c>
      <c r="J274" s="23" t="s">
        <v>3678</v>
      </c>
      <c r="K274" s="23" t="s">
        <v>3679</v>
      </c>
      <c r="L274" s="23" t="s">
        <v>3681</v>
      </c>
      <c r="M274" s="23" t="s">
        <v>3682</v>
      </c>
      <c r="N274" s="23" t="s">
        <v>3012</v>
      </c>
      <c r="O274" s="23">
        <v>1</v>
      </c>
      <c r="P274" s="23">
        <v>20900</v>
      </c>
      <c r="Q274" s="23">
        <v>1045</v>
      </c>
      <c r="R274" s="23" t="s">
        <v>3234</v>
      </c>
      <c r="S274" s="23" t="s">
        <v>3235</v>
      </c>
      <c r="T274" s="23" t="s">
        <v>3494</v>
      </c>
      <c r="V274" s="23" t="s">
        <v>3110</v>
      </c>
      <c r="W274" s="23">
        <v>21450</v>
      </c>
      <c r="X274" s="23">
        <v>550</v>
      </c>
      <c r="Z274" s="23">
        <v>0</v>
      </c>
      <c r="AA274" s="23">
        <v>0</v>
      </c>
      <c r="AB274" s="23">
        <v>0</v>
      </c>
      <c r="AC274" s="23">
        <v>10</v>
      </c>
      <c r="AD274" s="23">
        <v>0</v>
      </c>
      <c r="AE274" s="23">
        <v>0</v>
      </c>
      <c r="AG274" s="23" t="s">
        <v>3101</v>
      </c>
      <c r="AI274" s="23">
        <v>46197</v>
      </c>
      <c r="AK274" s="23" t="s">
        <v>5156</v>
      </c>
      <c r="AL274" s="23">
        <v>518875598743</v>
      </c>
      <c r="AM274" s="23" t="s">
        <v>3102</v>
      </c>
      <c r="AO274" s="23" t="s">
        <v>3102</v>
      </c>
    </row>
    <row r="275" spans="1:41">
      <c r="A275" s="23">
        <v>46195</v>
      </c>
      <c r="B275" s="23" t="s">
        <v>3683</v>
      </c>
      <c r="C275" s="23" t="s">
        <v>3684</v>
      </c>
      <c r="D275" s="23" t="s">
        <v>3105</v>
      </c>
      <c r="E275" s="23" t="s">
        <v>3685</v>
      </c>
      <c r="F275" s="23" t="s">
        <v>3686</v>
      </c>
      <c r="G275" s="23">
        <v>7088352537</v>
      </c>
      <c r="I275" s="23" t="s">
        <v>3687</v>
      </c>
      <c r="J275" s="23" t="s">
        <v>3685</v>
      </c>
      <c r="K275" s="23" t="s">
        <v>3686</v>
      </c>
      <c r="L275" s="23" t="s">
        <v>3688</v>
      </c>
      <c r="M275" s="23" t="s">
        <v>3689</v>
      </c>
      <c r="N275" s="23" t="s">
        <v>3690</v>
      </c>
      <c r="O275" s="23">
        <v>1</v>
      </c>
      <c r="P275" s="23">
        <v>17600</v>
      </c>
      <c r="Q275" s="23">
        <v>880</v>
      </c>
      <c r="R275" s="23" t="s">
        <v>3691</v>
      </c>
      <c r="S275" s="23" t="s">
        <v>3692</v>
      </c>
      <c r="T275" s="23" t="s">
        <v>3693</v>
      </c>
      <c r="V275" s="23" t="s">
        <v>3106</v>
      </c>
      <c r="W275" s="23">
        <v>18150</v>
      </c>
      <c r="X275" s="23">
        <v>550</v>
      </c>
      <c r="Z275" s="23">
        <v>0</v>
      </c>
      <c r="AA275" s="23">
        <v>0</v>
      </c>
      <c r="AB275" s="23">
        <v>0</v>
      </c>
      <c r="AC275" s="23">
        <v>10</v>
      </c>
      <c r="AD275" s="23">
        <v>0</v>
      </c>
      <c r="AE275" s="23">
        <v>0</v>
      </c>
      <c r="AG275" s="23" t="s">
        <v>3101</v>
      </c>
      <c r="AI275" s="23">
        <v>46197</v>
      </c>
      <c r="AK275" s="23" t="s">
        <v>5157</v>
      </c>
      <c r="AL275" s="23">
        <v>518875598684</v>
      </c>
      <c r="AM275" s="23" t="s">
        <v>3102</v>
      </c>
      <c r="AO275" s="23" t="s">
        <v>3102</v>
      </c>
    </row>
    <row r="276" spans="1:41">
      <c r="A276" s="23">
        <v>46195</v>
      </c>
      <c r="B276" s="23" t="s">
        <v>3694</v>
      </c>
      <c r="C276" s="23" t="s">
        <v>3695</v>
      </c>
      <c r="D276" s="23" t="s">
        <v>3103</v>
      </c>
      <c r="E276" s="23" t="s">
        <v>3696</v>
      </c>
      <c r="F276" s="23" t="s">
        <v>3697</v>
      </c>
      <c r="G276" s="23">
        <v>9059985160</v>
      </c>
      <c r="I276" s="23" t="s">
        <v>3698</v>
      </c>
      <c r="J276" s="23" t="s">
        <v>3696</v>
      </c>
      <c r="K276" s="23" t="s">
        <v>3697</v>
      </c>
      <c r="L276" s="23" t="s">
        <v>3699</v>
      </c>
      <c r="M276" s="23" t="s">
        <v>3700</v>
      </c>
      <c r="N276" s="23" t="s">
        <v>3144</v>
      </c>
      <c r="O276" s="23">
        <v>1</v>
      </c>
      <c r="P276" s="23">
        <v>14300</v>
      </c>
      <c r="Q276" s="23">
        <v>715</v>
      </c>
      <c r="R276" s="23" t="s">
        <v>3155</v>
      </c>
      <c r="S276" s="23" t="s">
        <v>3150</v>
      </c>
      <c r="T276" s="23" t="s">
        <v>3011</v>
      </c>
      <c r="V276" s="23" t="s">
        <v>3104</v>
      </c>
      <c r="W276" s="23">
        <v>14850</v>
      </c>
      <c r="X276" s="23">
        <v>550</v>
      </c>
      <c r="Z276" s="23">
        <v>0</v>
      </c>
      <c r="AA276" s="23">
        <v>0</v>
      </c>
      <c r="AB276" s="23">
        <v>0</v>
      </c>
      <c r="AC276" s="23">
        <v>10</v>
      </c>
      <c r="AD276" s="23">
        <v>0</v>
      </c>
      <c r="AE276" s="23">
        <v>0</v>
      </c>
      <c r="AG276" s="23" t="s">
        <v>3101</v>
      </c>
      <c r="AI276" s="23">
        <v>46197</v>
      </c>
      <c r="AK276" s="23" t="s">
        <v>5158</v>
      </c>
      <c r="AL276" s="23">
        <v>518875598636</v>
      </c>
      <c r="AM276" s="23" t="s">
        <v>3102</v>
      </c>
      <c r="AO276" s="23" t="s">
        <v>3102</v>
      </c>
    </row>
    <row r="277" spans="1:41">
      <c r="A277" s="23">
        <v>46195</v>
      </c>
      <c r="B277" s="23" t="s">
        <v>3701</v>
      </c>
      <c r="C277" s="23" t="s">
        <v>3702</v>
      </c>
      <c r="D277" s="23" t="s">
        <v>3105</v>
      </c>
      <c r="E277" s="23" t="s">
        <v>3703</v>
      </c>
      <c r="F277" s="23" t="s">
        <v>3704</v>
      </c>
      <c r="G277" s="23">
        <v>8025136200</v>
      </c>
      <c r="I277" s="23" t="s">
        <v>3705</v>
      </c>
      <c r="J277" s="23" t="s">
        <v>3703</v>
      </c>
      <c r="K277" s="23" t="s">
        <v>3704</v>
      </c>
      <c r="L277" s="23" t="s">
        <v>3706</v>
      </c>
      <c r="M277" s="23" t="s">
        <v>3707</v>
      </c>
      <c r="N277" s="23" t="s">
        <v>2931</v>
      </c>
      <c r="O277" s="23">
        <v>1</v>
      </c>
      <c r="P277" s="23">
        <v>27500</v>
      </c>
      <c r="Q277" s="23">
        <v>1375</v>
      </c>
      <c r="R277" s="23" t="s">
        <v>3708</v>
      </c>
      <c r="S277" s="23" t="s">
        <v>3709</v>
      </c>
      <c r="T277" s="23" t="s">
        <v>2930</v>
      </c>
      <c r="V277" s="23" t="s">
        <v>3106</v>
      </c>
      <c r="W277" s="23">
        <v>28050</v>
      </c>
      <c r="X277" s="23">
        <v>550</v>
      </c>
      <c r="Z277" s="23">
        <v>0</v>
      </c>
      <c r="AA277" s="23">
        <v>0</v>
      </c>
      <c r="AB277" s="23">
        <v>0</v>
      </c>
      <c r="AC277" s="23">
        <v>10</v>
      </c>
      <c r="AD277" s="23">
        <v>0</v>
      </c>
      <c r="AE277" s="23">
        <v>0</v>
      </c>
      <c r="AG277" s="23" t="s">
        <v>3101</v>
      </c>
      <c r="AI277" s="23">
        <v>46197</v>
      </c>
      <c r="AK277" s="23" t="s">
        <v>5159</v>
      </c>
      <c r="AL277" s="23">
        <v>518875598710</v>
      </c>
      <c r="AM277" s="23" t="s">
        <v>3102</v>
      </c>
      <c r="AO277" s="23" t="s">
        <v>3102</v>
      </c>
    </row>
    <row r="278" spans="1:41">
      <c r="A278" s="23">
        <v>46195</v>
      </c>
      <c r="B278" s="23" t="s">
        <v>3710</v>
      </c>
      <c r="C278" s="23" t="s">
        <v>3711</v>
      </c>
      <c r="D278" s="23" t="s">
        <v>3099</v>
      </c>
      <c r="E278" s="23" t="s">
        <v>3712</v>
      </c>
      <c r="F278" s="23" t="s">
        <v>3713</v>
      </c>
      <c r="G278" s="23">
        <v>9029921928</v>
      </c>
      <c r="I278" s="23" t="s">
        <v>3714</v>
      </c>
      <c r="J278" s="23" t="s">
        <v>3712</v>
      </c>
      <c r="K278" s="23" t="s">
        <v>3713</v>
      </c>
      <c r="L278" s="23" t="s">
        <v>3715</v>
      </c>
      <c r="M278" s="23" t="s">
        <v>3716</v>
      </c>
      <c r="N278" s="23" t="s">
        <v>3144</v>
      </c>
      <c r="O278" s="23">
        <v>1</v>
      </c>
      <c r="P278" s="23">
        <v>14300</v>
      </c>
      <c r="Q278" s="23">
        <v>715</v>
      </c>
      <c r="R278" s="23" t="s">
        <v>3155</v>
      </c>
      <c r="S278" s="23" t="s">
        <v>3150</v>
      </c>
      <c r="T278" s="23" t="s">
        <v>3011</v>
      </c>
      <c r="V278" s="23" t="s">
        <v>3100</v>
      </c>
      <c r="W278" s="23">
        <v>15290</v>
      </c>
      <c r="X278" s="23">
        <v>550</v>
      </c>
      <c r="Z278" s="23">
        <v>440</v>
      </c>
      <c r="AA278" s="23">
        <v>0</v>
      </c>
      <c r="AB278" s="23">
        <v>0</v>
      </c>
      <c r="AC278" s="23">
        <v>10</v>
      </c>
      <c r="AD278" s="23">
        <v>0</v>
      </c>
      <c r="AE278" s="23">
        <v>0</v>
      </c>
      <c r="AG278" s="23" t="s">
        <v>3101</v>
      </c>
      <c r="AI278" s="23">
        <v>46197</v>
      </c>
      <c r="AK278" s="23" t="s">
        <v>5160</v>
      </c>
      <c r="AL278" s="23">
        <v>518875598673</v>
      </c>
      <c r="AM278" s="23" t="s">
        <v>3102</v>
      </c>
      <c r="AO278" s="23" t="s">
        <v>3102</v>
      </c>
    </row>
  </sheetData>
  <autoFilter ref="A1:AP220" xr:uid="{92834288-4531-48D0-A0FD-96DE85D82ED0}"/>
  <phoneticPr fontId="2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0B1-D73B-48B3-B435-78E598D4AF54}">
  <sheetPr codeName="Sheet6">
    <tabColor rgb="FF92D050"/>
  </sheetPr>
  <dimension ref="A1:B164"/>
  <sheetViews>
    <sheetView workbookViewId="0">
      <pane ySplit="2" topLeftCell="A39" activePane="bottomLeft" state="frozen"/>
      <selection pane="bottomLeft" activeCell="B45" sqref="B45"/>
    </sheetView>
  </sheetViews>
  <sheetFormatPr defaultColWidth="9.109375" defaultRowHeight="16.2"/>
  <cols>
    <col min="1" max="1" width="18.5546875" style="23" bestFit="1" customWidth="1"/>
    <col min="2" max="2" width="12.21875" style="23" bestFit="1" customWidth="1"/>
    <col min="3" max="16384" width="9.109375" style="23"/>
  </cols>
  <sheetData>
    <row r="1" spans="1:2">
      <c r="A1" s="26" t="s">
        <v>3123</v>
      </c>
      <c r="B1" s="27">
        <f>SUMIF(A:A,"総計",B:B)</f>
        <v>284</v>
      </c>
    </row>
    <row r="2" spans="1:2">
      <c r="A2" s="5" t="s">
        <v>1851</v>
      </c>
      <c r="B2" t="s">
        <v>3124</v>
      </c>
    </row>
    <row r="3" spans="1:2">
      <c r="A3" s="4" t="s">
        <v>88</v>
      </c>
      <c r="B3" s="28">
        <v>6</v>
      </c>
    </row>
    <row r="4" spans="1:2">
      <c r="A4" s="4" t="s">
        <v>1555</v>
      </c>
      <c r="B4" s="28">
        <v>4</v>
      </c>
    </row>
    <row r="5" spans="1:2">
      <c r="A5" s="4" t="s">
        <v>91</v>
      </c>
      <c r="B5" s="28">
        <v>2</v>
      </c>
    </row>
    <row r="6" spans="1:2">
      <c r="A6" s="4" t="s">
        <v>2983</v>
      </c>
      <c r="B6" s="28">
        <v>1</v>
      </c>
    </row>
    <row r="7" spans="1:2">
      <c r="A7" s="4" t="s">
        <v>99</v>
      </c>
      <c r="B7" s="28">
        <v>12</v>
      </c>
    </row>
    <row r="8" spans="1:2">
      <c r="A8" s="4" t="s">
        <v>2965</v>
      </c>
      <c r="B8" s="28">
        <v>4</v>
      </c>
    </row>
    <row r="9" spans="1:2">
      <c r="A9" s="4" t="s">
        <v>2963</v>
      </c>
      <c r="B9" s="28">
        <v>5</v>
      </c>
    </row>
    <row r="10" spans="1:2">
      <c r="A10" s="4" t="s">
        <v>2976</v>
      </c>
      <c r="B10" s="28">
        <v>5</v>
      </c>
    </row>
    <row r="11" spans="1:2">
      <c r="A11" s="4" t="s">
        <v>107</v>
      </c>
      <c r="B11" s="28">
        <v>15</v>
      </c>
    </row>
    <row r="12" spans="1:2">
      <c r="A12" s="4" t="s">
        <v>116</v>
      </c>
      <c r="B12" s="28">
        <v>6</v>
      </c>
    </row>
    <row r="13" spans="1:2">
      <c r="A13" s="4" t="s">
        <v>118</v>
      </c>
      <c r="B13" s="28">
        <v>2</v>
      </c>
    </row>
    <row r="14" spans="1:2">
      <c r="A14" s="4" t="s">
        <v>120</v>
      </c>
      <c r="B14" s="28">
        <v>3</v>
      </c>
    </row>
    <row r="15" spans="1:2">
      <c r="A15" s="4" t="s">
        <v>3050</v>
      </c>
      <c r="B15" s="28"/>
    </row>
    <row r="16" spans="1:2">
      <c r="A16" s="4" t="s">
        <v>2969</v>
      </c>
      <c r="B16" s="28">
        <v>3</v>
      </c>
    </row>
    <row r="17" spans="1:2">
      <c r="A17" s="4" t="s">
        <v>3011</v>
      </c>
      <c r="B17" s="28">
        <v>19</v>
      </c>
    </row>
    <row r="18" spans="1:2">
      <c r="A18" s="4" t="s">
        <v>3048</v>
      </c>
      <c r="B18" s="28">
        <v>1</v>
      </c>
    </row>
    <row r="19" spans="1:2">
      <c r="A19" s="4" t="s">
        <v>2985</v>
      </c>
      <c r="B19" s="28">
        <v>8</v>
      </c>
    </row>
    <row r="20" spans="1:2">
      <c r="A20" s="4" t="s">
        <v>3187</v>
      </c>
      <c r="B20" s="28">
        <v>1</v>
      </c>
    </row>
    <row r="21" spans="1:2">
      <c r="A21" s="4" t="s">
        <v>3211</v>
      </c>
      <c r="B21" s="28">
        <v>1</v>
      </c>
    </row>
    <row r="22" spans="1:2">
      <c r="A22" s="4" t="s">
        <v>3205</v>
      </c>
      <c r="B22" s="28">
        <v>1</v>
      </c>
    </row>
    <row r="23" spans="1:2">
      <c r="A23" s="4" t="s">
        <v>3197</v>
      </c>
      <c r="B23" s="28">
        <v>1</v>
      </c>
    </row>
    <row r="24" spans="1:2">
      <c r="A24" s="4" t="s">
        <v>2626</v>
      </c>
      <c r="B24" s="28">
        <v>1</v>
      </c>
    </row>
    <row r="25" spans="1:2">
      <c r="A25" s="4" t="s">
        <v>3194</v>
      </c>
      <c r="B25" s="28">
        <v>2</v>
      </c>
    </row>
    <row r="26" spans="1:2">
      <c r="A26" s="4" t="s">
        <v>3186</v>
      </c>
      <c r="B26" s="28">
        <v>2</v>
      </c>
    </row>
    <row r="27" spans="1:2">
      <c r="A27" s="4" t="s">
        <v>2975</v>
      </c>
      <c r="B27" s="28">
        <v>2</v>
      </c>
    </row>
    <row r="28" spans="1:2">
      <c r="A28" s="4" t="s">
        <v>2623</v>
      </c>
      <c r="B28" s="28">
        <v>1</v>
      </c>
    </row>
    <row r="29" spans="1:2">
      <c r="A29" s="4" t="s">
        <v>3141</v>
      </c>
      <c r="B29" s="28">
        <v>1</v>
      </c>
    </row>
    <row r="30" spans="1:2">
      <c r="A30" s="4" t="s">
        <v>2986</v>
      </c>
      <c r="B30" s="28">
        <v>1</v>
      </c>
    </row>
    <row r="31" spans="1:2">
      <c r="A31" s="4" t="s">
        <v>2013</v>
      </c>
      <c r="B31" s="28">
        <v>1</v>
      </c>
    </row>
    <row r="32" spans="1:2">
      <c r="A32" s="4" t="s">
        <v>4013</v>
      </c>
      <c r="B32" s="28">
        <v>1</v>
      </c>
    </row>
    <row r="33" spans="1:2">
      <c r="A33" s="4" t="s">
        <v>307</v>
      </c>
      <c r="B33" s="28">
        <v>1</v>
      </c>
    </row>
    <row r="34" spans="1:2">
      <c r="A34" s="4" t="s">
        <v>324</v>
      </c>
      <c r="B34" s="28">
        <v>1</v>
      </c>
    </row>
    <row r="35" spans="1:2">
      <c r="A35" s="4" t="s">
        <v>4033</v>
      </c>
      <c r="B35" s="28">
        <v>1</v>
      </c>
    </row>
    <row r="36" spans="1:2">
      <c r="A36" s="4" t="s">
        <v>3415</v>
      </c>
      <c r="B36" s="28">
        <v>1</v>
      </c>
    </row>
    <row r="37" spans="1:2">
      <c r="A37" s="4" t="s">
        <v>2647</v>
      </c>
      <c r="B37" s="28">
        <v>1</v>
      </c>
    </row>
    <row r="38" spans="1:2">
      <c r="A38" s="4" t="s">
        <v>3736</v>
      </c>
      <c r="B38" s="28">
        <v>1</v>
      </c>
    </row>
    <row r="39" spans="1:2">
      <c r="A39" s="4" t="s">
        <v>229</v>
      </c>
      <c r="B39" s="28">
        <v>2</v>
      </c>
    </row>
    <row r="40" spans="1:2">
      <c r="A40" s="4" t="s">
        <v>4090</v>
      </c>
      <c r="B40" s="28">
        <v>1</v>
      </c>
    </row>
    <row r="41" spans="1:2">
      <c r="A41" s="4" t="s">
        <v>3326</v>
      </c>
      <c r="B41" s="28">
        <v>1</v>
      </c>
    </row>
    <row r="42" spans="1:2">
      <c r="A42" s="4" t="s">
        <v>731</v>
      </c>
      <c r="B42" s="28">
        <v>2</v>
      </c>
    </row>
    <row r="43" spans="1:2">
      <c r="A43" s="4" t="s">
        <v>4139</v>
      </c>
      <c r="B43" s="28">
        <v>1</v>
      </c>
    </row>
    <row r="44" spans="1:2">
      <c r="A44" s="4" t="s">
        <v>3373</v>
      </c>
      <c r="B44" s="28">
        <v>1</v>
      </c>
    </row>
    <row r="45" spans="1:2">
      <c r="A45" s="4" t="s">
        <v>2962</v>
      </c>
      <c r="B45" s="28">
        <v>1</v>
      </c>
    </row>
    <row r="46" spans="1:2">
      <c r="A46" s="4" t="s">
        <v>4168</v>
      </c>
      <c r="B46" s="28">
        <v>1</v>
      </c>
    </row>
    <row r="47" spans="1:2">
      <c r="A47" s="4" t="s">
        <v>3508</v>
      </c>
      <c r="B47" s="28">
        <v>1</v>
      </c>
    </row>
    <row r="48" spans="1:2">
      <c r="A48" s="4" t="s">
        <v>3416</v>
      </c>
      <c r="B48" s="28">
        <v>1</v>
      </c>
    </row>
    <row r="49" spans="1:2">
      <c r="A49" s="4" t="s">
        <v>4211</v>
      </c>
      <c r="B49" s="28">
        <v>1</v>
      </c>
    </row>
    <row r="50" spans="1:2">
      <c r="A50" s="4" t="s">
        <v>3406</v>
      </c>
      <c r="B50" s="28">
        <v>1</v>
      </c>
    </row>
    <row r="51" spans="1:2">
      <c r="A51" s="4" t="s">
        <v>190</v>
      </c>
      <c r="B51" s="28">
        <v>1</v>
      </c>
    </row>
    <row r="52" spans="1:2">
      <c r="A52" s="4" t="s">
        <v>3425</v>
      </c>
      <c r="B52" s="28">
        <v>1</v>
      </c>
    </row>
    <row r="53" spans="1:2">
      <c r="A53" s="4" t="s">
        <v>3395</v>
      </c>
      <c r="B53" s="28">
        <v>1</v>
      </c>
    </row>
    <row r="54" spans="1:2">
      <c r="A54" s="4" t="s">
        <v>3470</v>
      </c>
      <c r="B54" s="28">
        <v>1</v>
      </c>
    </row>
    <row r="55" spans="1:2">
      <c r="A55" s="4" t="s">
        <v>3448</v>
      </c>
      <c r="B55" s="28">
        <v>1</v>
      </c>
    </row>
    <row r="56" spans="1:2">
      <c r="A56" s="4" t="s">
        <v>4327</v>
      </c>
      <c r="B56" s="28">
        <v>1</v>
      </c>
    </row>
    <row r="57" spans="1:2">
      <c r="A57" s="4" t="s">
        <v>4355</v>
      </c>
      <c r="B57" s="28">
        <v>1</v>
      </c>
    </row>
    <row r="58" spans="1:2">
      <c r="A58" s="4" t="s">
        <v>4373</v>
      </c>
      <c r="B58" s="28">
        <v>1</v>
      </c>
    </row>
    <row r="59" spans="1:2">
      <c r="A59" s="4" t="s">
        <v>3299</v>
      </c>
      <c r="B59" s="28">
        <v>1</v>
      </c>
    </row>
    <row r="60" spans="1:2">
      <c r="A60" s="4" t="s">
        <v>4393</v>
      </c>
      <c r="B60" s="28">
        <v>1</v>
      </c>
    </row>
    <row r="61" spans="1:2">
      <c r="A61" s="4" t="s">
        <v>4401</v>
      </c>
      <c r="B61" s="28">
        <v>1</v>
      </c>
    </row>
    <row r="62" spans="1:2">
      <c r="A62" s="4" t="s">
        <v>3720</v>
      </c>
      <c r="B62" s="28">
        <v>1</v>
      </c>
    </row>
    <row r="63" spans="1:2">
      <c r="A63" s="4" t="s">
        <v>2649</v>
      </c>
      <c r="B63" s="28">
        <v>1</v>
      </c>
    </row>
    <row r="64" spans="1:2">
      <c r="A64" s="4" t="s">
        <v>3285</v>
      </c>
      <c r="B64" s="28">
        <v>2</v>
      </c>
    </row>
    <row r="65" spans="1:2">
      <c r="A65" s="4" t="s">
        <v>4458</v>
      </c>
      <c r="B65" s="28">
        <v>1</v>
      </c>
    </row>
    <row r="66" spans="1:2">
      <c r="A66" s="4" t="s">
        <v>3498</v>
      </c>
      <c r="B66" s="28">
        <v>1</v>
      </c>
    </row>
    <row r="67" spans="1:2">
      <c r="A67" s="4" t="s">
        <v>2611</v>
      </c>
      <c r="B67" s="28">
        <v>1</v>
      </c>
    </row>
    <row r="68" spans="1:2">
      <c r="A68" s="4" t="s">
        <v>4491</v>
      </c>
      <c r="B68" s="28">
        <v>1</v>
      </c>
    </row>
    <row r="69" spans="1:2">
      <c r="A69" s="4" t="s">
        <v>4509</v>
      </c>
      <c r="B69" s="28">
        <v>1</v>
      </c>
    </row>
    <row r="70" spans="1:2">
      <c r="A70" s="4" t="s">
        <v>2017</v>
      </c>
      <c r="B70" s="28">
        <v>1</v>
      </c>
    </row>
    <row r="71" spans="1:2">
      <c r="A71" s="4" t="s">
        <v>4524</v>
      </c>
      <c r="B71" s="28">
        <v>1</v>
      </c>
    </row>
    <row r="72" spans="1:2">
      <c r="A72" s="4" t="s">
        <v>3888</v>
      </c>
      <c r="B72" s="28">
        <v>1</v>
      </c>
    </row>
    <row r="73" spans="1:2">
      <c r="A73" s="4" t="s">
        <v>4535</v>
      </c>
      <c r="B73" s="28">
        <v>1</v>
      </c>
    </row>
    <row r="74" spans="1:2">
      <c r="A74" s="4" t="s">
        <v>4539</v>
      </c>
      <c r="B74" s="28">
        <v>1</v>
      </c>
    </row>
    <row r="75" spans="1:2">
      <c r="A75" s="4" t="s">
        <v>4549</v>
      </c>
      <c r="B75" s="28">
        <v>1</v>
      </c>
    </row>
    <row r="76" spans="1:2">
      <c r="A76" s="4" t="s">
        <v>4557</v>
      </c>
      <c r="B76" s="28">
        <v>1</v>
      </c>
    </row>
    <row r="77" spans="1:2">
      <c r="A77" s="4" t="s">
        <v>2601</v>
      </c>
      <c r="B77" s="28">
        <v>1</v>
      </c>
    </row>
    <row r="78" spans="1:2">
      <c r="A78" s="4" t="s">
        <v>4574</v>
      </c>
      <c r="B78" s="28">
        <v>1</v>
      </c>
    </row>
    <row r="79" spans="1:2">
      <c r="A79" s="4" t="s">
        <v>3738</v>
      </c>
      <c r="B79" s="28">
        <v>1</v>
      </c>
    </row>
    <row r="80" spans="1:2">
      <c r="A80" s="4" t="s">
        <v>3744</v>
      </c>
      <c r="B80" s="28">
        <v>2</v>
      </c>
    </row>
    <row r="81" spans="1:2">
      <c r="A81" s="4" t="s">
        <v>747</v>
      </c>
      <c r="B81" s="28">
        <v>1</v>
      </c>
    </row>
    <row r="82" spans="1:2">
      <c r="A82" s="4" t="s">
        <v>4633</v>
      </c>
      <c r="B82" s="28">
        <v>1</v>
      </c>
    </row>
    <row r="83" spans="1:2">
      <c r="A83" s="4" t="s">
        <v>4636</v>
      </c>
      <c r="B83" s="28">
        <v>1</v>
      </c>
    </row>
    <row r="84" spans="1:2">
      <c r="A84" s="4" t="s">
        <v>4639</v>
      </c>
      <c r="B84" s="28">
        <v>1</v>
      </c>
    </row>
    <row r="85" spans="1:2">
      <c r="A85" s="4" t="s">
        <v>4643</v>
      </c>
      <c r="B85" s="28">
        <v>1</v>
      </c>
    </row>
    <row r="86" spans="1:2">
      <c r="A86" s="4" t="s">
        <v>3506</v>
      </c>
      <c r="B86" s="28">
        <v>1</v>
      </c>
    </row>
    <row r="87" spans="1:2">
      <c r="A87" s="4" t="s">
        <v>4684</v>
      </c>
      <c r="B87" s="28">
        <v>1</v>
      </c>
    </row>
    <row r="88" spans="1:2">
      <c r="A88" s="4" t="s">
        <v>4707</v>
      </c>
      <c r="B88" s="28">
        <v>1</v>
      </c>
    </row>
    <row r="89" spans="1:2">
      <c r="A89" s="4" t="s">
        <v>4711</v>
      </c>
      <c r="B89" s="28">
        <v>1</v>
      </c>
    </row>
    <row r="90" spans="1:2">
      <c r="A90" s="4" t="s">
        <v>3839</v>
      </c>
      <c r="B90" s="28">
        <v>1</v>
      </c>
    </row>
    <row r="91" spans="1:2">
      <c r="A91" s="4" t="s">
        <v>4722</v>
      </c>
      <c r="B91" s="28">
        <v>1</v>
      </c>
    </row>
    <row r="92" spans="1:2">
      <c r="A92" s="4" t="s">
        <v>4726</v>
      </c>
      <c r="B92" s="28">
        <v>1</v>
      </c>
    </row>
    <row r="93" spans="1:2">
      <c r="A93" s="4" t="s">
        <v>4738</v>
      </c>
      <c r="B93" s="28">
        <v>1</v>
      </c>
    </row>
    <row r="94" spans="1:2">
      <c r="A94" s="4" t="s">
        <v>4749</v>
      </c>
      <c r="B94" s="28">
        <v>1</v>
      </c>
    </row>
    <row r="95" spans="1:2">
      <c r="A95" s="4" t="s">
        <v>4750</v>
      </c>
      <c r="B95" s="28">
        <v>1</v>
      </c>
    </row>
    <row r="96" spans="1:2">
      <c r="A96" s="4" t="s">
        <v>3312</v>
      </c>
      <c r="B96" s="28">
        <v>1</v>
      </c>
    </row>
    <row r="97" spans="1:2">
      <c r="A97" s="4" t="s">
        <v>3350</v>
      </c>
      <c r="B97" s="28">
        <v>1</v>
      </c>
    </row>
    <row r="98" spans="1:2">
      <c r="A98" s="4" t="s">
        <v>3434</v>
      </c>
      <c r="B98" s="28">
        <v>1</v>
      </c>
    </row>
    <row r="99" spans="1:2">
      <c r="A99" s="4" t="s">
        <v>3813</v>
      </c>
      <c r="B99" s="28">
        <v>1</v>
      </c>
    </row>
    <row r="100" spans="1:2">
      <c r="A100" s="4" t="s">
        <v>2715</v>
      </c>
      <c r="B100" s="28">
        <v>1</v>
      </c>
    </row>
    <row r="101" spans="1:2">
      <c r="A101" s="4" t="s">
        <v>2607</v>
      </c>
      <c r="B101" s="28">
        <v>1</v>
      </c>
    </row>
    <row r="102" spans="1:2">
      <c r="A102" s="4" t="s">
        <v>4877</v>
      </c>
      <c r="B102" s="28">
        <v>1</v>
      </c>
    </row>
    <row r="103" spans="1:2">
      <c r="A103" s="4" t="s">
        <v>4887</v>
      </c>
      <c r="B103" s="28">
        <v>1</v>
      </c>
    </row>
    <row r="104" spans="1:2">
      <c r="A104" s="4" t="s">
        <v>3539</v>
      </c>
      <c r="B104" s="28">
        <v>2</v>
      </c>
    </row>
    <row r="105" spans="1:2">
      <c r="A105" s="4" t="s">
        <v>3362</v>
      </c>
      <c r="B105" s="28">
        <v>1</v>
      </c>
    </row>
    <row r="106" spans="1:2">
      <c r="A106" s="4" t="s">
        <v>3422</v>
      </c>
      <c r="B106" s="28">
        <v>1</v>
      </c>
    </row>
    <row r="107" spans="1:2">
      <c r="A107" s="4" t="s">
        <v>3316</v>
      </c>
      <c r="B107" s="28">
        <v>1</v>
      </c>
    </row>
    <row r="108" spans="1:2">
      <c r="A108" s="4" t="s">
        <v>182</v>
      </c>
      <c r="B108" s="28">
        <v>1</v>
      </c>
    </row>
    <row r="109" spans="1:2">
      <c r="A109" s="4" t="s">
        <v>5050</v>
      </c>
      <c r="B109" s="28">
        <v>1</v>
      </c>
    </row>
    <row r="110" spans="1:2">
      <c r="A110" s="4" t="s">
        <v>5059</v>
      </c>
      <c r="B110" s="28">
        <v>1</v>
      </c>
    </row>
    <row r="111" spans="1:2">
      <c r="A111" s="4" t="s">
        <v>3220</v>
      </c>
      <c r="B111" s="28">
        <v>1</v>
      </c>
    </row>
    <row r="112" spans="1:2">
      <c r="A112" s="4" t="s">
        <v>133</v>
      </c>
      <c r="B112" s="28">
        <v>5</v>
      </c>
    </row>
    <row r="113" spans="1:2">
      <c r="A113" s="4" t="s">
        <v>3793</v>
      </c>
      <c r="B113" s="28">
        <v>1</v>
      </c>
    </row>
    <row r="114" spans="1:2">
      <c r="A114" s="4" t="s">
        <v>5121</v>
      </c>
      <c r="B114" s="28">
        <v>1</v>
      </c>
    </row>
    <row r="115" spans="1:2">
      <c r="A115" s="4" t="s">
        <v>3348</v>
      </c>
      <c r="B115" s="28">
        <v>1</v>
      </c>
    </row>
    <row r="116" spans="1:2">
      <c r="A116" s="4" t="s">
        <v>3339</v>
      </c>
      <c r="B116" s="28">
        <v>1</v>
      </c>
    </row>
    <row r="117" spans="1:2">
      <c r="A117" s="4" t="s">
        <v>3397</v>
      </c>
      <c r="B117" s="28">
        <v>2</v>
      </c>
    </row>
    <row r="118" spans="1:2">
      <c r="A118" s="4" t="s">
        <v>3277</v>
      </c>
      <c r="B118" s="28">
        <v>1</v>
      </c>
    </row>
    <row r="119" spans="1:2">
      <c r="A119" s="4" t="s">
        <v>3386</v>
      </c>
      <c r="B119" s="28">
        <v>1</v>
      </c>
    </row>
    <row r="120" spans="1:2">
      <c r="A120" s="4" t="s">
        <v>3648</v>
      </c>
      <c r="B120" s="28">
        <v>1</v>
      </c>
    </row>
    <row r="121" spans="1:2">
      <c r="A121" s="4" t="s">
        <v>3494</v>
      </c>
      <c r="B121" s="28">
        <v>1</v>
      </c>
    </row>
    <row r="122" spans="1:2">
      <c r="A122" s="4" t="s">
        <v>3693</v>
      </c>
      <c r="B122" s="28">
        <v>1</v>
      </c>
    </row>
    <row r="123" spans="1:2">
      <c r="A123" s="4" t="s">
        <v>2930</v>
      </c>
      <c r="B123" s="28">
        <v>1</v>
      </c>
    </row>
    <row r="124" spans="1:2">
      <c r="A124" s="4" t="s">
        <v>5183</v>
      </c>
      <c r="B124" s="28">
        <v>1</v>
      </c>
    </row>
    <row r="125" spans="1:2">
      <c r="A125" s="4" t="s">
        <v>5186</v>
      </c>
      <c r="B125" s="28">
        <v>1</v>
      </c>
    </row>
    <row r="126" spans="1:2">
      <c r="A126" s="4" t="s">
        <v>5203</v>
      </c>
      <c r="B126" s="28">
        <v>1</v>
      </c>
    </row>
    <row r="127" spans="1:2">
      <c r="A127" s="4" t="s">
        <v>3474</v>
      </c>
      <c r="B127" s="28">
        <v>2</v>
      </c>
    </row>
    <row r="128" spans="1:2">
      <c r="A128" s="4" t="s">
        <v>662</v>
      </c>
      <c r="B128" s="28">
        <v>1</v>
      </c>
    </row>
    <row r="129" spans="1:2">
      <c r="A129" s="4" t="s">
        <v>5235</v>
      </c>
      <c r="B129" s="28">
        <v>1</v>
      </c>
    </row>
    <row r="130" spans="1:2">
      <c r="A130" s="4" t="s">
        <v>5239</v>
      </c>
      <c r="B130" s="28">
        <v>1</v>
      </c>
    </row>
    <row r="131" spans="1:2">
      <c r="A131" s="4" t="s">
        <v>2073</v>
      </c>
      <c r="B131" s="28">
        <v>1</v>
      </c>
    </row>
    <row r="132" spans="1:2">
      <c r="A132" s="4" t="s">
        <v>735</v>
      </c>
      <c r="B132" s="28">
        <v>1</v>
      </c>
    </row>
    <row r="133" spans="1:2">
      <c r="A133" s="4" t="s">
        <v>5287</v>
      </c>
      <c r="B133" s="28">
        <v>1</v>
      </c>
    </row>
    <row r="134" spans="1:2">
      <c r="A134" s="4" t="s">
        <v>5304</v>
      </c>
      <c r="B134" s="28">
        <v>7</v>
      </c>
    </row>
    <row r="135" spans="1:2">
      <c r="A135" s="4" t="s">
        <v>3189</v>
      </c>
      <c r="B135" s="28">
        <v>1</v>
      </c>
    </row>
    <row r="136" spans="1:2">
      <c r="A136" s="4" t="s">
        <v>5353</v>
      </c>
      <c r="B136" s="28">
        <v>1</v>
      </c>
    </row>
    <row r="137" spans="1:2">
      <c r="A137" s="4" t="s">
        <v>5356</v>
      </c>
      <c r="B137" s="28">
        <v>7</v>
      </c>
    </row>
    <row r="138" spans="1:2">
      <c r="A138" s="4" t="s">
        <v>210</v>
      </c>
      <c r="B138" s="28">
        <v>2</v>
      </c>
    </row>
    <row r="139" spans="1:2">
      <c r="A139" s="4" t="s">
        <v>3747</v>
      </c>
      <c r="B139" s="28">
        <v>1</v>
      </c>
    </row>
    <row r="140" spans="1:2">
      <c r="A140" s="4">
        <v>8710503036</v>
      </c>
      <c r="B140" s="28">
        <v>1</v>
      </c>
    </row>
    <row r="141" spans="1:2">
      <c r="A141" s="4" t="s">
        <v>5417</v>
      </c>
      <c r="B141" s="28">
        <v>1</v>
      </c>
    </row>
    <row r="142" spans="1:2">
      <c r="A142" s="4" t="s">
        <v>5448</v>
      </c>
      <c r="B142" s="28">
        <v>1</v>
      </c>
    </row>
    <row r="143" spans="1:2">
      <c r="A143" s="4" t="s">
        <v>5173</v>
      </c>
      <c r="B143" s="28">
        <v>1</v>
      </c>
    </row>
    <row r="144" spans="1:2">
      <c r="A144" s="4" t="s">
        <v>5472</v>
      </c>
      <c r="B144" s="28">
        <v>1</v>
      </c>
    </row>
    <row r="145" spans="1:2">
      <c r="A145" s="4" t="s">
        <v>127</v>
      </c>
      <c r="B145" s="28">
        <v>1</v>
      </c>
    </row>
    <row r="146" spans="1:2">
      <c r="A146" s="4" t="s">
        <v>3268</v>
      </c>
      <c r="B146" s="28">
        <v>1</v>
      </c>
    </row>
    <row r="147" spans="1:2">
      <c r="A147" s="4" t="s">
        <v>3511</v>
      </c>
      <c r="B147" s="28">
        <v>1</v>
      </c>
    </row>
    <row r="148" spans="1:2">
      <c r="A148" s="4" t="s">
        <v>3209</v>
      </c>
      <c r="B148" s="28">
        <v>1</v>
      </c>
    </row>
    <row r="149" spans="1:2">
      <c r="A149" s="4" t="s">
        <v>5516</v>
      </c>
      <c r="B149" s="28">
        <v>1</v>
      </c>
    </row>
    <row r="150" spans="1:2">
      <c r="A150" s="4" t="s">
        <v>5552</v>
      </c>
      <c r="B150" s="28">
        <v>1</v>
      </c>
    </row>
    <row r="151" spans="1:2">
      <c r="A151" s="4" t="s">
        <v>360</v>
      </c>
      <c r="B151" s="28">
        <v>1</v>
      </c>
    </row>
    <row r="152" spans="1:2">
      <c r="A152" s="4" t="s">
        <v>5578</v>
      </c>
      <c r="B152" s="28">
        <v>1</v>
      </c>
    </row>
    <row r="153" spans="1:2">
      <c r="A153" s="4" t="s">
        <v>5589</v>
      </c>
      <c r="B153" s="28">
        <v>1</v>
      </c>
    </row>
    <row r="154" spans="1:2">
      <c r="A154" s="4" t="s">
        <v>5594</v>
      </c>
      <c r="B154" s="28">
        <v>1</v>
      </c>
    </row>
    <row r="155" spans="1:2">
      <c r="A155" s="4" t="s">
        <v>3445</v>
      </c>
      <c r="B155" s="28">
        <v>1</v>
      </c>
    </row>
    <row r="156" spans="1:2">
      <c r="A156" s="4" t="s">
        <v>5607</v>
      </c>
      <c r="B156" s="28">
        <v>1</v>
      </c>
    </row>
    <row r="157" spans="1:2">
      <c r="A157" s="4" t="s">
        <v>3746</v>
      </c>
      <c r="B157" s="28">
        <v>1</v>
      </c>
    </row>
    <row r="158" spans="1:2">
      <c r="A158" s="4" t="s">
        <v>5616</v>
      </c>
      <c r="B158" s="28">
        <v>1</v>
      </c>
    </row>
    <row r="159" spans="1:2">
      <c r="A159" s="4" t="s">
        <v>5661</v>
      </c>
      <c r="B159" s="28">
        <v>18</v>
      </c>
    </row>
    <row r="160" spans="1:2">
      <c r="A160" s="4" t="s">
        <v>5693</v>
      </c>
      <c r="B160" s="28">
        <v>1</v>
      </c>
    </row>
    <row r="161" spans="1:2">
      <c r="A161" s="4" t="s">
        <v>5712</v>
      </c>
      <c r="B161" s="28">
        <v>1</v>
      </c>
    </row>
    <row r="162" spans="1:2">
      <c r="A162" s="4" t="s">
        <v>5718</v>
      </c>
      <c r="B162" s="28">
        <v>1</v>
      </c>
    </row>
    <row r="163" spans="1:2">
      <c r="A163" s="4" t="s">
        <v>2972</v>
      </c>
      <c r="B163" s="28">
        <v>1</v>
      </c>
    </row>
    <row r="164" spans="1:2">
      <c r="A164" s="4" t="s">
        <v>1850</v>
      </c>
      <c r="B164" s="28">
        <v>284</v>
      </c>
    </row>
  </sheetData>
  <phoneticPr fontId="2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B829-A85B-461C-B632-5847EB70586B}">
  <sheetPr codeName="Sheet14">
    <tabColor theme="5" tint="-0.249977111117893"/>
  </sheetPr>
  <dimension ref="A1:BG2594"/>
  <sheetViews>
    <sheetView showZeros="0" tabSelected="1" workbookViewId="0">
      <pane xSplit="2" ySplit="3" topLeftCell="G4" activePane="bottomRight" state="frozen"/>
      <selection activeCell="W4" sqref="W4"/>
      <selection pane="topRight" activeCell="W4" sqref="W4"/>
      <selection pane="bottomLeft" activeCell="W4" sqref="W4"/>
      <selection pane="bottomRight" activeCell="AE3" sqref="AE3:BG4"/>
    </sheetView>
  </sheetViews>
  <sheetFormatPr defaultColWidth="9.109375" defaultRowHeight="12"/>
  <cols>
    <col min="1" max="1" width="10" style="8" customWidth="1"/>
    <col min="2" max="2" width="11.33203125" style="8" customWidth="1"/>
    <col min="3" max="10" width="3.33203125" style="9" customWidth="1"/>
    <col min="11" max="11" width="3.109375" style="9" customWidth="1"/>
    <col min="12" max="31" width="3.33203125" style="9" customWidth="1"/>
    <col min="32" max="32" width="4.6640625" style="9" customWidth="1"/>
    <col min="33" max="39" width="3.33203125" style="9" customWidth="1"/>
    <col min="40" max="40" width="5.6640625" style="9" bestFit="1" customWidth="1"/>
    <col min="41" max="41" width="5.6640625" style="9" customWidth="1"/>
    <col min="42" max="42" width="3.109375" style="9" bestFit="1" customWidth="1"/>
    <col min="43" max="43" width="5.6640625" style="9" bestFit="1" customWidth="1"/>
    <col min="44" max="58" width="4.88671875" style="8" customWidth="1"/>
    <col min="59" max="59" width="5.88671875" style="8" customWidth="1"/>
    <col min="60" max="16384" width="9.109375" style="8"/>
  </cols>
  <sheetData>
    <row r="1" spans="1:59">
      <c r="C1" s="9">
        <f>SUBTOTAL(9,C4:C3000)</f>
        <v>21102</v>
      </c>
      <c r="D1" s="9">
        <f t="shared" ref="D1:X1" si="0">SUBTOTAL(9,D4:D3000)</f>
        <v>4932</v>
      </c>
      <c r="E1" s="9">
        <f t="shared" si="0"/>
        <v>0</v>
      </c>
      <c r="F1" s="9">
        <f t="shared" si="0"/>
        <v>0</v>
      </c>
      <c r="G1" s="9">
        <f t="shared" si="0"/>
        <v>0</v>
      </c>
      <c r="H1" s="9">
        <f t="shared" si="0"/>
        <v>0</v>
      </c>
      <c r="I1" s="9">
        <f t="shared" si="0"/>
        <v>0</v>
      </c>
      <c r="J1" s="9">
        <f t="shared" si="0"/>
        <v>0</v>
      </c>
      <c r="K1" s="9">
        <f t="shared" si="0"/>
        <v>0</v>
      </c>
      <c r="R1" s="9">
        <f t="shared" si="0"/>
        <v>1557</v>
      </c>
      <c r="S1" s="9">
        <f t="shared" si="0"/>
        <v>2778</v>
      </c>
      <c r="T1" s="9">
        <f t="shared" si="0"/>
        <v>1572</v>
      </c>
      <c r="U1" s="9">
        <f t="shared" si="0"/>
        <v>1313</v>
      </c>
      <c r="V1" s="9">
        <f t="shared" si="0"/>
        <v>2817</v>
      </c>
      <c r="W1" s="9">
        <f t="shared" si="0"/>
        <v>573</v>
      </c>
      <c r="X1" s="9">
        <f t="shared" si="0"/>
        <v>2745</v>
      </c>
      <c r="AF1" s="9">
        <f>MATCH(AF3,pivot!4:4,0)</f>
        <v>2</v>
      </c>
      <c r="AI1" s="9">
        <f>MATCH(AI3,pivot!4:4,0)</f>
        <v>3</v>
      </c>
      <c r="AJ1" s="9">
        <f>MATCH(AJ3,pivot!4:4,0)</f>
        <v>4</v>
      </c>
      <c r="AK1" s="9">
        <f>MATCH(AK3,pivot!4:4,0)</f>
        <v>5</v>
      </c>
      <c r="AL1" s="9">
        <f>MATCH(AL3,pivot!4:4,0)</f>
        <v>6</v>
      </c>
      <c r="AM1" s="9">
        <f>MATCH(AM3,pivot!4:4,0)</f>
        <v>8</v>
      </c>
      <c r="AN1" s="9">
        <f>MATCH(AN3,pivot!4:4,0)</f>
        <v>9</v>
      </c>
      <c r="AO1" s="9" t="e">
        <f>MATCH(AO3,pivot!4:4,0)</f>
        <v>#N/A</v>
      </c>
      <c r="AP1" s="9">
        <f>MATCH(AP3,pivot!4:4,0)</f>
        <v>7</v>
      </c>
      <c r="AQ1" s="9">
        <f>MATCH(AQ3,pivot!4:4,0)</f>
        <v>10</v>
      </c>
    </row>
    <row r="2" spans="1:59">
      <c r="C2" s="19" t="s">
        <v>2700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 t="s">
        <v>2701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16" t="s">
        <v>2702</v>
      </c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</row>
    <row r="3" spans="1:59" ht="58.2">
      <c r="A3" s="9" t="s">
        <v>0</v>
      </c>
      <c r="B3" s="9" t="s">
        <v>1</v>
      </c>
      <c r="C3" s="10" t="s">
        <v>2</v>
      </c>
      <c r="D3" s="13" t="s">
        <v>1476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1858</v>
      </c>
      <c r="J3" s="10" t="s">
        <v>2938</v>
      </c>
      <c r="K3" s="10" t="s">
        <v>2945</v>
      </c>
      <c r="L3" s="13" t="s">
        <v>2966</v>
      </c>
      <c r="M3" s="13">
        <v>6142</v>
      </c>
      <c r="N3" s="13" t="s">
        <v>2995</v>
      </c>
      <c r="O3" s="13" t="s">
        <v>5161</v>
      </c>
      <c r="P3" s="13" t="s">
        <v>2997</v>
      </c>
      <c r="Q3" s="13" t="s">
        <v>3051</v>
      </c>
      <c r="R3" s="11" t="s">
        <v>3</v>
      </c>
      <c r="S3" s="11" t="s">
        <v>4</v>
      </c>
      <c r="T3" s="11" t="s">
        <v>5</v>
      </c>
      <c r="U3" s="11" t="s">
        <v>6</v>
      </c>
      <c r="V3" s="11" t="s">
        <v>1858</v>
      </c>
      <c r="W3" s="11" t="s">
        <v>2938</v>
      </c>
      <c r="X3" s="11" t="s">
        <v>2945</v>
      </c>
      <c r="Y3" s="17" t="s">
        <v>2966</v>
      </c>
      <c r="Z3" s="17">
        <v>6142</v>
      </c>
      <c r="AA3" s="17" t="s">
        <v>2995</v>
      </c>
      <c r="AB3" s="17" t="s">
        <v>5161</v>
      </c>
      <c r="AC3" s="17" t="s">
        <v>2997</v>
      </c>
      <c r="AD3" s="17" t="s">
        <v>3051</v>
      </c>
      <c r="AE3" s="12" t="s">
        <v>3</v>
      </c>
      <c r="AF3" s="12" t="s">
        <v>4</v>
      </c>
      <c r="AG3" s="12" t="s">
        <v>5</v>
      </c>
      <c r="AH3" s="12" t="s">
        <v>6</v>
      </c>
      <c r="AI3" s="12" t="s">
        <v>1858</v>
      </c>
      <c r="AJ3" s="12" t="s">
        <v>2938</v>
      </c>
      <c r="AK3" s="12" t="s">
        <v>2945</v>
      </c>
      <c r="AL3" s="18" t="s">
        <v>2966</v>
      </c>
      <c r="AM3" s="18">
        <v>6142</v>
      </c>
      <c r="AN3" s="18" t="s">
        <v>2995</v>
      </c>
      <c r="AO3" s="18" t="s">
        <v>5161</v>
      </c>
      <c r="AP3" s="18" t="s">
        <v>2997</v>
      </c>
      <c r="AQ3" s="18" t="s">
        <v>3051</v>
      </c>
      <c r="AR3" s="8" t="s">
        <v>3</v>
      </c>
      <c r="AS3" s="8" t="s">
        <v>4</v>
      </c>
      <c r="AT3" s="8" t="s">
        <v>5</v>
      </c>
      <c r="AU3" s="8" t="s">
        <v>6</v>
      </c>
      <c r="AV3" s="8" t="s">
        <v>1858</v>
      </c>
      <c r="AW3" s="8" t="s">
        <v>2938</v>
      </c>
      <c r="AX3" s="8" t="s">
        <v>2945</v>
      </c>
      <c r="AY3" s="14" t="s">
        <v>2966</v>
      </c>
      <c r="AZ3" s="14">
        <v>6142</v>
      </c>
      <c r="BA3" s="14" t="s">
        <v>2995</v>
      </c>
      <c r="BB3" s="14" t="s">
        <v>2996</v>
      </c>
      <c r="BC3" s="14" t="s">
        <v>2997</v>
      </c>
      <c r="BD3" s="14" t="s">
        <v>3051</v>
      </c>
      <c r="BE3" s="8" t="s">
        <v>2703</v>
      </c>
      <c r="BF3" s="8" t="s">
        <v>2704</v>
      </c>
      <c r="BG3" s="8" t="s">
        <v>2705</v>
      </c>
    </row>
    <row r="4" spans="1:59">
      <c r="A4" s="8" t="s">
        <v>1859</v>
      </c>
      <c r="B4" s="8" t="s">
        <v>1860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AE4" s="9">
        <f>IFERROR(VLOOKUP(A4,ZOZOOIOI!L:M,2,FALSE),0)</f>
        <v>0</v>
      </c>
      <c r="AF4" s="9">
        <f>IFERROR(VLOOKUP($A4,pivot!$A:$K,計算式2026!AF$1,FALSE),0)</f>
        <v>0</v>
      </c>
      <c r="AG4" s="9">
        <f>IFERROR(VLOOKUP(A4,ZOZOOIOI!Z:AA,2,FALSE),0)</f>
        <v>0</v>
      </c>
      <c r="AH4" s="9">
        <f>IFERROR(VLOOKUP(A4,EC_PIVOT!A:B,2,FALSE),0)</f>
        <v>0</v>
      </c>
      <c r="AI4" s="9">
        <f>IFERROR(VLOOKUP($A4,pivot!$A:$K,計算式2026!AI$1,FALSE),0)</f>
        <v>0</v>
      </c>
      <c r="AJ4" s="9">
        <f>IFERROR(VLOOKUP($A4,pivot!$A:$K,計算式2026!AJ$1,FALSE),0)</f>
        <v>0</v>
      </c>
      <c r="AK4" s="9">
        <f>IFERROR(VLOOKUP($A4,pivot!$A:$K,計算式2026!AK$1,FALSE),0)</f>
        <v>0</v>
      </c>
      <c r="AL4" s="9">
        <f>IFERROR(VLOOKUP($A4,pivot!$A:$K,計算式2026!AL$1,FALSE),0)</f>
        <v>0</v>
      </c>
      <c r="AM4" s="9">
        <f>IFERROR(VLOOKUP($A4,pivot!$A:$K,計算式2026!AM$1,FALSE),0)</f>
        <v>0</v>
      </c>
      <c r="AN4" s="9">
        <f>IFERROR(VLOOKUP($A4,pivot!$A:$K,計算式2026!AN$1,FALSE),0)</f>
        <v>0</v>
      </c>
      <c r="AO4" s="9">
        <f>IFERROR(VLOOKUP($A4,pivot!$A:$K,計算式2026!AO$1,FALSE),0)</f>
        <v>0</v>
      </c>
      <c r="AP4" s="9">
        <f>IFERROR(VLOOKUP($A4,pivot!$A:$K,計算式2026!AP$1,FALSE),0)</f>
        <v>0</v>
      </c>
      <c r="AQ4" s="9">
        <f>IFERROR(VLOOKUP($A4,pivot!$A:$K,計算式2026!AQ$1,FALSE),0)</f>
        <v>0</v>
      </c>
      <c r="AR4" s="8">
        <f>E4-AE4</f>
        <v>0</v>
      </c>
      <c r="AS4" s="8">
        <f t="shared" ref="AS4:BC4" si="1">F4-AF4</f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>Q4-AQ4</f>
        <v>0</v>
      </c>
      <c r="BE4" s="8">
        <f>SUMIF(AR4:BD4,"&lt;0",AR4:BD4)</f>
        <v>0</v>
      </c>
      <c r="BF4" s="8">
        <f>IF(BE4&lt;0,D4+BE4,D4)</f>
        <v>0</v>
      </c>
      <c r="BG4" s="8">
        <f>IF(BF4&lt;0,C4+BF4,C4)</f>
        <v>0</v>
      </c>
    </row>
    <row r="5" spans="1:59">
      <c r="A5" s="8" t="s">
        <v>8</v>
      </c>
      <c r="B5" s="8" t="s">
        <v>7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R5" s="9">
        <v>0</v>
      </c>
      <c r="S5" s="9">
        <v>1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AE5" s="9">
        <f>IFERROR(VLOOKUP($A5,pivot!$A:$G,計算式2026!AE$1,FALSE),0)</f>
        <v>0</v>
      </c>
      <c r="AF5" s="9">
        <f>IFERROR(VLOOKUP($A5,pivot!$A:$I,計算式2026!AF$1,FALSE),0)</f>
        <v>0</v>
      </c>
      <c r="AI5" s="9">
        <f>IFERROR(VLOOKUP($A5,pivot!$A:$I,計算式2026!AI$1,FALSE),0)</f>
        <v>0</v>
      </c>
      <c r="AJ5" s="9">
        <f>IFERROR(VLOOKUP($A5,pivot!$A:$I,計算式2026!AJ$1,FALSE),0)</f>
        <v>0</v>
      </c>
      <c r="AK5" s="9">
        <f>IFERROR(VLOOKUP($A5,pivot!$A:$I,計算式2026!AK$1,FALSE),0)</f>
        <v>0</v>
      </c>
      <c r="AL5" s="9">
        <f>IFERROR(VLOOKUP($A5,pivot!$A:$I,計算式2026!AL$1,FALSE),0)</f>
        <v>0</v>
      </c>
    </row>
    <row r="6" spans="1:59">
      <c r="A6" s="8" t="s">
        <v>9</v>
      </c>
      <c r="B6" s="8" t="s">
        <v>7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R6" s="9">
        <v>0</v>
      </c>
      <c r="S6" s="9">
        <v>1</v>
      </c>
      <c r="T6" s="9">
        <v>0</v>
      </c>
      <c r="U6" s="9">
        <v>0</v>
      </c>
      <c r="V6" s="9">
        <v>1</v>
      </c>
      <c r="W6" s="9">
        <v>0</v>
      </c>
      <c r="X6" s="9">
        <v>0</v>
      </c>
      <c r="AE6" s="9">
        <f>IFERROR(VLOOKUP($A6,pivot!$A:$G,計算式2026!AE$1,FALSE),0)</f>
        <v>0</v>
      </c>
      <c r="AF6" s="9">
        <f>IFERROR(VLOOKUP($A6,pivot!$A:$I,計算式2026!AF$1,FALSE),0)</f>
        <v>0</v>
      </c>
      <c r="AI6" s="9">
        <f>IFERROR(VLOOKUP($A6,pivot!$A:$I,計算式2026!AI$1,FALSE),0)</f>
        <v>0</v>
      </c>
      <c r="AJ6" s="9">
        <f>IFERROR(VLOOKUP($A6,pivot!$A:$I,計算式2026!AJ$1,FALSE),0)</f>
        <v>0</v>
      </c>
      <c r="AK6" s="9">
        <f>IFERROR(VLOOKUP($A6,pivot!$A:$I,計算式2026!AK$1,FALSE),0)</f>
        <v>0</v>
      </c>
      <c r="AL6" s="9">
        <f>IFERROR(VLOOKUP($A6,pivot!$A:$I,計算式2026!AL$1,FALSE),0)</f>
        <v>0</v>
      </c>
    </row>
    <row r="7" spans="1:59">
      <c r="A7" s="8" t="s">
        <v>10</v>
      </c>
      <c r="B7" s="8" t="s">
        <v>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AE7" s="9">
        <f>IFERROR(VLOOKUP($A7,pivot!$A:$G,計算式2026!AE$1,FALSE),0)</f>
        <v>0</v>
      </c>
      <c r="AF7" s="9">
        <f>IFERROR(VLOOKUP($A7,pivot!$A:$I,計算式2026!AF$1,FALSE),0)</f>
        <v>0</v>
      </c>
      <c r="AI7" s="9">
        <f>IFERROR(VLOOKUP($A7,pivot!$A:$I,計算式2026!AI$1,FALSE),0)</f>
        <v>0</v>
      </c>
      <c r="AJ7" s="9">
        <f>IFERROR(VLOOKUP($A7,pivot!$A:$I,計算式2026!AJ$1,FALSE),0)</f>
        <v>0</v>
      </c>
      <c r="AK7" s="9">
        <f>IFERROR(VLOOKUP($A7,pivot!$A:$I,計算式2026!AK$1,FALSE),0)</f>
        <v>0</v>
      </c>
      <c r="AL7" s="9">
        <f>IFERROR(VLOOKUP($A7,pivot!$A:$I,計算式2026!AL$1,FALSE),0)</f>
        <v>0</v>
      </c>
    </row>
    <row r="8" spans="1:59">
      <c r="A8" s="8" t="s">
        <v>11</v>
      </c>
      <c r="B8" s="8" t="s">
        <v>7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R8" s="9">
        <v>0</v>
      </c>
      <c r="S8" s="9">
        <v>1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AE8" s="9">
        <f>IFERROR(VLOOKUP($A8,pivot!$A:$G,計算式2026!AE$1,FALSE),0)</f>
        <v>0</v>
      </c>
      <c r="AF8" s="9">
        <f>IFERROR(VLOOKUP($A8,pivot!$A:$I,計算式2026!AF$1,FALSE),0)</f>
        <v>0</v>
      </c>
      <c r="AI8" s="9">
        <f>IFERROR(VLOOKUP($A8,pivot!$A:$I,計算式2026!AI$1,FALSE),0)</f>
        <v>0</v>
      </c>
      <c r="AJ8" s="9">
        <f>IFERROR(VLOOKUP($A8,pivot!$A:$I,計算式2026!AJ$1,FALSE),0)</f>
        <v>0</v>
      </c>
      <c r="AK8" s="9">
        <f>IFERROR(VLOOKUP($A8,pivot!$A:$I,計算式2026!AK$1,FALSE),0)</f>
        <v>0</v>
      </c>
      <c r="AL8" s="9">
        <f>IFERROR(VLOOKUP($A8,pivot!$A:$I,計算式2026!AL$1,FALSE),0)</f>
        <v>0</v>
      </c>
    </row>
    <row r="9" spans="1:59">
      <c r="A9" s="8" t="s">
        <v>12</v>
      </c>
      <c r="B9" s="8" t="s">
        <v>13</v>
      </c>
      <c r="C9" s="9">
        <v>1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AE9" s="9">
        <f>IFERROR(VLOOKUP($A9,pivot!$A:$G,計算式2026!AE$1,FALSE),0)</f>
        <v>0</v>
      </c>
      <c r="AF9" s="9">
        <f>IFERROR(VLOOKUP($A9,pivot!$A:$I,計算式2026!AF$1,FALSE),0)</f>
        <v>0</v>
      </c>
      <c r="AI9" s="9">
        <f>IFERROR(VLOOKUP($A9,pivot!$A:$I,計算式2026!AI$1,FALSE),0)</f>
        <v>0</v>
      </c>
      <c r="AJ9" s="9">
        <f>IFERROR(VLOOKUP($A9,pivot!$A:$I,計算式2026!AJ$1,FALSE),0)</f>
        <v>0</v>
      </c>
      <c r="AK9" s="9">
        <f>IFERROR(VLOOKUP($A9,pivot!$A:$I,計算式2026!AK$1,FALSE),0)</f>
        <v>0</v>
      </c>
      <c r="AL9" s="9">
        <f>IFERROR(VLOOKUP($A9,pivot!$A:$I,計算式2026!AL$1,FALSE),0)</f>
        <v>0</v>
      </c>
    </row>
    <row r="10" spans="1:59">
      <c r="A10" s="8" t="s">
        <v>14</v>
      </c>
      <c r="B10" s="8" t="s">
        <v>13</v>
      </c>
      <c r="C10" s="9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AE10" s="9">
        <f>IFERROR(VLOOKUP($A10,pivot!$A:$G,計算式2026!AE$1,FALSE),0)</f>
        <v>0</v>
      </c>
      <c r="AF10" s="9">
        <f>IFERROR(VLOOKUP($A10,pivot!$A:$I,計算式2026!AF$1,FALSE),0)</f>
        <v>0</v>
      </c>
      <c r="AI10" s="9">
        <f>IFERROR(VLOOKUP($A10,pivot!$A:$I,計算式2026!AI$1,FALSE),0)</f>
        <v>0</v>
      </c>
      <c r="AJ10" s="9">
        <f>IFERROR(VLOOKUP($A10,pivot!$A:$I,計算式2026!AJ$1,FALSE),0)</f>
        <v>0</v>
      </c>
      <c r="AK10" s="9">
        <f>IFERROR(VLOOKUP($A10,pivot!$A:$I,計算式2026!AK$1,FALSE),0)</f>
        <v>0</v>
      </c>
      <c r="AL10" s="9">
        <f>IFERROR(VLOOKUP($A10,pivot!$A:$I,計算式2026!AL$1,FALSE),0)</f>
        <v>0</v>
      </c>
    </row>
    <row r="11" spans="1:59">
      <c r="A11" s="8" t="s">
        <v>15</v>
      </c>
      <c r="B11" s="8" t="s">
        <v>16</v>
      </c>
      <c r="C11" s="9">
        <v>3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AE11" s="9">
        <f>IFERROR(VLOOKUP($A11,pivot!$A:$G,計算式2026!AE$1,FALSE),0)</f>
        <v>0</v>
      </c>
      <c r="AF11" s="9">
        <f>IFERROR(VLOOKUP($A11,pivot!$A:$I,計算式2026!AF$1,FALSE),0)</f>
        <v>0</v>
      </c>
      <c r="AI11" s="9">
        <f>IFERROR(VLOOKUP($A11,pivot!$A:$I,計算式2026!AI$1,FALSE),0)</f>
        <v>0</v>
      </c>
      <c r="AJ11" s="9">
        <f>IFERROR(VLOOKUP($A11,pivot!$A:$I,計算式2026!AJ$1,FALSE),0)</f>
        <v>0</v>
      </c>
      <c r="AK11" s="9">
        <f>IFERROR(VLOOKUP($A11,pivot!$A:$I,計算式2026!AK$1,FALSE),0)</f>
        <v>0</v>
      </c>
      <c r="AL11" s="9">
        <f>IFERROR(VLOOKUP($A11,pivot!$A:$I,計算式2026!AL$1,FALSE),0)</f>
        <v>0</v>
      </c>
    </row>
    <row r="12" spans="1:59">
      <c r="A12" s="8" t="s">
        <v>17</v>
      </c>
      <c r="B12" s="8" t="s">
        <v>16</v>
      </c>
      <c r="C12" s="9">
        <v>1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AE12" s="9">
        <f>IFERROR(VLOOKUP($A12,pivot!$A:$G,計算式2026!AE$1,FALSE),0)</f>
        <v>0</v>
      </c>
      <c r="AF12" s="9">
        <f>IFERROR(VLOOKUP($A12,pivot!$A:$I,計算式2026!AF$1,FALSE),0)</f>
        <v>0</v>
      </c>
      <c r="AI12" s="9">
        <f>IFERROR(VLOOKUP($A12,pivot!$A:$I,計算式2026!AI$1,FALSE),0)</f>
        <v>0</v>
      </c>
      <c r="AJ12" s="9">
        <f>IFERROR(VLOOKUP($A12,pivot!$A:$I,計算式2026!AJ$1,FALSE),0)</f>
        <v>0</v>
      </c>
      <c r="AK12" s="9">
        <f>IFERROR(VLOOKUP($A12,pivot!$A:$I,計算式2026!AK$1,FALSE),0)</f>
        <v>0</v>
      </c>
      <c r="AL12" s="9">
        <f>IFERROR(VLOOKUP($A12,pivot!$A:$I,計算式2026!AL$1,FALSE),0)</f>
        <v>0</v>
      </c>
    </row>
    <row r="13" spans="1:59">
      <c r="A13" s="8" t="s">
        <v>18</v>
      </c>
      <c r="B13" s="8" t="s">
        <v>16</v>
      </c>
      <c r="C13" s="9">
        <v>1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AE13" s="9">
        <f>IFERROR(VLOOKUP($A13,pivot!$A:$G,計算式2026!AE$1,FALSE),0)</f>
        <v>0</v>
      </c>
      <c r="AF13" s="9">
        <f>IFERROR(VLOOKUP($A13,pivot!$A:$I,計算式2026!AF$1,FALSE),0)</f>
        <v>0</v>
      </c>
      <c r="AI13" s="9">
        <f>IFERROR(VLOOKUP($A13,pivot!$A:$I,計算式2026!AI$1,FALSE),0)</f>
        <v>0</v>
      </c>
      <c r="AJ13" s="9">
        <f>IFERROR(VLOOKUP($A13,pivot!$A:$I,計算式2026!AJ$1,FALSE),0)</f>
        <v>0</v>
      </c>
      <c r="AK13" s="9">
        <f>IFERROR(VLOOKUP($A13,pivot!$A:$I,計算式2026!AK$1,FALSE),0)</f>
        <v>0</v>
      </c>
      <c r="AL13" s="9">
        <f>IFERROR(VLOOKUP($A13,pivot!$A:$I,計算式2026!AL$1,FALSE),0)</f>
        <v>0</v>
      </c>
    </row>
    <row r="14" spans="1:59">
      <c r="A14" s="8" t="s">
        <v>19</v>
      </c>
      <c r="B14" s="8" t="s">
        <v>20</v>
      </c>
      <c r="C14" s="9">
        <v>36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R14" s="9">
        <v>0</v>
      </c>
      <c r="S14" s="9">
        <v>0</v>
      </c>
      <c r="T14" s="9">
        <v>1</v>
      </c>
      <c r="U14" s="9">
        <v>0</v>
      </c>
      <c r="V14" s="9">
        <v>0</v>
      </c>
      <c r="W14" s="9">
        <v>1</v>
      </c>
      <c r="X14" s="9">
        <v>4</v>
      </c>
      <c r="AE14" s="9">
        <f>IFERROR(VLOOKUP($A14,pivot!$A:$G,計算式2026!AE$1,FALSE),0)</f>
        <v>0</v>
      </c>
      <c r="AF14" s="9">
        <f>IFERROR(VLOOKUP($A14,pivot!$A:$I,計算式2026!AF$1,FALSE),0)</f>
        <v>0</v>
      </c>
      <c r="AI14" s="9">
        <f>IFERROR(VLOOKUP($A14,pivot!$A:$I,計算式2026!AI$1,FALSE),0)</f>
        <v>0</v>
      </c>
      <c r="AJ14" s="9">
        <f>IFERROR(VLOOKUP($A14,pivot!$A:$I,計算式2026!AJ$1,FALSE),0)</f>
        <v>0</v>
      </c>
      <c r="AK14" s="9">
        <f>IFERROR(VLOOKUP($A14,pivot!$A:$I,計算式2026!AK$1,FALSE),0)</f>
        <v>0</v>
      </c>
      <c r="AL14" s="9">
        <f>IFERROR(VLOOKUP($A14,pivot!$A:$I,計算式2026!AL$1,FALSE),0)</f>
        <v>0</v>
      </c>
    </row>
    <row r="15" spans="1:59">
      <c r="A15" s="8" t="s">
        <v>21</v>
      </c>
      <c r="B15" s="8" t="s">
        <v>20</v>
      </c>
      <c r="C15" s="9">
        <v>22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R15" s="9">
        <v>0</v>
      </c>
      <c r="S15" s="9">
        <v>0</v>
      </c>
      <c r="T15" s="9">
        <v>1</v>
      </c>
      <c r="U15" s="9">
        <v>0</v>
      </c>
      <c r="V15" s="9">
        <v>0</v>
      </c>
      <c r="W15" s="9">
        <v>1</v>
      </c>
      <c r="X15" s="9">
        <v>3</v>
      </c>
      <c r="AE15" s="9">
        <f>IFERROR(VLOOKUP($A15,pivot!$A:$G,計算式2026!AE$1,FALSE),0)</f>
        <v>0</v>
      </c>
      <c r="AF15" s="9">
        <f>IFERROR(VLOOKUP($A15,pivot!$A:$I,計算式2026!AF$1,FALSE),0)</f>
        <v>0</v>
      </c>
      <c r="AI15" s="9">
        <f>IFERROR(VLOOKUP($A15,pivot!$A:$I,計算式2026!AI$1,FALSE),0)</f>
        <v>0</v>
      </c>
      <c r="AJ15" s="9">
        <f>IFERROR(VLOOKUP($A15,pivot!$A:$I,計算式2026!AJ$1,FALSE),0)</f>
        <v>0</v>
      </c>
      <c r="AK15" s="9">
        <f>IFERROR(VLOOKUP($A15,pivot!$A:$I,計算式2026!AK$1,FALSE),0)</f>
        <v>0</v>
      </c>
      <c r="AL15" s="9">
        <f>IFERROR(VLOOKUP($A15,pivot!$A:$I,計算式2026!AL$1,FALSE),0)</f>
        <v>0</v>
      </c>
    </row>
    <row r="16" spans="1:59">
      <c r="A16" s="8" t="s">
        <v>22</v>
      </c>
      <c r="B16" s="8" t="s">
        <v>20</v>
      </c>
      <c r="C16" s="9">
        <v>9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0</v>
      </c>
      <c r="W16" s="9">
        <v>1</v>
      </c>
      <c r="X16" s="9">
        <v>3</v>
      </c>
      <c r="AE16" s="9">
        <f>IFERROR(VLOOKUP($A16,pivot!$A:$G,計算式2026!AE$1,FALSE),0)</f>
        <v>0</v>
      </c>
      <c r="AF16" s="9">
        <f>IFERROR(VLOOKUP($A16,pivot!$A:$I,計算式2026!AF$1,FALSE),0)</f>
        <v>0</v>
      </c>
      <c r="AI16" s="9">
        <f>IFERROR(VLOOKUP($A16,pivot!$A:$I,計算式2026!AI$1,FALSE),0)</f>
        <v>0</v>
      </c>
      <c r="AJ16" s="9">
        <f>IFERROR(VLOOKUP($A16,pivot!$A:$I,計算式2026!AJ$1,FALSE),0)</f>
        <v>0</v>
      </c>
      <c r="AK16" s="9">
        <f>IFERROR(VLOOKUP($A16,pivot!$A:$I,計算式2026!AK$1,FALSE),0)</f>
        <v>0</v>
      </c>
      <c r="AL16" s="9">
        <f>IFERROR(VLOOKUP($A16,pivot!$A:$I,計算式2026!AL$1,FALSE),0)</f>
        <v>0</v>
      </c>
    </row>
    <row r="17" spans="1:59" s="9" customFormat="1">
      <c r="A17" s="8" t="s">
        <v>23</v>
      </c>
      <c r="B17" s="8" t="s">
        <v>20</v>
      </c>
      <c r="C17" s="9">
        <v>4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3</v>
      </c>
      <c r="AE17" s="9">
        <f>IFERROR(VLOOKUP($A17,pivot!$A:$G,計算式2026!AE$1,FALSE),0)</f>
        <v>0</v>
      </c>
      <c r="AF17" s="9">
        <f>IFERROR(VLOOKUP($A17,pivot!$A:$I,計算式2026!AF$1,FALSE),0)</f>
        <v>0</v>
      </c>
      <c r="AI17" s="9">
        <f>IFERROR(VLOOKUP($A17,pivot!$A:$I,計算式2026!AI$1,FALSE),0)</f>
        <v>0</v>
      </c>
      <c r="AJ17" s="9">
        <f>IFERROR(VLOOKUP($A17,pivot!$A:$I,計算式2026!AJ$1,FALSE),0)</f>
        <v>0</v>
      </c>
      <c r="AK17" s="9">
        <f>IFERROR(VLOOKUP($A17,pivot!$A:$I,計算式2026!AK$1,FALSE),0)</f>
        <v>0</v>
      </c>
      <c r="AL17" s="9">
        <f>IFERROR(VLOOKUP($A17,pivot!$A:$I,計算式2026!AL$1,FALSE),0)</f>
        <v>0</v>
      </c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 spans="1:59" s="9" customFormat="1">
      <c r="A18" s="8" t="s">
        <v>24</v>
      </c>
      <c r="B18" s="8" t="s">
        <v>20</v>
      </c>
      <c r="C18" s="9">
        <v>21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1</v>
      </c>
      <c r="X18" s="9">
        <v>2</v>
      </c>
      <c r="AE18" s="9">
        <f>IFERROR(VLOOKUP($A18,pivot!$A:$G,計算式2026!AE$1,FALSE),0)</f>
        <v>0</v>
      </c>
      <c r="AF18" s="9">
        <f>IFERROR(VLOOKUP($A18,pivot!$A:$I,計算式2026!AF$1,FALSE),0)</f>
        <v>0</v>
      </c>
      <c r="AI18" s="9">
        <f>IFERROR(VLOOKUP($A18,pivot!$A:$I,計算式2026!AI$1,FALSE),0)</f>
        <v>0</v>
      </c>
      <c r="AJ18" s="9">
        <f>IFERROR(VLOOKUP($A18,pivot!$A:$I,計算式2026!AJ$1,FALSE),0)</f>
        <v>0</v>
      </c>
      <c r="AK18" s="9">
        <f>IFERROR(VLOOKUP($A18,pivot!$A:$I,計算式2026!AK$1,FALSE),0)</f>
        <v>0</v>
      </c>
      <c r="AL18" s="9">
        <f>IFERROR(VLOOKUP($A18,pivot!$A:$I,計算式2026!AL$1,FALSE),0)</f>
        <v>0</v>
      </c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s="9" customFormat="1">
      <c r="A19" s="8" t="s">
        <v>25</v>
      </c>
      <c r="B19" s="8" t="s">
        <v>20</v>
      </c>
      <c r="C19" s="9">
        <v>12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1</v>
      </c>
      <c r="X19" s="9">
        <v>4</v>
      </c>
      <c r="AE19" s="9">
        <f>IFERROR(VLOOKUP($A19,pivot!$A:$G,計算式2026!AE$1,FALSE),0)</f>
        <v>0</v>
      </c>
      <c r="AF19" s="9">
        <f>IFERROR(VLOOKUP($A19,pivot!$A:$I,計算式2026!AF$1,FALSE),0)</f>
        <v>0</v>
      </c>
      <c r="AI19" s="9">
        <f>IFERROR(VLOOKUP($A19,pivot!$A:$I,計算式2026!AI$1,FALSE),0)</f>
        <v>0</v>
      </c>
      <c r="AJ19" s="9">
        <f>IFERROR(VLOOKUP($A19,pivot!$A:$I,計算式2026!AJ$1,FALSE),0)</f>
        <v>0</v>
      </c>
      <c r="AK19" s="9">
        <f>IFERROR(VLOOKUP($A19,pivot!$A:$I,計算式2026!AK$1,FALSE),0)</f>
        <v>0</v>
      </c>
      <c r="AL19" s="9">
        <f>IFERROR(VLOOKUP($A19,pivot!$A:$I,計算式2026!AL$1,FALSE),0)</f>
        <v>0</v>
      </c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 spans="1:59" s="9" customFormat="1">
      <c r="A20" s="8" t="s">
        <v>26</v>
      </c>
      <c r="B20" s="8" t="s">
        <v>20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  <c r="W20" s="9">
        <v>0</v>
      </c>
      <c r="X20" s="9">
        <v>2</v>
      </c>
      <c r="AE20" s="9">
        <f>IFERROR(VLOOKUP($A20,pivot!$A:$G,計算式2026!AE$1,FALSE),0)</f>
        <v>0</v>
      </c>
      <c r="AF20" s="9">
        <f>IFERROR(VLOOKUP($A20,pivot!$A:$I,計算式2026!AF$1,FALSE),0)</f>
        <v>0</v>
      </c>
      <c r="AI20" s="9">
        <f>IFERROR(VLOOKUP($A20,pivot!$A:$I,計算式2026!AI$1,FALSE),0)</f>
        <v>0</v>
      </c>
      <c r="AJ20" s="9">
        <f>IFERROR(VLOOKUP($A20,pivot!$A:$I,計算式2026!AJ$1,FALSE),0)</f>
        <v>0</v>
      </c>
      <c r="AK20" s="9">
        <f>IFERROR(VLOOKUP($A20,pivot!$A:$I,計算式2026!AK$1,FALSE),0)</f>
        <v>0</v>
      </c>
      <c r="AL20" s="9">
        <f>IFERROR(VLOOKUP($A20,pivot!$A:$I,計算式2026!AL$1,FALSE),0)</f>
        <v>0</v>
      </c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 spans="1:59" s="9" customFormat="1">
      <c r="A21" s="8" t="s">
        <v>27</v>
      </c>
      <c r="B21" s="8" t="s">
        <v>20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9">
        <v>2</v>
      </c>
      <c r="AE21" s="9">
        <f>IFERROR(VLOOKUP($A21,pivot!$A:$G,計算式2026!AE$1,FALSE),0)</f>
        <v>0</v>
      </c>
      <c r="AF21" s="9">
        <f>IFERROR(VLOOKUP($A21,pivot!$A:$I,計算式2026!AF$1,FALSE),0)</f>
        <v>0</v>
      </c>
      <c r="AI21" s="9">
        <f>IFERROR(VLOOKUP($A21,pivot!$A:$I,計算式2026!AI$1,FALSE),0)</f>
        <v>0</v>
      </c>
      <c r="AJ21" s="9">
        <f>IFERROR(VLOOKUP($A21,pivot!$A:$I,計算式2026!AJ$1,FALSE),0)</f>
        <v>0</v>
      </c>
      <c r="AK21" s="9">
        <f>IFERROR(VLOOKUP($A21,pivot!$A:$I,計算式2026!AK$1,FALSE),0)</f>
        <v>0</v>
      </c>
      <c r="AL21" s="9">
        <f>IFERROR(VLOOKUP($A21,pivot!$A:$I,計算式2026!AL$1,FALSE),0)</f>
        <v>0</v>
      </c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 spans="1:59" s="9" customFormat="1">
      <c r="A22" s="8" t="s">
        <v>28</v>
      </c>
      <c r="B22" s="8" t="s">
        <v>29</v>
      </c>
      <c r="C22" s="9">
        <v>12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1</v>
      </c>
      <c r="X22" s="9">
        <v>6</v>
      </c>
      <c r="AE22" s="9">
        <f>IFERROR(VLOOKUP($A22,pivot!$A:$G,計算式2026!AE$1,FALSE),0)</f>
        <v>0</v>
      </c>
      <c r="AF22" s="9">
        <f>IFERROR(VLOOKUP($A22,pivot!$A:$I,計算式2026!AF$1,FALSE),0)</f>
        <v>0</v>
      </c>
      <c r="AI22" s="9">
        <f>IFERROR(VLOOKUP($A22,pivot!$A:$I,計算式2026!AI$1,FALSE),0)</f>
        <v>0</v>
      </c>
      <c r="AJ22" s="9">
        <f>IFERROR(VLOOKUP($A22,pivot!$A:$I,計算式2026!AJ$1,FALSE),0)</f>
        <v>0</v>
      </c>
      <c r="AK22" s="9">
        <f>IFERROR(VLOOKUP($A22,pivot!$A:$I,計算式2026!AK$1,FALSE),0)</f>
        <v>0</v>
      </c>
      <c r="AL22" s="9">
        <f>IFERROR(VLOOKUP($A22,pivot!$A:$I,計算式2026!AL$1,FALSE),0)</f>
        <v>0</v>
      </c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s="9" customFormat="1">
      <c r="A23" s="8" t="s">
        <v>30</v>
      </c>
      <c r="B23" s="8" t="s">
        <v>29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7</v>
      </c>
      <c r="AE23" s="9">
        <f>IFERROR(VLOOKUP($A23,pivot!$A:$G,計算式2026!AE$1,FALSE),0)</f>
        <v>0</v>
      </c>
      <c r="AF23" s="9">
        <f>IFERROR(VLOOKUP($A23,pivot!$A:$I,計算式2026!AF$1,FALSE),0)</f>
        <v>0</v>
      </c>
      <c r="AI23" s="9">
        <f>IFERROR(VLOOKUP($A23,pivot!$A:$I,計算式2026!AI$1,FALSE),0)</f>
        <v>0</v>
      </c>
      <c r="AJ23" s="9">
        <f>IFERROR(VLOOKUP($A23,pivot!$A:$I,計算式2026!AJ$1,FALSE),0)</f>
        <v>0</v>
      </c>
      <c r="AK23" s="9">
        <f>IFERROR(VLOOKUP($A23,pivot!$A:$I,計算式2026!AK$1,FALSE),0)</f>
        <v>0</v>
      </c>
      <c r="AL23" s="9">
        <f>IFERROR(VLOOKUP($A23,pivot!$A:$I,計算式2026!AL$1,FALSE),0)</f>
        <v>0</v>
      </c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 spans="1:59" s="9" customFormat="1">
      <c r="A24" s="8" t="s">
        <v>31</v>
      </c>
      <c r="B24" s="8" t="s">
        <v>29</v>
      </c>
      <c r="C24" s="9">
        <v>15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1</v>
      </c>
      <c r="X24" s="9">
        <v>7</v>
      </c>
      <c r="AE24" s="9">
        <f>IFERROR(VLOOKUP($A24,pivot!$A:$G,計算式2026!AE$1,FALSE),0)</f>
        <v>0</v>
      </c>
      <c r="AF24" s="9">
        <f>IFERROR(VLOOKUP($A24,pivot!$A:$I,計算式2026!AF$1,FALSE),0)</f>
        <v>0</v>
      </c>
      <c r="AI24" s="9">
        <f>IFERROR(VLOOKUP($A24,pivot!$A:$I,計算式2026!AI$1,FALSE),0)</f>
        <v>0</v>
      </c>
      <c r="AJ24" s="9">
        <f>IFERROR(VLOOKUP($A24,pivot!$A:$I,計算式2026!AJ$1,FALSE),0)</f>
        <v>0</v>
      </c>
      <c r="AK24" s="9">
        <f>IFERROR(VLOOKUP($A24,pivot!$A:$I,計算式2026!AK$1,FALSE),0)</f>
        <v>0</v>
      </c>
      <c r="AL24" s="9">
        <f>IFERROR(VLOOKUP($A24,pivot!$A:$I,計算式2026!AL$1,FALSE),0)</f>
        <v>0</v>
      </c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 spans="1:59" s="9" customFormat="1">
      <c r="A25" s="8" t="s">
        <v>32</v>
      </c>
      <c r="B25" s="8" t="s">
        <v>29</v>
      </c>
      <c r="C25" s="9">
        <v>12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1</v>
      </c>
      <c r="X25" s="9">
        <v>3</v>
      </c>
      <c r="AE25" s="9">
        <f>IFERROR(VLOOKUP($A25,pivot!$A:$G,計算式2026!AE$1,FALSE),0)</f>
        <v>0</v>
      </c>
      <c r="AF25" s="9">
        <f>IFERROR(VLOOKUP($A25,pivot!$A:$I,計算式2026!AF$1,FALSE),0)</f>
        <v>0</v>
      </c>
      <c r="AI25" s="9">
        <f>IFERROR(VLOOKUP($A25,pivot!$A:$I,計算式2026!AI$1,FALSE),0)</f>
        <v>0</v>
      </c>
      <c r="AJ25" s="9">
        <f>IFERROR(VLOOKUP($A25,pivot!$A:$I,計算式2026!AJ$1,FALSE),0)</f>
        <v>0</v>
      </c>
      <c r="AK25" s="9">
        <f>IFERROR(VLOOKUP($A25,pivot!$A:$I,計算式2026!AK$1,FALSE),0)</f>
        <v>0</v>
      </c>
      <c r="AL25" s="9">
        <f>IFERROR(VLOOKUP($A25,pivot!$A:$I,計算式2026!AL$1,FALSE),0)</f>
        <v>0</v>
      </c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</row>
    <row r="26" spans="1:59" s="9" customFormat="1">
      <c r="A26" s="8" t="s">
        <v>33</v>
      </c>
      <c r="B26" s="8" t="s">
        <v>29</v>
      </c>
      <c r="C26" s="9">
        <v>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1</v>
      </c>
      <c r="X26" s="9">
        <v>4</v>
      </c>
      <c r="AE26" s="9">
        <f>IFERROR(VLOOKUP($A26,pivot!$A:$G,計算式2026!AE$1,FALSE),0)</f>
        <v>0</v>
      </c>
      <c r="AF26" s="9">
        <f>IFERROR(VLOOKUP($A26,pivot!$A:$I,計算式2026!AF$1,FALSE),0)</f>
        <v>0</v>
      </c>
      <c r="AI26" s="9">
        <f>IFERROR(VLOOKUP($A26,pivot!$A:$I,計算式2026!AI$1,FALSE),0)</f>
        <v>0</v>
      </c>
      <c r="AJ26" s="9">
        <f>IFERROR(VLOOKUP($A26,pivot!$A:$I,計算式2026!AJ$1,FALSE),0)</f>
        <v>0</v>
      </c>
      <c r="AK26" s="9">
        <f>IFERROR(VLOOKUP($A26,pivot!$A:$I,計算式2026!AK$1,FALSE),0)</f>
        <v>0</v>
      </c>
      <c r="AL26" s="9">
        <f>IFERROR(VLOOKUP($A26,pivot!$A:$I,計算式2026!AL$1,FALSE),0)</f>
        <v>0</v>
      </c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</row>
    <row r="27" spans="1:59" s="9" customFormat="1">
      <c r="A27" s="8" t="s">
        <v>34</v>
      </c>
      <c r="B27" s="8" t="s">
        <v>35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2</v>
      </c>
      <c r="AE27" s="9">
        <f>IFERROR(VLOOKUP($A27,pivot!$A:$G,計算式2026!AE$1,FALSE),0)</f>
        <v>0</v>
      </c>
      <c r="AF27" s="9">
        <f>IFERROR(VLOOKUP($A27,pivot!$A:$I,計算式2026!AF$1,FALSE),0)</f>
        <v>0</v>
      </c>
      <c r="AI27" s="9">
        <f>IFERROR(VLOOKUP($A27,pivot!$A:$I,計算式2026!AI$1,FALSE),0)</f>
        <v>0</v>
      </c>
      <c r="AJ27" s="9">
        <f>IFERROR(VLOOKUP($A27,pivot!$A:$I,計算式2026!AJ$1,FALSE),0)</f>
        <v>0</v>
      </c>
      <c r="AK27" s="9">
        <f>IFERROR(VLOOKUP($A27,pivot!$A:$I,計算式2026!AK$1,FALSE),0)</f>
        <v>0</v>
      </c>
      <c r="AL27" s="9">
        <f>IFERROR(VLOOKUP($A27,pivot!$A:$I,計算式2026!AL$1,FALSE),0)</f>
        <v>0</v>
      </c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</row>
    <row r="28" spans="1:59" s="9" customFormat="1">
      <c r="A28" s="8" t="s">
        <v>36</v>
      </c>
      <c r="B28" s="8" t="s">
        <v>35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R28" s="9">
        <v>0</v>
      </c>
      <c r="S28" s="9">
        <v>0</v>
      </c>
      <c r="T28" s="9">
        <v>1</v>
      </c>
      <c r="U28" s="9">
        <v>0</v>
      </c>
      <c r="V28" s="9">
        <v>0</v>
      </c>
      <c r="W28" s="9">
        <v>1</v>
      </c>
      <c r="X28" s="9">
        <v>3</v>
      </c>
      <c r="AE28" s="9">
        <f>IFERROR(VLOOKUP($A28,pivot!$A:$G,計算式2026!AE$1,FALSE),0)</f>
        <v>0</v>
      </c>
      <c r="AF28" s="9">
        <f>IFERROR(VLOOKUP($A28,pivot!$A:$I,計算式2026!AF$1,FALSE),0)</f>
        <v>0</v>
      </c>
      <c r="AI28" s="9">
        <f>IFERROR(VLOOKUP($A28,pivot!$A:$I,計算式2026!AI$1,FALSE),0)</f>
        <v>0</v>
      </c>
      <c r="AJ28" s="9">
        <f>IFERROR(VLOOKUP($A28,pivot!$A:$I,計算式2026!AJ$1,FALSE),0)</f>
        <v>0</v>
      </c>
      <c r="AK28" s="9">
        <f>IFERROR(VLOOKUP($A28,pivot!$A:$I,計算式2026!AK$1,FALSE),0)</f>
        <v>0</v>
      </c>
      <c r="AL28" s="9">
        <f>IFERROR(VLOOKUP($A28,pivot!$A:$I,計算式2026!AL$1,FALSE),0)</f>
        <v>0</v>
      </c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</row>
    <row r="29" spans="1:59" s="9" customFormat="1">
      <c r="A29" s="8" t="s">
        <v>37</v>
      </c>
      <c r="B29" s="8" t="s">
        <v>35</v>
      </c>
      <c r="C29" s="9">
        <v>1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R29" s="9">
        <v>0</v>
      </c>
      <c r="S29" s="9">
        <v>0</v>
      </c>
      <c r="T29" s="9">
        <v>2</v>
      </c>
      <c r="U29" s="9">
        <v>0</v>
      </c>
      <c r="V29" s="9">
        <v>0</v>
      </c>
      <c r="W29" s="9">
        <v>1</v>
      </c>
      <c r="X29" s="9">
        <v>1</v>
      </c>
      <c r="AE29" s="9">
        <f>IFERROR(VLOOKUP($A29,pivot!$A:$G,計算式2026!AE$1,FALSE),0)</f>
        <v>0</v>
      </c>
      <c r="AF29" s="9">
        <f>IFERROR(VLOOKUP($A29,pivot!$A:$I,計算式2026!AF$1,FALSE),0)</f>
        <v>0</v>
      </c>
      <c r="AI29" s="9">
        <f>IFERROR(VLOOKUP($A29,pivot!$A:$I,計算式2026!AI$1,FALSE),0)</f>
        <v>0</v>
      </c>
      <c r="AJ29" s="9">
        <f>IFERROR(VLOOKUP($A29,pivot!$A:$I,計算式2026!AJ$1,FALSE),0)</f>
        <v>0</v>
      </c>
      <c r="AK29" s="9">
        <f>IFERROR(VLOOKUP($A29,pivot!$A:$I,計算式2026!AK$1,FALSE),0)</f>
        <v>0</v>
      </c>
      <c r="AL29" s="9">
        <f>IFERROR(VLOOKUP($A29,pivot!$A:$I,計算式2026!AL$1,FALSE),0)</f>
        <v>0</v>
      </c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</row>
    <row r="30" spans="1:59" s="9" customFormat="1">
      <c r="A30" s="8" t="s">
        <v>38</v>
      </c>
      <c r="B30" s="8" t="s">
        <v>35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1</v>
      </c>
      <c r="X30" s="9">
        <v>3</v>
      </c>
      <c r="AE30" s="9">
        <f>IFERROR(VLOOKUP($A30,pivot!$A:$G,計算式2026!AE$1,FALSE),0)</f>
        <v>0</v>
      </c>
      <c r="AF30" s="9">
        <f>IFERROR(VLOOKUP($A30,pivot!$A:$I,計算式2026!AF$1,FALSE),0)</f>
        <v>0</v>
      </c>
      <c r="AI30" s="9">
        <f>IFERROR(VLOOKUP($A30,pivot!$A:$I,計算式2026!AI$1,FALSE),0)</f>
        <v>0</v>
      </c>
      <c r="AJ30" s="9">
        <f>IFERROR(VLOOKUP($A30,pivot!$A:$I,計算式2026!AJ$1,FALSE),0)</f>
        <v>0</v>
      </c>
      <c r="AK30" s="9">
        <f>IFERROR(VLOOKUP($A30,pivot!$A:$I,計算式2026!AK$1,FALSE),0)</f>
        <v>0</v>
      </c>
      <c r="AL30" s="9">
        <f>IFERROR(VLOOKUP($A30,pivot!$A:$I,計算式2026!AL$1,FALSE),0)</f>
        <v>0</v>
      </c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</row>
    <row r="31" spans="1:59" s="9" customFormat="1">
      <c r="A31" s="8" t="s">
        <v>39</v>
      </c>
      <c r="B31" s="8" t="s">
        <v>35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</v>
      </c>
      <c r="AE31" s="9">
        <f>IFERROR(VLOOKUP($A31,pivot!$A:$G,計算式2026!AE$1,FALSE),0)</f>
        <v>0</v>
      </c>
      <c r="AF31" s="9">
        <f>IFERROR(VLOOKUP($A31,pivot!$A:$I,計算式2026!AF$1,FALSE),0)</f>
        <v>0</v>
      </c>
      <c r="AI31" s="9">
        <f>IFERROR(VLOOKUP($A31,pivot!$A:$I,計算式2026!AI$1,FALSE),0)</f>
        <v>0</v>
      </c>
      <c r="AJ31" s="9">
        <f>IFERROR(VLOOKUP($A31,pivot!$A:$I,計算式2026!AJ$1,FALSE),0)</f>
        <v>0</v>
      </c>
      <c r="AK31" s="9">
        <f>IFERROR(VLOOKUP($A31,pivot!$A:$I,計算式2026!AK$1,FALSE),0)</f>
        <v>0</v>
      </c>
      <c r="AL31" s="9">
        <f>IFERROR(VLOOKUP($A31,pivot!$A:$I,計算式2026!AL$1,FALSE),0)</f>
        <v>0</v>
      </c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</row>
    <row r="32" spans="1:59" s="9" customFormat="1">
      <c r="A32" s="8" t="s">
        <v>40</v>
      </c>
      <c r="B32" s="8" t="s">
        <v>41</v>
      </c>
      <c r="C32" s="9">
        <v>5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R32" s="9">
        <v>0</v>
      </c>
      <c r="S32" s="9">
        <v>0</v>
      </c>
      <c r="T32" s="9">
        <v>1</v>
      </c>
      <c r="U32" s="9">
        <v>0</v>
      </c>
      <c r="V32" s="9">
        <v>0</v>
      </c>
      <c r="W32" s="9">
        <v>1</v>
      </c>
      <c r="X32" s="9">
        <v>4</v>
      </c>
      <c r="AE32" s="9">
        <f>IFERROR(VLOOKUP($A32,pivot!$A:$G,計算式2026!AE$1,FALSE),0)</f>
        <v>0</v>
      </c>
      <c r="AF32" s="9">
        <f>IFERROR(VLOOKUP($A32,pivot!$A:$I,計算式2026!AF$1,FALSE),0)</f>
        <v>0</v>
      </c>
      <c r="AI32" s="9">
        <f>IFERROR(VLOOKUP($A32,pivot!$A:$I,計算式2026!AI$1,FALSE),0)</f>
        <v>0</v>
      </c>
      <c r="AJ32" s="9">
        <f>IFERROR(VLOOKUP($A32,pivot!$A:$I,計算式2026!AJ$1,FALSE),0)</f>
        <v>0</v>
      </c>
      <c r="AK32" s="9">
        <f>IFERROR(VLOOKUP($A32,pivot!$A:$I,計算式2026!AK$1,FALSE),0)</f>
        <v>0</v>
      </c>
      <c r="AL32" s="9">
        <f>IFERROR(VLOOKUP($A32,pivot!$A:$I,計算式2026!AL$1,FALSE),0)</f>
        <v>0</v>
      </c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</row>
    <row r="33" spans="1:59" s="9" customFormat="1">
      <c r="A33" s="8" t="s">
        <v>42</v>
      </c>
      <c r="B33" s="8" t="s">
        <v>41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</v>
      </c>
      <c r="AE33" s="9">
        <f>IFERROR(VLOOKUP($A33,pivot!$A:$G,計算式2026!AE$1,FALSE),0)</f>
        <v>0</v>
      </c>
      <c r="AF33" s="9">
        <f>IFERROR(VLOOKUP($A33,pivot!$A:$I,計算式2026!AF$1,FALSE),0)</f>
        <v>0</v>
      </c>
      <c r="AI33" s="9">
        <f>IFERROR(VLOOKUP($A33,pivot!$A:$I,計算式2026!AI$1,FALSE),0)</f>
        <v>0</v>
      </c>
      <c r="AJ33" s="9">
        <f>IFERROR(VLOOKUP($A33,pivot!$A:$I,計算式2026!AJ$1,FALSE),0)</f>
        <v>0</v>
      </c>
      <c r="AK33" s="9">
        <f>IFERROR(VLOOKUP($A33,pivot!$A:$I,計算式2026!AK$1,FALSE),0)</f>
        <v>0</v>
      </c>
      <c r="AL33" s="9">
        <f>IFERROR(VLOOKUP($A33,pivot!$A:$I,計算式2026!AL$1,FALSE),0)</f>
        <v>0</v>
      </c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</row>
    <row r="34" spans="1:59" s="9" customFormat="1">
      <c r="A34" s="8" t="s">
        <v>43</v>
      </c>
      <c r="B34" s="8" t="s">
        <v>41</v>
      </c>
      <c r="C34" s="9">
        <v>3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0</v>
      </c>
      <c r="W34" s="9">
        <v>1</v>
      </c>
      <c r="X34" s="9">
        <v>4</v>
      </c>
      <c r="AE34" s="9">
        <f>IFERROR(VLOOKUP($A34,pivot!$A:$G,計算式2026!AE$1,FALSE),0)</f>
        <v>0</v>
      </c>
      <c r="AF34" s="9">
        <f>IFERROR(VLOOKUP($A34,pivot!$A:$I,計算式2026!AF$1,FALSE),0)</f>
        <v>0</v>
      </c>
      <c r="AI34" s="9">
        <f>IFERROR(VLOOKUP($A34,pivot!$A:$I,計算式2026!AI$1,FALSE),0)</f>
        <v>0</v>
      </c>
      <c r="AJ34" s="9">
        <f>IFERROR(VLOOKUP($A34,pivot!$A:$I,計算式2026!AJ$1,FALSE),0)</f>
        <v>0</v>
      </c>
      <c r="AK34" s="9">
        <f>IFERROR(VLOOKUP($A34,pivot!$A:$I,計算式2026!AK$1,FALSE),0)</f>
        <v>0</v>
      </c>
      <c r="AL34" s="9">
        <f>IFERROR(VLOOKUP($A34,pivot!$A:$I,計算式2026!AL$1,FALSE),0)</f>
        <v>0</v>
      </c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</row>
    <row r="35" spans="1:59" s="9" customFormat="1">
      <c r="A35" s="8" t="s">
        <v>44</v>
      </c>
      <c r="B35" s="8" t="s">
        <v>41</v>
      </c>
      <c r="C35" s="9">
        <v>40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1</v>
      </c>
      <c r="X35" s="9">
        <v>7</v>
      </c>
      <c r="AE35" s="9">
        <f>IFERROR(VLOOKUP($A35,pivot!$A:$G,計算式2026!AE$1,FALSE),0)</f>
        <v>0</v>
      </c>
      <c r="AF35" s="9">
        <f>IFERROR(VLOOKUP($A35,pivot!$A:$I,計算式2026!AF$1,FALSE),0)</f>
        <v>0</v>
      </c>
      <c r="AI35" s="9">
        <f>IFERROR(VLOOKUP($A35,pivot!$A:$I,計算式2026!AI$1,FALSE),0)</f>
        <v>0</v>
      </c>
      <c r="AJ35" s="9">
        <f>IFERROR(VLOOKUP($A35,pivot!$A:$I,計算式2026!AJ$1,FALSE),0)</f>
        <v>0</v>
      </c>
      <c r="AK35" s="9">
        <f>IFERROR(VLOOKUP($A35,pivot!$A:$I,計算式2026!AK$1,FALSE),0)</f>
        <v>0</v>
      </c>
      <c r="AL35" s="9">
        <f>IFERROR(VLOOKUP($A35,pivot!$A:$I,計算式2026!AL$1,FALSE),0)</f>
        <v>0</v>
      </c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</row>
    <row r="36" spans="1:59" s="9" customFormat="1">
      <c r="A36" s="8" t="s">
        <v>45</v>
      </c>
      <c r="B36" s="8" t="s">
        <v>41</v>
      </c>
      <c r="C36" s="9">
        <v>7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R36" s="9">
        <v>0</v>
      </c>
      <c r="S36" s="9">
        <v>0</v>
      </c>
      <c r="T36" s="9">
        <v>1</v>
      </c>
      <c r="U36" s="9">
        <v>0</v>
      </c>
      <c r="V36" s="9">
        <v>0</v>
      </c>
      <c r="W36" s="9">
        <v>1</v>
      </c>
      <c r="X36" s="9">
        <v>4</v>
      </c>
      <c r="AE36" s="9">
        <f>IFERROR(VLOOKUP($A36,pivot!$A:$G,計算式2026!AE$1,FALSE),0)</f>
        <v>0</v>
      </c>
      <c r="AF36" s="9">
        <f>IFERROR(VLOOKUP($A36,pivot!$A:$I,計算式2026!AF$1,FALSE),0)</f>
        <v>0</v>
      </c>
      <c r="AI36" s="9">
        <f>IFERROR(VLOOKUP($A36,pivot!$A:$I,計算式2026!AI$1,FALSE),0)</f>
        <v>0</v>
      </c>
      <c r="AJ36" s="9">
        <f>IFERROR(VLOOKUP($A36,pivot!$A:$I,計算式2026!AJ$1,FALSE),0)</f>
        <v>0</v>
      </c>
      <c r="AK36" s="9">
        <f>IFERROR(VLOOKUP($A36,pivot!$A:$I,計算式2026!AK$1,FALSE),0)</f>
        <v>0</v>
      </c>
      <c r="AL36" s="9">
        <f>IFERROR(VLOOKUP($A36,pivot!$A:$I,計算式2026!AL$1,FALSE),0)</f>
        <v>0</v>
      </c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  <row r="37" spans="1:59" s="9" customFormat="1">
      <c r="A37" s="8" t="s">
        <v>46</v>
      </c>
      <c r="B37" s="8" t="s">
        <v>41</v>
      </c>
      <c r="C37" s="9">
        <v>40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R37" s="9">
        <v>0</v>
      </c>
      <c r="S37" s="9">
        <v>0</v>
      </c>
      <c r="T37" s="9">
        <v>1</v>
      </c>
      <c r="U37" s="9">
        <v>0</v>
      </c>
      <c r="V37" s="9">
        <v>0</v>
      </c>
      <c r="W37" s="9">
        <v>1</v>
      </c>
      <c r="X37" s="9">
        <v>5</v>
      </c>
      <c r="AE37" s="9">
        <f>IFERROR(VLOOKUP($A37,pivot!$A:$G,計算式2026!AE$1,FALSE),0)</f>
        <v>0</v>
      </c>
      <c r="AF37" s="9">
        <f>IFERROR(VLOOKUP($A37,pivot!$A:$I,計算式2026!AF$1,FALSE),0)</f>
        <v>0</v>
      </c>
      <c r="AI37" s="9">
        <f>IFERROR(VLOOKUP($A37,pivot!$A:$I,計算式2026!AI$1,FALSE),0)</f>
        <v>0</v>
      </c>
      <c r="AJ37" s="9">
        <f>IFERROR(VLOOKUP($A37,pivot!$A:$I,計算式2026!AJ$1,FALSE),0)</f>
        <v>0</v>
      </c>
      <c r="AK37" s="9">
        <f>IFERROR(VLOOKUP($A37,pivot!$A:$I,計算式2026!AK$1,FALSE),0)</f>
        <v>0</v>
      </c>
      <c r="AL37" s="9">
        <f>IFERROR(VLOOKUP($A37,pivot!$A:$I,計算式2026!AL$1,FALSE),0)</f>
        <v>0</v>
      </c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 spans="1:59" s="9" customFormat="1">
      <c r="A38" s="8" t="s">
        <v>47</v>
      </c>
      <c r="B38" s="8" t="s">
        <v>41</v>
      </c>
      <c r="C38" s="9">
        <v>52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R38" s="9">
        <v>0</v>
      </c>
      <c r="S38" s="9">
        <v>0</v>
      </c>
      <c r="T38" s="9">
        <v>1</v>
      </c>
      <c r="U38" s="9">
        <v>0</v>
      </c>
      <c r="V38" s="9">
        <v>0</v>
      </c>
      <c r="W38" s="9">
        <v>2</v>
      </c>
      <c r="X38" s="9">
        <v>9</v>
      </c>
      <c r="AE38" s="9">
        <f>IFERROR(VLOOKUP($A38,pivot!$A:$G,計算式2026!AE$1,FALSE),0)</f>
        <v>0</v>
      </c>
      <c r="AF38" s="9">
        <f>IFERROR(VLOOKUP($A38,pivot!$A:$I,計算式2026!AF$1,FALSE),0)</f>
        <v>0</v>
      </c>
      <c r="AI38" s="9">
        <f>IFERROR(VLOOKUP($A38,pivot!$A:$I,計算式2026!AI$1,FALSE),0)</f>
        <v>0</v>
      </c>
      <c r="AJ38" s="9">
        <f>IFERROR(VLOOKUP($A38,pivot!$A:$I,計算式2026!AJ$1,FALSE),0)</f>
        <v>0</v>
      </c>
      <c r="AK38" s="9">
        <f>IFERROR(VLOOKUP($A38,pivot!$A:$I,計算式2026!AK$1,FALSE),0)</f>
        <v>0</v>
      </c>
      <c r="AL38" s="9">
        <f>IFERROR(VLOOKUP($A38,pivot!$A:$I,計算式2026!AL$1,FALSE),0)</f>
        <v>0</v>
      </c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 spans="1:59" s="9" customFormat="1">
      <c r="A39" s="8" t="s">
        <v>48</v>
      </c>
      <c r="B39" s="8" t="s">
        <v>41</v>
      </c>
      <c r="C39" s="9">
        <v>11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R39" s="9">
        <v>0</v>
      </c>
      <c r="S39" s="9">
        <v>0</v>
      </c>
      <c r="T39" s="9">
        <v>1</v>
      </c>
      <c r="U39" s="9">
        <v>0</v>
      </c>
      <c r="V39" s="9">
        <v>0</v>
      </c>
      <c r="W39" s="9">
        <v>1</v>
      </c>
      <c r="X39" s="9">
        <v>3</v>
      </c>
      <c r="AE39" s="9">
        <f>IFERROR(VLOOKUP($A39,pivot!$A:$G,計算式2026!AE$1,FALSE),0)</f>
        <v>0</v>
      </c>
      <c r="AF39" s="9">
        <f>IFERROR(VLOOKUP($A39,pivot!$A:$I,計算式2026!AF$1,FALSE),0)</f>
        <v>0</v>
      </c>
      <c r="AI39" s="9">
        <f>IFERROR(VLOOKUP($A39,pivot!$A:$I,計算式2026!AI$1,FALSE),0)</f>
        <v>0</v>
      </c>
      <c r="AJ39" s="9">
        <f>IFERROR(VLOOKUP($A39,pivot!$A:$I,計算式2026!AJ$1,FALSE),0)</f>
        <v>0</v>
      </c>
      <c r="AK39" s="9">
        <f>IFERROR(VLOOKUP($A39,pivot!$A:$I,計算式2026!AK$1,FALSE),0)</f>
        <v>0</v>
      </c>
      <c r="AL39" s="9">
        <f>IFERROR(VLOOKUP($A39,pivot!$A:$I,計算式2026!AL$1,FALSE),0)</f>
        <v>0</v>
      </c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 spans="1:59" s="9" customFormat="1">
      <c r="A40" s="8" t="s">
        <v>49</v>
      </c>
      <c r="B40" s="8" t="s">
        <v>41</v>
      </c>
      <c r="C40" s="9">
        <v>31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R40" s="9">
        <v>0</v>
      </c>
      <c r="S40" s="9">
        <v>0</v>
      </c>
      <c r="T40" s="9">
        <v>1</v>
      </c>
      <c r="U40" s="9">
        <v>0</v>
      </c>
      <c r="V40" s="9">
        <v>0</v>
      </c>
      <c r="W40" s="9">
        <v>1</v>
      </c>
      <c r="X40" s="9">
        <v>6</v>
      </c>
      <c r="AE40" s="9">
        <f>IFERROR(VLOOKUP($A40,pivot!$A:$G,計算式2026!AE$1,FALSE),0)</f>
        <v>0</v>
      </c>
      <c r="AF40" s="9">
        <f>IFERROR(VLOOKUP($A40,pivot!$A:$I,計算式2026!AF$1,FALSE),0)</f>
        <v>0</v>
      </c>
      <c r="AI40" s="9">
        <f>IFERROR(VLOOKUP($A40,pivot!$A:$I,計算式2026!AI$1,FALSE),0)</f>
        <v>0</v>
      </c>
      <c r="AJ40" s="9">
        <f>IFERROR(VLOOKUP($A40,pivot!$A:$I,計算式2026!AJ$1,FALSE),0)</f>
        <v>0</v>
      </c>
      <c r="AK40" s="9">
        <f>IFERROR(VLOOKUP($A40,pivot!$A:$I,計算式2026!AK$1,FALSE),0)</f>
        <v>0</v>
      </c>
      <c r="AL40" s="9">
        <f>IFERROR(VLOOKUP($A40,pivot!$A:$I,計算式2026!AL$1,FALSE),0)</f>
        <v>0</v>
      </c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</row>
    <row r="41" spans="1:59" s="9" customFormat="1">
      <c r="A41" s="8" t="s">
        <v>50</v>
      </c>
      <c r="B41" s="8" t="s">
        <v>41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R41" s="9">
        <v>0</v>
      </c>
      <c r="S41" s="9">
        <v>0</v>
      </c>
      <c r="T41" s="9">
        <v>1</v>
      </c>
      <c r="U41" s="9">
        <v>0</v>
      </c>
      <c r="V41" s="9">
        <v>0</v>
      </c>
      <c r="W41" s="9">
        <v>0</v>
      </c>
      <c r="X41" s="9">
        <v>2</v>
      </c>
      <c r="AE41" s="9">
        <f>IFERROR(VLOOKUP($A41,pivot!$A:$G,計算式2026!AE$1,FALSE),0)</f>
        <v>0</v>
      </c>
      <c r="AF41" s="9">
        <f>IFERROR(VLOOKUP($A41,pivot!$A:$I,計算式2026!AF$1,FALSE),0)</f>
        <v>0</v>
      </c>
      <c r="AI41" s="9">
        <f>IFERROR(VLOOKUP($A41,pivot!$A:$I,計算式2026!AI$1,FALSE),0)</f>
        <v>0</v>
      </c>
      <c r="AJ41" s="9">
        <f>IFERROR(VLOOKUP($A41,pivot!$A:$I,計算式2026!AJ$1,FALSE),0)</f>
        <v>0</v>
      </c>
      <c r="AK41" s="9">
        <f>IFERROR(VLOOKUP($A41,pivot!$A:$I,計算式2026!AK$1,FALSE),0)</f>
        <v>0</v>
      </c>
      <c r="AL41" s="9">
        <f>IFERROR(VLOOKUP($A41,pivot!$A:$I,計算式2026!AL$1,FALSE),0)</f>
        <v>0</v>
      </c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</row>
    <row r="42" spans="1:59" s="9" customFormat="1">
      <c r="A42" s="8" t="s">
        <v>51</v>
      </c>
      <c r="B42" s="8" t="s">
        <v>41</v>
      </c>
      <c r="C42" s="9">
        <v>14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R42" s="9">
        <v>0</v>
      </c>
      <c r="S42" s="9">
        <v>0</v>
      </c>
      <c r="T42" s="9">
        <v>1</v>
      </c>
      <c r="U42" s="9">
        <v>0</v>
      </c>
      <c r="V42" s="9">
        <v>0</v>
      </c>
      <c r="W42" s="9">
        <v>1</v>
      </c>
      <c r="X42" s="9">
        <v>5</v>
      </c>
      <c r="AE42" s="9">
        <f>IFERROR(VLOOKUP($A42,pivot!$A:$G,計算式2026!AE$1,FALSE),0)</f>
        <v>0</v>
      </c>
      <c r="AF42" s="9">
        <f>IFERROR(VLOOKUP($A42,pivot!$A:$I,計算式2026!AF$1,FALSE),0)</f>
        <v>0</v>
      </c>
      <c r="AI42" s="9">
        <f>IFERROR(VLOOKUP($A42,pivot!$A:$I,計算式2026!AI$1,FALSE),0)</f>
        <v>0</v>
      </c>
      <c r="AJ42" s="9">
        <f>IFERROR(VLOOKUP($A42,pivot!$A:$I,計算式2026!AJ$1,FALSE),0)</f>
        <v>0</v>
      </c>
      <c r="AK42" s="9">
        <f>IFERROR(VLOOKUP($A42,pivot!$A:$I,計算式2026!AK$1,FALSE),0)</f>
        <v>0</v>
      </c>
      <c r="AL42" s="9">
        <f>IFERROR(VLOOKUP($A42,pivot!$A:$I,計算式2026!AL$1,FALSE),0)</f>
        <v>0</v>
      </c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</row>
    <row r="43" spans="1:59" s="9" customFormat="1">
      <c r="A43" s="8" t="s">
        <v>52</v>
      </c>
      <c r="B43" s="8" t="s">
        <v>53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1</v>
      </c>
      <c r="X43" s="9">
        <v>0</v>
      </c>
      <c r="AE43" s="9">
        <f>IFERROR(VLOOKUP($A43,pivot!$A:$G,計算式2026!AE$1,FALSE),0)</f>
        <v>0</v>
      </c>
      <c r="AF43" s="9">
        <f>IFERROR(VLOOKUP($A43,pivot!$A:$I,計算式2026!AF$1,FALSE),0)</f>
        <v>0</v>
      </c>
      <c r="AI43" s="9">
        <f>IFERROR(VLOOKUP($A43,pivot!$A:$I,計算式2026!AI$1,FALSE),0)</f>
        <v>0</v>
      </c>
      <c r="AJ43" s="9">
        <f>IFERROR(VLOOKUP($A43,pivot!$A:$I,計算式2026!AJ$1,FALSE),0)</f>
        <v>0</v>
      </c>
      <c r="AK43" s="9">
        <f>IFERROR(VLOOKUP($A43,pivot!$A:$I,計算式2026!AK$1,FALSE),0)</f>
        <v>0</v>
      </c>
      <c r="AL43" s="9">
        <f>IFERROR(VLOOKUP($A43,pivot!$A:$I,計算式2026!AL$1,FALSE),0)</f>
        <v>0</v>
      </c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</row>
    <row r="44" spans="1:59" s="9" customFormat="1">
      <c r="A44" s="8" t="s">
        <v>54</v>
      </c>
      <c r="B44" s="8" t="s">
        <v>53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AE44" s="9">
        <f>IFERROR(VLOOKUP($A44,pivot!$A:$G,計算式2026!AE$1,FALSE),0)</f>
        <v>0</v>
      </c>
      <c r="AF44" s="9">
        <f>IFERROR(VLOOKUP($A44,pivot!$A:$I,計算式2026!AF$1,FALSE),0)</f>
        <v>0</v>
      </c>
      <c r="AI44" s="9">
        <f>IFERROR(VLOOKUP($A44,pivot!$A:$I,計算式2026!AI$1,FALSE),0)</f>
        <v>0</v>
      </c>
      <c r="AJ44" s="9">
        <f>IFERROR(VLOOKUP($A44,pivot!$A:$I,計算式2026!AJ$1,FALSE),0)</f>
        <v>0</v>
      </c>
      <c r="AK44" s="9">
        <f>IFERROR(VLOOKUP($A44,pivot!$A:$I,計算式2026!AK$1,FALSE),0)</f>
        <v>0</v>
      </c>
      <c r="AL44" s="9">
        <f>IFERROR(VLOOKUP($A44,pivot!$A:$I,計算式2026!AL$1,FALSE),0)</f>
        <v>0</v>
      </c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</row>
    <row r="45" spans="1:59" s="9" customFormat="1">
      <c r="A45" s="8" t="s">
        <v>55</v>
      </c>
      <c r="B45" s="8" t="s">
        <v>53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R45" s="9">
        <v>0</v>
      </c>
      <c r="S45" s="9">
        <v>0</v>
      </c>
      <c r="T45" s="9">
        <v>1</v>
      </c>
      <c r="U45" s="9">
        <v>0</v>
      </c>
      <c r="V45" s="9">
        <v>0</v>
      </c>
      <c r="W45" s="9">
        <v>1</v>
      </c>
      <c r="X45" s="9">
        <v>3</v>
      </c>
      <c r="AE45" s="9">
        <f>IFERROR(VLOOKUP($A45,pivot!$A:$G,計算式2026!AE$1,FALSE),0)</f>
        <v>0</v>
      </c>
      <c r="AF45" s="9">
        <f>IFERROR(VLOOKUP($A45,pivot!$A:$I,計算式2026!AF$1,FALSE),0)</f>
        <v>0</v>
      </c>
      <c r="AI45" s="9">
        <f>IFERROR(VLOOKUP($A45,pivot!$A:$I,計算式2026!AI$1,FALSE),0)</f>
        <v>0</v>
      </c>
      <c r="AJ45" s="9">
        <f>IFERROR(VLOOKUP($A45,pivot!$A:$I,計算式2026!AJ$1,FALSE),0)</f>
        <v>0</v>
      </c>
      <c r="AK45" s="9">
        <f>IFERROR(VLOOKUP($A45,pivot!$A:$I,計算式2026!AK$1,FALSE),0)</f>
        <v>0</v>
      </c>
      <c r="AL45" s="9">
        <f>IFERROR(VLOOKUP($A45,pivot!$A:$I,計算式2026!AL$1,FALSE),0)</f>
        <v>0</v>
      </c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</row>
    <row r="46" spans="1:59" s="9" customFormat="1">
      <c r="A46" s="8" t="s">
        <v>56</v>
      </c>
      <c r="B46" s="8" t="s">
        <v>53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AE46" s="9">
        <f>IFERROR(VLOOKUP($A46,pivot!$A:$G,計算式2026!AE$1,FALSE),0)</f>
        <v>0</v>
      </c>
      <c r="AF46" s="9">
        <f>IFERROR(VLOOKUP($A46,pivot!$A:$I,計算式2026!AF$1,FALSE),0)</f>
        <v>0</v>
      </c>
      <c r="AI46" s="9">
        <f>IFERROR(VLOOKUP($A46,pivot!$A:$I,計算式2026!AI$1,FALSE),0)</f>
        <v>0</v>
      </c>
      <c r="AJ46" s="9">
        <f>IFERROR(VLOOKUP($A46,pivot!$A:$I,計算式2026!AJ$1,FALSE),0)</f>
        <v>0</v>
      </c>
      <c r="AK46" s="9">
        <f>IFERROR(VLOOKUP($A46,pivot!$A:$I,計算式2026!AK$1,FALSE),0)</f>
        <v>0</v>
      </c>
      <c r="AL46" s="9">
        <f>IFERROR(VLOOKUP($A46,pivot!$A:$I,計算式2026!AL$1,FALSE),0)</f>
        <v>0</v>
      </c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</row>
    <row r="47" spans="1:59" s="9" customFormat="1">
      <c r="A47" s="8" t="s">
        <v>57</v>
      </c>
      <c r="B47" s="8" t="s">
        <v>53</v>
      </c>
      <c r="C47" s="9">
        <v>1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R47" s="9">
        <v>0</v>
      </c>
      <c r="S47" s="9">
        <v>0</v>
      </c>
      <c r="T47" s="9">
        <v>1</v>
      </c>
      <c r="U47" s="9">
        <v>0</v>
      </c>
      <c r="V47" s="9">
        <v>0</v>
      </c>
      <c r="W47" s="9">
        <v>1</v>
      </c>
      <c r="X47" s="9">
        <v>3</v>
      </c>
      <c r="AE47" s="9">
        <f>IFERROR(VLOOKUP($A47,pivot!$A:$G,計算式2026!AE$1,FALSE),0)</f>
        <v>0</v>
      </c>
      <c r="AF47" s="9">
        <f>IFERROR(VLOOKUP($A47,pivot!$A:$I,計算式2026!AF$1,FALSE),0)</f>
        <v>0</v>
      </c>
      <c r="AI47" s="9">
        <f>IFERROR(VLOOKUP($A47,pivot!$A:$I,計算式2026!AI$1,FALSE),0)</f>
        <v>0</v>
      </c>
      <c r="AJ47" s="9">
        <f>IFERROR(VLOOKUP($A47,pivot!$A:$I,計算式2026!AJ$1,FALSE),0)</f>
        <v>0</v>
      </c>
      <c r="AK47" s="9">
        <f>IFERROR(VLOOKUP($A47,pivot!$A:$I,計算式2026!AK$1,FALSE),0)</f>
        <v>0</v>
      </c>
      <c r="AL47" s="9">
        <f>IFERROR(VLOOKUP($A47,pivot!$A:$I,計算式2026!AL$1,FALSE),0)</f>
        <v>0</v>
      </c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</row>
    <row r="48" spans="1:59" s="9" customFormat="1">
      <c r="A48" s="8" t="s">
        <v>1536</v>
      </c>
      <c r="B48" s="8" t="s">
        <v>1861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R48" s="9">
        <v>0</v>
      </c>
      <c r="S48" s="9">
        <v>3</v>
      </c>
      <c r="T48" s="9">
        <v>2</v>
      </c>
      <c r="U48" s="9">
        <v>1</v>
      </c>
      <c r="V48" s="9">
        <v>1</v>
      </c>
      <c r="W48" s="9">
        <v>1</v>
      </c>
      <c r="X48" s="9">
        <v>1</v>
      </c>
      <c r="AE48" s="9">
        <f>IFERROR(VLOOKUP($A48,pivot!$A:$G,計算式2026!AE$1,FALSE),0)</f>
        <v>0</v>
      </c>
      <c r="AF48" s="9">
        <f>IFERROR(VLOOKUP($A48,pivot!$A:$I,計算式2026!AF$1,FALSE),0)</f>
        <v>0</v>
      </c>
      <c r="AI48" s="9">
        <f>IFERROR(VLOOKUP($A48,pivot!$A:$I,計算式2026!AI$1,FALSE),0)</f>
        <v>0</v>
      </c>
      <c r="AJ48" s="9">
        <f>IFERROR(VLOOKUP($A48,pivot!$A:$I,計算式2026!AJ$1,FALSE),0)</f>
        <v>0</v>
      </c>
      <c r="AK48" s="9">
        <f>IFERROR(VLOOKUP($A48,pivot!$A:$I,計算式2026!AK$1,FALSE),0)</f>
        <v>0</v>
      </c>
      <c r="AL48" s="9">
        <f>IFERROR(VLOOKUP($A48,pivot!$A:$I,計算式2026!AL$1,FALSE),0)</f>
        <v>0</v>
      </c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</row>
    <row r="49" spans="1:59" s="9" customFormat="1">
      <c r="A49" s="8" t="s">
        <v>1537</v>
      </c>
      <c r="B49" s="8" t="s">
        <v>1861</v>
      </c>
      <c r="C49" s="9">
        <v>8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1</v>
      </c>
      <c r="X49" s="9">
        <v>1</v>
      </c>
      <c r="AE49" s="9">
        <f>IFERROR(VLOOKUP($A49,pivot!$A:$G,計算式2026!AE$1,FALSE),0)</f>
        <v>0</v>
      </c>
      <c r="AF49" s="9">
        <f>IFERROR(VLOOKUP($A49,pivot!$A:$I,計算式2026!AF$1,FALSE),0)</f>
        <v>0</v>
      </c>
      <c r="AI49" s="9">
        <f>IFERROR(VLOOKUP($A49,pivot!$A:$I,計算式2026!AI$1,FALSE),0)</f>
        <v>0</v>
      </c>
      <c r="AJ49" s="9">
        <f>IFERROR(VLOOKUP($A49,pivot!$A:$I,計算式2026!AJ$1,FALSE),0)</f>
        <v>0</v>
      </c>
      <c r="AK49" s="9">
        <f>IFERROR(VLOOKUP($A49,pivot!$A:$I,計算式2026!AK$1,FALSE),0)</f>
        <v>0</v>
      </c>
      <c r="AL49" s="9">
        <f>IFERROR(VLOOKUP($A49,pivot!$A:$I,計算式2026!AL$1,FALSE),0)</f>
        <v>0</v>
      </c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</row>
    <row r="50" spans="1:59" s="9" customFormat="1">
      <c r="A50" s="8" t="s">
        <v>1862</v>
      </c>
      <c r="B50" s="8" t="s">
        <v>1861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R50" s="9">
        <v>0</v>
      </c>
      <c r="S50" s="9">
        <v>0</v>
      </c>
      <c r="T50" s="9">
        <v>1</v>
      </c>
      <c r="U50" s="9">
        <v>1</v>
      </c>
      <c r="V50" s="9">
        <v>2</v>
      </c>
      <c r="W50" s="9">
        <v>1</v>
      </c>
      <c r="X50" s="9">
        <v>1</v>
      </c>
      <c r="AE50" s="9">
        <f>IFERROR(VLOOKUP($A50,pivot!$A:$G,計算式2026!AE$1,FALSE),0)</f>
        <v>0</v>
      </c>
      <c r="AF50" s="9">
        <f>IFERROR(VLOOKUP($A50,pivot!$A:$I,計算式2026!AF$1,FALSE),0)</f>
        <v>0</v>
      </c>
      <c r="AI50" s="9">
        <f>IFERROR(VLOOKUP($A50,pivot!$A:$I,計算式2026!AI$1,FALSE),0)</f>
        <v>0</v>
      </c>
      <c r="AJ50" s="9">
        <f>IFERROR(VLOOKUP($A50,pivot!$A:$I,計算式2026!AJ$1,FALSE),0)</f>
        <v>0</v>
      </c>
      <c r="AK50" s="9">
        <f>IFERROR(VLOOKUP($A50,pivot!$A:$I,計算式2026!AK$1,FALSE),0)</f>
        <v>0</v>
      </c>
      <c r="AL50" s="9">
        <f>IFERROR(VLOOKUP($A50,pivot!$A:$I,計算式2026!AL$1,FALSE),0)</f>
        <v>0</v>
      </c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</row>
    <row r="51" spans="1:59" s="9" customFormat="1">
      <c r="A51" s="8" t="s">
        <v>1538</v>
      </c>
      <c r="B51" s="8" t="s">
        <v>1861</v>
      </c>
      <c r="C51" s="9">
        <v>9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R51" s="9">
        <v>0</v>
      </c>
      <c r="S51" s="9">
        <v>3</v>
      </c>
      <c r="T51" s="9">
        <v>2</v>
      </c>
      <c r="U51" s="9">
        <v>1</v>
      </c>
      <c r="V51" s="9">
        <v>2</v>
      </c>
      <c r="W51" s="9">
        <v>1</v>
      </c>
      <c r="X51" s="9">
        <v>2</v>
      </c>
      <c r="AE51" s="9">
        <f>IFERROR(VLOOKUP($A51,pivot!$A:$G,計算式2026!AE$1,FALSE),0)</f>
        <v>0</v>
      </c>
      <c r="AF51" s="9">
        <f>IFERROR(VLOOKUP($A51,pivot!$A:$I,計算式2026!AF$1,FALSE),0)</f>
        <v>0</v>
      </c>
      <c r="AI51" s="9">
        <f>IFERROR(VLOOKUP($A51,pivot!$A:$I,計算式2026!AI$1,FALSE),0)</f>
        <v>0</v>
      </c>
      <c r="AJ51" s="9">
        <f>IFERROR(VLOOKUP($A51,pivot!$A:$I,計算式2026!AJ$1,FALSE),0)</f>
        <v>0</v>
      </c>
      <c r="AK51" s="9">
        <f>IFERROR(VLOOKUP($A51,pivot!$A:$I,計算式2026!AK$1,FALSE),0)</f>
        <v>0</v>
      </c>
      <c r="AL51" s="9">
        <f>IFERROR(VLOOKUP($A51,pivot!$A:$I,計算式2026!AL$1,FALSE),0)</f>
        <v>0</v>
      </c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</row>
    <row r="52" spans="1:59" s="9" customFormat="1">
      <c r="A52" s="8" t="s">
        <v>1539</v>
      </c>
      <c r="B52" s="8" t="s">
        <v>1861</v>
      </c>
      <c r="C52" s="9">
        <v>10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R52" s="9">
        <v>0</v>
      </c>
      <c r="S52" s="9">
        <v>3</v>
      </c>
      <c r="T52" s="9">
        <v>2</v>
      </c>
      <c r="U52" s="9">
        <v>0</v>
      </c>
      <c r="V52" s="9">
        <v>0</v>
      </c>
      <c r="W52" s="9">
        <v>1</v>
      </c>
      <c r="X52" s="9">
        <v>1</v>
      </c>
      <c r="AE52" s="9">
        <f>IFERROR(VLOOKUP($A52,pivot!$A:$G,計算式2026!AE$1,FALSE),0)</f>
        <v>0</v>
      </c>
      <c r="AF52" s="9">
        <f>IFERROR(VLOOKUP($A52,pivot!$A:$I,計算式2026!AF$1,FALSE),0)</f>
        <v>0</v>
      </c>
      <c r="AI52" s="9">
        <f>IFERROR(VLOOKUP($A52,pivot!$A:$I,計算式2026!AI$1,FALSE),0)</f>
        <v>0</v>
      </c>
      <c r="AJ52" s="9">
        <f>IFERROR(VLOOKUP($A52,pivot!$A:$I,計算式2026!AJ$1,FALSE),0)</f>
        <v>0</v>
      </c>
      <c r="AK52" s="9">
        <f>IFERROR(VLOOKUP($A52,pivot!$A:$I,計算式2026!AK$1,FALSE),0)</f>
        <v>0</v>
      </c>
      <c r="AL52" s="9">
        <f>IFERROR(VLOOKUP($A52,pivot!$A:$I,計算式2026!AL$1,FALSE),0)</f>
        <v>0</v>
      </c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</row>
    <row r="53" spans="1:59" s="9" customFormat="1">
      <c r="A53" s="8" t="s">
        <v>1863</v>
      </c>
      <c r="B53" s="8" t="s">
        <v>1861</v>
      </c>
      <c r="C53" s="9">
        <v>6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R53" s="9">
        <v>0</v>
      </c>
      <c r="S53" s="9">
        <v>1</v>
      </c>
      <c r="T53" s="9">
        <v>2</v>
      </c>
      <c r="U53" s="9">
        <v>0</v>
      </c>
      <c r="V53" s="9">
        <v>0</v>
      </c>
      <c r="W53" s="9">
        <v>1</v>
      </c>
      <c r="X53" s="9">
        <v>1</v>
      </c>
      <c r="AE53" s="9">
        <f>IFERROR(VLOOKUP($A53,pivot!$A:$G,計算式2026!AE$1,FALSE),0)</f>
        <v>0</v>
      </c>
      <c r="AF53" s="9">
        <f>IFERROR(VLOOKUP($A53,pivot!$A:$I,計算式2026!AF$1,FALSE),0)</f>
        <v>0</v>
      </c>
      <c r="AI53" s="9">
        <f>IFERROR(VLOOKUP($A53,pivot!$A:$I,計算式2026!AI$1,FALSE),0)</f>
        <v>0</v>
      </c>
      <c r="AJ53" s="9">
        <f>IFERROR(VLOOKUP($A53,pivot!$A:$I,計算式2026!AJ$1,FALSE),0)</f>
        <v>0</v>
      </c>
      <c r="AK53" s="9">
        <f>IFERROR(VLOOKUP($A53,pivot!$A:$I,計算式2026!AK$1,FALSE),0)</f>
        <v>0</v>
      </c>
      <c r="AL53" s="9">
        <f>IFERROR(VLOOKUP($A53,pivot!$A:$I,計算式2026!AL$1,FALSE),0)</f>
        <v>0</v>
      </c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</row>
    <row r="54" spans="1:59" s="9" customFormat="1">
      <c r="A54" s="8" t="s">
        <v>1540</v>
      </c>
      <c r="B54" s="8" t="s">
        <v>1861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R54" s="9">
        <v>0</v>
      </c>
      <c r="S54" s="9">
        <v>2</v>
      </c>
      <c r="T54" s="9">
        <v>2</v>
      </c>
      <c r="U54" s="9">
        <v>0</v>
      </c>
      <c r="V54" s="9">
        <v>2</v>
      </c>
      <c r="W54" s="9">
        <v>1</v>
      </c>
      <c r="X54" s="9">
        <v>1</v>
      </c>
      <c r="AE54" s="9">
        <f>IFERROR(VLOOKUP($A54,pivot!$A:$G,計算式2026!AE$1,FALSE),0)</f>
        <v>0</v>
      </c>
      <c r="AF54" s="9">
        <f>IFERROR(VLOOKUP($A54,pivot!$A:$I,計算式2026!AF$1,FALSE),0)</f>
        <v>0</v>
      </c>
      <c r="AI54" s="9">
        <f>IFERROR(VLOOKUP($A54,pivot!$A:$I,計算式2026!AI$1,FALSE),0)</f>
        <v>0</v>
      </c>
      <c r="AJ54" s="9">
        <f>IFERROR(VLOOKUP($A54,pivot!$A:$I,計算式2026!AJ$1,FALSE),0)</f>
        <v>0</v>
      </c>
      <c r="AK54" s="9">
        <f>IFERROR(VLOOKUP($A54,pivot!$A:$I,計算式2026!AK$1,FALSE),0)</f>
        <v>0</v>
      </c>
      <c r="AL54" s="9">
        <f>IFERROR(VLOOKUP($A54,pivot!$A:$I,計算式2026!AL$1,FALSE),0)</f>
        <v>0</v>
      </c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</row>
    <row r="55" spans="1:59" s="9" customFormat="1">
      <c r="A55" s="8" t="s">
        <v>1541</v>
      </c>
      <c r="B55" s="8" t="s">
        <v>1864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1</v>
      </c>
      <c r="AE55" s="9">
        <f>IFERROR(VLOOKUP($A55,pivot!$A:$G,計算式2026!AE$1,FALSE),0)</f>
        <v>0</v>
      </c>
      <c r="AF55" s="9">
        <f>IFERROR(VLOOKUP($A55,pivot!$A:$I,計算式2026!AF$1,FALSE),0)</f>
        <v>0</v>
      </c>
      <c r="AI55" s="9">
        <f>IFERROR(VLOOKUP($A55,pivot!$A:$I,計算式2026!AI$1,FALSE),0)</f>
        <v>0</v>
      </c>
      <c r="AJ55" s="9">
        <f>IFERROR(VLOOKUP($A55,pivot!$A:$I,計算式2026!AJ$1,FALSE),0)</f>
        <v>0</v>
      </c>
      <c r="AK55" s="9">
        <f>IFERROR(VLOOKUP($A55,pivot!$A:$I,計算式2026!AK$1,FALSE),0)</f>
        <v>0</v>
      </c>
      <c r="AL55" s="9">
        <f>IFERROR(VLOOKUP($A55,pivot!$A:$I,計算式2026!AL$1,FALSE),0)</f>
        <v>0</v>
      </c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</row>
    <row r="56" spans="1:59" s="9" customFormat="1">
      <c r="A56" s="8" t="s">
        <v>1542</v>
      </c>
      <c r="B56" s="8" t="s">
        <v>1864</v>
      </c>
      <c r="C56" s="9">
        <v>10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1</v>
      </c>
      <c r="X56" s="9">
        <v>1</v>
      </c>
      <c r="AE56" s="9">
        <f>IFERROR(VLOOKUP($A56,pivot!$A:$G,計算式2026!AE$1,FALSE),0)</f>
        <v>0</v>
      </c>
      <c r="AF56" s="9">
        <f>IFERROR(VLOOKUP($A56,pivot!$A:$I,計算式2026!AF$1,FALSE),0)</f>
        <v>0</v>
      </c>
      <c r="AI56" s="9">
        <f>IFERROR(VLOOKUP($A56,pivot!$A:$I,計算式2026!AI$1,FALSE),0)</f>
        <v>0</v>
      </c>
      <c r="AJ56" s="9">
        <f>IFERROR(VLOOKUP($A56,pivot!$A:$I,計算式2026!AJ$1,FALSE),0)</f>
        <v>0</v>
      </c>
      <c r="AK56" s="9">
        <f>IFERROR(VLOOKUP($A56,pivot!$A:$I,計算式2026!AK$1,FALSE),0)</f>
        <v>0</v>
      </c>
      <c r="AL56" s="9">
        <f>IFERROR(VLOOKUP($A56,pivot!$A:$I,計算式2026!AL$1,FALSE),0)</f>
        <v>0</v>
      </c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</row>
    <row r="57" spans="1:59" s="9" customFormat="1">
      <c r="A57" s="8" t="s">
        <v>1865</v>
      </c>
      <c r="B57" s="8" t="s">
        <v>1864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R57" s="9">
        <v>0</v>
      </c>
      <c r="S57" s="9">
        <v>0</v>
      </c>
      <c r="T57" s="9">
        <v>2</v>
      </c>
      <c r="U57" s="9">
        <v>0</v>
      </c>
      <c r="V57" s="9">
        <v>2</v>
      </c>
      <c r="W57" s="9">
        <v>0</v>
      </c>
      <c r="X57" s="9">
        <v>1</v>
      </c>
      <c r="AE57" s="9">
        <f>IFERROR(VLOOKUP($A57,pivot!$A:$G,計算式2026!AE$1,FALSE),0)</f>
        <v>0</v>
      </c>
      <c r="AF57" s="9">
        <f>IFERROR(VLOOKUP($A57,pivot!$A:$I,計算式2026!AF$1,FALSE),0)</f>
        <v>0</v>
      </c>
      <c r="AI57" s="9">
        <f>IFERROR(VLOOKUP($A57,pivot!$A:$I,計算式2026!AI$1,FALSE),0)</f>
        <v>0</v>
      </c>
      <c r="AJ57" s="9">
        <f>IFERROR(VLOOKUP($A57,pivot!$A:$I,計算式2026!AJ$1,FALSE),0)</f>
        <v>0</v>
      </c>
      <c r="AK57" s="9">
        <f>IFERROR(VLOOKUP($A57,pivot!$A:$I,計算式2026!AK$1,FALSE),0)</f>
        <v>0</v>
      </c>
      <c r="AL57" s="9">
        <f>IFERROR(VLOOKUP($A57,pivot!$A:$I,計算式2026!AL$1,FALSE),0)</f>
        <v>0</v>
      </c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</row>
    <row r="58" spans="1:59" s="9" customFormat="1">
      <c r="A58" s="8" t="s">
        <v>1543</v>
      </c>
      <c r="B58" s="8" t="s">
        <v>1864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2</v>
      </c>
      <c r="W58" s="9">
        <v>0</v>
      </c>
      <c r="X58" s="9">
        <v>1</v>
      </c>
      <c r="AE58" s="9">
        <f>IFERROR(VLOOKUP($A58,pivot!$A:$G,計算式2026!AE$1,FALSE),0)</f>
        <v>0</v>
      </c>
      <c r="AF58" s="9">
        <f>IFERROR(VLOOKUP($A58,pivot!$A:$I,計算式2026!AF$1,FALSE),0)</f>
        <v>0</v>
      </c>
      <c r="AI58" s="9">
        <f>IFERROR(VLOOKUP($A58,pivot!$A:$I,計算式2026!AI$1,FALSE),0)</f>
        <v>0</v>
      </c>
      <c r="AJ58" s="9">
        <f>IFERROR(VLOOKUP($A58,pivot!$A:$I,計算式2026!AJ$1,FALSE),0)</f>
        <v>0</v>
      </c>
      <c r="AK58" s="9">
        <f>IFERROR(VLOOKUP($A58,pivot!$A:$I,計算式2026!AK$1,FALSE),0)</f>
        <v>0</v>
      </c>
      <c r="AL58" s="9">
        <f>IFERROR(VLOOKUP($A58,pivot!$A:$I,計算式2026!AL$1,FALSE),0)</f>
        <v>0</v>
      </c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</row>
    <row r="59" spans="1:59" s="9" customFormat="1">
      <c r="A59" s="8" t="s">
        <v>1544</v>
      </c>
      <c r="B59" s="8" t="s">
        <v>1864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</v>
      </c>
      <c r="AE59" s="9">
        <f>IFERROR(VLOOKUP($A59,pivot!$A:$G,計算式2026!AE$1,FALSE),0)</f>
        <v>0</v>
      </c>
      <c r="AF59" s="9">
        <f>IFERROR(VLOOKUP($A59,pivot!$A:$I,計算式2026!AF$1,FALSE),0)</f>
        <v>0</v>
      </c>
      <c r="AI59" s="9">
        <f>IFERROR(VLOOKUP($A59,pivot!$A:$I,計算式2026!AI$1,FALSE),0)</f>
        <v>0</v>
      </c>
      <c r="AJ59" s="9">
        <f>IFERROR(VLOOKUP($A59,pivot!$A:$I,計算式2026!AJ$1,FALSE),0)</f>
        <v>0</v>
      </c>
      <c r="AK59" s="9">
        <f>IFERROR(VLOOKUP($A59,pivot!$A:$I,計算式2026!AK$1,FALSE),0)</f>
        <v>0</v>
      </c>
      <c r="AL59" s="9">
        <f>IFERROR(VLOOKUP($A59,pivot!$A:$I,計算式2026!AL$1,FALSE),0)</f>
        <v>0</v>
      </c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</row>
    <row r="60" spans="1:59" s="9" customFormat="1">
      <c r="A60" s="8" t="s">
        <v>1866</v>
      </c>
      <c r="B60" s="8" t="s">
        <v>1864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AE60" s="9">
        <f>IFERROR(VLOOKUP($A60,pivot!$A:$G,計算式2026!AE$1,FALSE),0)</f>
        <v>0</v>
      </c>
      <c r="AF60" s="9">
        <f>IFERROR(VLOOKUP($A60,pivot!$A:$I,計算式2026!AF$1,FALSE),0)</f>
        <v>0</v>
      </c>
      <c r="AI60" s="9">
        <f>IFERROR(VLOOKUP($A60,pivot!$A:$I,計算式2026!AI$1,FALSE),0)</f>
        <v>0</v>
      </c>
      <c r="AJ60" s="9">
        <f>IFERROR(VLOOKUP($A60,pivot!$A:$I,計算式2026!AJ$1,FALSE),0)</f>
        <v>0</v>
      </c>
      <c r="AK60" s="9">
        <f>IFERROR(VLOOKUP($A60,pivot!$A:$I,計算式2026!AK$1,FALSE),0)</f>
        <v>0</v>
      </c>
      <c r="AL60" s="9">
        <f>IFERROR(VLOOKUP($A60,pivot!$A:$I,計算式2026!AL$1,FALSE),0)</f>
        <v>0</v>
      </c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</row>
    <row r="61" spans="1:59" s="9" customFormat="1">
      <c r="A61" s="8" t="s">
        <v>1545</v>
      </c>
      <c r="B61" s="8" t="s">
        <v>1864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AE61" s="9">
        <f>IFERROR(VLOOKUP($A61,pivot!$A:$G,計算式2026!AE$1,FALSE),0)</f>
        <v>0</v>
      </c>
      <c r="AF61" s="9">
        <f>IFERROR(VLOOKUP($A61,pivot!$A:$I,計算式2026!AF$1,FALSE),0)</f>
        <v>0</v>
      </c>
      <c r="AI61" s="9">
        <f>IFERROR(VLOOKUP($A61,pivot!$A:$I,計算式2026!AI$1,FALSE),0)</f>
        <v>0</v>
      </c>
      <c r="AJ61" s="9">
        <f>IFERROR(VLOOKUP($A61,pivot!$A:$I,計算式2026!AJ$1,FALSE),0)</f>
        <v>0</v>
      </c>
      <c r="AK61" s="9">
        <f>IFERROR(VLOOKUP($A61,pivot!$A:$I,計算式2026!AK$1,FALSE),0)</f>
        <v>0</v>
      </c>
      <c r="AL61" s="9">
        <f>IFERROR(VLOOKUP($A61,pivot!$A:$I,計算式2026!AL$1,FALSE),0)</f>
        <v>0</v>
      </c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</row>
    <row r="62" spans="1:59" s="9" customFormat="1">
      <c r="A62" s="8" t="s">
        <v>1867</v>
      </c>
      <c r="B62" s="8" t="s">
        <v>1868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1</v>
      </c>
      <c r="W62" s="9">
        <v>0</v>
      </c>
      <c r="X62" s="9">
        <v>0</v>
      </c>
      <c r="AE62" s="9">
        <f>IFERROR(VLOOKUP($A62,pivot!$A:$G,計算式2026!AE$1,FALSE),0)</f>
        <v>0</v>
      </c>
      <c r="AF62" s="9">
        <f>IFERROR(VLOOKUP($A62,pivot!$A:$I,計算式2026!AF$1,FALSE),0)</f>
        <v>0</v>
      </c>
      <c r="AI62" s="9">
        <f>IFERROR(VLOOKUP($A62,pivot!$A:$I,計算式2026!AI$1,FALSE),0)</f>
        <v>0</v>
      </c>
      <c r="AJ62" s="9">
        <f>IFERROR(VLOOKUP($A62,pivot!$A:$I,計算式2026!AJ$1,FALSE),0)</f>
        <v>0</v>
      </c>
      <c r="AK62" s="9">
        <f>IFERROR(VLOOKUP($A62,pivot!$A:$I,計算式2026!AK$1,FALSE),0)</f>
        <v>0</v>
      </c>
      <c r="AL62" s="9">
        <f>IFERROR(VLOOKUP($A62,pivot!$A:$I,計算式2026!AL$1,FALSE),0)</f>
        <v>0</v>
      </c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</row>
    <row r="63" spans="1:59" s="9" customFormat="1">
      <c r="A63" s="8" t="s">
        <v>1546</v>
      </c>
      <c r="B63" s="8" t="s">
        <v>1868</v>
      </c>
      <c r="C63" s="9">
        <v>6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R63" s="9">
        <v>0</v>
      </c>
      <c r="S63" s="9">
        <v>2</v>
      </c>
      <c r="T63" s="9">
        <v>0</v>
      </c>
      <c r="U63" s="9">
        <v>0</v>
      </c>
      <c r="V63" s="9">
        <v>0</v>
      </c>
      <c r="W63" s="9">
        <v>0</v>
      </c>
      <c r="X63" s="9">
        <v>1</v>
      </c>
      <c r="AE63" s="9">
        <f>IFERROR(VLOOKUP($A63,pivot!$A:$G,計算式2026!AE$1,FALSE),0)</f>
        <v>0</v>
      </c>
      <c r="AF63" s="9">
        <f>IFERROR(VLOOKUP($A63,pivot!$A:$I,計算式2026!AF$1,FALSE),0)</f>
        <v>0</v>
      </c>
      <c r="AI63" s="9">
        <f>IFERROR(VLOOKUP($A63,pivot!$A:$I,計算式2026!AI$1,FALSE),0)</f>
        <v>0</v>
      </c>
      <c r="AJ63" s="9">
        <f>IFERROR(VLOOKUP($A63,pivot!$A:$I,計算式2026!AJ$1,FALSE),0)</f>
        <v>0</v>
      </c>
      <c r="AK63" s="9">
        <f>IFERROR(VLOOKUP($A63,pivot!$A:$I,計算式2026!AK$1,FALSE),0)</f>
        <v>0</v>
      </c>
      <c r="AL63" s="9">
        <f>IFERROR(VLOOKUP($A63,pivot!$A:$I,計算式2026!AL$1,FALSE),0)</f>
        <v>0</v>
      </c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</row>
    <row r="64" spans="1:59" s="9" customFormat="1">
      <c r="A64" s="8" t="s">
        <v>1547</v>
      </c>
      <c r="B64" s="8" t="s">
        <v>1868</v>
      </c>
      <c r="C64" s="9">
        <v>18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R64" s="9">
        <v>0</v>
      </c>
      <c r="S64" s="9">
        <v>3</v>
      </c>
      <c r="T64" s="9">
        <v>1</v>
      </c>
      <c r="U64" s="9">
        <v>2</v>
      </c>
      <c r="V64" s="9">
        <v>0</v>
      </c>
      <c r="W64" s="9">
        <v>1</v>
      </c>
      <c r="X64" s="9">
        <v>2</v>
      </c>
      <c r="AE64" s="9">
        <f>IFERROR(VLOOKUP($A64,pivot!$A:$G,計算式2026!AE$1,FALSE),0)</f>
        <v>0</v>
      </c>
      <c r="AF64" s="9">
        <f>IFERROR(VLOOKUP($A64,pivot!$A:$I,計算式2026!AF$1,FALSE),0)</f>
        <v>0</v>
      </c>
      <c r="AI64" s="9">
        <f>IFERROR(VLOOKUP($A64,pivot!$A:$I,計算式2026!AI$1,FALSE),0)</f>
        <v>0</v>
      </c>
      <c r="AJ64" s="9">
        <f>IFERROR(VLOOKUP($A64,pivot!$A:$I,計算式2026!AJ$1,FALSE),0)</f>
        <v>0</v>
      </c>
      <c r="AK64" s="9">
        <f>IFERROR(VLOOKUP($A64,pivot!$A:$I,計算式2026!AK$1,FALSE),0)</f>
        <v>0</v>
      </c>
      <c r="AL64" s="9">
        <f>IFERROR(VLOOKUP($A64,pivot!$A:$I,計算式2026!AL$1,FALSE),0)</f>
        <v>0</v>
      </c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</row>
    <row r="65" spans="1:59" s="9" customFormat="1">
      <c r="A65" s="8" t="s">
        <v>1548</v>
      </c>
      <c r="B65" s="8" t="s">
        <v>1868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R65" s="9">
        <v>0</v>
      </c>
      <c r="S65" s="9">
        <v>2</v>
      </c>
      <c r="T65" s="9">
        <v>0</v>
      </c>
      <c r="U65" s="9">
        <v>3</v>
      </c>
      <c r="V65" s="9">
        <v>2</v>
      </c>
      <c r="W65" s="9">
        <v>1</v>
      </c>
      <c r="X65" s="9">
        <v>1</v>
      </c>
      <c r="AE65" s="9">
        <f>IFERROR(VLOOKUP($A65,pivot!$A:$G,計算式2026!AE$1,FALSE),0)</f>
        <v>0</v>
      </c>
      <c r="AF65" s="9">
        <f>IFERROR(VLOOKUP($A65,pivot!$A:$I,計算式2026!AF$1,FALSE),0)</f>
        <v>0</v>
      </c>
      <c r="AI65" s="9">
        <f>IFERROR(VLOOKUP($A65,pivot!$A:$I,計算式2026!AI$1,FALSE),0)</f>
        <v>0</v>
      </c>
      <c r="AJ65" s="9">
        <f>IFERROR(VLOOKUP($A65,pivot!$A:$I,計算式2026!AJ$1,FALSE),0)</f>
        <v>0</v>
      </c>
      <c r="AK65" s="9">
        <f>IFERROR(VLOOKUP($A65,pivot!$A:$I,計算式2026!AK$1,FALSE),0)</f>
        <v>0</v>
      </c>
      <c r="AL65" s="9">
        <f>IFERROR(VLOOKUP($A65,pivot!$A:$I,計算式2026!AL$1,FALSE),0)</f>
        <v>0</v>
      </c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</row>
    <row r="66" spans="1:59" s="9" customFormat="1">
      <c r="A66" s="8" t="s">
        <v>1869</v>
      </c>
      <c r="B66" s="8" t="s">
        <v>1868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R66" s="9">
        <v>0</v>
      </c>
      <c r="S66" s="9">
        <v>1</v>
      </c>
      <c r="T66" s="9">
        <v>0</v>
      </c>
      <c r="U66" s="9">
        <v>1</v>
      </c>
      <c r="V66" s="9">
        <v>0</v>
      </c>
      <c r="W66" s="9">
        <v>0</v>
      </c>
      <c r="X66" s="9">
        <v>1</v>
      </c>
      <c r="AE66" s="9">
        <f>IFERROR(VLOOKUP($A66,pivot!$A:$G,計算式2026!AE$1,FALSE),0)</f>
        <v>0</v>
      </c>
      <c r="AF66" s="9">
        <f>IFERROR(VLOOKUP($A66,pivot!$A:$I,計算式2026!AF$1,FALSE),0)</f>
        <v>0</v>
      </c>
      <c r="AI66" s="9">
        <f>IFERROR(VLOOKUP($A66,pivot!$A:$I,計算式2026!AI$1,FALSE),0)</f>
        <v>0</v>
      </c>
      <c r="AJ66" s="9">
        <f>IFERROR(VLOOKUP($A66,pivot!$A:$I,計算式2026!AJ$1,FALSE),0)</f>
        <v>0</v>
      </c>
      <c r="AK66" s="9">
        <f>IFERROR(VLOOKUP($A66,pivot!$A:$I,計算式2026!AK$1,FALSE),0)</f>
        <v>0</v>
      </c>
      <c r="AL66" s="9">
        <f>IFERROR(VLOOKUP($A66,pivot!$A:$I,計算式2026!AL$1,FALSE),0)</f>
        <v>0</v>
      </c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</row>
    <row r="67" spans="1:59" s="9" customFormat="1">
      <c r="A67" s="8" t="s">
        <v>1549</v>
      </c>
      <c r="B67" s="8" t="s">
        <v>1868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AE67" s="9">
        <f>IFERROR(VLOOKUP($A67,pivot!$A:$G,計算式2026!AE$1,FALSE),0)</f>
        <v>0</v>
      </c>
      <c r="AF67" s="9">
        <f>IFERROR(VLOOKUP($A67,pivot!$A:$I,計算式2026!AF$1,FALSE),0)</f>
        <v>0</v>
      </c>
      <c r="AI67" s="9">
        <f>IFERROR(VLOOKUP($A67,pivot!$A:$I,計算式2026!AI$1,FALSE),0)</f>
        <v>0</v>
      </c>
      <c r="AJ67" s="9">
        <f>IFERROR(VLOOKUP($A67,pivot!$A:$I,計算式2026!AJ$1,FALSE),0)</f>
        <v>0</v>
      </c>
      <c r="AK67" s="9">
        <f>IFERROR(VLOOKUP($A67,pivot!$A:$I,計算式2026!AK$1,FALSE),0)</f>
        <v>0</v>
      </c>
      <c r="AL67" s="9">
        <f>IFERROR(VLOOKUP($A67,pivot!$A:$I,計算式2026!AL$1,FALSE),0)</f>
        <v>0</v>
      </c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</row>
    <row r="68" spans="1:59" s="9" customFormat="1">
      <c r="A68" s="8" t="s">
        <v>1870</v>
      </c>
      <c r="B68" s="8" t="s">
        <v>1871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R68" s="9">
        <v>0</v>
      </c>
      <c r="S68" s="9">
        <v>2</v>
      </c>
      <c r="T68" s="9">
        <v>1</v>
      </c>
      <c r="U68" s="9">
        <v>2</v>
      </c>
      <c r="V68" s="9">
        <v>0</v>
      </c>
      <c r="W68" s="9">
        <v>0</v>
      </c>
      <c r="X68" s="9">
        <v>1</v>
      </c>
      <c r="AE68" s="9">
        <f>IFERROR(VLOOKUP($A68,pivot!$A:$G,計算式2026!AE$1,FALSE),0)</f>
        <v>0</v>
      </c>
      <c r="AF68" s="9">
        <f>IFERROR(VLOOKUP($A68,pivot!$A:$I,計算式2026!AF$1,FALSE),0)</f>
        <v>0</v>
      </c>
      <c r="AI68" s="9">
        <f>IFERROR(VLOOKUP($A68,pivot!$A:$I,計算式2026!AI$1,FALSE),0)</f>
        <v>0</v>
      </c>
      <c r="AJ68" s="9">
        <f>IFERROR(VLOOKUP($A68,pivot!$A:$I,計算式2026!AJ$1,FALSE),0)</f>
        <v>0</v>
      </c>
      <c r="AK68" s="9">
        <f>IFERROR(VLOOKUP($A68,pivot!$A:$I,計算式2026!AK$1,FALSE),0)</f>
        <v>0</v>
      </c>
      <c r="AL68" s="9">
        <f>IFERROR(VLOOKUP($A68,pivot!$A:$I,計算式2026!AL$1,FALSE),0)</f>
        <v>0</v>
      </c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</row>
    <row r="69" spans="1:59" s="9" customFormat="1">
      <c r="A69" s="8" t="s">
        <v>1550</v>
      </c>
      <c r="B69" s="8" t="s">
        <v>1871</v>
      </c>
      <c r="C69" s="9">
        <v>10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R69" s="9">
        <v>0</v>
      </c>
      <c r="S69" s="9">
        <v>3</v>
      </c>
      <c r="T69" s="9">
        <v>0</v>
      </c>
      <c r="U69" s="9">
        <v>0</v>
      </c>
      <c r="V69" s="9">
        <v>0</v>
      </c>
      <c r="W69" s="9">
        <v>1</v>
      </c>
      <c r="X69" s="9">
        <v>1</v>
      </c>
      <c r="AE69" s="9">
        <f>IFERROR(VLOOKUP($A69,pivot!$A:$G,計算式2026!AE$1,FALSE),0)</f>
        <v>0</v>
      </c>
      <c r="AF69" s="9">
        <f>IFERROR(VLOOKUP($A69,pivot!$A:$I,計算式2026!AF$1,FALSE),0)</f>
        <v>0</v>
      </c>
      <c r="AI69" s="9">
        <f>IFERROR(VLOOKUP($A69,pivot!$A:$I,計算式2026!AI$1,FALSE),0)</f>
        <v>0</v>
      </c>
      <c r="AJ69" s="9">
        <f>IFERROR(VLOOKUP($A69,pivot!$A:$I,計算式2026!AJ$1,FALSE),0)</f>
        <v>0</v>
      </c>
      <c r="AK69" s="9">
        <f>IFERROR(VLOOKUP($A69,pivot!$A:$I,計算式2026!AK$1,FALSE),0)</f>
        <v>0</v>
      </c>
      <c r="AL69" s="9">
        <f>IFERROR(VLOOKUP($A69,pivot!$A:$I,計算式2026!AL$1,FALSE),0)</f>
        <v>0</v>
      </c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</row>
    <row r="70" spans="1:59" s="9" customFormat="1">
      <c r="A70" s="8" t="s">
        <v>1551</v>
      </c>
      <c r="B70" s="8" t="s">
        <v>1871</v>
      </c>
      <c r="C70" s="9">
        <v>28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R70" s="9">
        <v>0</v>
      </c>
      <c r="S70" s="9">
        <v>3</v>
      </c>
      <c r="T70" s="9">
        <v>1</v>
      </c>
      <c r="U70" s="9">
        <v>2</v>
      </c>
      <c r="V70" s="9">
        <v>0</v>
      </c>
      <c r="W70" s="9">
        <v>1</v>
      </c>
      <c r="X70" s="9">
        <v>1</v>
      </c>
      <c r="AE70" s="9">
        <f>IFERROR(VLOOKUP($A70,pivot!$A:$G,計算式2026!AE$1,FALSE),0)</f>
        <v>0</v>
      </c>
      <c r="AF70" s="9">
        <f>IFERROR(VLOOKUP($A70,pivot!$A:$I,計算式2026!AF$1,FALSE),0)</f>
        <v>0</v>
      </c>
      <c r="AI70" s="9">
        <f>IFERROR(VLOOKUP($A70,pivot!$A:$I,計算式2026!AI$1,FALSE),0)</f>
        <v>0</v>
      </c>
      <c r="AJ70" s="9">
        <f>IFERROR(VLOOKUP($A70,pivot!$A:$I,計算式2026!AJ$1,FALSE),0)</f>
        <v>0</v>
      </c>
      <c r="AK70" s="9">
        <f>IFERROR(VLOOKUP($A70,pivot!$A:$I,計算式2026!AK$1,FALSE),0)</f>
        <v>0</v>
      </c>
      <c r="AL70" s="9">
        <f>IFERROR(VLOOKUP($A70,pivot!$A:$I,計算式2026!AL$1,FALSE),0)</f>
        <v>0</v>
      </c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</row>
    <row r="71" spans="1:59" s="9" customFormat="1">
      <c r="A71" s="8" t="s">
        <v>1552</v>
      </c>
      <c r="B71" s="8" t="s">
        <v>1871</v>
      </c>
      <c r="C71" s="9">
        <v>9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R71" s="9">
        <v>0</v>
      </c>
      <c r="S71" s="9">
        <v>3</v>
      </c>
      <c r="T71" s="9">
        <v>1</v>
      </c>
      <c r="U71" s="9">
        <v>2</v>
      </c>
      <c r="V71" s="9">
        <v>2</v>
      </c>
      <c r="W71" s="9">
        <v>1</v>
      </c>
      <c r="X71" s="9">
        <v>1</v>
      </c>
      <c r="AE71" s="9">
        <f>IFERROR(VLOOKUP($A71,pivot!$A:$G,計算式2026!AE$1,FALSE),0)</f>
        <v>0</v>
      </c>
      <c r="AF71" s="9">
        <f>IFERROR(VLOOKUP($A71,pivot!$A:$I,計算式2026!AF$1,FALSE),0)</f>
        <v>0</v>
      </c>
      <c r="AI71" s="9">
        <f>IFERROR(VLOOKUP($A71,pivot!$A:$I,計算式2026!AI$1,FALSE),0)</f>
        <v>0</v>
      </c>
      <c r="AJ71" s="9">
        <f>IFERROR(VLOOKUP($A71,pivot!$A:$I,計算式2026!AJ$1,FALSE),0)</f>
        <v>0</v>
      </c>
      <c r="AK71" s="9">
        <f>IFERROR(VLOOKUP($A71,pivot!$A:$I,計算式2026!AK$1,FALSE),0)</f>
        <v>0</v>
      </c>
      <c r="AL71" s="9">
        <f>IFERROR(VLOOKUP($A71,pivot!$A:$I,計算式2026!AL$1,FALSE),0)</f>
        <v>0</v>
      </c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</row>
    <row r="72" spans="1:59" s="9" customFormat="1">
      <c r="A72" s="8" t="s">
        <v>1872</v>
      </c>
      <c r="B72" s="8" t="s">
        <v>1871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R72" s="9">
        <v>0</v>
      </c>
      <c r="S72" s="9">
        <v>1</v>
      </c>
      <c r="T72" s="9">
        <v>0</v>
      </c>
      <c r="U72" s="9">
        <v>2</v>
      </c>
      <c r="V72" s="9">
        <v>0</v>
      </c>
      <c r="W72" s="9">
        <v>0</v>
      </c>
      <c r="X72" s="9">
        <v>0</v>
      </c>
      <c r="AE72" s="9">
        <f>IFERROR(VLOOKUP($A72,pivot!$A:$G,計算式2026!AE$1,FALSE),0)</f>
        <v>0</v>
      </c>
      <c r="AF72" s="9">
        <f>IFERROR(VLOOKUP($A72,pivot!$A:$I,計算式2026!AF$1,FALSE),0)</f>
        <v>0</v>
      </c>
      <c r="AI72" s="9">
        <f>IFERROR(VLOOKUP($A72,pivot!$A:$I,計算式2026!AI$1,FALSE),0)</f>
        <v>0</v>
      </c>
      <c r="AJ72" s="9">
        <f>IFERROR(VLOOKUP($A72,pivot!$A:$I,計算式2026!AJ$1,FALSE),0)</f>
        <v>0</v>
      </c>
      <c r="AK72" s="9">
        <f>IFERROR(VLOOKUP($A72,pivot!$A:$I,計算式2026!AK$1,FALSE),0)</f>
        <v>0</v>
      </c>
      <c r="AL72" s="9">
        <f>IFERROR(VLOOKUP($A72,pivot!$A:$I,計算式2026!AL$1,FALSE),0)</f>
        <v>0</v>
      </c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</row>
    <row r="73" spans="1:59" s="9" customFormat="1">
      <c r="A73" s="8" t="s">
        <v>1874</v>
      </c>
      <c r="B73" s="8" t="s">
        <v>1873</v>
      </c>
      <c r="C73" s="9">
        <v>6</v>
      </c>
      <c r="D73" s="9">
        <v>5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R73" s="9">
        <v>0</v>
      </c>
      <c r="S73" s="9">
        <v>3</v>
      </c>
      <c r="T73" s="9">
        <v>4</v>
      </c>
      <c r="U73" s="9">
        <v>3</v>
      </c>
      <c r="V73" s="9">
        <v>3</v>
      </c>
      <c r="W73" s="9">
        <v>0</v>
      </c>
      <c r="X73" s="9">
        <v>3</v>
      </c>
      <c r="AE73" s="9">
        <f>IFERROR(VLOOKUP($A73,pivot!$A:$G,計算式2026!AE$1,FALSE),0)</f>
        <v>0</v>
      </c>
      <c r="AF73" s="9">
        <f>IFERROR(VLOOKUP($A73,pivot!$A:$I,計算式2026!AF$1,FALSE),0)</f>
        <v>0</v>
      </c>
      <c r="AI73" s="9">
        <f>IFERROR(VLOOKUP($A73,pivot!$A:$I,計算式2026!AI$1,FALSE),0)</f>
        <v>0</v>
      </c>
      <c r="AJ73" s="9">
        <f>IFERROR(VLOOKUP($A73,pivot!$A:$I,計算式2026!AJ$1,FALSE),0)</f>
        <v>0</v>
      </c>
      <c r="AK73" s="9">
        <f>IFERROR(VLOOKUP($A73,pivot!$A:$I,計算式2026!AK$1,FALSE),0)</f>
        <v>0</v>
      </c>
      <c r="AL73" s="9">
        <f>IFERROR(VLOOKUP($A73,pivot!$A:$I,計算式2026!AL$1,FALSE),0)</f>
        <v>0</v>
      </c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</row>
    <row r="74" spans="1:59" s="9" customFormat="1">
      <c r="A74" s="8" t="s">
        <v>1875</v>
      </c>
      <c r="B74" s="8" t="s">
        <v>1876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R74" s="9">
        <v>0</v>
      </c>
      <c r="S74" s="9">
        <v>1</v>
      </c>
      <c r="T74" s="9">
        <v>0</v>
      </c>
      <c r="U74" s="9">
        <v>0</v>
      </c>
      <c r="V74" s="9">
        <v>1</v>
      </c>
      <c r="W74" s="9">
        <v>0</v>
      </c>
      <c r="X74" s="9">
        <v>3</v>
      </c>
      <c r="AE74" s="9">
        <f>IFERROR(VLOOKUP($A74,pivot!$A:$G,計算式2026!AE$1,FALSE),0)</f>
        <v>0</v>
      </c>
      <c r="AF74" s="9">
        <f>IFERROR(VLOOKUP($A74,pivot!$A:$I,計算式2026!AF$1,FALSE),0)</f>
        <v>0</v>
      </c>
      <c r="AI74" s="9">
        <f>IFERROR(VLOOKUP($A74,pivot!$A:$I,計算式2026!AI$1,FALSE),0)</f>
        <v>0</v>
      </c>
      <c r="AJ74" s="9">
        <f>IFERROR(VLOOKUP($A74,pivot!$A:$I,計算式2026!AJ$1,FALSE),0)</f>
        <v>0</v>
      </c>
      <c r="AK74" s="9">
        <f>IFERROR(VLOOKUP($A74,pivot!$A:$I,計算式2026!AK$1,FALSE),0)</f>
        <v>0</v>
      </c>
      <c r="AL74" s="9">
        <f>IFERROR(VLOOKUP($A74,pivot!$A:$I,計算式2026!AL$1,FALSE),0)</f>
        <v>0</v>
      </c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</row>
    <row r="75" spans="1:59" s="9" customFormat="1">
      <c r="A75" s="8" t="s">
        <v>1877</v>
      </c>
      <c r="B75" s="8" t="s">
        <v>1878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R75" s="9">
        <v>0</v>
      </c>
      <c r="S75" s="9">
        <v>0</v>
      </c>
      <c r="T75" s="9">
        <v>1</v>
      </c>
      <c r="U75" s="9">
        <v>1</v>
      </c>
      <c r="V75" s="9">
        <v>0</v>
      </c>
      <c r="W75" s="9">
        <v>0</v>
      </c>
      <c r="X75" s="9">
        <v>0</v>
      </c>
      <c r="AE75" s="9">
        <f>IFERROR(VLOOKUP($A75,pivot!$A:$G,計算式2026!AE$1,FALSE),0)</f>
        <v>0</v>
      </c>
      <c r="AF75" s="9">
        <f>IFERROR(VLOOKUP($A75,pivot!$A:$I,計算式2026!AF$1,FALSE),0)</f>
        <v>0</v>
      </c>
      <c r="AI75" s="9">
        <f>IFERROR(VLOOKUP($A75,pivot!$A:$I,計算式2026!AI$1,FALSE),0)</f>
        <v>0</v>
      </c>
      <c r="AJ75" s="9">
        <f>IFERROR(VLOOKUP($A75,pivot!$A:$I,計算式2026!AJ$1,FALSE),0)</f>
        <v>0</v>
      </c>
      <c r="AK75" s="9">
        <f>IFERROR(VLOOKUP($A75,pivot!$A:$I,計算式2026!AK$1,FALSE),0)</f>
        <v>0</v>
      </c>
      <c r="AL75" s="9">
        <f>IFERROR(VLOOKUP($A75,pivot!$A:$I,計算式2026!AL$1,FALSE),0)</f>
        <v>0</v>
      </c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</row>
    <row r="76" spans="1:59" s="9" customFormat="1">
      <c r="A76" s="8" t="s">
        <v>1879</v>
      </c>
      <c r="B76" s="8" t="s">
        <v>1878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R76" s="9">
        <v>0</v>
      </c>
      <c r="S76" s="9">
        <v>0</v>
      </c>
      <c r="T76" s="9">
        <v>1</v>
      </c>
      <c r="U76" s="9">
        <v>1</v>
      </c>
      <c r="V76" s="9">
        <v>0</v>
      </c>
      <c r="W76" s="9">
        <v>0</v>
      </c>
      <c r="X76" s="9">
        <v>0</v>
      </c>
      <c r="AE76" s="9">
        <f>IFERROR(VLOOKUP($A76,pivot!$A:$G,計算式2026!AE$1,FALSE),0)</f>
        <v>0</v>
      </c>
      <c r="AF76" s="9">
        <f>IFERROR(VLOOKUP($A76,pivot!$A:$I,計算式2026!AF$1,FALSE),0)</f>
        <v>0</v>
      </c>
      <c r="AI76" s="9">
        <f>IFERROR(VLOOKUP($A76,pivot!$A:$I,計算式2026!AI$1,FALSE),0)</f>
        <v>0</v>
      </c>
      <c r="AJ76" s="9">
        <f>IFERROR(VLOOKUP($A76,pivot!$A:$I,計算式2026!AJ$1,FALSE),0)</f>
        <v>0</v>
      </c>
      <c r="AK76" s="9">
        <f>IFERROR(VLOOKUP($A76,pivot!$A:$I,計算式2026!AK$1,FALSE),0)</f>
        <v>0</v>
      </c>
      <c r="AL76" s="9">
        <f>IFERROR(VLOOKUP($A76,pivot!$A:$I,計算式2026!AL$1,FALSE),0)</f>
        <v>0</v>
      </c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</row>
    <row r="77" spans="1:59" s="9" customFormat="1">
      <c r="A77" s="8" t="s">
        <v>1880</v>
      </c>
      <c r="B77" s="8" t="s">
        <v>1878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R77" s="9">
        <v>0</v>
      </c>
      <c r="S77" s="9">
        <v>0</v>
      </c>
      <c r="T77" s="9">
        <v>0</v>
      </c>
      <c r="U77" s="9">
        <v>1</v>
      </c>
      <c r="V77" s="9">
        <v>0</v>
      </c>
      <c r="W77" s="9">
        <v>0</v>
      </c>
      <c r="X77" s="9">
        <v>0</v>
      </c>
      <c r="AE77" s="9">
        <f>IFERROR(VLOOKUP($A77,pivot!$A:$G,計算式2026!AE$1,FALSE),0)</f>
        <v>0</v>
      </c>
      <c r="AF77" s="9">
        <f>IFERROR(VLOOKUP($A77,pivot!$A:$I,計算式2026!AF$1,FALSE),0)</f>
        <v>0</v>
      </c>
      <c r="AI77" s="9">
        <f>IFERROR(VLOOKUP($A77,pivot!$A:$I,計算式2026!AI$1,FALSE),0)</f>
        <v>0</v>
      </c>
      <c r="AJ77" s="9">
        <f>IFERROR(VLOOKUP($A77,pivot!$A:$I,計算式2026!AJ$1,FALSE),0)</f>
        <v>0</v>
      </c>
      <c r="AK77" s="9">
        <f>IFERROR(VLOOKUP($A77,pivot!$A:$I,計算式2026!AK$1,FALSE),0)</f>
        <v>0</v>
      </c>
      <c r="AL77" s="9">
        <f>IFERROR(VLOOKUP($A77,pivot!$A:$I,計算式2026!AL$1,FALSE),0)</f>
        <v>0</v>
      </c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</row>
    <row r="78" spans="1:59" s="9" customFormat="1">
      <c r="A78" s="8" t="s">
        <v>1881</v>
      </c>
      <c r="B78" s="8" t="s">
        <v>1878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R78" s="9">
        <v>0</v>
      </c>
      <c r="S78" s="9">
        <v>0</v>
      </c>
      <c r="T78" s="9">
        <v>1</v>
      </c>
      <c r="U78" s="9">
        <v>0</v>
      </c>
      <c r="V78" s="9">
        <v>0</v>
      </c>
      <c r="W78" s="9">
        <v>0</v>
      </c>
      <c r="X78" s="9">
        <v>0</v>
      </c>
      <c r="AE78" s="9">
        <f>IFERROR(VLOOKUP($A78,pivot!$A:$G,計算式2026!AE$1,FALSE),0)</f>
        <v>0</v>
      </c>
      <c r="AF78" s="9">
        <f>IFERROR(VLOOKUP($A78,pivot!$A:$I,計算式2026!AF$1,FALSE),0)</f>
        <v>0</v>
      </c>
      <c r="AI78" s="9">
        <f>IFERROR(VLOOKUP($A78,pivot!$A:$I,計算式2026!AI$1,FALSE),0)</f>
        <v>0</v>
      </c>
      <c r="AJ78" s="9">
        <f>IFERROR(VLOOKUP($A78,pivot!$A:$I,計算式2026!AJ$1,FALSE),0)</f>
        <v>0</v>
      </c>
      <c r="AK78" s="9">
        <f>IFERROR(VLOOKUP($A78,pivot!$A:$I,計算式2026!AK$1,FALSE),0)</f>
        <v>0</v>
      </c>
      <c r="AL78" s="9">
        <f>IFERROR(VLOOKUP($A78,pivot!$A:$I,計算式2026!AL$1,FALSE),0)</f>
        <v>0</v>
      </c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</row>
    <row r="79" spans="1:59" s="9" customFormat="1">
      <c r="A79" s="8" t="s">
        <v>1882</v>
      </c>
      <c r="B79" s="8" t="s">
        <v>1878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R79" s="9">
        <v>0</v>
      </c>
      <c r="S79" s="9">
        <v>0</v>
      </c>
      <c r="T79" s="9">
        <v>-1</v>
      </c>
      <c r="U79" s="9">
        <v>1</v>
      </c>
      <c r="V79" s="9">
        <v>0</v>
      </c>
      <c r="W79" s="9">
        <v>0</v>
      </c>
      <c r="X79" s="9">
        <v>0</v>
      </c>
      <c r="AE79" s="9">
        <f>IFERROR(VLOOKUP($A79,pivot!$A:$G,計算式2026!AE$1,FALSE),0)</f>
        <v>0</v>
      </c>
      <c r="AF79" s="9">
        <f>IFERROR(VLOOKUP($A79,pivot!$A:$I,計算式2026!AF$1,FALSE),0)</f>
        <v>0</v>
      </c>
      <c r="AI79" s="9">
        <f>IFERROR(VLOOKUP($A79,pivot!$A:$I,計算式2026!AI$1,FALSE),0)</f>
        <v>0</v>
      </c>
      <c r="AJ79" s="9">
        <f>IFERROR(VLOOKUP($A79,pivot!$A:$I,計算式2026!AJ$1,FALSE),0)</f>
        <v>0</v>
      </c>
      <c r="AK79" s="9">
        <f>IFERROR(VLOOKUP($A79,pivot!$A:$I,計算式2026!AK$1,FALSE),0)</f>
        <v>0</v>
      </c>
      <c r="AL79" s="9">
        <f>IFERROR(VLOOKUP($A79,pivot!$A:$I,計算式2026!AL$1,FALSE),0)</f>
        <v>0</v>
      </c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</row>
    <row r="80" spans="1:59" s="9" customFormat="1">
      <c r="A80" s="8" t="s">
        <v>2706</v>
      </c>
      <c r="B80" s="8" t="s">
        <v>1884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1</v>
      </c>
      <c r="AE80" s="9">
        <f>IFERROR(VLOOKUP($A80,pivot!$A:$G,計算式2026!AE$1,FALSE),0)</f>
        <v>0</v>
      </c>
      <c r="AF80" s="9">
        <f>IFERROR(VLOOKUP($A80,pivot!$A:$I,計算式2026!AF$1,FALSE),0)</f>
        <v>0</v>
      </c>
      <c r="AI80" s="9">
        <f>IFERROR(VLOOKUP($A80,pivot!$A:$I,計算式2026!AI$1,FALSE),0)</f>
        <v>0</v>
      </c>
      <c r="AJ80" s="9">
        <f>IFERROR(VLOOKUP($A80,pivot!$A:$I,計算式2026!AJ$1,FALSE),0)</f>
        <v>0</v>
      </c>
      <c r="AK80" s="9">
        <f>IFERROR(VLOOKUP($A80,pivot!$A:$I,計算式2026!AK$1,FALSE),0)</f>
        <v>0</v>
      </c>
      <c r="AL80" s="9">
        <f>IFERROR(VLOOKUP($A80,pivot!$A:$I,計算式2026!AL$1,FALSE),0)</f>
        <v>0</v>
      </c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</row>
    <row r="81" spans="1:59" s="9" customFormat="1">
      <c r="A81" s="8" t="s">
        <v>1883</v>
      </c>
      <c r="B81" s="8" t="s">
        <v>1884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R81" s="9">
        <v>0</v>
      </c>
      <c r="S81" s="9">
        <v>0</v>
      </c>
      <c r="T81" s="9">
        <v>0</v>
      </c>
      <c r="U81" s="9">
        <v>1</v>
      </c>
      <c r="V81" s="9">
        <v>1</v>
      </c>
      <c r="W81" s="9">
        <v>0</v>
      </c>
      <c r="X81" s="9">
        <v>0</v>
      </c>
      <c r="AE81" s="9">
        <f>IFERROR(VLOOKUP($A81,pivot!$A:$G,計算式2026!AE$1,FALSE),0)</f>
        <v>0</v>
      </c>
      <c r="AF81" s="9">
        <f>IFERROR(VLOOKUP($A81,pivot!$A:$I,計算式2026!AF$1,FALSE),0)</f>
        <v>0</v>
      </c>
      <c r="AI81" s="9">
        <f>IFERROR(VLOOKUP($A81,pivot!$A:$I,計算式2026!AI$1,FALSE),0)</f>
        <v>0</v>
      </c>
      <c r="AJ81" s="9">
        <f>IFERROR(VLOOKUP($A81,pivot!$A:$I,計算式2026!AJ$1,FALSE),0)</f>
        <v>0</v>
      </c>
      <c r="AK81" s="9">
        <f>IFERROR(VLOOKUP($A81,pivot!$A:$I,計算式2026!AK$1,FALSE),0)</f>
        <v>0</v>
      </c>
      <c r="AL81" s="9">
        <f>IFERROR(VLOOKUP($A81,pivot!$A:$I,計算式2026!AL$1,FALSE),0)</f>
        <v>0</v>
      </c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</row>
    <row r="82" spans="1:59" s="9" customFormat="1">
      <c r="A82" s="8" t="s">
        <v>1885</v>
      </c>
      <c r="B82" s="8" t="s">
        <v>1884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R82" s="9">
        <v>1</v>
      </c>
      <c r="S82" s="9">
        <v>0</v>
      </c>
      <c r="T82" s="9">
        <v>1</v>
      </c>
      <c r="U82" s="9">
        <v>1</v>
      </c>
      <c r="V82" s="9">
        <v>3</v>
      </c>
      <c r="W82" s="9">
        <v>0</v>
      </c>
      <c r="X82" s="9">
        <v>0</v>
      </c>
      <c r="AE82" s="9">
        <f>IFERROR(VLOOKUP($A82,pivot!$A:$G,計算式2026!AE$1,FALSE),0)</f>
        <v>0</v>
      </c>
      <c r="AF82" s="9">
        <f>IFERROR(VLOOKUP($A82,pivot!$A:$I,計算式2026!AF$1,FALSE),0)</f>
        <v>0</v>
      </c>
      <c r="AI82" s="9">
        <f>IFERROR(VLOOKUP($A82,pivot!$A:$I,計算式2026!AI$1,FALSE),0)</f>
        <v>0</v>
      </c>
      <c r="AJ82" s="9">
        <f>IFERROR(VLOOKUP($A82,pivot!$A:$I,計算式2026!AJ$1,FALSE),0)</f>
        <v>0</v>
      </c>
      <c r="AK82" s="9">
        <f>IFERROR(VLOOKUP($A82,pivot!$A:$I,計算式2026!AK$1,FALSE),0)</f>
        <v>0</v>
      </c>
      <c r="AL82" s="9">
        <f>IFERROR(VLOOKUP($A82,pivot!$A:$I,計算式2026!AL$1,FALSE),0)</f>
        <v>0</v>
      </c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</row>
    <row r="83" spans="1:59" s="9" customFormat="1">
      <c r="A83" s="8" t="s">
        <v>1886</v>
      </c>
      <c r="B83" s="8" t="s">
        <v>1887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R83" s="9">
        <v>1</v>
      </c>
      <c r="S83" s="9">
        <v>0</v>
      </c>
      <c r="T83" s="9">
        <v>1</v>
      </c>
      <c r="U83" s="9">
        <v>2</v>
      </c>
      <c r="V83" s="9">
        <v>2</v>
      </c>
      <c r="W83" s="9">
        <v>0</v>
      </c>
      <c r="X83" s="9">
        <v>1</v>
      </c>
      <c r="AE83" s="9">
        <f>IFERROR(VLOOKUP($A83,pivot!$A:$G,計算式2026!AE$1,FALSE),0)</f>
        <v>0</v>
      </c>
      <c r="AF83" s="9">
        <f>IFERROR(VLOOKUP($A83,pivot!$A:$I,計算式2026!AF$1,FALSE),0)</f>
        <v>0</v>
      </c>
      <c r="AI83" s="9">
        <f>IFERROR(VLOOKUP($A83,pivot!$A:$I,計算式2026!AI$1,FALSE),0)</f>
        <v>0</v>
      </c>
      <c r="AJ83" s="9">
        <f>IFERROR(VLOOKUP($A83,pivot!$A:$I,計算式2026!AJ$1,FALSE),0)</f>
        <v>0</v>
      </c>
      <c r="AK83" s="9">
        <f>IFERROR(VLOOKUP($A83,pivot!$A:$I,計算式2026!AK$1,FALSE),0)</f>
        <v>0</v>
      </c>
      <c r="AL83" s="9">
        <f>IFERROR(VLOOKUP($A83,pivot!$A:$I,計算式2026!AL$1,FALSE),0)</f>
        <v>0</v>
      </c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</row>
    <row r="84" spans="1:59" s="9" customFormat="1">
      <c r="A84" s="8" t="s">
        <v>1888</v>
      </c>
      <c r="B84" s="8" t="s">
        <v>1887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R84" s="9">
        <v>1</v>
      </c>
      <c r="S84" s="9">
        <v>0</v>
      </c>
      <c r="T84" s="9">
        <v>0</v>
      </c>
      <c r="U84" s="9">
        <v>2</v>
      </c>
      <c r="V84" s="9">
        <v>2</v>
      </c>
      <c r="W84" s="9">
        <v>0</v>
      </c>
      <c r="X84" s="9">
        <v>0</v>
      </c>
      <c r="AE84" s="9">
        <f>IFERROR(VLOOKUP($A84,pivot!$A:$G,計算式2026!AE$1,FALSE),0)</f>
        <v>0</v>
      </c>
      <c r="AF84" s="9">
        <f>IFERROR(VLOOKUP($A84,pivot!$A:$I,計算式2026!AF$1,FALSE),0)</f>
        <v>0</v>
      </c>
      <c r="AI84" s="9">
        <f>IFERROR(VLOOKUP($A84,pivot!$A:$I,計算式2026!AI$1,FALSE),0)</f>
        <v>0</v>
      </c>
      <c r="AJ84" s="9">
        <f>IFERROR(VLOOKUP($A84,pivot!$A:$I,計算式2026!AJ$1,FALSE),0)</f>
        <v>0</v>
      </c>
      <c r="AK84" s="9">
        <f>IFERROR(VLOOKUP($A84,pivot!$A:$I,計算式2026!AK$1,FALSE),0)</f>
        <v>0</v>
      </c>
      <c r="AL84" s="9">
        <f>IFERROR(VLOOKUP($A84,pivot!$A:$I,計算式2026!AL$1,FALSE),0)</f>
        <v>0</v>
      </c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</row>
    <row r="85" spans="1:59" s="9" customFormat="1">
      <c r="A85" s="8" t="s">
        <v>1889</v>
      </c>
      <c r="B85" s="8" t="s">
        <v>1890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R85" s="9">
        <v>1</v>
      </c>
      <c r="S85" s="9">
        <v>1</v>
      </c>
      <c r="T85" s="9">
        <v>1</v>
      </c>
      <c r="U85" s="9">
        <v>0</v>
      </c>
      <c r="V85" s="9">
        <v>0</v>
      </c>
      <c r="W85" s="9">
        <v>0</v>
      </c>
      <c r="X85" s="9">
        <v>0</v>
      </c>
      <c r="AE85" s="9">
        <f>IFERROR(VLOOKUP($A85,pivot!$A:$G,計算式2026!AE$1,FALSE),0)</f>
        <v>0</v>
      </c>
      <c r="AF85" s="9">
        <f>IFERROR(VLOOKUP($A85,pivot!$A:$I,計算式2026!AF$1,FALSE),0)</f>
        <v>0</v>
      </c>
      <c r="AI85" s="9">
        <f>IFERROR(VLOOKUP($A85,pivot!$A:$I,計算式2026!AI$1,FALSE),0)</f>
        <v>0</v>
      </c>
      <c r="AJ85" s="9">
        <f>IFERROR(VLOOKUP($A85,pivot!$A:$I,計算式2026!AJ$1,FALSE),0)</f>
        <v>0</v>
      </c>
      <c r="AK85" s="9">
        <f>IFERROR(VLOOKUP($A85,pivot!$A:$I,計算式2026!AK$1,FALSE),0)</f>
        <v>0</v>
      </c>
      <c r="AL85" s="9">
        <f>IFERROR(VLOOKUP($A85,pivot!$A:$I,計算式2026!AL$1,FALSE),0)</f>
        <v>0</v>
      </c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</row>
    <row r="86" spans="1:59" s="9" customFormat="1">
      <c r="A86" s="8" t="s">
        <v>2688</v>
      </c>
      <c r="B86" s="8" t="s">
        <v>1890</v>
      </c>
      <c r="C86" s="9">
        <v>2</v>
      </c>
      <c r="D86" s="9">
        <v>2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R86" s="9">
        <v>3</v>
      </c>
      <c r="S86" s="9">
        <v>5</v>
      </c>
      <c r="T86" s="9">
        <v>2</v>
      </c>
      <c r="U86" s="9">
        <v>3</v>
      </c>
      <c r="V86" s="9">
        <v>4</v>
      </c>
      <c r="W86" s="9">
        <v>0</v>
      </c>
      <c r="X86" s="9">
        <v>2</v>
      </c>
      <c r="AE86" s="9">
        <f>IFERROR(VLOOKUP($A86,pivot!$A:$G,計算式2026!AE$1,FALSE),0)</f>
        <v>0</v>
      </c>
      <c r="AF86" s="9">
        <f>IFERROR(VLOOKUP($A86,pivot!$A:$I,計算式2026!AF$1,FALSE),0)</f>
        <v>0</v>
      </c>
      <c r="AI86" s="9">
        <f>IFERROR(VLOOKUP($A86,pivot!$A:$I,計算式2026!AI$1,FALSE),0)</f>
        <v>0</v>
      </c>
      <c r="AJ86" s="9">
        <f>IFERROR(VLOOKUP($A86,pivot!$A:$I,計算式2026!AJ$1,FALSE),0)</f>
        <v>0</v>
      </c>
      <c r="AK86" s="9">
        <f>IFERROR(VLOOKUP($A86,pivot!$A:$I,計算式2026!AK$1,FALSE),0)</f>
        <v>0</v>
      </c>
      <c r="AL86" s="9">
        <f>IFERROR(VLOOKUP($A86,pivot!$A:$I,計算式2026!AL$1,FALSE),0)</f>
        <v>0</v>
      </c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</row>
    <row r="87" spans="1:59" s="9" customFormat="1">
      <c r="A87" s="8" t="s">
        <v>1891</v>
      </c>
      <c r="B87" s="8" t="s">
        <v>1890</v>
      </c>
      <c r="C87" s="9">
        <v>4</v>
      </c>
      <c r="D87" s="9">
        <v>69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R87" s="9">
        <v>6</v>
      </c>
      <c r="S87" s="9">
        <v>6</v>
      </c>
      <c r="T87" s="9">
        <v>2</v>
      </c>
      <c r="U87" s="9">
        <v>3</v>
      </c>
      <c r="V87" s="9">
        <v>6</v>
      </c>
      <c r="W87" s="9">
        <v>3</v>
      </c>
      <c r="X87" s="9">
        <v>3</v>
      </c>
      <c r="AE87" s="9">
        <f>IFERROR(VLOOKUP($A87,pivot!$A:$G,計算式2026!AE$1,FALSE),0)</f>
        <v>0</v>
      </c>
      <c r="AF87" s="9">
        <f>IFERROR(VLOOKUP($A87,pivot!$A:$I,計算式2026!AF$1,FALSE),0)</f>
        <v>0</v>
      </c>
      <c r="AI87" s="9">
        <f>IFERROR(VLOOKUP($A87,pivot!$A:$I,計算式2026!AI$1,FALSE),0)</f>
        <v>0</v>
      </c>
      <c r="AJ87" s="9">
        <f>IFERROR(VLOOKUP($A87,pivot!$A:$I,計算式2026!AJ$1,FALSE),0)</f>
        <v>1</v>
      </c>
      <c r="AK87" s="9">
        <f>IFERROR(VLOOKUP($A87,pivot!$A:$I,計算式2026!AK$1,FALSE),0)</f>
        <v>0</v>
      </c>
      <c r="AL87" s="9">
        <f>IFERROR(VLOOKUP($A87,pivot!$A:$I,計算式2026!AL$1,FALSE),0)</f>
        <v>1</v>
      </c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</row>
    <row r="88" spans="1:59" s="9" customFormat="1">
      <c r="A88" s="8" t="s">
        <v>2628</v>
      </c>
      <c r="B88" s="8" t="s">
        <v>1890</v>
      </c>
      <c r="C88" s="9">
        <v>2</v>
      </c>
      <c r="D88" s="9">
        <v>59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R88" s="9">
        <v>6</v>
      </c>
      <c r="S88" s="9">
        <v>6</v>
      </c>
      <c r="T88" s="9">
        <v>4</v>
      </c>
      <c r="U88" s="9">
        <v>3</v>
      </c>
      <c r="V88" s="9">
        <v>6</v>
      </c>
      <c r="W88" s="9">
        <v>1</v>
      </c>
      <c r="X88" s="9">
        <v>2</v>
      </c>
      <c r="AE88" s="9">
        <f>IFERROR(VLOOKUP($A88,pivot!$A:$G,計算式2026!AE$1,FALSE),0)</f>
        <v>0</v>
      </c>
      <c r="AF88" s="9">
        <f>IFERROR(VLOOKUP($A88,pivot!$A:$I,計算式2026!AF$1,FALSE),0)</f>
        <v>0</v>
      </c>
      <c r="AI88" s="9">
        <f>IFERROR(VLOOKUP($A88,pivot!$A:$I,計算式2026!AI$1,FALSE),0)</f>
        <v>0</v>
      </c>
      <c r="AJ88" s="9">
        <f>IFERROR(VLOOKUP($A88,pivot!$A:$I,計算式2026!AJ$1,FALSE),0)</f>
        <v>0</v>
      </c>
      <c r="AK88" s="9">
        <f>IFERROR(VLOOKUP($A88,pivot!$A:$I,計算式2026!AK$1,FALSE),0)</f>
        <v>0</v>
      </c>
      <c r="AL88" s="9">
        <f>IFERROR(VLOOKUP($A88,pivot!$A:$I,計算式2026!AL$1,FALSE),0)</f>
        <v>0</v>
      </c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</row>
    <row r="89" spans="1:59" s="9" customFormat="1">
      <c r="A89" s="8" t="s">
        <v>1892</v>
      </c>
      <c r="B89" s="8" t="s">
        <v>1890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R89" s="9">
        <v>4</v>
      </c>
      <c r="S89" s="9">
        <v>5</v>
      </c>
      <c r="T89" s="9">
        <v>2</v>
      </c>
      <c r="U89" s="9">
        <v>0</v>
      </c>
      <c r="V89" s="9">
        <v>4</v>
      </c>
      <c r="W89" s="9">
        <v>1</v>
      </c>
      <c r="X89" s="9">
        <v>2</v>
      </c>
      <c r="AE89" s="9">
        <f>IFERROR(VLOOKUP($A89,pivot!$A:$G,計算式2026!AE$1,FALSE),0)</f>
        <v>0</v>
      </c>
      <c r="AF89" s="9">
        <f>IFERROR(VLOOKUP($A89,pivot!$A:$I,計算式2026!AF$1,FALSE),0)</f>
        <v>0</v>
      </c>
      <c r="AI89" s="9">
        <f>IFERROR(VLOOKUP($A89,pivot!$A:$I,計算式2026!AI$1,FALSE),0)</f>
        <v>0</v>
      </c>
      <c r="AJ89" s="9">
        <f>IFERROR(VLOOKUP($A89,pivot!$A:$I,計算式2026!AJ$1,FALSE),0)</f>
        <v>0</v>
      </c>
      <c r="AK89" s="9">
        <f>IFERROR(VLOOKUP($A89,pivot!$A:$I,計算式2026!AK$1,FALSE),0)</f>
        <v>0</v>
      </c>
      <c r="AL89" s="9">
        <f>IFERROR(VLOOKUP($A89,pivot!$A:$I,計算式2026!AL$1,FALSE),0)</f>
        <v>0</v>
      </c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</row>
    <row r="90" spans="1:59" s="9" customFormat="1">
      <c r="A90" s="8" t="s">
        <v>2677</v>
      </c>
      <c r="B90" s="8" t="s">
        <v>1890</v>
      </c>
      <c r="C90" s="9">
        <v>1</v>
      </c>
      <c r="D90" s="9">
        <v>12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R90" s="9">
        <v>5</v>
      </c>
      <c r="S90" s="9">
        <v>5</v>
      </c>
      <c r="T90" s="9">
        <v>2</v>
      </c>
      <c r="U90" s="9">
        <v>3</v>
      </c>
      <c r="V90" s="9">
        <v>4</v>
      </c>
      <c r="W90" s="9">
        <v>1</v>
      </c>
      <c r="X90" s="9">
        <v>2</v>
      </c>
      <c r="AE90" s="9">
        <f>IFERROR(VLOOKUP($A90,pivot!$A:$G,計算式2026!AE$1,FALSE),0)</f>
        <v>0</v>
      </c>
      <c r="AF90" s="9">
        <f>IFERROR(VLOOKUP($A90,pivot!$A:$I,計算式2026!AF$1,FALSE),0)</f>
        <v>0</v>
      </c>
      <c r="AI90" s="9">
        <f>IFERROR(VLOOKUP($A90,pivot!$A:$I,計算式2026!AI$1,FALSE),0)</f>
        <v>0</v>
      </c>
      <c r="AJ90" s="9">
        <f>IFERROR(VLOOKUP($A90,pivot!$A:$I,計算式2026!AJ$1,FALSE),0)</f>
        <v>0</v>
      </c>
      <c r="AK90" s="9">
        <f>IFERROR(VLOOKUP($A90,pivot!$A:$I,計算式2026!AK$1,FALSE),0)</f>
        <v>0</v>
      </c>
      <c r="AL90" s="9">
        <f>IFERROR(VLOOKUP($A90,pivot!$A:$I,計算式2026!AL$1,FALSE),0)</f>
        <v>0</v>
      </c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</row>
    <row r="91" spans="1:59" s="9" customFormat="1">
      <c r="A91" s="8" t="s">
        <v>2707</v>
      </c>
      <c r="B91" s="8" t="s">
        <v>1894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1</v>
      </c>
      <c r="AE91" s="9">
        <f>IFERROR(VLOOKUP($A91,pivot!$A:$G,計算式2026!AE$1,FALSE),0)</f>
        <v>0</v>
      </c>
      <c r="AF91" s="9">
        <f>IFERROR(VLOOKUP($A91,pivot!$A:$I,計算式2026!AF$1,FALSE),0)</f>
        <v>0</v>
      </c>
      <c r="AI91" s="9">
        <f>IFERROR(VLOOKUP($A91,pivot!$A:$I,計算式2026!AI$1,FALSE),0)</f>
        <v>0</v>
      </c>
      <c r="AJ91" s="9">
        <f>IFERROR(VLOOKUP($A91,pivot!$A:$I,計算式2026!AJ$1,FALSE),0)</f>
        <v>0</v>
      </c>
      <c r="AK91" s="9">
        <f>IFERROR(VLOOKUP($A91,pivot!$A:$I,計算式2026!AK$1,FALSE),0)</f>
        <v>0</v>
      </c>
      <c r="AL91" s="9">
        <f>IFERROR(VLOOKUP($A91,pivot!$A:$I,計算式2026!AL$1,FALSE),0)</f>
        <v>0</v>
      </c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</row>
    <row r="92" spans="1:59" s="9" customFormat="1">
      <c r="A92" s="8" t="s">
        <v>2659</v>
      </c>
      <c r="B92" s="8" t="s">
        <v>1894</v>
      </c>
      <c r="C92" s="9">
        <v>0</v>
      </c>
      <c r="D92" s="9">
        <v>4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R92" s="9">
        <v>4</v>
      </c>
      <c r="S92" s="9">
        <v>3</v>
      </c>
      <c r="T92" s="9">
        <v>2</v>
      </c>
      <c r="U92" s="9">
        <v>2</v>
      </c>
      <c r="V92" s="9">
        <v>3</v>
      </c>
      <c r="W92" s="9">
        <v>1</v>
      </c>
      <c r="X92" s="9">
        <v>2</v>
      </c>
      <c r="AE92" s="9">
        <f>IFERROR(VLOOKUP($A92,pivot!$A:$G,計算式2026!AE$1,FALSE),0)</f>
        <v>0</v>
      </c>
      <c r="AF92" s="9">
        <f>IFERROR(VLOOKUP($A92,pivot!$A:$I,計算式2026!AF$1,FALSE),0)</f>
        <v>0</v>
      </c>
      <c r="AI92" s="9">
        <f>IFERROR(VLOOKUP($A92,pivot!$A:$I,計算式2026!AI$1,FALSE),0)</f>
        <v>0</v>
      </c>
      <c r="AJ92" s="9">
        <f>IFERROR(VLOOKUP($A92,pivot!$A:$I,計算式2026!AJ$1,FALSE),0)</f>
        <v>0</v>
      </c>
      <c r="AK92" s="9">
        <f>IFERROR(VLOOKUP($A92,pivot!$A:$I,計算式2026!AK$1,FALSE),0)</f>
        <v>0</v>
      </c>
      <c r="AL92" s="9">
        <f>IFERROR(VLOOKUP($A92,pivot!$A:$I,計算式2026!AL$1,FALSE),0)</f>
        <v>0</v>
      </c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</row>
    <row r="93" spans="1:59" s="9" customFormat="1">
      <c r="A93" s="8" t="s">
        <v>1893</v>
      </c>
      <c r="B93" s="8" t="s">
        <v>1894</v>
      </c>
      <c r="C93" s="9">
        <v>0</v>
      </c>
      <c r="D93" s="9">
        <v>65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R93" s="9">
        <v>6</v>
      </c>
      <c r="S93" s="9">
        <v>4</v>
      </c>
      <c r="T93" s="9">
        <v>2</v>
      </c>
      <c r="U93" s="9">
        <v>5</v>
      </c>
      <c r="V93" s="9">
        <v>5</v>
      </c>
      <c r="W93" s="9">
        <v>0</v>
      </c>
      <c r="X93" s="9">
        <v>3</v>
      </c>
      <c r="AE93" s="9">
        <f>IFERROR(VLOOKUP($A93,pivot!$A:$G,計算式2026!AE$1,FALSE),0)</f>
        <v>0</v>
      </c>
      <c r="AF93" s="9">
        <f>IFERROR(VLOOKUP($A93,pivot!$A:$I,計算式2026!AF$1,FALSE),0)</f>
        <v>0</v>
      </c>
      <c r="AI93" s="9">
        <f>IFERROR(VLOOKUP($A93,pivot!$A:$I,計算式2026!AI$1,FALSE),0)</f>
        <v>0</v>
      </c>
      <c r="AJ93" s="9">
        <f>IFERROR(VLOOKUP($A93,pivot!$A:$I,計算式2026!AJ$1,FALSE),0)</f>
        <v>1</v>
      </c>
      <c r="AK93" s="9">
        <f>IFERROR(VLOOKUP($A93,pivot!$A:$I,計算式2026!AK$1,FALSE),0)</f>
        <v>0</v>
      </c>
      <c r="AL93" s="9">
        <f>IFERROR(VLOOKUP($A93,pivot!$A:$I,計算式2026!AL$1,FALSE),0)</f>
        <v>0</v>
      </c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</row>
    <row r="94" spans="1:59" s="9" customFormat="1">
      <c r="A94" s="8" t="s">
        <v>2624</v>
      </c>
      <c r="B94" s="8" t="s">
        <v>1894</v>
      </c>
      <c r="C94" s="9">
        <v>55</v>
      </c>
      <c r="D94" s="9">
        <v>16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R94" s="9">
        <v>4</v>
      </c>
      <c r="S94" s="9">
        <v>5</v>
      </c>
      <c r="T94" s="9">
        <v>1</v>
      </c>
      <c r="U94" s="9">
        <v>5</v>
      </c>
      <c r="V94" s="9">
        <v>5</v>
      </c>
      <c r="W94" s="9">
        <v>1</v>
      </c>
      <c r="X94" s="9">
        <v>2</v>
      </c>
      <c r="AE94" s="9">
        <f>IFERROR(VLOOKUP($A94,pivot!$A:$G,計算式2026!AE$1,FALSE),0)</f>
        <v>0</v>
      </c>
      <c r="AF94" s="9">
        <f>IFERROR(VLOOKUP($A94,pivot!$A:$I,計算式2026!AF$1,FALSE),0)</f>
        <v>0</v>
      </c>
      <c r="AI94" s="9">
        <f>IFERROR(VLOOKUP($A94,pivot!$A:$I,計算式2026!AI$1,FALSE),0)</f>
        <v>0</v>
      </c>
      <c r="AJ94" s="9">
        <f>IFERROR(VLOOKUP($A94,pivot!$A:$I,計算式2026!AJ$1,FALSE),0)</f>
        <v>0</v>
      </c>
      <c r="AK94" s="9">
        <f>IFERROR(VLOOKUP($A94,pivot!$A:$I,計算式2026!AK$1,FALSE),0)</f>
        <v>0</v>
      </c>
      <c r="AL94" s="9">
        <f>IFERROR(VLOOKUP($A94,pivot!$A:$I,計算式2026!AL$1,FALSE),0)</f>
        <v>0</v>
      </c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</row>
    <row r="95" spans="1:59" s="9" customFormat="1">
      <c r="A95" s="8" t="s">
        <v>1895</v>
      </c>
      <c r="B95" s="8" t="s">
        <v>1894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R95" s="9">
        <v>2</v>
      </c>
      <c r="S95" s="9">
        <v>1</v>
      </c>
      <c r="T95" s="9">
        <v>2</v>
      </c>
      <c r="U95" s="9">
        <v>0</v>
      </c>
      <c r="V95" s="9">
        <v>2</v>
      </c>
      <c r="W95" s="9">
        <v>0</v>
      </c>
      <c r="X95" s="9">
        <v>2</v>
      </c>
      <c r="AE95" s="9">
        <f>IFERROR(VLOOKUP($A95,pivot!$A:$G,計算式2026!AE$1,FALSE),0)</f>
        <v>0</v>
      </c>
      <c r="AF95" s="9">
        <f>IFERROR(VLOOKUP($A95,pivot!$A:$I,計算式2026!AF$1,FALSE),0)</f>
        <v>0</v>
      </c>
      <c r="AI95" s="9">
        <f>IFERROR(VLOOKUP($A95,pivot!$A:$I,計算式2026!AI$1,FALSE),0)</f>
        <v>0</v>
      </c>
      <c r="AJ95" s="9">
        <f>IFERROR(VLOOKUP($A95,pivot!$A:$I,計算式2026!AJ$1,FALSE),0)</f>
        <v>0</v>
      </c>
      <c r="AK95" s="9">
        <f>IFERROR(VLOOKUP($A95,pivot!$A:$I,計算式2026!AK$1,FALSE),0)</f>
        <v>0</v>
      </c>
      <c r="AL95" s="9">
        <f>IFERROR(VLOOKUP($A95,pivot!$A:$I,計算式2026!AL$1,FALSE),0)</f>
        <v>0</v>
      </c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</row>
    <row r="96" spans="1:59" s="9" customFormat="1">
      <c r="A96" s="8" t="s">
        <v>2653</v>
      </c>
      <c r="B96" s="8" t="s">
        <v>1894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R96" s="9">
        <v>3</v>
      </c>
      <c r="S96" s="9">
        <v>3</v>
      </c>
      <c r="T96" s="9">
        <v>2</v>
      </c>
      <c r="U96" s="9">
        <v>1</v>
      </c>
      <c r="V96" s="9">
        <v>1</v>
      </c>
      <c r="W96" s="9">
        <v>1</v>
      </c>
      <c r="X96" s="9">
        <v>2</v>
      </c>
      <c r="AE96" s="9">
        <f>IFERROR(VLOOKUP($A96,pivot!$A:$G,計算式2026!AE$1,FALSE),0)</f>
        <v>0</v>
      </c>
      <c r="AF96" s="9">
        <f>IFERROR(VLOOKUP($A96,pivot!$A:$I,計算式2026!AF$1,FALSE),0)</f>
        <v>0</v>
      </c>
      <c r="AI96" s="9">
        <f>IFERROR(VLOOKUP($A96,pivot!$A:$I,計算式2026!AI$1,FALSE),0)</f>
        <v>0</v>
      </c>
      <c r="AJ96" s="9">
        <f>IFERROR(VLOOKUP($A96,pivot!$A:$I,計算式2026!AJ$1,FALSE),0)</f>
        <v>0</v>
      </c>
      <c r="AK96" s="9">
        <f>IFERROR(VLOOKUP($A96,pivot!$A:$I,計算式2026!AK$1,FALSE),0)</f>
        <v>0</v>
      </c>
      <c r="AL96" s="9">
        <f>IFERROR(VLOOKUP($A96,pivot!$A:$I,計算式2026!AL$1,FALSE),0)</f>
        <v>0</v>
      </c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</row>
    <row r="97" spans="1:59" s="9" customFormat="1">
      <c r="A97" s="8" t="s">
        <v>1896</v>
      </c>
      <c r="B97" s="8" t="s">
        <v>1897</v>
      </c>
      <c r="C97" s="9">
        <v>1</v>
      </c>
      <c r="D97" s="9">
        <v>8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R97" s="9">
        <v>1</v>
      </c>
      <c r="S97" s="9">
        <v>2</v>
      </c>
      <c r="T97" s="9">
        <v>1</v>
      </c>
      <c r="U97" s="9">
        <v>0</v>
      </c>
      <c r="V97" s="9">
        <v>2</v>
      </c>
      <c r="W97" s="9">
        <v>0</v>
      </c>
      <c r="X97" s="9">
        <v>1</v>
      </c>
      <c r="AE97" s="9">
        <f>IFERROR(VLOOKUP($A97,pivot!$A:$G,計算式2026!AE$1,FALSE),0)</f>
        <v>0</v>
      </c>
      <c r="AF97" s="9">
        <f>IFERROR(VLOOKUP($A97,pivot!$A:$I,計算式2026!AF$1,FALSE),0)</f>
        <v>0</v>
      </c>
      <c r="AI97" s="9">
        <f>IFERROR(VLOOKUP($A97,pivot!$A:$I,計算式2026!AI$1,FALSE),0)</f>
        <v>0</v>
      </c>
      <c r="AJ97" s="9">
        <f>IFERROR(VLOOKUP($A97,pivot!$A:$I,計算式2026!AJ$1,FALSE),0)</f>
        <v>0</v>
      </c>
      <c r="AK97" s="9">
        <f>IFERROR(VLOOKUP($A97,pivot!$A:$I,計算式2026!AK$1,FALSE),0)</f>
        <v>0</v>
      </c>
      <c r="AL97" s="9">
        <f>IFERROR(VLOOKUP($A97,pivot!$A:$I,計算式2026!AL$1,FALSE),0)</f>
        <v>0</v>
      </c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</row>
    <row r="98" spans="1:59" s="9" customFormat="1">
      <c r="A98" s="8" t="s">
        <v>1898</v>
      </c>
      <c r="B98" s="8" t="s">
        <v>1897</v>
      </c>
      <c r="C98" s="9">
        <v>1</v>
      </c>
      <c r="D98" s="9">
        <v>12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R98" s="9">
        <v>1</v>
      </c>
      <c r="S98" s="9">
        <v>2</v>
      </c>
      <c r="T98" s="9">
        <v>1</v>
      </c>
      <c r="U98" s="9">
        <v>0</v>
      </c>
      <c r="V98" s="9">
        <v>2</v>
      </c>
      <c r="W98" s="9">
        <v>0</v>
      </c>
      <c r="X98" s="9">
        <v>1</v>
      </c>
      <c r="AE98" s="9">
        <f>IFERROR(VLOOKUP($A98,pivot!$A:$G,計算式2026!AE$1,FALSE),0)</f>
        <v>0</v>
      </c>
      <c r="AF98" s="9">
        <f>IFERROR(VLOOKUP($A98,pivot!$A:$I,計算式2026!AF$1,FALSE),0)</f>
        <v>0</v>
      </c>
      <c r="AI98" s="9">
        <f>IFERROR(VLOOKUP($A98,pivot!$A:$I,計算式2026!AI$1,FALSE),0)</f>
        <v>0</v>
      </c>
      <c r="AJ98" s="9">
        <f>IFERROR(VLOOKUP($A98,pivot!$A:$I,計算式2026!AJ$1,FALSE),0)</f>
        <v>0</v>
      </c>
      <c r="AK98" s="9">
        <f>IFERROR(VLOOKUP($A98,pivot!$A:$I,計算式2026!AK$1,FALSE),0)</f>
        <v>0</v>
      </c>
      <c r="AL98" s="9">
        <f>IFERROR(VLOOKUP($A98,pivot!$A:$I,計算式2026!AL$1,FALSE),0)</f>
        <v>0</v>
      </c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</row>
    <row r="99" spans="1:59" s="9" customFormat="1">
      <c r="A99" s="8" t="s">
        <v>1899</v>
      </c>
      <c r="B99" s="8" t="s">
        <v>1900</v>
      </c>
      <c r="C99" s="9">
        <v>1</v>
      </c>
      <c r="D99" s="9">
        <v>2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R99" s="9">
        <v>1</v>
      </c>
      <c r="S99" s="9">
        <v>2</v>
      </c>
      <c r="T99" s="9">
        <v>1</v>
      </c>
      <c r="U99" s="9">
        <v>0</v>
      </c>
      <c r="V99" s="9">
        <v>2</v>
      </c>
      <c r="W99" s="9">
        <v>0</v>
      </c>
      <c r="X99" s="9">
        <v>1</v>
      </c>
      <c r="AE99" s="9">
        <f>IFERROR(VLOOKUP($A99,pivot!$A:$G,計算式2026!AE$1,FALSE),0)</f>
        <v>0</v>
      </c>
      <c r="AF99" s="9">
        <f>IFERROR(VLOOKUP($A99,pivot!$A:$I,計算式2026!AF$1,FALSE),0)</f>
        <v>0</v>
      </c>
      <c r="AI99" s="9">
        <f>IFERROR(VLOOKUP($A99,pivot!$A:$I,計算式2026!AI$1,FALSE),0)</f>
        <v>0</v>
      </c>
      <c r="AJ99" s="9">
        <f>IFERROR(VLOOKUP($A99,pivot!$A:$I,計算式2026!AJ$1,FALSE),0)</f>
        <v>0</v>
      </c>
      <c r="AK99" s="9">
        <f>IFERROR(VLOOKUP($A99,pivot!$A:$I,計算式2026!AK$1,FALSE),0)</f>
        <v>0</v>
      </c>
      <c r="AL99" s="9">
        <f>IFERROR(VLOOKUP($A99,pivot!$A:$I,計算式2026!AL$1,FALSE),0)</f>
        <v>0</v>
      </c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</row>
    <row r="100" spans="1:59" s="9" customFormat="1">
      <c r="A100" s="8" t="s">
        <v>1901</v>
      </c>
      <c r="B100" s="8" t="s">
        <v>1900</v>
      </c>
      <c r="C100" s="9">
        <v>0</v>
      </c>
      <c r="D100" s="9">
        <v>12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R100" s="9">
        <v>2</v>
      </c>
      <c r="S100" s="9">
        <v>1</v>
      </c>
      <c r="T100" s="9">
        <v>1</v>
      </c>
      <c r="U100" s="9">
        <v>0</v>
      </c>
      <c r="V100" s="9">
        <v>2</v>
      </c>
      <c r="W100" s="9">
        <v>0</v>
      </c>
      <c r="X100" s="9">
        <v>1</v>
      </c>
      <c r="AE100" s="9">
        <f>IFERROR(VLOOKUP($A100,pivot!$A:$G,計算式2026!AE$1,FALSE),0)</f>
        <v>0</v>
      </c>
      <c r="AF100" s="9">
        <f>IFERROR(VLOOKUP($A100,pivot!$A:$I,計算式2026!AF$1,FALSE),0)</f>
        <v>0</v>
      </c>
      <c r="AI100" s="9">
        <f>IFERROR(VLOOKUP($A100,pivot!$A:$I,計算式2026!AI$1,FALSE),0)</f>
        <v>0</v>
      </c>
      <c r="AJ100" s="9">
        <f>IFERROR(VLOOKUP($A100,pivot!$A:$I,計算式2026!AJ$1,FALSE),0)</f>
        <v>0</v>
      </c>
      <c r="AK100" s="9">
        <f>IFERROR(VLOOKUP($A100,pivot!$A:$I,計算式2026!AK$1,FALSE),0)</f>
        <v>0</v>
      </c>
      <c r="AL100" s="9">
        <f>IFERROR(VLOOKUP($A100,pivot!$A:$I,計算式2026!AL$1,FALSE),0)</f>
        <v>0</v>
      </c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</row>
    <row r="101" spans="1:59" s="9" customFormat="1">
      <c r="A101" s="8" t="s">
        <v>1902</v>
      </c>
      <c r="B101" s="8" t="s">
        <v>1903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R101" s="9">
        <v>0</v>
      </c>
      <c r="S101" s="9">
        <v>2</v>
      </c>
      <c r="T101" s="9">
        <v>1</v>
      </c>
      <c r="U101" s="9">
        <v>0</v>
      </c>
      <c r="V101" s="9">
        <v>0</v>
      </c>
      <c r="W101" s="9">
        <v>1</v>
      </c>
      <c r="X101" s="9">
        <v>1</v>
      </c>
      <c r="AE101" s="9">
        <f>IFERROR(VLOOKUP($A101,pivot!$A:$G,計算式2026!AE$1,FALSE),0)</f>
        <v>0</v>
      </c>
      <c r="AF101" s="9">
        <f>IFERROR(VLOOKUP($A101,pivot!$A:$I,計算式2026!AF$1,FALSE),0)</f>
        <v>0</v>
      </c>
      <c r="AI101" s="9">
        <f>IFERROR(VLOOKUP($A101,pivot!$A:$I,計算式2026!AI$1,FALSE),0)</f>
        <v>0</v>
      </c>
      <c r="AJ101" s="9">
        <f>IFERROR(VLOOKUP($A101,pivot!$A:$I,計算式2026!AJ$1,FALSE),0)</f>
        <v>0</v>
      </c>
      <c r="AK101" s="9">
        <f>IFERROR(VLOOKUP($A101,pivot!$A:$I,計算式2026!AK$1,FALSE),0)</f>
        <v>0</v>
      </c>
      <c r="AL101" s="9">
        <f>IFERROR(VLOOKUP($A101,pivot!$A:$I,計算式2026!AL$1,FALSE),0)</f>
        <v>0</v>
      </c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</row>
    <row r="102" spans="1:59" s="9" customFormat="1">
      <c r="A102" s="8" t="s">
        <v>1904</v>
      </c>
      <c r="B102" s="8" t="s">
        <v>1903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R102" s="9">
        <v>0</v>
      </c>
      <c r="S102" s="9">
        <v>2</v>
      </c>
      <c r="T102" s="9">
        <v>0</v>
      </c>
      <c r="U102" s="9">
        <v>0</v>
      </c>
      <c r="V102" s="9">
        <v>0</v>
      </c>
      <c r="W102" s="9">
        <v>1</v>
      </c>
      <c r="X102" s="9">
        <v>1</v>
      </c>
      <c r="AE102" s="9">
        <f>IFERROR(VLOOKUP($A102,pivot!$A:$G,計算式2026!AE$1,FALSE),0)</f>
        <v>0</v>
      </c>
      <c r="AF102" s="9">
        <f>IFERROR(VLOOKUP($A102,pivot!$A:$I,計算式2026!AF$1,FALSE),0)</f>
        <v>0</v>
      </c>
      <c r="AI102" s="9">
        <f>IFERROR(VLOOKUP($A102,pivot!$A:$I,計算式2026!AI$1,FALSE),0)</f>
        <v>0</v>
      </c>
      <c r="AJ102" s="9">
        <f>IFERROR(VLOOKUP($A102,pivot!$A:$I,計算式2026!AJ$1,FALSE),0)</f>
        <v>0</v>
      </c>
      <c r="AK102" s="9">
        <f>IFERROR(VLOOKUP($A102,pivot!$A:$I,計算式2026!AK$1,FALSE),0)</f>
        <v>0</v>
      </c>
      <c r="AL102" s="9">
        <f>IFERROR(VLOOKUP($A102,pivot!$A:$I,計算式2026!AL$1,FALSE),0)</f>
        <v>0</v>
      </c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</row>
    <row r="103" spans="1:59" s="9" customFormat="1">
      <c r="A103" s="8" t="s">
        <v>1905</v>
      </c>
      <c r="B103" s="8" t="s">
        <v>1903</v>
      </c>
      <c r="C103" s="9">
        <v>2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R103" s="9">
        <v>0</v>
      </c>
      <c r="S103" s="9">
        <v>3</v>
      </c>
      <c r="T103" s="9">
        <v>1</v>
      </c>
      <c r="U103" s="9">
        <v>0</v>
      </c>
      <c r="V103" s="9">
        <v>0</v>
      </c>
      <c r="W103" s="9">
        <v>1</v>
      </c>
      <c r="X103" s="9">
        <v>1</v>
      </c>
      <c r="AE103" s="9">
        <f>IFERROR(VLOOKUP($A103,pivot!$A:$G,計算式2026!AE$1,FALSE),0)</f>
        <v>0</v>
      </c>
      <c r="AF103" s="9">
        <f>IFERROR(VLOOKUP($A103,pivot!$A:$I,計算式2026!AF$1,FALSE),0)</f>
        <v>0</v>
      </c>
      <c r="AI103" s="9">
        <f>IFERROR(VLOOKUP($A103,pivot!$A:$I,計算式2026!AI$1,FALSE),0)</f>
        <v>0</v>
      </c>
      <c r="AJ103" s="9">
        <f>IFERROR(VLOOKUP($A103,pivot!$A:$I,計算式2026!AJ$1,FALSE),0)</f>
        <v>0</v>
      </c>
      <c r="AK103" s="9">
        <f>IFERROR(VLOOKUP($A103,pivot!$A:$I,計算式2026!AK$1,FALSE),0)</f>
        <v>0</v>
      </c>
      <c r="AL103" s="9">
        <f>IFERROR(VLOOKUP($A103,pivot!$A:$I,計算式2026!AL$1,FALSE),0)</f>
        <v>0</v>
      </c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</row>
    <row r="104" spans="1:59" s="9" customFormat="1">
      <c r="A104" s="8" t="s">
        <v>1906</v>
      </c>
      <c r="B104" s="8" t="s">
        <v>1903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R104" s="9">
        <v>0</v>
      </c>
      <c r="S104" s="9">
        <v>0</v>
      </c>
      <c r="T104" s="9">
        <v>1</v>
      </c>
      <c r="U104" s="9">
        <v>0</v>
      </c>
      <c r="V104" s="9">
        <v>0</v>
      </c>
      <c r="W104" s="9">
        <v>0</v>
      </c>
      <c r="X104" s="9">
        <v>1</v>
      </c>
      <c r="AE104" s="9">
        <f>IFERROR(VLOOKUP($A104,pivot!$A:$G,計算式2026!AE$1,FALSE),0)</f>
        <v>0</v>
      </c>
      <c r="AF104" s="9">
        <f>IFERROR(VLOOKUP($A104,pivot!$A:$I,計算式2026!AF$1,FALSE),0)</f>
        <v>0</v>
      </c>
      <c r="AI104" s="9">
        <f>IFERROR(VLOOKUP($A104,pivot!$A:$I,計算式2026!AI$1,FALSE),0)</f>
        <v>0</v>
      </c>
      <c r="AJ104" s="9">
        <f>IFERROR(VLOOKUP($A104,pivot!$A:$I,計算式2026!AJ$1,FALSE),0)</f>
        <v>0</v>
      </c>
      <c r="AK104" s="9">
        <f>IFERROR(VLOOKUP($A104,pivot!$A:$I,計算式2026!AK$1,FALSE),0)</f>
        <v>0</v>
      </c>
      <c r="AL104" s="9">
        <f>IFERROR(VLOOKUP($A104,pivot!$A:$I,計算式2026!AL$1,FALSE),0)</f>
        <v>0</v>
      </c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</row>
    <row r="105" spans="1:59" s="9" customFormat="1">
      <c r="A105" s="8" t="s">
        <v>1907</v>
      </c>
      <c r="B105" s="8" t="s">
        <v>1903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R105" s="9">
        <v>0</v>
      </c>
      <c r="S105" s="9">
        <v>0</v>
      </c>
      <c r="T105" s="9">
        <v>1</v>
      </c>
      <c r="U105" s="9">
        <v>0</v>
      </c>
      <c r="V105" s="9">
        <v>0</v>
      </c>
      <c r="W105" s="9">
        <v>1</v>
      </c>
      <c r="X105" s="9">
        <v>1</v>
      </c>
      <c r="AE105" s="9">
        <f>IFERROR(VLOOKUP($A105,pivot!$A:$G,計算式2026!AE$1,FALSE),0)</f>
        <v>0</v>
      </c>
      <c r="AF105" s="9">
        <f>IFERROR(VLOOKUP($A105,pivot!$A:$I,計算式2026!AF$1,FALSE),0)</f>
        <v>0</v>
      </c>
      <c r="AI105" s="9">
        <f>IFERROR(VLOOKUP($A105,pivot!$A:$I,計算式2026!AI$1,FALSE),0)</f>
        <v>0</v>
      </c>
      <c r="AJ105" s="9">
        <f>IFERROR(VLOOKUP($A105,pivot!$A:$I,計算式2026!AJ$1,FALSE),0)</f>
        <v>0</v>
      </c>
      <c r="AK105" s="9">
        <f>IFERROR(VLOOKUP($A105,pivot!$A:$I,計算式2026!AK$1,FALSE),0)</f>
        <v>0</v>
      </c>
      <c r="AL105" s="9">
        <f>IFERROR(VLOOKUP($A105,pivot!$A:$I,計算式2026!AL$1,FALSE),0)</f>
        <v>0</v>
      </c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</row>
    <row r="106" spans="1:59" s="9" customFormat="1">
      <c r="A106" s="8" t="s">
        <v>1908</v>
      </c>
      <c r="B106" s="8" t="s">
        <v>1909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R106" s="9">
        <v>2</v>
      </c>
      <c r="S106" s="9">
        <v>2</v>
      </c>
      <c r="T106" s="9">
        <v>1</v>
      </c>
      <c r="U106" s="9">
        <v>0</v>
      </c>
      <c r="V106" s="9">
        <v>3</v>
      </c>
      <c r="W106" s="9">
        <v>1</v>
      </c>
      <c r="X106" s="9">
        <v>1</v>
      </c>
      <c r="AE106" s="9">
        <f>IFERROR(VLOOKUP($A106,pivot!$A:$G,計算式2026!AE$1,FALSE),0)</f>
        <v>0</v>
      </c>
      <c r="AF106" s="9">
        <f>IFERROR(VLOOKUP($A106,pivot!$A:$I,計算式2026!AF$1,FALSE),0)</f>
        <v>0</v>
      </c>
      <c r="AI106" s="9">
        <f>IFERROR(VLOOKUP($A106,pivot!$A:$I,計算式2026!AI$1,FALSE),0)</f>
        <v>0</v>
      </c>
      <c r="AJ106" s="9">
        <f>IFERROR(VLOOKUP($A106,pivot!$A:$I,計算式2026!AJ$1,FALSE),0)</f>
        <v>1</v>
      </c>
      <c r="AK106" s="9">
        <f>IFERROR(VLOOKUP($A106,pivot!$A:$I,計算式2026!AK$1,FALSE),0)</f>
        <v>0</v>
      </c>
      <c r="AL106" s="9">
        <f>IFERROR(VLOOKUP($A106,pivot!$A:$I,計算式2026!AL$1,FALSE),0)</f>
        <v>0</v>
      </c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</row>
    <row r="107" spans="1:59" s="9" customFormat="1">
      <c r="A107" s="8" t="s">
        <v>1910</v>
      </c>
      <c r="B107" s="8" t="s">
        <v>1909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R107" s="9">
        <v>1</v>
      </c>
      <c r="S107" s="9">
        <v>0</v>
      </c>
      <c r="T107" s="9">
        <v>0</v>
      </c>
      <c r="U107" s="9">
        <v>1</v>
      </c>
      <c r="V107" s="9">
        <v>3</v>
      </c>
      <c r="W107" s="9">
        <v>0</v>
      </c>
      <c r="X107" s="9">
        <v>2</v>
      </c>
      <c r="AE107" s="9">
        <f>IFERROR(VLOOKUP($A107,pivot!$A:$G,計算式2026!AE$1,FALSE),0)</f>
        <v>0</v>
      </c>
      <c r="AF107" s="9">
        <f>IFERROR(VLOOKUP($A107,pivot!$A:$I,計算式2026!AF$1,FALSE),0)</f>
        <v>0</v>
      </c>
      <c r="AI107" s="9">
        <f>IFERROR(VLOOKUP($A107,pivot!$A:$I,計算式2026!AI$1,FALSE),0)</f>
        <v>0</v>
      </c>
      <c r="AJ107" s="9">
        <f>IFERROR(VLOOKUP($A107,pivot!$A:$I,計算式2026!AJ$1,FALSE),0)</f>
        <v>0</v>
      </c>
      <c r="AK107" s="9">
        <f>IFERROR(VLOOKUP($A107,pivot!$A:$I,計算式2026!AK$1,FALSE),0)</f>
        <v>0</v>
      </c>
      <c r="AL107" s="9">
        <f>IFERROR(VLOOKUP($A107,pivot!$A:$I,計算式2026!AL$1,FALSE),0)</f>
        <v>0</v>
      </c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</row>
    <row r="108" spans="1:59" s="9" customFormat="1">
      <c r="A108" s="8" t="s">
        <v>1911</v>
      </c>
      <c r="B108" s="8" t="s">
        <v>1909</v>
      </c>
      <c r="C108" s="9">
        <v>0</v>
      </c>
      <c r="D108" s="9">
        <v>11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R108" s="9">
        <v>3</v>
      </c>
      <c r="S108" s="9">
        <v>4</v>
      </c>
      <c r="T108" s="9">
        <v>2</v>
      </c>
      <c r="U108" s="9">
        <v>2</v>
      </c>
      <c r="V108" s="9">
        <v>3</v>
      </c>
      <c r="W108" s="9">
        <v>1</v>
      </c>
      <c r="X108" s="9">
        <v>1</v>
      </c>
      <c r="AE108" s="9">
        <f>IFERROR(VLOOKUP($A108,pivot!$A:$G,計算式2026!AE$1,FALSE),0)</f>
        <v>0</v>
      </c>
      <c r="AF108" s="9">
        <f>IFERROR(VLOOKUP($A108,pivot!$A:$I,計算式2026!AF$1,FALSE),0)</f>
        <v>0</v>
      </c>
      <c r="AI108" s="9">
        <f>IFERROR(VLOOKUP($A108,pivot!$A:$I,計算式2026!AI$1,FALSE),0)</f>
        <v>0</v>
      </c>
      <c r="AJ108" s="9">
        <f>IFERROR(VLOOKUP($A108,pivot!$A:$I,計算式2026!AJ$1,FALSE),0)</f>
        <v>0</v>
      </c>
      <c r="AK108" s="9">
        <f>IFERROR(VLOOKUP($A108,pivot!$A:$I,計算式2026!AK$1,FALSE),0)</f>
        <v>0</v>
      </c>
      <c r="AL108" s="9">
        <f>IFERROR(VLOOKUP($A108,pivot!$A:$I,計算式2026!AL$1,FALSE),0)</f>
        <v>0</v>
      </c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</row>
    <row r="109" spans="1:59" s="9" customFormat="1">
      <c r="A109" s="8" t="s">
        <v>2708</v>
      </c>
      <c r="B109" s="8" t="s">
        <v>1909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1</v>
      </c>
      <c r="AE109" s="9">
        <f>IFERROR(VLOOKUP($A109,pivot!$A:$G,計算式2026!AE$1,FALSE),0)</f>
        <v>0</v>
      </c>
      <c r="AF109" s="9">
        <f>IFERROR(VLOOKUP($A109,pivot!$A:$I,計算式2026!AF$1,FALSE),0)</f>
        <v>0</v>
      </c>
      <c r="AI109" s="9">
        <f>IFERROR(VLOOKUP($A109,pivot!$A:$I,計算式2026!AI$1,FALSE),0)</f>
        <v>0</v>
      </c>
      <c r="AJ109" s="9">
        <f>IFERROR(VLOOKUP($A109,pivot!$A:$I,計算式2026!AJ$1,FALSE),0)</f>
        <v>0</v>
      </c>
      <c r="AK109" s="9">
        <f>IFERROR(VLOOKUP($A109,pivot!$A:$I,計算式2026!AK$1,FALSE),0)</f>
        <v>0</v>
      </c>
      <c r="AL109" s="9">
        <f>IFERROR(VLOOKUP($A109,pivot!$A:$I,計算式2026!AL$1,FALSE),0)</f>
        <v>0</v>
      </c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</row>
    <row r="110" spans="1:59" s="9" customFormat="1">
      <c r="A110" s="8" t="s">
        <v>1912</v>
      </c>
      <c r="B110" s="8" t="s">
        <v>1913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R110" s="9">
        <v>0</v>
      </c>
      <c r="S110" s="9">
        <v>1</v>
      </c>
      <c r="T110" s="9">
        <v>0</v>
      </c>
      <c r="U110" s="9">
        <v>0</v>
      </c>
      <c r="V110" s="9">
        <v>2</v>
      </c>
      <c r="W110" s="9">
        <v>0</v>
      </c>
      <c r="X110" s="9">
        <v>0</v>
      </c>
      <c r="AE110" s="9">
        <f>IFERROR(VLOOKUP($A110,pivot!$A:$G,計算式2026!AE$1,FALSE),0)</f>
        <v>0</v>
      </c>
      <c r="AF110" s="9">
        <f>IFERROR(VLOOKUP($A110,pivot!$A:$I,計算式2026!AF$1,FALSE),0)</f>
        <v>0</v>
      </c>
      <c r="AI110" s="9">
        <f>IFERROR(VLOOKUP($A110,pivot!$A:$I,計算式2026!AI$1,FALSE),0)</f>
        <v>0</v>
      </c>
      <c r="AJ110" s="9">
        <f>IFERROR(VLOOKUP($A110,pivot!$A:$I,計算式2026!AJ$1,FALSE),0)</f>
        <v>0</v>
      </c>
      <c r="AK110" s="9">
        <f>IFERROR(VLOOKUP($A110,pivot!$A:$I,計算式2026!AK$1,FALSE),0)</f>
        <v>0</v>
      </c>
      <c r="AL110" s="9">
        <f>IFERROR(VLOOKUP($A110,pivot!$A:$I,計算式2026!AL$1,FALSE),0)</f>
        <v>0</v>
      </c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</row>
    <row r="111" spans="1:59" s="9" customFormat="1">
      <c r="A111" s="8" t="s">
        <v>1914</v>
      </c>
      <c r="B111" s="8" t="s">
        <v>1913</v>
      </c>
      <c r="C111" s="9">
        <v>1</v>
      </c>
      <c r="D111" s="9">
        <v>21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R111" s="9">
        <v>3</v>
      </c>
      <c r="S111" s="9">
        <v>3</v>
      </c>
      <c r="T111" s="9">
        <v>2</v>
      </c>
      <c r="U111" s="9">
        <v>0</v>
      </c>
      <c r="V111" s="9">
        <v>3</v>
      </c>
      <c r="W111" s="9">
        <v>1</v>
      </c>
      <c r="X111" s="9">
        <v>2</v>
      </c>
      <c r="AE111" s="9">
        <f>IFERROR(VLOOKUP($A111,pivot!$A:$G,計算式2026!AE$1,FALSE),0)</f>
        <v>0</v>
      </c>
      <c r="AF111" s="9">
        <f>IFERROR(VLOOKUP($A111,pivot!$A:$I,計算式2026!AF$1,FALSE),0)</f>
        <v>0</v>
      </c>
      <c r="AI111" s="9">
        <f>IFERROR(VLOOKUP($A111,pivot!$A:$I,計算式2026!AI$1,FALSE),0)</f>
        <v>0</v>
      </c>
      <c r="AJ111" s="9">
        <f>IFERROR(VLOOKUP($A111,pivot!$A:$I,計算式2026!AJ$1,FALSE),0)</f>
        <v>0</v>
      </c>
      <c r="AK111" s="9">
        <f>IFERROR(VLOOKUP($A111,pivot!$A:$I,計算式2026!AK$1,FALSE),0)</f>
        <v>0</v>
      </c>
      <c r="AL111" s="9">
        <f>IFERROR(VLOOKUP($A111,pivot!$A:$I,計算式2026!AL$1,FALSE),0)</f>
        <v>0</v>
      </c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</row>
    <row r="112" spans="1:59" s="9" customFormat="1">
      <c r="A112" s="8" t="s">
        <v>1915</v>
      </c>
      <c r="B112" s="8" t="s">
        <v>1913</v>
      </c>
      <c r="C112" s="9">
        <v>3</v>
      </c>
      <c r="D112" s="9">
        <v>43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R112" s="9">
        <v>3</v>
      </c>
      <c r="S112" s="9">
        <v>5</v>
      </c>
      <c r="T112" s="9">
        <v>1</v>
      </c>
      <c r="U112" s="9">
        <v>0</v>
      </c>
      <c r="V112" s="9">
        <v>3</v>
      </c>
      <c r="W112" s="9">
        <v>1</v>
      </c>
      <c r="X112" s="9">
        <v>2</v>
      </c>
      <c r="AE112" s="9">
        <f>IFERROR(VLOOKUP($A112,pivot!$A:$G,計算式2026!AE$1,FALSE),0)</f>
        <v>0</v>
      </c>
      <c r="AF112" s="9">
        <f>IFERROR(VLOOKUP($A112,pivot!$A:$I,計算式2026!AF$1,FALSE),0)</f>
        <v>0</v>
      </c>
      <c r="AI112" s="9">
        <f>IFERROR(VLOOKUP($A112,pivot!$A:$I,計算式2026!AI$1,FALSE),0)</f>
        <v>0</v>
      </c>
      <c r="AJ112" s="9">
        <f>IFERROR(VLOOKUP($A112,pivot!$A:$I,計算式2026!AJ$1,FALSE),0)</f>
        <v>0</v>
      </c>
      <c r="AK112" s="9">
        <f>IFERROR(VLOOKUP($A112,pivot!$A:$I,計算式2026!AK$1,FALSE),0)</f>
        <v>0</v>
      </c>
      <c r="AL112" s="9">
        <f>IFERROR(VLOOKUP($A112,pivot!$A:$I,計算式2026!AL$1,FALSE),0)</f>
        <v>0</v>
      </c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</row>
    <row r="113" spans="1:59" s="9" customFormat="1">
      <c r="A113" s="8" t="s">
        <v>2694</v>
      </c>
      <c r="B113" s="8" t="s">
        <v>2625</v>
      </c>
      <c r="C113" s="9">
        <v>9</v>
      </c>
      <c r="D113" s="9">
        <v>7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R113" s="9">
        <v>0</v>
      </c>
      <c r="S113" s="9">
        <v>3</v>
      </c>
      <c r="T113" s="9">
        <v>1</v>
      </c>
      <c r="U113" s="9">
        <v>0</v>
      </c>
      <c r="V113" s="9">
        <v>2</v>
      </c>
      <c r="W113" s="9">
        <v>1</v>
      </c>
      <c r="X113" s="9">
        <v>2</v>
      </c>
      <c r="AE113" s="9">
        <f>IFERROR(VLOOKUP($A113,pivot!$A:$G,計算式2026!AE$1,FALSE),0)</f>
        <v>0</v>
      </c>
      <c r="AF113" s="9">
        <f>IFERROR(VLOOKUP($A113,pivot!$A:$I,計算式2026!AF$1,FALSE),0)</f>
        <v>0</v>
      </c>
      <c r="AI113" s="9">
        <f>IFERROR(VLOOKUP($A113,pivot!$A:$I,計算式2026!AI$1,FALSE),0)</f>
        <v>0</v>
      </c>
      <c r="AJ113" s="9">
        <f>IFERROR(VLOOKUP($A113,pivot!$A:$I,計算式2026!AJ$1,FALSE),0)</f>
        <v>0</v>
      </c>
      <c r="AK113" s="9">
        <f>IFERROR(VLOOKUP($A113,pivot!$A:$I,計算式2026!AK$1,FALSE),0)</f>
        <v>0</v>
      </c>
      <c r="AL113" s="9">
        <f>IFERROR(VLOOKUP($A113,pivot!$A:$I,計算式2026!AL$1,FALSE),0)</f>
        <v>0</v>
      </c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</row>
    <row r="114" spans="1:59" s="9" customFormat="1">
      <c r="A114" s="8" t="s">
        <v>2709</v>
      </c>
      <c r="B114" s="8" t="s">
        <v>2625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R114" s="9">
        <v>0</v>
      </c>
      <c r="S114" s="9">
        <v>3</v>
      </c>
      <c r="T114" s="9">
        <v>1</v>
      </c>
      <c r="U114" s="9">
        <v>0</v>
      </c>
      <c r="V114" s="9">
        <v>3</v>
      </c>
      <c r="W114" s="9">
        <v>0</v>
      </c>
      <c r="X114" s="9">
        <v>2</v>
      </c>
      <c r="AE114" s="9">
        <f>IFERROR(VLOOKUP($A114,pivot!$A:$G,計算式2026!AE$1,FALSE),0)</f>
        <v>0</v>
      </c>
      <c r="AF114" s="9">
        <f>IFERROR(VLOOKUP($A114,pivot!$A:$I,計算式2026!AF$1,FALSE),0)</f>
        <v>0</v>
      </c>
      <c r="AI114" s="9">
        <f>IFERROR(VLOOKUP($A114,pivot!$A:$I,計算式2026!AI$1,FALSE),0)</f>
        <v>0</v>
      </c>
      <c r="AJ114" s="9">
        <f>IFERROR(VLOOKUP($A114,pivot!$A:$I,計算式2026!AJ$1,FALSE),0)</f>
        <v>0</v>
      </c>
      <c r="AK114" s="9">
        <f>IFERROR(VLOOKUP($A114,pivot!$A:$I,計算式2026!AK$1,FALSE),0)</f>
        <v>0</v>
      </c>
      <c r="AL114" s="9">
        <f>IFERROR(VLOOKUP($A114,pivot!$A:$I,計算式2026!AL$1,FALSE),0)</f>
        <v>0</v>
      </c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</row>
    <row r="115" spans="1:59" s="9" customFormat="1">
      <c r="A115" s="8" t="s">
        <v>2710</v>
      </c>
      <c r="B115" s="8" t="s">
        <v>2625</v>
      </c>
      <c r="C115" s="9">
        <v>7</v>
      </c>
      <c r="D115" s="9">
        <v>12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R115" s="9">
        <v>4</v>
      </c>
      <c r="S115" s="9">
        <v>4</v>
      </c>
      <c r="T115" s="9">
        <v>1</v>
      </c>
      <c r="U115" s="9">
        <v>0</v>
      </c>
      <c r="V115" s="9">
        <v>4</v>
      </c>
      <c r="W115" s="9">
        <v>1</v>
      </c>
      <c r="X115" s="9">
        <v>2</v>
      </c>
      <c r="AE115" s="9">
        <f>IFERROR(VLOOKUP($A115,pivot!$A:$G,計算式2026!AE$1,FALSE),0)</f>
        <v>0</v>
      </c>
      <c r="AF115" s="9">
        <f>IFERROR(VLOOKUP($A115,pivot!$A:$I,計算式2026!AF$1,FALSE),0)</f>
        <v>0</v>
      </c>
      <c r="AI115" s="9">
        <f>IFERROR(VLOOKUP($A115,pivot!$A:$I,計算式2026!AI$1,FALSE),0)</f>
        <v>0</v>
      </c>
      <c r="AJ115" s="9">
        <f>IFERROR(VLOOKUP($A115,pivot!$A:$I,計算式2026!AJ$1,FALSE),0)</f>
        <v>0</v>
      </c>
      <c r="AK115" s="9">
        <f>IFERROR(VLOOKUP($A115,pivot!$A:$I,計算式2026!AK$1,FALSE),0)</f>
        <v>0</v>
      </c>
      <c r="AL115" s="9">
        <f>IFERROR(VLOOKUP($A115,pivot!$A:$I,計算式2026!AL$1,FALSE),0)</f>
        <v>0</v>
      </c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</row>
    <row r="116" spans="1:59" s="9" customFormat="1">
      <c r="A116" s="8" t="s">
        <v>2697</v>
      </c>
      <c r="B116" s="8" t="s">
        <v>2625</v>
      </c>
      <c r="C116" s="9">
        <v>10</v>
      </c>
      <c r="D116" s="9">
        <v>5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R116" s="9">
        <v>0</v>
      </c>
      <c r="S116" s="9">
        <v>3</v>
      </c>
      <c r="T116" s="9">
        <v>1</v>
      </c>
      <c r="U116" s="9">
        <v>0</v>
      </c>
      <c r="V116" s="9">
        <v>3</v>
      </c>
      <c r="W116" s="9">
        <v>1</v>
      </c>
      <c r="X116" s="9">
        <v>2</v>
      </c>
      <c r="AE116" s="9">
        <f>IFERROR(VLOOKUP($A116,pivot!$A:$G,計算式2026!AE$1,FALSE),0)</f>
        <v>0</v>
      </c>
      <c r="AF116" s="9">
        <f>IFERROR(VLOOKUP($A116,pivot!$A:$I,計算式2026!AF$1,FALSE),0)</f>
        <v>0</v>
      </c>
      <c r="AI116" s="9">
        <f>IFERROR(VLOOKUP($A116,pivot!$A:$I,計算式2026!AI$1,FALSE),0)</f>
        <v>0</v>
      </c>
      <c r="AJ116" s="9">
        <f>IFERROR(VLOOKUP($A116,pivot!$A:$I,計算式2026!AJ$1,FALSE),0)</f>
        <v>0</v>
      </c>
      <c r="AK116" s="9">
        <f>IFERROR(VLOOKUP($A116,pivot!$A:$I,計算式2026!AK$1,FALSE),0)</f>
        <v>0</v>
      </c>
      <c r="AL116" s="9">
        <f>IFERROR(VLOOKUP($A116,pivot!$A:$I,計算式2026!AL$1,FALSE),0)</f>
        <v>0</v>
      </c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</row>
    <row r="117" spans="1:59" s="9" customFormat="1">
      <c r="A117" s="8" t="s">
        <v>2711</v>
      </c>
      <c r="B117" s="8" t="s">
        <v>2608</v>
      </c>
      <c r="C117" s="9">
        <v>0</v>
      </c>
      <c r="D117" s="9">
        <v>4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R117" s="9">
        <v>3</v>
      </c>
      <c r="S117" s="9">
        <v>3</v>
      </c>
      <c r="T117" s="9">
        <v>0</v>
      </c>
      <c r="U117" s="9">
        <v>0</v>
      </c>
      <c r="V117" s="9">
        <v>3</v>
      </c>
      <c r="W117" s="9">
        <v>1</v>
      </c>
      <c r="X117" s="9">
        <v>2</v>
      </c>
      <c r="AE117" s="9">
        <f>IFERROR(VLOOKUP($A117,pivot!$A:$G,計算式2026!AE$1,FALSE),0)</f>
        <v>0</v>
      </c>
      <c r="AF117" s="9">
        <f>IFERROR(VLOOKUP($A117,pivot!$A:$I,計算式2026!AF$1,FALSE),0)</f>
        <v>0</v>
      </c>
      <c r="AI117" s="9">
        <f>IFERROR(VLOOKUP($A117,pivot!$A:$I,計算式2026!AI$1,FALSE),0)</f>
        <v>1</v>
      </c>
      <c r="AJ117" s="9">
        <f>IFERROR(VLOOKUP($A117,pivot!$A:$I,計算式2026!AJ$1,FALSE),0)</f>
        <v>0</v>
      </c>
      <c r="AK117" s="9">
        <f>IFERROR(VLOOKUP($A117,pivot!$A:$I,計算式2026!AK$1,FALSE),0)</f>
        <v>1</v>
      </c>
      <c r="AL117" s="9">
        <f>IFERROR(VLOOKUP($A117,pivot!$A:$I,計算式2026!AL$1,FALSE),0)</f>
        <v>0</v>
      </c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</row>
    <row r="118" spans="1:59" s="9" customFormat="1">
      <c r="A118" s="8" t="s">
        <v>2712</v>
      </c>
      <c r="B118" s="8" t="s">
        <v>2713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R118" s="9">
        <v>0</v>
      </c>
      <c r="S118" s="9">
        <v>1</v>
      </c>
      <c r="T118" s="9">
        <v>0</v>
      </c>
      <c r="U118" s="9">
        <v>0</v>
      </c>
      <c r="V118" s="9">
        <v>3</v>
      </c>
      <c r="W118" s="9">
        <v>0</v>
      </c>
      <c r="X118" s="9">
        <v>0</v>
      </c>
      <c r="AE118" s="9">
        <f>IFERROR(VLOOKUP($A118,pivot!$A:$G,計算式2026!AE$1,FALSE),0)</f>
        <v>0</v>
      </c>
      <c r="AF118" s="9">
        <f>IFERROR(VLOOKUP($A118,pivot!$A:$I,計算式2026!AF$1,FALSE),0)</f>
        <v>0</v>
      </c>
      <c r="AI118" s="9">
        <f>IFERROR(VLOOKUP($A118,pivot!$A:$I,計算式2026!AI$1,FALSE),0)</f>
        <v>0</v>
      </c>
      <c r="AJ118" s="9">
        <f>IFERROR(VLOOKUP($A118,pivot!$A:$I,計算式2026!AJ$1,FALSE),0)</f>
        <v>0</v>
      </c>
      <c r="AK118" s="9">
        <f>IFERROR(VLOOKUP($A118,pivot!$A:$I,計算式2026!AK$1,FALSE),0)</f>
        <v>1</v>
      </c>
      <c r="AL118" s="9">
        <f>IFERROR(VLOOKUP($A118,pivot!$A:$I,計算式2026!AL$1,FALSE),0)</f>
        <v>0</v>
      </c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</row>
    <row r="119" spans="1:59" s="9" customFormat="1">
      <c r="A119" s="8" t="s">
        <v>2691</v>
      </c>
      <c r="B119" s="8" t="s">
        <v>2714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R119" s="9">
        <v>0</v>
      </c>
      <c r="S119" s="9">
        <v>1</v>
      </c>
      <c r="T119" s="9">
        <v>2</v>
      </c>
      <c r="U119" s="9">
        <v>0</v>
      </c>
      <c r="V119" s="9">
        <v>0</v>
      </c>
      <c r="W119" s="9">
        <v>1</v>
      </c>
      <c r="X119" s="9">
        <v>0</v>
      </c>
      <c r="AE119" s="9">
        <f>IFERROR(VLOOKUP($A119,pivot!$A:$G,計算式2026!AE$1,FALSE),0)</f>
        <v>0</v>
      </c>
      <c r="AF119" s="9">
        <f>IFERROR(VLOOKUP($A119,pivot!$A:$I,計算式2026!AF$1,FALSE),0)</f>
        <v>0</v>
      </c>
      <c r="AI119" s="9">
        <f>IFERROR(VLOOKUP($A119,pivot!$A:$I,計算式2026!AI$1,FALSE),0)</f>
        <v>0</v>
      </c>
      <c r="AJ119" s="9">
        <f>IFERROR(VLOOKUP($A119,pivot!$A:$I,計算式2026!AJ$1,FALSE),0)</f>
        <v>0</v>
      </c>
      <c r="AK119" s="9">
        <f>IFERROR(VLOOKUP($A119,pivot!$A:$I,計算式2026!AK$1,FALSE),0)</f>
        <v>0</v>
      </c>
      <c r="AL119" s="9">
        <f>IFERROR(VLOOKUP($A119,pivot!$A:$I,計算式2026!AL$1,FALSE),0)</f>
        <v>0</v>
      </c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</row>
    <row r="120" spans="1:59" s="9" customFormat="1">
      <c r="A120" s="8" t="s">
        <v>2626</v>
      </c>
      <c r="B120" s="8" t="s">
        <v>2627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R120" s="9">
        <v>3</v>
      </c>
      <c r="S120" s="9">
        <v>0</v>
      </c>
      <c r="T120" s="9">
        <v>0</v>
      </c>
      <c r="U120" s="9">
        <v>0</v>
      </c>
      <c r="V120" s="9">
        <v>2</v>
      </c>
      <c r="W120" s="9">
        <v>0</v>
      </c>
      <c r="X120" s="9">
        <v>0</v>
      </c>
      <c r="AE120" s="9">
        <f>IFERROR(VLOOKUP($A120,pivot!$A:$G,計算式2026!AE$1,FALSE),0)</f>
        <v>0</v>
      </c>
      <c r="AF120" s="9">
        <f>IFERROR(VLOOKUP($A120,pivot!$A:$I,計算式2026!AF$1,FALSE),0)</f>
        <v>0</v>
      </c>
      <c r="AI120" s="9">
        <f>IFERROR(VLOOKUP($A120,pivot!$A:$I,計算式2026!AI$1,FALSE),0)</f>
        <v>0</v>
      </c>
      <c r="AJ120" s="9">
        <f>IFERROR(VLOOKUP($A120,pivot!$A:$I,計算式2026!AJ$1,FALSE),0)</f>
        <v>0</v>
      </c>
      <c r="AK120" s="9">
        <f>IFERROR(VLOOKUP($A120,pivot!$A:$I,計算式2026!AK$1,FALSE),0)</f>
        <v>2</v>
      </c>
      <c r="AL120" s="9">
        <f>IFERROR(VLOOKUP($A120,pivot!$A:$I,計算式2026!AL$1,FALSE),0)</f>
        <v>0</v>
      </c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</row>
    <row r="121" spans="1:59" s="9" customFormat="1">
      <c r="A121" s="8" t="s">
        <v>2715</v>
      </c>
      <c r="B121" s="8" t="s">
        <v>2617</v>
      </c>
      <c r="C121" s="9">
        <v>7</v>
      </c>
      <c r="D121" s="9">
        <v>12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R121" s="9">
        <v>5</v>
      </c>
      <c r="S121" s="9">
        <v>6</v>
      </c>
      <c r="T121" s="9">
        <v>1</v>
      </c>
      <c r="U121" s="9">
        <v>0</v>
      </c>
      <c r="V121" s="9">
        <v>8</v>
      </c>
      <c r="W121" s="9">
        <v>0</v>
      </c>
      <c r="X121" s="9">
        <v>4</v>
      </c>
      <c r="AE121" s="9">
        <f>IFERROR(VLOOKUP($A121,pivot!$A:$G,計算式2026!AE$1,FALSE),0)</f>
        <v>0</v>
      </c>
      <c r="AF121" s="9">
        <f>IFERROR(VLOOKUP($A121,pivot!$A:$I,計算式2026!AF$1,FALSE),0)</f>
        <v>0</v>
      </c>
      <c r="AI121" s="9">
        <f>IFERROR(VLOOKUP($A121,pivot!$A:$I,計算式2026!AI$1,FALSE),0)</f>
        <v>0</v>
      </c>
      <c r="AJ121" s="9">
        <f>IFERROR(VLOOKUP($A121,pivot!$A:$I,計算式2026!AJ$1,FALSE),0)</f>
        <v>1</v>
      </c>
      <c r="AK121" s="9">
        <f>IFERROR(VLOOKUP($A121,pivot!$A:$I,計算式2026!AK$1,FALSE),0)</f>
        <v>2</v>
      </c>
      <c r="AL121" s="9">
        <f>IFERROR(VLOOKUP($A121,pivot!$A:$I,計算式2026!AL$1,FALSE),0)</f>
        <v>0</v>
      </c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</row>
    <row r="122" spans="1:59" s="9" customFormat="1">
      <c r="A122" s="8" t="s">
        <v>2671</v>
      </c>
      <c r="B122" s="8" t="s">
        <v>2716</v>
      </c>
      <c r="C122" s="9">
        <v>0</v>
      </c>
      <c r="D122" s="9">
        <v>4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R122" s="9">
        <v>0</v>
      </c>
      <c r="S122" s="9">
        <v>3</v>
      </c>
      <c r="T122" s="9">
        <v>0</v>
      </c>
      <c r="U122" s="9">
        <v>2</v>
      </c>
      <c r="V122" s="9">
        <v>3</v>
      </c>
      <c r="W122" s="9">
        <v>0</v>
      </c>
      <c r="X122" s="9">
        <v>2</v>
      </c>
      <c r="AE122" s="9">
        <f>IFERROR(VLOOKUP($A122,pivot!$A:$G,計算式2026!AE$1,FALSE),0)</f>
        <v>0</v>
      </c>
      <c r="AF122" s="9">
        <f>IFERROR(VLOOKUP($A122,pivot!$A:$I,計算式2026!AF$1,FALSE),0)</f>
        <v>0</v>
      </c>
      <c r="AI122" s="9">
        <f>IFERROR(VLOOKUP($A122,pivot!$A:$I,計算式2026!AI$1,FALSE),0)</f>
        <v>0</v>
      </c>
      <c r="AJ122" s="9">
        <f>IFERROR(VLOOKUP($A122,pivot!$A:$I,計算式2026!AJ$1,FALSE),0)</f>
        <v>0</v>
      </c>
      <c r="AK122" s="9">
        <f>IFERROR(VLOOKUP($A122,pivot!$A:$I,計算式2026!AK$1,FALSE),0)</f>
        <v>0</v>
      </c>
      <c r="AL122" s="9">
        <f>IFERROR(VLOOKUP($A122,pivot!$A:$I,計算式2026!AL$1,FALSE),0)</f>
        <v>0</v>
      </c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</row>
    <row r="123" spans="1:59" s="9" customFormat="1">
      <c r="A123" s="8" t="s">
        <v>59</v>
      </c>
      <c r="B123" s="8" t="s">
        <v>58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R123" s="9">
        <v>0</v>
      </c>
      <c r="S123" s="9">
        <v>1</v>
      </c>
      <c r="T123" s="9">
        <v>0</v>
      </c>
      <c r="U123" s="9">
        <v>1</v>
      </c>
      <c r="V123" s="9">
        <v>0</v>
      </c>
      <c r="W123" s="9">
        <v>0</v>
      </c>
      <c r="X123" s="9">
        <v>0</v>
      </c>
      <c r="AE123" s="9">
        <f>IFERROR(VLOOKUP($A123,pivot!$A:$G,計算式2026!AE$1,FALSE),0)</f>
        <v>0</v>
      </c>
      <c r="AF123" s="9">
        <f>IFERROR(VLOOKUP($A123,pivot!$A:$I,計算式2026!AF$1,FALSE),0)</f>
        <v>0</v>
      </c>
      <c r="AI123" s="9">
        <f>IFERROR(VLOOKUP($A123,pivot!$A:$I,計算式2026!AI$1,FALSE),0)</f>
        <v>0</v>
      </c>
      <c r="AJ123" s="9">
        <f>IFERROR(VLOOKUP($A123,pivot!$A:$I,計算式2026!AJ$1,FALSE),0)</f>
        <v>0</v>
      </c>
      <c r="AK123" s="9">
        <f>IFERROR(VLOOKUP($A123,pivot!$A:$I,計算式2026!AK$1,FALSE),0)</f>
        <v>0</v>
      </c>
      <c r="AL123" s="9">
        <f>IFERROR(VLOOKUP($A123,pivot!$A:$I,計算式2026!AL$1,FALSE),0)</f>
        <v>0</v>
      </c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</row>
    <row r="124" spans="1:59" s="9" customFormat="1">
      <c r="A124" s="8" t="s">
        <v>1553</v>
      </c>
      <c r="B124" s="8" t="s">
        <v>60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1</v>
      </c>
      <c r="AE124" s="9">
        <f>IFERROR(VLOOKUP($A124,pivot!$A:$G,計算式2026!AE$1,FALSE),0)</f>
        <v>0</v>
      </c>
      <c r="AF124" s="9">
        <f>IFERROR(VLOOKUP($A124,pivot!$A:$I,計算式2026!AF$1,FALSE),0)</f>
        <v>0</v>
      </c>
      <c r="AI124" s="9">
        <f>IFERROR(VLOOKUP($A124,pivot!$A:$I,計算式2026!AI$1,FALSE),0)</f>
        <v>0</v>
      </c>
      <c r="AJ124" s="9">
        <f>IFERROR(VLOOKUP($A124,pivot!$A:$I,計算式2026!AJ$1,FALSE),0)</f>
        <v>0</v>
      </c>
      <c r="AK124" s="9">
        <f>IFERROR(VLOOKUP($A124,pivot!$A:$I,計算式2026!AK$1,FALSE),0)</f>
        <v>0</v>
      </c>
      <c r="AL124" s="9">
        <f>IFERROR(VLOOKUP($A124,pivot!$A:$I,計算式2026!AL$1,FALSE),0)</f>
        <v>0</v>
      </c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</row>
    <row r="125" spans="1:59" s="9" customFormat="1">
      <c r="A125" s="8" t="s">
        <v>61</v>
      </c>
      <c r="B125" s="8" t="s">
        <v>60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R125" s="9">
        <v>1</v>
      </c>
      <c r="S125" s="9">
        <v>2</v>
      </c>
      <c r="T125" s="9">
        <v>0</v>
      </c>
      <c r="U125" s="9">
        <v>2</v>
      </c>
      <c r="V125" s="9">
        <v>1</v>
      </c>
      <c r="W125" s="9">
        <v>0</v>
      </c>
      <c r="X125" s="9">
        <v>1</v>
      </c>
      <c r="AE125" s="9">
        <f>IFERROR(VLOOKUP($A125,pivot!$A:$G,計算式2026!AE$1,FALSE),0)</f>
        <v>0</v>
      </c>
      <c r="AF125" s="9">
        <f>IFERROR(VLOOKUP($A125,pivot!$A:$I,計算式2026!AF$1,FALSE),0)</f>
        <v>0</v>
      </c>
      <c r="AI125" s="9">
        <f>IFERROR(VLOOKUP($A125,pivot!$A:$I,計算式2026!AI$1,FALSE),0)</f>
        <v>0</v>
      </c>
      <c r="AJ125" s="9">
        <f>IFERROR(VLOOKUP($A125,pivot!$A:$I,計算式2026!AJ$1,FALSE),0)</f>
        <v>0</v>
      </c>
      <c r="AK125" s="9">
        <f>IFERROR(VLOOKUP($A125,pivot!$A:$I,計算式2026!AK$1,FALSE),0)</f>
        <v>0</v>
      </c>
      <c r="AL125" s="9">
        <f>IFERROR(VLOOKUP($A125,pivot!$A:$I,計算式2026!AL$1,FALSE),0)</f>
        <v>0</v>
      </c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</row>
    <row r="126" spans="1:59" s="9" customFormat="1">
      <c r="A126" s="8" t="s">
        <v>63</v>
      </c>
      <c r="B126" s="8" t="s">
        <v>62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1</v>
      </c>
      <c r="W126" s="9">
        <v>0</v>
      </c>
      <c r="X126" s="9">
        <v>0</v>
      </c>
      <c r="AE126" s="9">
        <f>IFERROR(VLOOKUP($A126,pivot!$A:$G,計算式2026!AE$1,FALSE),0)</f>
        <v>0</v>
      </c>
      <c r="AF126" s="9">
        <f>IFERROR(VLOOKUP($A126,pivot!$A:$I,計算式2026!AF$1,FALSE),0)</f>
        <v>0</v>
      </c>
      <c r="AI126" s="9">
        <f>IFERROR(VLOOKUP($A126,pivot!$A:$I,計算式2026!AI$1,FALSE),0)</f>
        <v>0</v>
      </c>
      <c r="AJ126" s="9">
        <f>IFERROR(VLOOKUP($A126,pivot!$A:$I,計算式2026!AJ$1,FALSE),0)</f>
        <v>0</v>
      </c>
      <c r="AK126" s="9">
        <f>IFERROR(VLOOKUP($A126,pivot!$A:$I,計算式2026!AK$1,FALSE),0)</f>
        <v>0</v>
      </c>
      <c r="AL126" s="9">
        <f>IFERROR(VLOOKUP($A126,pivot!$A:$I,計算式2026!AL$1,FALSE),0)</f>
        <v>0</v>
      </c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</row>
    <row r="127" spans="1:59" s="9" customFormat="1">
      <c r="A127" s="8" t="s">
        <v>64</v>
      </c>
      <c r="B127" s="8" t="s">
        <v>62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R127" s="9">
        <v>3</v>
      </c>
      <c r="S127" s="9">
        <v>5</v>
      </c>
      <c r="T127" s="9">
        <v>0</v>
      </c>
      <c r="U127" s="9">
        <v>0</v>
      </c>
      <c r="V127" s="9">
        <v>5</v>
      </c>
      <c r="W127" s="9">
        <v>0</v>
      </c>
      <c r="X127" s="9">
        <v>1</v>
      </c>
      <c r="AE127" s="9">
        <f>IFERROR(VLOOKUP($A127,pivot!$A:$G,計算式2026!AE$1,FALSE),0)</f>
        <v>0</v>
      </c>
      <c r="AF127" s="9">
        <f>IFERROR(VLOOKUP($A127,pivot!$A:$I,計算式2026!AF$1,FALSE),0)</f>
        <v>0</v>
      </c>
      <c r="AI127" s="9">
        <f>IFERROR(VLOOKUP($A127,pivot!$A:$I,計算式2026!AI$1,FALSE),0)</f>
        <v>0</v>
      </c>
      <c r="AJ127" s="9">
        <f>IFERROR(VLOOKUP($A127,pivot!$A:$I,計算式2026!AJ$1,FALSE),0)</f>
        <v>0</v>
      </c>
      <c r="AK127" s="9">
        <f>IFERROR(VLOOKUP($A127,pivot!$A:$I,計算式2026!AK$1,FALSE),0)</f>
        <v>0</v>
      </c>
      <c r="AL127" s="9">
        <f>IFERROR(VLOOKUP($A127,pivot!$A:$I,計算式2026!AL$1,FALSE),0)</f>
        <v>0</v>
      </c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</row>
    <row r="128" spans="1:59" s="9" customFormat="1">
      <c r="A128" s="8" t="s">
        <v>65</v>
      </c>
      <c r="B128" s="8" t="s">
        <v>62</v>
      </c>
      <c r="C128" s="9">
        <v>98</v>
      </c>
      <c r="D128" s="9">
        <v>78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R128" s="9">
        <v>10</v>
      </c>
      <c r="S128" s="9">
        <v>15</v>
      </c>
      <c r="T128" s="9">
        <v>0</v>
      </c>
      <c r="U128" s="9">
        <v>0</v>
      </c>
      <c r="V128" s="9">
        <v>21</v>
      </c>
      <c r="W128" s="9">
        <v>0</v>
      </c>
      <c r="X128" s="9">
        <v>0</v>
      </c>
      <c r="AE128" s="9">
        <f>IFERROR(VLOOKUP($A128,pivot!$A:$G,計算式2026!AE$1,FALSE),0)</f>
        <v>0</v>
      </c>
      <c r="AF128" s="9">
        <f>IFERROR(VLOOKUP($A128,pivot!$A:$I,計算式2026!AF$1,FALSE),0)</f>
        <v>0</v>
      </c>
      <c r="AI128" s="9">
        <f>IFERROR(VLOOKUP($A128,pivot!$A:$I,計算式2026!AI$1,FALSE),0)</f>
        <v>0</v>
      </c>
      <c r="AJ128" s="9">
        <f>IFERROR(VLOOKUP($A128,pivot!$A:$I,計算式2026!AJ$1,FALSE),0)</f>
        <v>0</v>
      </c>
      <c r="AK128" s="9">
        <f>IFERROR(VLOOKUP($A128,pivot!$A:$I,計算式2026!AK$1,FALSE),0)</f>
        <v>0</v>
      </c>
      <c r="AL128" s="9">
        <f>IFERROR(VLOOKUP($A128,pivot!$A:$I,計算式2026!AL$1,FALSE),0)</f>
        <v>0</v>
      </c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</row>
    <row r="129" spans="1:59" s="9" customFormat="1">
      <c r="A129" s="8" t="s">
        <v>66</v>
      </c>
      <c r="B129" s="8" t="s">
        <v>67</v>
      </c>
      <c r="C129" s="9">
        <v>24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R129" s="9">
        <v>10</v>
      </c>
      <c r="S129" s="9">
        <v>9</v>
      </c>
      <c r="T129" s="9">
        <v>0</v>
      </c>
      <c r="U129" s="9">
        <v>0</v>
      </c>
      <c r="V129" s="9">
        <v>10</v>
      </c>
      <c r="W129" s="9">
        <v>0</v>
      </c>
      <c r="X129" s="9">
        <v>3</v>
      </c>
      <c r="AE129" s="9">
        <f>IFERROR(VLOOKUP($A129,pivot!$A:$G,計算式2026!AE$1,FALSE),0)</f>
        <v>0</v>
      </c>
      <c r="AF129" s="9">
        <f>IFERROR(VLOOKUP($A129,pivot!$A:$I,計算式2026!AF$1,FALSE),0)</f>
        <v>0</v>
      </c>
      <c r="AI129" s="9">
        <f>IFERROR(VLOOKUP($A129,pivot!$A:$I,計算式2026!AI$1,FALSE),0)</f>
        <v>0</v>
      </c>
      <c r="AJ129" s="9">
        <f>IFERROR(VLOOKUP($A129,pivot!$A:$I,計算式2026!AJ$1,FALSE),0)</f>
        <v>0</v>
      </c>
      <c r="AK129" s="9">
        <f>IFERROR(VLOOKUP($A129,pivot!$A:$I,計算式2026!AK$1,FALSE),0)</f>
        <v>0</v>
      </c>
      <c r="AL129" s="9">
        <f>IFERROR(VLOOKUP($A129,pivot!$A:$I,計算式2026!AL$1,FALSE),0)</f>
        <v>0</v>
      </c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</row>
    <row r="130" spans="1:59" s="9" customFormat="1">
      <c r="A130" s="8" t="s">
        <v>68</v>
      </c>
      <c r="B130" s="8" t="s">
        <v>67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R130" s="9">
        <v>8</v>
      </c>
      <c r="S130" s="9">
        <v>10</v>
      </c>
      <c r="T130" s="9">
        <v>0</v>
      </c>
      <c r="U130" s="9">
        <v>0</v>
      </c>
      <c r="V130" s="9">
        <v>7</v>
      </c>
      <c r="W130" s="9">
        <v>0</v>
      </c>
      <c r="X130" s="9">
        <v>3</v>
      </c>
      <c r="AE130" s="9">
        <f>IFERROR(VLOOKUP($A130,pivot!$A:$G,計算式2026!AE$1,FALSE),0)</f>
        <v>0</v>
      </c>
      <c r="AF130" s="9">
        <f>IFERROR(VLOOKUP($A130,pivot!$A:$I,計算式2026!AF$1,FALSE),0)</f>
        <v>0</v>
      </c>
      <c r="AI130" s="9">
        <f>IFERROR(VLOOKUP($A130,pivot!$A:$I,計算式2026!AI$1,FALSE),0)</f>
        <v>0</v>
      </c>
      <c r="AJ130" s="9">
        <f>IFERROR(VLOOKUP($A130,pivot!$A:$I,計算式2026!AJ$1,FALSE),0)</f>
        <v>0</v>
      </c>
      <c r="AK130" s="9">
        <f>IFERROR(VLOOKUP($A130,pivot!$A:$I,計算式2026!AK$1,FALSE),0)</f>
        <v>0</v>
      </c>
      <c r="AL130" s="9">
        <f>IFERROR(VLOOKUP($A130,pivot!$A:$I,計算式2026!AL$1,FALSE),0)</f>
        <v>0</v>
      </c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</row>
    <row r="131" spans="1:59" s="9" customFormat="1">
      <c r="A131" s="8" t="s">
        <v>69</v>
      </c>
      <c r="B131" s="8" t="s">
        <v>67</v>
      </c>
      <c r="C131" s="9">
        <v>122</v>
      </c>
      <c r="D131" s="9">
        <v>7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R131" s="9">
        <v>11</v>
      </c>
      <c r="S131" s="9">
        <v>18</v>
      </c>
      <c r="T131" s="9">
        <v>0</v>
      </c>
      <c r="U131" s="9">
        <v>0</v>
      </c>
      <c r="V131" s="9">
        <v>9</v>
      </c>
      <c r="W131" s="9">
        <v>0</v>
      </c>
      <c r="X131" s="9">
        <v>4</v>
      </c>
      <c r="AE131" s="9">
        <f>IFERROR(VLOOKUP($A131,pivot!$A:$G,計算式2026!AE$1,FALSE),0)</f>
        <v>0</v>
      </c>
      <c r="AF131" s="9">
        <f>IFERROR(VLOOKUP($A131,pivot!$A:$I,計算式2026!AF$1,FALSE),0)</f>
        <v>0</v>
      </c>
      <c r="AI131" s="9">
        <f>IFERROR(VLOOKUP($A131,pivot!$A:$I,計算式2026!AI$1,FALSE),0)</f>
        <v>0</v>
      </c>
      <c r="AJ131" s="9">
        <f>IFERROR(VLOOKUP($A131,pivot!$A:$I,計算式2026!AJ$1,FALSE),0)</f>
        <v>0</v>
      </c>
      <c r="AK131" s="9">
        <f>IFERROR(VLOOKUP($A131,pivot!$A:$I,計算式2026!AK$1,FALSE),0)</f>
        <v>0</v>
      </c>
      <c r="AL131" s="9">
        <f>IFERROR(VLOOKUP($A131,pivot!$A:$I,計算式2026!AL$1,FALSE),0)</f>
        <v>0</v>
      </c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</row>
    <row r="132" spans="1:59" s="9" customFormat="1">
      <c r="A132" s="8" t="s">
        <v>70</v>
      </c>
      <c r="B132" s="8" t="s">
        <v>67</v>
      </c>
      <c r="C132" s="9">
        <v>248</v>
      </c>
      <c r="D132" s="9">
        <v>27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R132" s="9">
        <v>11</v>
      </c>
      <c r="S132" s="9">
        <v>11</v>
      </c>
      <c r="T132" s="9">
        <v>0</v>
      </c>
      <c r="U132" s="9">
        <v>0</v>
      </c>
      <c r="V132" s="9">
        <v>5</v>
      </c>
      <c r="W132" s="9">
        <v>0</v>
      </c>
      <c r="X132" s="9">
        <v>3</v>
      </c>
      <c r="AE132" s="9">
        <f>IFERROR(VLOOKUP($A132,pivot!$A:$G,計算式2026!AE$1,FALSE),0)</f>
        <v>0</v>
      </c>
      <c r="AF132" s="9">
        <f>IFERROR(VLOOKUP($A132,pivot!$A:$I,計算式2026!AF$1,FALSE),0)</f>
        <v>0</v>
      </c>
      <c r="AI132" s="9">
        <f>IFERROR(VLOOKUP($A132,pivot!$A:$I,計算式2026!AI$1,FALSE),0)</f>
        <v>0</v>
      </c>
      <c r="AJ132" s="9">
        <f>IFERROR(VLOOKUP($A132,pivot!$A:$I,計算式2026!AJ$1,FALSE),0)</f>
        <v>0</v>
      </c>
      <c r="AK132" s="9">
        <f>IFERROR(VLOOKUP($A132,pivot!$A:$I,計算式2026!AK$1,FALSE),0)</f>
        <v>0</v>
      </c>
      <c r="AL132" s="9">
        <f>IFERROR(VLOOKUP($A132,pivot!$A:$I,計算式2026!AL$1,FALSE),0)</f>
        <v>0</v>
      </c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</row>
    <row r="133" spans="1:59" s="9" customFormat="1">
      <c r="A133" s="8" t="s">
        <v>1651</v>
      </c>
      <c r="B133" s="8" t="s">
        <v>67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1</v>
      </c>
      <c r="W133" s="9">
        <v>0</v>
      </c>
      <c r="X133" s="9">
        <v>4</v>
      </c>
      <c r="AE133" s="9">
        <f>IFERROR(VLOOKUP($A133,pivot!$A:$G,計算式2026!AE$1,FALSE),0)</f>
        <v>0</v>
      </c>
      <c r="AF133" s="9">
        <f>IFERROR(VLOOKUP($A133,pivot!$A:$I,計算式2026!AF$1,FALSE),0)</f>
        <v>0</v>
      </c>
      <c r="AI133" s="9">
        <f>IFERROR(VLOOKUP($A133,pivot!$A:$I,計算式2026!AI$1,FALSE),0)</f>
        <v>0</v>
      </c>
      <c r="AJ133" s="9">
        <f>IFERROR(VLOOKUP($A133,pivot!$A:$I,計算式2026!AJ$1,FALSE),0)</f>
        <v>0</v>
      </c>
      <c r="AK133" s="9">
        <f>IFERROR(VLOOKUP($A133,pivot!$A:$I,計算式2026!AK$1,FALSE),0)</f>
        <v>0</v>
      </c>
      <c r="AL133" s="9">
        <f>IFERROR(VLOOKUP($A133,pivot!$A:$I,計算式2026!AL$1,FALSE),0)</f>
        <v>0</v>
      </c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</row>
    <row r="134" spans="1:59" s="9" customFormat="1">
      <c r="A134" s="8" t="s">
        <v>71</v>
      </c>
      <c r="B134" s="8" t="s">
        <v>72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AE134" s="9">
        <f>IFERROR(VLOOKUP($A134,pivot!$A:$G,計算式2026!AE$1,FALSE),0)</f>
        <v>0</v>
      </c>
      <c r="AF134" s="9">
        <f>IFERROR(VLOOKUP($A134,pivot!$A:$I,計算式2026!AF$1,FALSE),0)</f>
        <v>0</v>
      </c>
      <c r="AI134" s="9">
        <f>IFERROR(VLOOKUP($A134,pivot!$A:$I,計算式2026!AI$1,FALSE),0)</f>
        <v>0</v>
      </c>
      <c r="AJ134" s="9">
        <f>IFERROR(VLOOKUP($A134,pivot!$A:$I,計算式2026!AJ$1,FALSE),0)</f>
        <v>0</v>
      </c>
      <c r="AK134" s="9">
        <f>IFERROR(VLOOKUP($A134,pivot!$A:$I,計算式2026!AK$1,FALSE),0)</f>
        <v>0</v>
      </c>
      <c r="AL134" s="9">
        <f>IFERROR(VLOOKUP($A134,pivot!$A:$I,計算式2026!AL$1,FALSE),0)</f>
        <v>0</v>
      </c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</row>
    <row r="135" spans="1:59" s="9" customFormat="1">
      <c r="A135" s="8" t="s">
        <v>74</v>
      </c>
      <c r="B135" s="8" t="s">
        <v>73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R135" s="9">
        <v>1</v>
      </c>
      <c r="S135" s="9">
        <v>2</v>
      </c>
      <c r="T135" s="9">
        <v>0</v>
      </c>
      <c r="U135" s="9">
        <v>0</v>
      </c>
      <c r="V135" s="9">
        <v>2</v>
      </c>
      <c r="W135" s="9">
        <v>0</v>
      </c>
      <c r="X135" s="9">
        <v>0</v>
      </c>
      <c r="AE135" s="9">
        <f>IFERROR(VLOOKUP($A135,pivot!$A:$G,計算式2026!AE$1,FALSE),0)</f>
        <v>0</v>
      </c>
      <c r="AF135" s="9">
        <f>IFERROR(VLOOKUP($A135,pivot!$A:$I,計算式2026!AF$1,FALSE),0)</f>
        <v>0</v>
      </c>
      <c r="AI135" s="9">
        <f>IFERROR(VLOOKUP($A135,pivot!$A:$I,計算式2026!AI$1,FALSE),0)</f>
        <v>0</v>
      </c>
      <c r="AJ135" s="9">
        <f>IFERROR(VLOOKUP($A135,pivot!$A:$I,計算式2026!AJ$1,FALSE),0)</f>
        <v>0</v>
      </c>
      <c r="AK135" s="9">
        <f>IFERROR(VLOOKUP($A135,pivot!$A:$I,計算式2026!AK$1,FALSE),0)</f>
        <v>0</v>
      </c>
      <c r="AL135" s="9">
        <f>IFERROR(VLOOKUP($A135,pivot!$A:$I,計算式2026!AL$1,FALSE),0)</f>
        <v>0</v>
      </c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</row>
    <row r="136" spans="1:59" s="9" customFormat="1">
      <c r="A136" s="8" t="s">
        <v>75</v>
      </c>
      <c r="B136" s="8" t="s">
        <v>73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R136" s="9">
        <v>1</v>
      </c>
      <c r="S136" s="9">
        <v>4</v>
      </c>
      <c r="T136" s="9">
        <v>0</v>
      </c>
      <c r="U136" s="9">
        <v>0</v>
      </c>
      <c r="V136" s="9">
        <v>2</v>
      </c>
      <c r="W136" s="9">
        <v>0</v>
      </c>
      <c r="X136" s="9">
        <v>0</v>
      </c>
      <c r="AE136" s="9">
        <f>IFERROR(VLOOKUP($A136,pivot!$A:$G,計算式2026!AE$1,FALSE),0)</f>
        <v>0</v>
      </c>
      <c r="AF136" s="9">
        <f>IFERROR(VLOOKUP($A136,pivot!$A:$I,計算式2026!AF$1,FALSE),0)</f>
        <v>0</v>
      </c>
      <c r="AI136" s="9">
        <f>IFERROR(VLOOKUP($A136,pivot!$A:$I,計算式2026!AI$1,FALSE),0)</f>
        <v>0</v>
      </c>
      <c r="AJ136" s="9">
        <f>IFERROR(VLOOKUP($A136,pivot!$A:$I,計算式2026!AJ$1,FALSE),0)</f>
        <v>0</v>
      </c>
      <c r="AK136" s="9">
        <f>IFERROR(VLOOKUP($A136,pivot!$A:$I,計算式2026!AK$1,FALSE),0)</f>
        <v>0</v>
      </c>
      <c r="AL136" s="9">
        <f>IFERROR(VLOOKUP($A136,pivot!$A:$I,計算式2026!AL$1,FALSE),0)</f>
        <v>0</v>
      </c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</row>
    <row r="137" spans="1:59" s="9" customFormat="1">
      <c r="A137" s="8" t="s">
        <v>1652</v>
      </c>
      <c r="B137" s="8" t="s">
        <v>77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R137" s="9">
        <v>2</v>
      </c>
      <c r="S137" s="9">
        <v>2</v>
      </c>
      <c r="T137" s="9">
        <v>0</v>
      </c>
      <c r="U137" s="9">
        <v>0</v>
      </c>
      <c r="V137" s="9">
        <v>1</v>
      </c>
      <c r="W137" s="9">
        <v>0</v>
      </c>
      <c r="X137" s="9">
        <v>1</v>
      </c>
      <c r="AE137" s="9">
        <f>IFERROR(VLOOKUP($A137,pivot!$A:$G,計算式2026!AE$1,FALSE),0)</f>
        <v>0</v>
      </c>
      <c r="AF137" s="9">
        <f>IFERROR(VLOOKUP($A137,pivot!$A:$I,計算式2026!AF$1,FALSE),0)</f>
        <v>0</v>
      </c>
      <c r="AI137" s="9">
        <f>IFERROR(VLOOKUP($A137,pivot!$A:$I,計算式2026!AI$1,FALSE),0)</f>
        <v>0</v>
      </c>
      <c r="AJ137" s="9">
        <f>IFERROR(VLOOKUP($A137,pivot!$A:$I,計算式2026!AJ$1,FALSE),0)</f>
        <v>0</v>
      </c>
      <c r="AK137" s="9">
        <f>IFERROR(VLOOKUP($A137,pivot!$A:$I,計算式2026!AK$1,FALSE),0)</f>
        <v>0</v>
      </c>
      <c r="AL137" s="9">
        <f>IFERROR(VLOOKUP($A137,pivot!$A:$I,計算式2026!AL$1,FALSE),0)</f>
        <v>0</v>
      </c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</row>
    <row r="138" spans="1:59" s="9" customFormat="1">
      <c r="A138" s="8" t="s">
        <v>1916</v>
      </c>
      <c r="B138" s="8" t="s">
        <v>77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R138" s="9">
        <v>1</v>
      </c>
      <c r="S138" s="9">
        <v>0</v>
      </c>
      <c r="T138" s="9">
        <v>0</v>
      </c>
      <c r="U138" s="9">
        <v>0</v>
      </c>
      <c r="V138" s="9">
        <v>1</v>
      </c>
      <c r="W138" s="9">
        <v>0</v>
      </c>
      <c r="X138" s="9">
        <v>2</v>
      </c>
      <c r="AE138" s="9">
        <f>IFERROR(VLOOKUP($A138,pivot!$A:$G,計算式2026!AE$1,FALSE),0)</f>
        <v>0</v>
      </c>
      <c r="AF138" s="9">
        <f>IFERROR(VLOOKUP($A138,pivot!$A:$I,計算式2026!AF$1,FALSE),0)</f>
        <v>0</v>
      </c>
      <c r="AI138" s="9">
        <f>IFERROR(VLOOKUP($A138,pivot!$A:$I,計算式2026!AI$1,FALSE),0)</f>
        <v>0</v>
      </c>
      <c r="AJ138" s="9">
        <f>IFERROR(VLOOKUP($A138,pivot!$A:$I,計算式2026!AJ$1,FALSE),0)</f>
        <v>0</v>
      </c>
      <c r="AK138" s="9">
        <f>IFERROR(VLOOKUP($A138,pivot!$A:$I,計算式2026!AK$1,FALSE),0)</f>
        <v>0</v>
      </c>
      <c r="AL138" s="9">
        <f>IFERROR(VLOOKUP($A138,pivot!$A:$I,計算式2026!AL$1,FALSE),0)</f>
        <v>0</v>
      </c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</row>
    <row r="139" spans="1:59" s="9" customFormat="1">
      <c r="A139" s="8" t="s">
        <v>76</v>
      </c>
      <c r="B139" s="8" t="s">
        <v>77</v>
      </c>
      <c r="C139" s="9">
        <v>17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R139" s="9">
        <v>7</v>
      </c>
      <c r="S139" s="9">
        <v>8</v>
      </c>
      <c r="T139" s="9">
        <v>0</v>
      </c>
      <c r="U139" s="9">
        <v>0</v>
      </c>
      <c r="V139" s="9">
        <v>9</v>
      </c>
      <c r="W139" s="9">
        <v>0</v>
      </c>
      <c r="X139" s="9">
        <v>2</v>
      </c>
      <c r="AE139" s="9">
        <f>IFERROR(VLOOKUP($A139,pivot!$A:$G,計算式2026!AE$1,FALSE),0)</f>
        <v>0</v>
      </c>
      <c r="AF139" s="9">
        <f>IFERROR(VLOOKUP($A139,pivot!$A:$I,計算式2026!AF$1,FALSE),0)</f>
        <v>0</v>
      </c>
      <c r="AI139" s="9">
        <f>IFERROR(VLOOKUP($A139,pivot!$A:$I,計算式2026!AI$1,FALSE),0)</f>
        <v>0</v>
      </c>
      <c r="AJ139" s="9">
        <f>IFERROR(VLOOKUP($A139,pivot!$A:$I,計算式2026!AJ$1,FALSE),0)</f>
        <v>0</v>
      </c>
      <c r="AK139" s="9">
        <f>IFERROR(VLOOKUP($A139,pivot!$A:$I,計算式2026!AK$1,FALSE),0)</f>
        <v>0</v>
      </c>
      <c r="AL139" s="9">
        <f>IFERROR(VLOOKUP($A139,pivot!$A:$I,計算式2026!AL$1,FALSE),0)</f>
        <v>0</v>
      </c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</row>
    <row r="140" spans="1:59" s="9" customFormat="1">
      <c r="A140" s="8" t="s">
        <v>1917</v>
      </c>
      <c r="B140" s="8" t="s">
        <v>77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R140" s="9">
        <v>0</v>
      </c>
      <c r="S140" s="9">
        <v>1</v>
      </c>
      <c r="T140" s="9">
        <v>0</v>
      </c>
      <c r="U140" s="9">
        <v>0</v>
      </c>
      <c r="V140" s="9">
        <v>0</v>
      </c>
      <c r="W140" s="9">
        <v>0</v>
      </c>
      <c r="X140" s="9">
        <v>1</v>
      </c>
      <c r="AE140" s="9">
        <f>IFERROR(VLOOKUP($A140,pivot!$A:$G,計算式2026!AE$1,FALSE),0)</f>
        <v>0</v>
      </c>
      <c r="AF140" s="9">
        <f>IFERROR(VLOOKUP($A140,pivot!$A:$I,計算式2026!AF$1,FALSE),0)</f>
        <v>0</v>
      </c>
      <c r="AI140" s="9">
        <f>IFERROR(VLOOKUP($A140,pivot!$A:$I,計算式2026!AI$1,FALSE),0)</f>
        <v>0</v>
      </c>
      <c r="AJ140" s="9">
        <f>IFERROR(VLOOKUP($A140,pivot!$A:$I,計算式2026!AJ$1,FALSE),0)</f>
        <v>0</v>
      </c>
      <c r="AK140" s="9">
        <f>IFERROR(VLOOKUP($A140,pivot!$A:$I,計算式2026!AK$1,FALSE),0)</f>
        <v>0</v>
      </c>
      <c r="AL140" s="9">
        <f>IFERROR(VLOOKUP($A140,pivot!$A:$I,計算式2026!AL$1,FALSE),0)</f>
        <v>0</v>
      </c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</row>
    <row r="141" spans="1:59" s="9" customFormat="1">
      <c r="A141" s="8" t="s">
        <v>78</v>
      </c>
      <c r="B141" s="8" t="s">
        <v>77</v>
      </c>
      <c r="C141" s="9">
        <v>64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R141" s="9">
        <v>9</v>
      </c>
      <c r="S141" s="9">
        <v>10</v>
      </c>
      <c r="T141" s="9">
        <v>0</v>
      </c>
      <c r="U141" s="9">
        <v>0</v>
      </c>
      <c r="V141" s="9">
        <v>10</v>
      </c>
      <c r="W141" s="9">
        <v>0</v>
      </c>
      <c r="X141" s="9">
        <v>2</v>
      </c>
      <c r="AE141" s="9">
        <f>IFERROR(VLOOKUP($A141,pivot!$A:$G,計算式2026!AE$1,FALSE),0)</f>
        <v>0</v>
      </c>
      <c r="AF141" s="9">
        <f>IFERROR(VLOOKUP($A141,pivot!$A:$I,計算式2026!AF$1,FALSE),0)</f>
        <v>0</v>
      </c>
      <c r="AI141" s="9">
        <f>IFERROR(VLOOKUP($A141,pivot!$A:$I,計算式2026!AI$1,FALSE),0)</f>
        <v>0</v>
      </c>
      <c r="AJ141" s="9">
        <f>IFERROR(VLOOKUP($A141,pivot!$A:$I,計算式2026!AJ$1,FALSE),0)</f>
        <v>0</v>
      </c>
      <c r="AK141" s="9">
        <f>IFERROR(VLOOKUP($A141,pivot!$A:$I,計算式2026!AK$1,FALSE),0)</f>
        <v>0</v>
      </c>
      <c r="AL141" s="9">
        <f>IFERROR(VLOOKUP($A141,pivot!$A:$I,計算式2026!AL$1,FALSE),0)</f>
        <v>0</v>
      </c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</row>
    <row r="142" spans="1:59" s="9" customFormat="1">
      <c r="A142" s="8" t="s">
        <v>79</v>
      </c>
      <c r="B142" s="8" t="s">
        <v>77</v>
      </c>
      <c r="C142" s="9">
        <v>2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R142" s="9">
        <v>4</v>
      </c>
      <c r="S142" s="9">
        <v>6</v>
      </c>
      <c r="T142" s="9">
        <v>0</v>
      </c>
      <c r="U142" s="9">
        <v>0</v>
      </c>
      <c r="V142" s="9">
        <v>4</v>
      </c>
      <c r="W142" s="9">
        <v>0</v>
      </c>
      <c r="X142" s="9">
        <v>2</v>
      </c>
      <c r="AE142" s="9">
        <f>IFERROR(VLOOKUP($A142,pivot!$A:$G,計算式2026!AE$1,FALSE),0)</f>
        <v>0</v>
      </c>
      <c r="AF142" s="9">
        <f>IFERROR(VLOOKUP($A142,pivot!$A:$I,計算式2026!AF$1,FALSE),0)</f>
        <v>0</v>
      </c>
      <c r="AI142" s="9">
        <f>IFERROR(VLOOKUP($A142,pivot!$A:$I,計算式2026!AI$1,FALSE),0)</f>
        <v>0</v>
      </c>
      <c r="AJ142" s="9">
        <f>IFERROR(VLOOKUP($A142,pivot!$A:$I,計算式2026!AJ$1,FALSE),0)</f>
        <v>0</v>
      </c>
      <c r="AK142" s="9">
        <f>IFERROR(VLOOKUP($A142,pivot!$A:$I,計算式2026!AK$1,FALSE),0)</f>
        <v>0</v>
      </c>
      <c r="AL142" s="9">
        <f>IFERROR(VLOOKUP($A142,pivot!$A:$I,計算式2026!AL$1,FALSE),0)</f>
        <v>0</v>
      </c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</row>
    <row r="143" spans="1:59" s="9" customFormat="1">
      <c r="A143" s="8" t="s">
        <v>80</v>
      </c>
      <c r="B143" s="8" t="s">
        <v>77</v>
      </c>
      <c r="C143" s="9">
        <v>71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R143" s="9">
        <v>9</v>
      </c>
      <c r="S143" s="9">
        <v>8</v>
      </c>
      <c r="T143" s="9">
        <v>0</v>
      </c>
      <c r="U143" s="9">
        <v>0</v>
      </c>
      <c r="V143" s="9">
        <v>10</v>
      </c>
      <c r="W143" s="9">
        <v>0</v>
      </c>
      <c r="X143" s="9">
        <v>2</v>
      </c>
      <c r="AE143" s="9">
        <f>IFERROR(VLOOKUP($A143,pivot!$A:$G,計算式2026!AE$1,FALSE),0)</f>
        <v>0</v>
      </c>
      <c r="AF143" s="9">
        <f>IFERROR(VLOOKUP($A143,pivot!$A:$I,計算式2026!AF$1,FALSE),0)</f>
        <v>0</v>
      </c>
      <c r="AI143" s="9">
        <f>IFERROR(VLOOKUP($A143,pivot!$A:$I,計算式2026!AI$1,FALSE),0)</f>
        <v>0</v>
      </c>
      <c r="AJ143" s="9">
        <f>IFERROR(VLOOKUP($A143,pivot!$A:$I,計算式2026!AJ$1,FALSE),0)</f>
        <v>0</v>
      </c>
      <c r="AK143" s="9">
        <f>IFERROR(VLOOKUP($A143,pivot!$A:$I,計算式2026!AK$1,FALSE),0)</f>
        <v>0</v>
      </c>
      <c r="AL143" s="9">
        <f>IFERROR(VLOOKUP($A143,pivot!$A:$I,計算式2026!AL$1,FALSE),0)</f>
        <v>0</v>
      </c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</row>
    <row r="144" spans="1:59" s="9" customFormat="1">
      <c r="A144" s="8" t="s">
        <v>81</v>
      </c>
      <c r="B144" s="8" t="s">
        <v>77</v>
      </c>
      <c r="C144" s="9">
        <v>132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R144" s="9">
        <v>12</v>
      </c>
      <c r="S144" s="9">
        <v>12</v>
      </c>
      <c r="T144" s="9">
        <v>0</v>
      </c>
      <c r="U144" s="9">
        <v>0</v>
      </c>
      <c r="V144" s="9">
        <v>8</v>
      </c>
      <c r="W144" s="9">
        <v>0</v>
      </c>
      <c r="X144" s="9">
        <v>1</v>
      </c>
      <c r="AE144" s="9">
        <f>IFERROR(VLOOKUP($A144,pivot!$A:$G,計算式2026!AE$1,FALSE),0)</f>
        <v>0</v>
      </c>
      <c r="AF144" s="9">
        <f>IFERROR(VLOOKUP($A144,pivot!$A:$I,計算式2026!AF$1,FALSE),0)</f>
        <v>0</v>
      </c>
      <c r="AI144" s="9">
        <f>IFERROR(VLOOKUP($A144,pivot!$A:$I,計算式2026!AI$1,FALSE),0)</f>
        <v>0</v>
      </c>
      <c r="AJ144" s="9">
        <f>IFERROR(VLOOKUP($A144,pivot!$A:$I,計算式2026!AJ$1,FALSE),0)</f>
        <v>0</v>
      </c>
      <c r="AK144" s="9">
        <f>IFERROR(VLOOKUP($A144,pivot!$A:$I,計算式2026!AK$1,FALSE),0)</f>
        <v>0</v>
      </c>
      <c r="AL144" s="9">
        <f>IFERROR(VLOOKUP($A144,pivot!$A:$I,計算式2026!AL$1,FALSE),0)</f>
        <v>0</v>
      </c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</row>
    <row r="145" spans="1:59" s="9" customFormat="1">
      <c r="A145" s="8" t="s">
        <v>82</v>
      </c>
      <c r="B145" s="8" t="s">
        <v>77</v>
      </c>
      <c r="C145" s="9">
        <v>19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R145" s="9">
        <v>7</v>
      </c>
      <c r="S145" s="9">
        <v>9</v>
      </c>
      <c r="T145" s="9">
        <v>0</v>
      </c>
      <c r="U145" s="9">
        <v>0</v>
      </c>
      <c r="V145" s="9">
        <v>9</v>
      </c>
      <c r="W145" s="9">
        <v>0</v>
      </c>
      <c r="X145" s="9">
        <v>1</v>
      </c>
      <c r="AE145" s="9">
        <f>IFERROR(VLOOKUP($A145,pivot!$A:$G,計算式2026!AE$1,FALSE),0)</f>
        <v>0</v>
      </c>
      <c r="AF145" s="9">
        <f>IFERROR(VLOOKUP($A145,pivot!$A:$I,計算式2026!AF$1,FALSE),0)</f>
        <v>0</v>
      </c>
      <c r="AI145" s="9">
        <f>IFERROR(VLOOKUP($A145,pivot!$A:$I,計算式2026!AI$1,FALSE),0)</f>
        <v>0</v>
      </c>
      <c r="AJ145" s="9">
        <f>IFERROR(VLOOKUP($A145,pivot!$A:$I,計算式2026!AJ$1,FALSE),0)</f>
        <v>0</v>
      </c>
      <c r="AK145" s="9">
        <f>IFERROR(VLOOKUP($A145,pivot!$A:$I,計算式2026!AK$1,FALSE),0)</f>
        <v>0</v>
      </c>
      <c r="AL145" s="9">
        <f>IFERROR(VLOOKUP($A145,pivot!$A:$I,計算式2026!AL$1,FALSE),0)</f>
        <v>0</v>
      </c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</row>
    <row r="146" spans="1:59" s="9" customFormat="1">
      <c r="A146" s="8" t="s">
        <v>83</v>
      </c>
      <c r="B146" s="8" t="s">
        <v>77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R146" s="9">
        <v>6</v>
      </c>
      <c r="S146" s="9">
        <v>9</v>
      </c>
      <c r="T146" s="9">
        <v>0</v>
      </c>
      <c r="U146" s="9">
        <v>0</v>
      </c>
      <c r="V146" s="9">
        <v>6</v>
      </c>
      <c r="W146" s="9">
        <v>0</v>
      </c>
      <c r="X146" s="9">
        <v>1</v>
      </c>
      <c r="AE146" s="9">
        <f>IFERROR(VLOOKUP($A146,pivot!$A:$G,計算式2026!AE$1,FALSE),0)</f>
        <v>0</v>
      </c>
      <c r="AF146" s="9">
        <f>IFERROR(VLOOKUP($A146,pivot!$A:$I,計算式2026!AF$1,FALSE),0)</f>
        <v>0</v>
      </c>
      <c r="AI146" s="9">
        <f>IFERROR(VLOOKUP($A146,pivot!$A:$I,計算式2026!AI$1,FALSE),0)</f>
        <v>0</v>
      </c>
      <c r="AJ146" s="9">
        <f>IFERROR(VLOOKUP($A146,pivot!$A:$I,計算式2026!AJ$1,FALSE),0)</f>
        <v>0</v>
      </c>
      <c r="AK146" s="9">
        <f>IFERROR(VLOOKUP($A146,pivot!$A:$I,計算式2026!AK$1,FALSE),0)</f>
        <v>0</v>
      </c>
      <c r="AL146" s="9">
        <f>IFERROR(VLOOKUP($A146,pivot!$A:$I,計算式2026!AL$1,FALSE),0)</f>
        <v>0</v>
      </c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</row>
    <row r="147" spans="1:59" s="9" customFormat="1">
      <c r="A147" s="8" t="s">
        <v>84</v>
      </c>
      <c r="B147" s="8" t="s">
        <v>77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R147" s="9">
        <v>3</v>
      </c>
      <c r="S147" s="9">
        <v>7</v>
      </c>
      <c r="T147" s="9">
        <v>0</v>
      </c>
      <c r="U147" s="9">
        <v>0</v>
      </c>
      <c r="V147" s="9">
        <v>4</v>
      </c>
      <c r="W147" s="9">
        <v>0</v>
      </c>
      <c r="X147" s="9">
        <v>1</v>
      </c>
      <c r="AE147" s="9">
        <f>IFERROR(VLOOKUP($A147,pivot!$A:$G,計算式2026!AE$1,FALSE),0)</f>
        <v>0</v>
      </c>
      <c r="AF147" s="9">
        <f>IFERROR(VLOOKUP($A147,pivot!$A:$I,計算式2026!AF$1,FALSE),0)</f>
        <v>0</v>
      </c>
      <c r="AI147" s="9">
        <f>IFERROR(VLOOKUP($A147,pivot!$A:$I,計算式2026!AI$1,FALSE),0)</f>
        <v>0</v>
      </c>
      <c r="AJ147" s="9">
        <f>IFERROR(VLOOKUP($A147,pivot!$A:$I,計算式2026!AJ$1,FALSE),0)</f>
        <v>0</v>
      </c>
      <c r="AK147" s="9">
        <f>IFERROR(VLOOKUP($A147,pivot!$A:$I,計算式2026!AK$1,FALSE),0)</f>
        <v>0</v>
      </c>
      <c r="AL147" s="9">
        <f>IFERROR(VLOOKUP($A147,pivot!$A:$I,計算式2026!AL$1,FALSE),0)</f>
        <v>0</v>
      </c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</row>
    <row r="148" spans="1:59" s="9" customFormat="1">
      <c r="A148" s="8" t="s">
        <v>1918</v>
      </c>
      <c r="B148" s="8" t="s">
        <v>77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R148" s="9">
        <v>1</v>
      </c>
      <c r="S148" s="9">
        <v>1</v>
      </c>
      <c r="T148" s="9">
        <v>0</v>
      </c>
      <c r="U148" s="9">
        <v>0</v>
      </c>
      <c r="V148" s="9">
        <v>2</v>
      </c>
      <c r="W148" s="9">
        <v>0</v>
      </c>
      <c r="X148" s="9">
        <v>1</v>
      </c>
      <c r="AE148" s="9">
        <f>IFERROR(VLOOKUP($A148,pivot!$A:$G,計算式2026!AE$1,FALSE),0)</f>
        <v>0</v>
      </c>
      <c r="AF148" s="9">
        <f>IFERROR(VLOOKUP($A148,pivot!$A:$I,計算式2026!AF$1,FALSE),0)</f>
        <v>0</v>
      </c>
      <c r="AI148" s="9">
        <f>IFERROR(VLOOKUP($A148,pivot!$A:$I,計算式2026!AI$1,FALSE),0)</f>
        <v>0</v>
      </c>
      <c r="AJ148" s="9">
        <f>IFERROR(VLOOKUP($A148,pivot!$A:$I,計算式2026!AJ$1,FALSE),0)</f>
        <v>0</v>
      </c>
      <c r="AK148" s="9">
        <f>IFERROR(VLOOKUP($A148,pivot!$A:$I,計算式2026!AK$1,FALSE),0)</f>
        <v>0</v>
      </c>
      <c r="AL148" s="9">
        <f>IFERROR(VLOOKUP($A148,pivot!$A:$I,計算式2026!AL$1,FALSE),0)</f>
        <v>0</v>
      </c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</row>
    <row r="149" spans="1:59" s="9" customFormat="1">
      <c r="A149" s="8" t="s">
        <v>2637</v>
      </c>
      <c r="B149" s="8" t="s">
        <v>73</v>
      </c>
      <c r="C149" s="9">
        <v>3</v>
      </c>
      <c r="D149" s="9">
        <v>112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R149" s="9">
        <v>3</v>
      </c>
      <c r="S149" s="9">
        <v>4</v>
      </c>
      <c r="T149" s="9">
        <v>2</v>
      </c>
      <c r="U149" s="9">
        <v>3</v>
      </c>
      <c r="V149" s="9">
        <v>3</v>
      </c>
      <c r="W149" s="9">
        <v>0</v>
      </c>
      <c r="X149" s="9">
        <v>3</v>
      </c>
      <c r="AE149" s="9">
        <f>IFERROR(VLOOKUP($A149,pivot!$A:$G,計算式2026!AE$1,FALSE),0)</f>
        <v>0</v>
      </c>
      <c r="AF149" s="9">
        <f>IFERROR(VLOOKUP($A149,pivot!$A:$I,計算式2026!AF$1,FALSE),0)</f>
        <v>0</v>
      </c>
      <c r="AI149" s="9">
        <f>IFERROR(VLOOKUP($A149,pivot!$A:$I,計算式2026!AI$1,FALSE),0)</f>
        <v>0</v>
      </c>
      <c r="AJ149" s="9">
        <f>IFERROR(VLOOKUP($A149,pivot!$A:$I,計算式2026!AJ$1,FALSE),0)</f>
        <v>0</v>
      </c>
      <c r="AK149" s="9">
        <f>IFERROR(VLOOKUP($A149,pivot!$A:$I,計算式2026!AK$1,FALSE),0)</f>
        <v>0</v>
      </c>
      <c r="AL149" s="9">
        <f>IFERROR(VLOOKUP($A149,pivot!$A:$I,計算式2026!AL$1,FALSE),0)</f>
        <v>0</v>
      </c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</row>
    <row r="150" spans="1:59" s="9" customFormat="1">
      <c r="A150" s="8" t="s">
        <v>2717</v>
      </c>
      <c r="B150" s="8" t="s">
        <v>73</v>
      </c>
      <c r="C150" s="9">
        <v>2</v>
      </c>
      <c r="D150" s="9">
        <v>88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R150" s="9">
        <v>4</v>
      </c>
      <c r="S150" s="9">
        <v>4</v>
      </c>
      <c r="T150" s="9">
        <v>2</v>
      </c>
      <c r="U150" s="9">
        <v>4</v>
      </c>
      <c r="V150" s="9">
        <v>4</v>
      </c>
      <c r="W150" s="9">
        <v>2</v>
      </c>
      <c r="X150" s="9">
        <v>4</v>
      </c>
      <c r="AE150" s="9">
        <f>IFERROR(VLOOKUP($A150,pivot!$A:$G,計算式2026!AE$1,FALSE),0)</f>
        <v>0</v>
      </c>
      <c r="AF150" s="9">
        <f>IFERROR(VLOOKUP($A150,pivot!$A:$I,計算式2026!AF$1,FALSE),0)</f>
        <v>0</v>
      </c>
      <c r="AI150" s="9">
        <f>IFERROR(VLOOKUP($A150,pivot!$A:$I,計算式2026!AI$1,FALSE),0)</f>
        <v>0</v>
      </c>
      <c r="AJ150" s="9">
        <f>IFERROR(VLOOKUP($A150,pivot!$A:$I,計算式2026!AJ$1,FALSE),0)</f>
        <v>0</v>
      </c>
      <c r="AK150" s="9">
        <f>IFERROR(VLOOKUP($A150,pivot!$A:$I,計算式2026!AK$1,FALSE),0)</f>
        <v>0</v>
      </c>
      <c r="AL150" s="9">
        <f>IFERROR(VLOOKUP($A150,pivot!$A:$I,計算式2026!AL$1,FALSE),0)</f>
        <v>0</v>
      </c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</row>
    <row r="151" spans="1:59" s="9" customFormat="1">
      <c r="A151" s="8" t="s">
        <v>2611</v>
      </c>
      <c r="B151" s="8" t="s">
        <v>73</v>
      </c>
      <c r="C151" s="9">
        <v>2</v>
      </c>
      <c r="D151" s="9">
        <v>48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R151" s="9">
        <v>4</v>
      </c>
      <c r="S151" s="9">
        <v>5</v>
      </c>
      <c r="T151" s="9">
        <v>2</v>
      </c>
      <c r="U151" s="9">
        <v>4</v>
      </c>
      <c r="V151" s="9">
        <v>2</v>
      </c>
      <c r="W151" s="9">
        <v>0</v>
      </c>
      <c r="X151" s="9">
        <v>4</v>
      </c>
      <c r="AE151" s="9">
        <f>IFERROR(VLOOKUP($A151,pivot!$A:$G,計算式2026!AE$1,FALSE),0)</f>
        <v>0</v>
      </c>
      <c r="AF151" s="9">
        <f>IFERROR(VLOOKUP($A151,pivot!$A:$I,計算式2026!AF$1,FALSE),0)</f>
        <v>1</v>
      </c>
      <c r="AI151" s="9">
        <f>IFERROR(VLOOKUP($A151,pivot!$A:$I,計算式2026!AI$1,FALSE),0)</f>
        <v>2</v>
      </c>
      <c r="AJ151" s="9">
        <f>IFERROR(VLOOKUP($A151,pivot!$A:$I,計算式2026!AJ$1,FALSE),0)</f>
        <v>0</v>
      </c>
      <c r="AK151" s="9">
        <f>IFERROR(VLOOKUP($A151,pivot!$A:$I,計算式2026!AK$1,FALSE),0)</f>
        <v>0</v>
      </c>
      <c r="AL151" s="9">
        <f>IFERROR(VLOOKUP($A151,pivot!$A:$I,計算式2026!AL$1,FALSE),0)</f>
        <v>0</v>
      </c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</row>
    <row r="152" spans="1:59" s="9" customFormat="1">
      <c r="A152" s="8" t="s">
        <v>2623</v>
      </c>
      <c r="B152" s="8" t="s">
        <v>73</v>
      </c>
      <c r="C152" s="9">
        <v>1</v>
      </c>
      <c r="D152" s="9">
        <v>426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R152" s="9">
        <v>6</v>
      </c>
      <c r="S152" s="9">
        <v>8</v>
      </c>
      <c r="T152" s="9">
        <v>1</v>
      </c>
      <c r="U152" s="9">
        <v>6</v>
      </c>
      <c r="V152" s="9">
        <v>6</v>
      </c>
      <c r="W152" s="9">
        <v>2</v>
      </c>
      <c r="X152" s="9">
        <v>3</v>
      </c>
      <c r="AE152" s="9">
        <f>IFERROR(VLOOKUP($A152,pivot!$A:$G,計算式2026!AE$1,FALSE),0)</f>
        <v>0</v>
      </c>
      <c r="AF152" s="9">
        <f>IFERROR(VLOOKUP($A152,pivot!$A:$I,計算式2026!AF$1,FALSE),0)</f>
        <v>0</v>
      </c>
      <c r="AI152" s="9">
        <f>IFERROR(VLOOKUP($A152,pivot!$A:$I,計算式2026!AI$1,FALSE),0)</f>
        <v>0</v>
      </c>
      <c r="AJ152" s="9">
        <f>IFERROR(VLOOKUP($A152,pivot!$A:$I,計算式2026!AJ$1,FALSE),0)</f>
        <v>2</v>
      </c>
      <c r="AK152" s="9">
        <f>IFERROR(VLOOKUP($A152,pivot!$A:$I,計算式2026!AK$1,FALSE),0)</f>
        <v>0</v>
      </c>
      <c r="AL152" s="9">
        <f>IFERROR(VLOOKUP($A152,pivot!$A:$I,計算式2026!AL$1,FALSE),0)</f>
        <v>0</v>
      </c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</row>
    <row r="153" spans="1:59" s="9" customFormat="1">
      <c r="A153" s="8" t="s">
        <v>2621</v>
      </c>
      <c r="B153" s="8" t="s">
        <v>73</v>
      </c>
      <c r="C153" s="9">
        <v>2</v>
      </c>
      <c r="D153" s="9">
        <v>181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R153" s="9">
        <v>6</v>
      </c>
      <c r="S153" s="9">
        <v>8</v>
      </c>
      <c r="T153" s="9">
        <v>2</v>
      </c>
      <c r="U153" s="9">
        <v>5</v>
      </c>
      <c r="V153" s="9">
        <v>4</v>
      </c>
      <c r="W153" s="9">
        <v>0</v>
      </c>
      <c r="X153" s="9">
        <v>5</v>
      </c>
      <c r="AE153" s="9">
        <f>IFERROR(VLOOKUP($A153,pivot!$A:$G,計算式2026!AE$1,FALSE),0)</f>
        <v>0</v>
      </c>
      <c r="AF153" s="9">
        <f>IFERROR(VLOOKUP($A153,pivot!$A:$I,計算式2026!AF$1,FALSE),0)</f>
        <v>0</v>
      </c>
      <c r="AI153" s="9">
        <f>IFERROR(VLOOKUP($A153,pivot!$A:$I,計算式2026!AI$1,FALSE),0)</f>
        <v>0</v>
      </c>
      <c r="AJ153" s="9">
        <f>IFERROR(VLOOKUP($A153,pivot!$A:$I,計算式2026!AJ$1,FALSE),0)</f>
        <v>0</v>
      </c>
      <c r="AK153" s="9">
        <f>IFERROR(VLOOKUP($A153,pivot!$A:$I,計算式2026!AK$1,FALSE),0)</f>
        <v>0</v>
      </c>
      <c r="AL153" s="9">
        <f>IFERROR(VLOOKUP($A153,pivot!$A:$I,計算式2026!AL$1,FALSE),0)</f>
        <v>0</v>
      </c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</row>
    <row r="154" spans="1:59" s="9" customFormat="1">
      <c r="A154" s="8" t="s">
        <v>2607</v>
      </c>
      <c r="B154" s="8" t="s">
        <v>73</v>
      </c>
      <c r="C154" s="9">
        <v>1</v>
      </c>
      <c r="D154" s="9">
        <v>45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R154" s="9">
        <v>4</v>
      </c>
      <c r="S154" s="9">
        <v>6</v>
      </c>
      <c r="T154" s="9">
        <v>2</v>
      </c>
      <c r="U154" s="9">
        <v>4</v>
      </c>
      <c r="V154" s="9">
        <v>4</v>
      </c>
      <c r="W154" s="9">
        <v>0</v>
      </c>
      <c r="X154" s="9">
        <v>5</v>
      </c>
      <c r="AE154" s="9">
        <f>IFERROR(VLOOKUP($A154,pivot!$A:$G,計算式2026!AE$1,FALSE),0)</f>
        <v>0</v>
      </c>
      <c r="AF154" s="9">
        <f>IFERROR(VLOOKUP($A154,pivot!$A:$I,計算式2026!AF$1,FALSE),0)</f>
        <v>0</v>
      </c>
      <c r="AI154" s="9">
        <f>IFERROR(VLOOKUP($A154,pivot!$A:$I,計算式2026!AI$1,FALSE),0)</f>
        <v>1</v>
      </c>
      <c r="AJ154" s="9">
        <f>IFERROR(VLOOKUP($A154,pivot!$A:$I,計算式2026!AJ$1,FALSE),0)</f>
        <v>0</v>
      </c>
      <c r="AK154" s="9">
        <f>IFERROR(VLOOKUP($A154,pivot!$A:$I,計算式2026!AK$1,FALSE),0)</f>
        <v>0</v>
      </c>
      <c r="AL154" s="9">
        <f>IFERROR(VLOOKUP($A154,pivot!$A:$I,計算式2026!AL$1,FALSE),0)</f>
        <v>0</v>
      </c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</row>
    <row r="155" spans="1:59" s="9" customFormat="1">
      <c r="A155" s="8" t="s">
        <v>2718</v>
      </c>
      <c r="B155" s="8" t="s">
        <v>77</v>
      </c>
      <c r="C155" s="9">
        <v>2</v>
      </c>
      <c r="D155" s="9">
        <v>24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R155" s="9">
        <v>2</v>
      </c>
      <c r="S155" s="9">
        <v>3</v>
      </c>
      <c r="T155" s="9">
        <v>2</v>
      </c>
      <c r="U155" s="9">
        <v>5</v>
      </c>
      <c r="V155" s="9">
        <v>3</v>
      </c>
      <c r="W155" s="9">
        <v>1</v>
      </c>
      <c r="X155" s="9">
        <v>3</v>
      </c>
      <c r="AE155" s="9">
        <f>IFERROR(VLOOKUP($A155,pivot!$A:$G,計算式2026!AE$1,FALSE),0)</f>
        <v>0</v>
      </c>
      <c r="AF155" s="9">
        <f>IFERROR(VLOOKUP($A155,pivot!$A:$I,計算式2026!AF$1,FALSE),0)</f>
        <v>0</v>
      </c>
      <c r="AI155" s="9">
        <f>IFERROR(VLOOKUP($A155,pivot!$A:$I,計算式2026!AI$1,FALSE),0)</f>
        <v>0</v>
      </c>
      <c r="AJ155" s="9">
        <f>IFERROR(VLOOKUP($A155,pivot!$A:$I,計算式2026!AJ$1,FALSE),0)</f>
        <v>0</v>
      </c>
      <c r="AK155" s="9">
        <f>IFERROR(VLOOKUP($A155,pivot!$A:$I,計算式2026!AK$1,FALSE),0)</f>
        <v>0</v>
      </c>
      <c r="AL155" s="9">
        <f>IFERROR(VLOOKUP($A155,pivot!$A:$I,計算式2026!AL$1,FALSE),0)</f>
        <v>0</v>
      </c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</row>
    <row r="156" spans="1:59" s="9" customFormat="1">
      <c r="A156" s="8" t="s">
        <v>2631</v>
      </c>
      <c r="B156" s="8" t="s">
        <v>77</v>
      </c>
      <c r="C156" s="9">
        <v>3</v>
      </c>
      <c r="D156" s="9">
        <v>68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R156" s="9">
        <v>3</v>
      </c>
      <c r="S156" s="9">
        <v>3</v>
      </c>
      <c r="T156" s="9">
        <v>2</v>
      </c>
      <c r="U156" s="9">
        <v>3</v>
      </c>
      <c r="V156" s="9">
        <v>3</v>
      </c>
      <c r="W156" s="9">
        <v>1</v>
      </c>
      <c r="X156" s="9">
        <v>4</v>
      </c>
      <c r="AE156" s="9">
        <f>IFERROR(VLOOKUP($A156,pivot!$A:$G,計算式2026!AE$1,FALSE),0)</f>
        <v>0</v>
      </c>
      <c r="AF156" s="9">
        <f>IFERROR(VLOOKUP($A156,pivot!$A:$I,計算式2026!AF$1,FALSE),0)</f>
        <v>0</v>
      </c>
      <c r="AI156" s="9">
        <f>IFERROR(VLOOKUP($A156,pivot!$A:$I,計算式2026!AI$1,FALSE),0)</f>
        <v>0</v>
      </c>
      <c r="AJ156" s="9">
        <f>IFERROR(VLOOKUP($A156,pivot!$A:$I,計算式2026!AJ$1,FALSE),0)</f>
        <v>0</v>
      </c>
      <c r="AK156" s="9">
        <f>IFERROR(VLOOKUP($A156,pivot!$A:$I,計算式2026!AK$1,FALSE),0)</f>
        <v>0</v>
      </c>
      <c r="AL156" s="9">
        <f>IFERROR(VLOOKUP($A156,pivot!$A:$I,計算式2026!AL$1,FALSE),0)</f>
        <v>0</v>
      </c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</row>
    <row r="157" spans="1:59" s="9" customFormat="1">
      <c r="A157" s="8" t="s">
        <v>2632</v>
      </c>
      <c r="B157" s="8" t="s">
        <v>77</v>
      </c>
      <c r="C157" s="9">
        <v>2</v>
      </c>
      <c r="D157" s="9">
        <v>67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R157" s="9">
        <v>3</v>
      </c>
      <c r="S157" s="9">
        <v>3</v>
      </c>
      <c r="T157" s="9">
        <v>2</v>
      </c>
      <c r="U157" s="9">
        <v>3</v>
      </c>
      <c r="V157" s="9">
        <v>3</v>
      </c>
      <c r="W157" s="9">
        <v>1</v>
      </c>
      <c r="X157" s="9">
        <v>3</v>
      </c>
      <c r="AE157" s="9">
        <f>IFERROR(VLOOKUP($A157,pivot!$A:$G,計算式2026!AE$1,FALSE),0)</f>
        <v>0</v>
      </c>
      <c r="AF157" s="9">
        <f>IFERROR(VLOOKUP($A157,pivot!$A:$I,計算式2026!AF$1,FALSE),0)</f>
        <v>0</v>
      </c>
      <c r="AI157" s="9">
        <f>IFERROR(VLOOKUP($A157,pivot!$A:$I,計算式2026!AI$1,FALSE),0)</f>
        <v>0</v>
      </c>
      <c r="AJ157" s="9">
        <f>IFERROR(VLOOKUP($A157,pivot!$A:$I,計算式2026!AJ$1,FALSE),0)</f>
        <v>0</v>
      </c>
      <c r="AK157" s="9">
        <f>IFERROR(VLOOKUP($A157,pivot!$A:$I,計算式2026!AK$1,FALSE),0)</f>
        <v>0</v>
      </c>
      <c r="AL157" s="9">
        <f>IFERROR(VLOOKUP($A157,pivot!$A:$I,計算式2026!AL$1,FALSE),0)</f>
        <v>0</v>
      </c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</row>
    <row r="158" spans="1:59" s="9" customFormat="1">
      <c r="A158" s="8" t="s">
        <v>2719</v>
      </c>
      <c r="B158" s="8" t="s">
        <v>77</v>
      </c>
      <c r="C158" s="9">
        <v>4</v>
      </c>
      <c r="D158" s="9">
        <v>131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R158" s="9">
        <v>3</v>
      </c>
      <c r="S158" s="9">
        <v>4</v>
      </c>
      <c r="T158" s="9">
        <v>2</v>
      </c>
      <c r="U158" s="9">
        <v>3</v>
      </c>
      <c r="V158" s="9">
        <v>4</v>
      </c>
      <c r="W158" s="9">
        <v>1</v>
      </c>
      <c r="X158" s="9">
        <v>3</v>
      </c>
      <c r="AE158" s="9">
        <f>IFERROR(VLOOKUP($A158,pivot!$A:$G,計算式2026!AE$1,FALSE),0)</f>
        <v>0</v>
      </c>
      <c r="AF158" s="9">
        <f>IFERROR(VLOOKUP($A158,pivot!$A:$I,計算式2026!AF$1,FALSE),0)</f>
        <v>0</v>
      </c>
      <c r="AI158" s="9">
        <f>IFERROR(VLOOKUP($A158,pivot!$A:$I,計算式2026!AI$1,FALSE),0)</f>
        <v>0</v>
      </c>
      <c r="AJ158" s="9">
        <f>IFERROR(VLOOKUP($A158,pivot!$A:$I,計算式2026!AJ$1,FALSE),0)</f>
        <v>0</v>
      </c>
      <c r="AK158" s="9">
        <f>IFERROR(VLOOKUP($A158,pivot!$A:$I,計算式2026!AK$1,FALSE),0)</f>
        <v>0</v>
      </c>
      <c r="AL158" s="9">
        <f>IFERROR(VLOOKUP($A158,pivot!$A:$I,計算式2026!AL$1,FALSE),0)</f>
        <v>0</v>
      </c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</row>
    <row r="159" spans="1:59" s="9" customFormat="1">
      <c r="A159" s="8" t="s">
        <v>2679</v>
      </c>
      <c r="B159" s="8" t="s">
        <v>77</v>
      </c>
      <c r="C159" s="9">
        <v>1</v>
      </c>
      <c r="D159" s="9">
        <v>130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R159" s="9">
        <v>2</v>
      </c>
      <c r="S159" s="9">
        <v>4</v>
      </c>
      <c r="T159" s="9">
        <v>2</v>
      </c>
      <c r="U159" s="9">
        <v>3</v>
      </c>
      <c r="V159" s="9">
        <v>4</v>
      </c>
      <c r="W159" s="9">
        <v>2</v>
      </c>
      <c r="X159" s="9">
        <v>3</v>
      </c>
      <c r="AE159" s="9">
        <f>IFERROR(VLOOKUP($A159,pivot!$A:$G,計算式2026!AE$1,FALSE),0)</f>
        <v>0</v>
      </c>
      <c r="AF159" s="9">
        <f>IFERROR(VLOOKUP($A159,pivot!$A:$I,計算式2026!AF$1,FALSE),0)</f>
        <v>0</v>
      </c>
      <c r="AI159" s="9">
        <f>IFERROR(VLOOKUP($A159,pivot!$A:$I,計算式2026!AI$1,FALSE),0)</f>
        <v>0</v>
      </c>
      <c r="AJ159" s="9">
        <f>IFERROR(VLOOKUP($A159,pivot!$A:$I,計算式2026!AJ$1,FALSE),0)</f>
        <v>0</v>
      </c>
      <c r="AK159" s="9">
        <f>IFERROR(VLOOKUP($A159,pivot!$A:$I,計算式2026!AK$1,FALSE),0)</f>
        <v>0</v>
      </c>
      <c r="AL159" s="9">
        <f>IFERROR(VLOOKUP($A159,pivot!$A:$I,計算式2026!AL$1,FALSE),0)</f>
        <v>0</v>
      </c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</row>
    <row r="160" spans="1:59" s="9" customFormat="1">
      <c r="A160" s="8" t="s">
        <v>2655</v>
      </c>
      <c r="B160" s="8" t="s">
        <v>77</v>
      </c>
      <c r="C160" s="9">
        <v>2</v>
      </c>
      <c r="D160" s="9">
        <v>19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R160" s="9">
        <v>2</v>
      </c>
      <c r="S160" s="9">
        <v>3</v>
      </c>
      <c r="T160" s="9">
        <v>2</v>
      </c>
      <c r="U160" s="9">
        <v>3</v>
      </c>
      <c r="V160" s="9">
        <v>3</v>
      </c>
      <c r="W160" s="9">
        <v>1</v>
      </c>
      <c r="X160" s="9">
        <v>4</v>
      </c>
      <c r="AE160" s="9">
        <f>IFERROR(VLOOKUP($A160,pivot!$A:$G,計算式2026!AE$1,FALSE),0)</f>
        <v>0</v>
      </c>
      <c r="AF160" s="9">
        <f>IFERROR(VLOOKUP($A160,pivot!$A:$I,計算式2026!AF$1,FALSE),0)</f>
        <v>0</v>
      </c>
      <c r="AI160" s="9">
        <f>IFERROR(VLOOKUP($A160,pivot!$A:$I,計算式2026!AI$1,FALSE),0)</f>
        <v>0</v>
      </c>
      <c r="AJ160" s="9">
        <f>IFERROR(VLOOKUP($A160,pivot!$A:$I,計算式2026!AJ$1,FALSE),0)</f>
        <v>0</v>
      </c>
      <c r="AK160" s="9">
        <f>IFERROR(VLOOKUP($A160,pivot!$A:$I,計算式2026!AK$1,FALSE),0)</f>
        <v>0</v>
      </c>
      <c r="AL160" s="9">
        <f>IFERROR(VLOOKUP($A160,pivot!$A:$I,計算式2026!AL$1,FALSE),0)</f>
        <v>0</v>
      </c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</row>
    <row r="161" spans="1:59" s="9" customFormat="1">
      <c r="A161" s="8" t="s">
        <v>2642</v>
      </c>
      <c r="B161" s="8" t="s">
        <v>2610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R161" s="9">
        <v>1</v>
      </c>
      <c r="S161" s="9">
        <v>4</v>
      </c>
      <c r="T161" s="9">
        <v>0</v>
      </c>
      <c r="U161" s="9">
        <v>3</v>
      </c>
      <c r="V161" s="9">
        <v>2</v>
      </c>
      <c r="W161" s="9">
        <v>2</v>
      </c>
      <c r="X161" s="9">
        <v>3</v>
      </c>
      <c r="AE161" s="9">
        <f>IFERROR(VLOOKUP($A161,pivot!$A:$G,計算式2026!AE$1,FALSE),0)</f>
        <v>0</v>
      </c>
      <c r="AF161" s="9">
        <f>IFERROR(VLOOKUP($A161,pivot!$A:$I,計算式2026!AF$1,FALSE),0)</f>
        <v>0</v>
      </c>
      <c r="AI161" s="9">
        <f>IFERROR(VLOOKUP($A161,pivot!$A:$I,計算式2026!AI$1,FALSE),0)</f>
        <v>0</v>
      </c>
      <c r="AJ161" s="9">
        <f>IFERROR(VLOOKUP($A161,pivot!$A:$I,計算式2026!AJ$1,FALSE),0)</f>
        <v>0</v>
      </c>
      <c r="AK161" s="9">
        <f>IFERROR(VLOOKUP($A161,pivot!$A:$I,計算式2026!AK$1,FALSE),0)</f>
        <v>0</v>
      </c>
      <c r="AL161" s="9">
        <f>IFERROR(VLOOKUP($A161,pivot!$A:$I,計算式2026!AL$1,FALSE),0)</f>
        <v>0</v>
      </c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</row>
    <row r="162" spans="1:59" s="9" customFormat="1">
      <c r="A162" s="8" t="s">
        <v>2619</v>
      </c>
      <c r="B162" s="8" t="s">
        <v>2610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R162" s="9">
        <v>2</v>
      </c>
      <c r="S162" s="9">
        <v>2</v>
      </c>
      <c r="T162" s="9">
        <v>2</v>
      </c>
      <c r="U162" s="9">
        <v>0</v>
      </c>
      <c r="V162" s="9">
        <v>3</v>
      </c>
      <c r="W162" s="9">
        <v>1</v>
      </c>
      <c r="X162" s="9">
        <v>0</v>
      </c>
      <c r="AE162" s="9">
        <f>IFERROR(VLOOKUP($A162,pivot!$A:$G,計算式2026!AE$1,FALSE),0)</f>
        <v>0</v>
      </c>
      <c r="AF162" s="9">
        <f>IFERROR(VLOOKUP($A162,pivot!$A:$I,計算式2026!AF$1,FALSE),0)</f>
        <v>0</v>
      </c>
      <c r="AI162" s="9">
        <f>IFERROR(VLOOKUP($A162,pivot!$A:$I,計算式2026!AI$1,FALSE),0)</f>
        <v>0</v>
      </c>
      <c r="AJ162" s="9">
        <f>IFERROR(VLOOKUP($A162,pivot!$A:$I,計算式2026!AJ$1,FALSE),0)</f>
        <v>0</v>
      </c>
      <c r="AK162" s="9">
        <f>IFERROR(VLOOKUP($A162,pivot!$A:$I,計算式2026!AK$1,FALSE),0)</f>
        <v>0</v>
      </c>
      <c r="AL162" s="9">
        <f>IFERROR(VLOOKUP($A162,pivot!$A:$I,計算式2026!AL$1,FALSE),0)</f>
        <v>0</v>
      </c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</row>
    <row r="163" spans="1:59" s="9" customFormat="1">
      <c r="A163" s="8" t="s">
        <v>2609</v>
      </c>
      <c r="B163" s="8" t="s">
        <v>2610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R163" s="9">
        <v>3</v>
      </c>
      <c r="S163" s="9">
        <v>1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AE163" s="9">
        <f>IFERROR(VLOOKUP($A163,pivot!$A:$G,計算式2026!AE$1,FALSE),0)</f>
        <v>0</v>
      </c>
      <c r="AF163" s="9">
        <f>IFERROR(VLOOKUP($A163,pivot!$A:$I,計算式2026!AF$1,FALSE),0)</f>
        <v>0</v>
      </c>
      <c r="AI163" s="9">
        <f>IFERROR(VLOOKUP($A163,pivot!$A:$I,計算式2026!AI$1,FALSE),0)</f>
        <v>0</v>
      </c>
      <c r="AJ163" s="9">
        <f>IFERROR(VLOOKUP($A163,pivot!$A:$I,計算式2026!AJ$1,FALSE),0)</f>
        <v>0</v>
      </c>
      <c r="AK163" s="9">
        <f>IFERROR(VLOOKUP($A163,pivot!$A:$I,計算式2026!AK$1,FALSE),0)</f>
        <v>0</v>
      </c>
      <c r="AL163" s="9">
        <f>IFERROR(VLOOKUP($A163,pivot!$A:$I,計算式2026!AL$1,FALSE),0)</f>
        <v>0</v>
      </c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</row>
    <row r="164" spans="1:59" s="9" customFormat="1">
      <c r="A164" s="8" t="s">
        <v>2647</v>
      </c>
      <c r="B164" s="8" t="s">
        <v>2610</v>
      </c>
      <c r="C164" s="9">
        <v>6</v>
      </c>
      <c r="D164" s="9">
        <v>135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R164" s="9">
        <v>4</v>
      </c>
      <c r="S164" s="9">
        <v>6</v>
      </c>
      <c r="T164" s="9">
        <v>2</v>
      </c>
      <c r="U164" s="9">
        <v>5</v>
      </c>
      <c r="V164" s="9">
        <v>6</v>
      </c>
      <c r="W164" s="9">
        <v>2</v>
      </c>
      <c r="X164" s="9">
        <v>3</v>
      </c>
      <c r="AE164" s="9">
        <f>IFERROR(VLOOKUP($A164,pivot!$A:$G,計算式2026!AE$1,FALSE),0)</f>
        <v>0</v>
      </c>
      <c r="AF164" s="9">
        <f>IFERROR(VLOOKUP($A164,pivot!$A:$I,計算式2026!AF$1,FALSE),0)</f>
        <v>0</v>
      </c>
      <c r="AI164" s="9">
        <f>IFERROR(VLOOKUP($A164,pivot!$A:$I,計算式2026!AI$1,FALSE),0)</f>
        <v>0</v>
      </c>
      <c r="AJ164" s="9">
        <f>IFERROR(VLOOKUP($A164,pivot!$A:$I,計算式2026!AJ$1,FALSE),0)</f>
        <v>0</v>
      </c>
      <c r="AK164" s="9">
        <f>IFERROR(VLOOKUP($A164,pivot!$A:$I,計算式2026!AK$1,FALSE),0)</f>
        <v>0</v>
      </c>
      <c r="AL164" s="9">
        <f>IFERROR(VLOOKUP($A164,pivot!$A:$I,計算式2026!AL$1,FALSE),0)</f>
        <v>0</v>
      </c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</row>
    <row r="165" spans="1:59" s="9" customFormat="1">
      <c r="A165" s="8" t="s">
        <v>2654</v>
      </c>
      <c r="B165" s="8" t="s">
        <v>2610</v>
      </c>
      <c r="C165" s="9">
        <v>4</v>
      </c>
      <c r="D165" s="9">
        <v>37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R165" s="9">
        <v>4</v>
      </c>
      <c r="S165" s="9">
        <v>6</v>
      </c>
      <c r="T165" s="9">
        <v>2</v>
      </c>
      <c r="U165" s="9">
        <v>6</v>
      </c>
      <c r="V165" s="9">
        <v>4</v>
      </c>
      <c r="W165" s="9">
        <v>2</v>
      </c>
      <c r="X165" s="9">
        <v>5</v>
      </c>
      <c r="AE165" s="9">
        <f>IFERROR(VLOOKUP($A165,pivot!$A:$G,計算式2026!AE$1,FALSE),0)</f>
        <v>0</v>
      </c>
      <c r="AF165" s="9">
        <f>IFERROR(VLOOKUP($A165,pivot!$A:$I,計算式2026!AF$1,FALSE),0)</f>
        <v>0</v>
      </c>
      <c r="AI165" s="9">
        <f>IFERROR(VLOOKUP($A165,pivot!$A:$I,計算式2026!AI$1,FALSE),0)</f>
        <v>0</v>
      </c>
      <c r="AJ165" s="9">
        <f>IFERROR(VLOOKUP($A165,pivot!$A:$I,計算式2026!AJ$1,FALSE),0)</f>
        <v>0</v>
      </c>
      <c r="AK165" s="9">
        <f>IFERROR(VLOOKUP($A165,pivot!$A:$I,計算式2026!AK$1,FALSE),0)</f>
        <v>0</v>
      </c>
      <c r="AL165" s="9">
        <f>IFERROR(VLOOKUP($A165,pivot!$A:$I,計算式2026!AL$1,FALSE),0)</f>
        <v>0</v>
      </c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</row>
    <row r="166" spans="1:59" s="9" customFormat="1">
      <c r="A166" s="8" t="s">
        <v>2720</v>
      </c>
      <c r="B166" s="8" t="s">
        <v>2610</v>
      </c>
      <c r="C166" s="9">
        <v>0</v>
      </c>
      <c r="D166" s="9">
        <v>10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R166" s="9">
        <v>4</v>
      </c>
      <c r="S166" s="9">
        <v>5</v>
      </c>
      <c r="T166" s="9">
        <v>2</v>
      </c>
      <c r="U166" s="9">
        <v>6</v>
      </c>
      <c r="V166" s="9">
        <v>4</v>
      </c>
      <c r="W166" s="9">
        <v>1</v>
      </c>
      <c r="X166" s="9">
        <v>4</v>
      </c>
      <c r="AE166" s="9">
        <f>IFERROR(VLOOKUP($A166,pivot!$A:$G,計算式2026!AE$1,FALSE),0)</f>
        <v>0</v>
      </c>
      <c r="AF166" s="9">
        <f>IFERROR(VLOOKUP($A166,pivot!$A:$I,計算式2026!AF$1,FALSE),0)</f>
        <v>0</v>
      </c>
      <c r="AI166" s="9">
        <f>IFERROR(VLOOKUP($A166,pivot!$A:$I,計算式2026!AI$1,FALSE),0)</f>
        <v>0</v>
      </c>
      <c r="AJ166" s="9">
        <f>IFERROR(VLOOKUP($A166,pivot!$A:$I,計算式2026!AJ$1,FALSE),0)</f>
        <v>0</v>
      </c>
      <c r="AK166" s="9">
        <f>IFERROR(VLOOKUP($A166,pivot!$A:$I,計算式2026!AK$1,FALSE),0)</f>
        <v>0</v>
      </c>
      <c r="AL166" s="9">
        <f>IFERROR(VLOOKUP($A166,pivot!$A:$I,計算式2026!AL$1,FALSE),0)</f>
        <v>0</v>
      </c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</row>
    <row r="167" spans="1:59" s="9" customFormat="1">
      <c r="A167" s="8" t="s">
        <v>1554</v>
      </c>
      <c r="B167" s="8" t="s">
        <v>86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R167" s="9">
        <v>3</v>
      </c>
      <c r="S167" s="9">
        <v>3</v>
      </c>
      <c r="T167" s="9">
        <v>0</v>
      </c>
      <c r="U167" s="9">
        <v>1</v>
      </c>
      <c r="V167" s="9">
        <v>3</v>
      </c>
      <c r="W167" s="9">
        <v>1</v>
      </c>
      <c r="X167" s="9">
        <v>2</v>
      </c>
      <c r="AE167" s="9">
        <f>IFERROR(VLOOKUP($A167,pivot!$A:$G,計算式2026!AE$1,FALSE),0)</f>
        <v>0</v>
      </c>
      <c r="AF167" s="9">
        <f>IFERROR(VLOOKUP($A167,pivot!$A:$I,計算式2026!AF$1,FALSE),0)</f>
        <v>0</v>
      </c>
      <c r="AI167" s="9">
        <f>IFERROR(VLOOKUP($A167,pivot!$A:$I,計算式2026!AI$1,FALSE),0)</f>
        <v>0</v>
      </c>
      <c r="AJ167" s="9">
        <f>IFERROR(VLOOKUP($A167,pivot!$A:$I,計算式2026!AJ$1,FALSE),0)</f>
        <v>0</v>
      </c>
      <c r="AK167" s="9">
        <f>IFERROR(VLOOKUP($A167,pivot!$A:$I,計算式2026!AK$1,FALSE),0)</f>
        <v>0</v>
      </c>
      <c r="AL167" s="9">
        <f>IFERROR(VLOOKUP($A167,pivot!$A:$I,計算式2026!AL$1,FALSE),0)</f>
        <v>0</v>
      </c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</row>
    <row r="168" spans="1:59" s="9" customFormat="1">
      <c r="A168" s="8" t="s">
        <v>85</v>
      </c>
      <c r="B168" s="8" t="s">
        <v>86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R168" s="9">
        <v>2</v>
      </c>
      <c r="S168" s="9">
        <v>4</v>
      </c>
      <c r="T168" s="9">
        <v>0</v>
      </c>
      <c r="U168" s="9">
        <v>1</v>
      </c>
      <c r="V168" s="9">
        <v>3</v>
      </c>
      <c r="W168" s="9">
        <v>2</v>
      </c>
      <c r="X168" s="9">
        <v>3</v>
      </c>
      <c r="AE168" s="9">
        <f>IFERROR(VLOOKUP($A168,pivot!$A:$G,計算式2026!AE$1,FALSE),0)</f>
        <v>0</v>
      </c>
      <c r="AF168" s="9">
        <f>IFERROR(VLOOKUP($A168,pivot!$A:$I,計算式2026!AF$1,FALSE),0)</f>
        <v>0</v>
      </c>
      <c r="AI168" s="9">
        <f>IFERROR(VLOOKUP($A168,pivot!$A:$I,計算式2026!AI$1,FALSE),0)</f>
        <v>1</v>
      </c>
      <c r="AJ168" s="9">
        <f>IFERROR(VLOOKUP($A168,pivot!$A:$I,計算式2026!AJ$1,FALSE),0)</f>
        <v>1</v>
      </c>
      <c r="AK168" s="9">
        <f>IFERROR(VLOOKUP($A168,pivot!$A:$I,計算式2026!AK$1,FALSE),0)</f>
        <v>0</v>
      </c>
      <c r="AL168" s="9">
        <f>IFERROR(VLOOKUP($A168,pivot!$A:$I,計算式2026!AL$1,FALSE),0)</f>
        <v>0</v>
      </c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</row>
    <row r="169" spans="1:59" s="9" customFormat="1">
      <c r="A169" s="8" t="s">
        <v>87</v>
      </c>
      <c r="B169" s="8" t="s">
        <v>86</v>
      </c>
      <c r="C169" s="9">
        <v>7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R169" s="9">
        <v>3</v>
      </c>
      <c r="S169" s="9">
        <v>4</v>
      </c>
      <c r="T169" s="9">
        <v>2</v>
      </c>
      <c r="U169" s="9">
        <v>3</v>
      </c>
      <c r="V169" s="9">
        <v>4</v>
      </c>
      <c r="W169" s="9">
        <v>2</v>
      </c>
      <c r="X169" s="9">
        <v>2</v>
      </c>
      <c r="AE169" s="9">
        <f>IFERROR(VLOOKUP($A169,pivot!$A:$G,計算式2026!AE$1,FALSE),0)</f>
        <v>0</v>
      </c>
      <c r="AF169" s="9">
        <f>IFERROR(VLOOKUP($A169,pivot!$A:$I,計算式2026!AF$1,FALSE),0)</f>
        <v>0</v>
      </c>
      <c r="AI169" s="9">
        <f>IFERROR(VLOOKUP($A169,pivot!$A:$I,計算式2026!AI$1,FALSE),0)</f>
        <v>0</v>
      </c>
      <c r="AJ169" s="9">
        <f>IFERROR(VLOOKUP($A169,pivot!$A:$I,計算式2026!AJ$1,FALSE),0)</f>
        <v>0</v>
      </c>
      <c r="AK169" s="9">
        <f>IFERROR(VLOOKUP($A169,pivot!$A:$I,計算式2026!AK$1,FALSE),0)</f>
        <v>0</v>
      </c>
      <c r="AL169" s="9">
        <f>IFERROR(VLOOKUP($A169,pivot!$A:$I,計算式2026!AL$1,FALSE),0)</f>
        <v>0</v>
      </c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</row>
    <row r="170" spans="1:59" s="9" customFormat="1">
      <c r="A170" s="8" t="s">
        <v>88</v>
      </c>
      <c r="B170" s="8" t="s">
        <v>86</v>
      </c>
      <c r="C170" s="9">
        <v>234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R170" s="9">
        <v>4</v>
      </c>
      <c r="S170" s="9">
        <v>5</v>
      </c>
      <c r="T170" s="9">
        <v>5</v>
      </c>
      <c r="U170" s="9">
        <v>3</v>
      </c>
      <c r="V170" s="9">
        <v>1</v>
      </c>
      <c r="W170" s="9">
        <v>0</v>
      </c>
      <c r="X170" s="9">
        <v>3</v>
      </c>
      <c r="AE170" s="9">
        <f>IFERROR(VLOOKUP($A170,pivot!$A:$G,計算式2026!AE$1,FALSE),0)</f>
        <v>0</v>
      </c>
      <c r="AF170" s="9">
        <f>IFERROR(VLOOKUP($A170,pivot!$A:$I,計算式2026!AF$1,FALSE),0)</f>
        <v>0</v>
      </c>
      <c r="AI170" s="9">
        <f>IFERROR(VLOOKUP($A170,pivot!$A:$I,計算式2026!AI$1,FALSE),0)</f>
        <v>1</v>
      </c>
      <c r="AJ170" s="9">
        <f>IFERROR(VLOOKUP($A170,pivot!$A:$I,計算式2026!AJ$1,FALSE),0)</f>
        <v>0</v>
      </c>
      <c r="AK170" s="9">
        <f>IFERROR(VLOOKUP($A170,pivot!$A:$I,計算式2026!AK$1,FALSE),0)</f>
        <v>0</v>
      </c>
      <c r="AL170" s="9">
        <f>IFERROR(VLOOKUP($A170,pivot!$A:$I,計算式2026!AL$1,FALSE),0)</f>
        <v>0</v>
      </c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</row>
    <row r="171" spans="1:59" s="9" customFormat="1">
      <c r="A171" s="8" t="s">
        <v>1555</v>
      </c>
      <c r="B171" s="8" t="s">
        <v>86</v>
      </c>
      <c r="C171" s="9">
        <v>1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R171" s="9">
        <v>2</v>
      </c>
      <c r="S171" s="9">
        <v>1</v>
      </c>
      <c r="T171" s="9">
        <v>1</v>
      </c>
      <c r="U171" s="9">
        <v>0</v>
      </c>
      <c r="V171" s="9">
        <v>0</v>
      </c>
      <c r="W171" s="9">
        <v>0</v>
      </c>
      <c r="X171" s="9">
        <v>0</v>
      </c>
      <c r="AE171" s="9">
        <f>IFERROR(VLOOKUP($A171,pivot!$A:$G,計算式2026!AE$1,FALSE),0)</f>
        <v>0</v>
      </c>
      <c r="AF171" s="9">
        <f>IFERROR(VLOOKUP($A171,pivot!$A:$I,計算式2026!AF$1,FALSE),0)</f>
        <v>1</v>
      </c>
      <c r="AI171" s="9">
        <f>IFERROR(VLOOKUP($A171,pivot!$A:$I,計算式2026!AI$1,FALSE),0)</f>
        <v>0</v>
      </c>
      <c r="AJ171" s="9">
        <f>IFERROR(VLOOKUP($A171,pivot!$A:$I,計算式2026!AJ$1,FALSE),0)</f>
        <v>0</v>
      </c>
      <c r="AK171" s="9">
        <f>IFERROR(VLOOKUP($A171,pivot!$A:$I,計算式2026!AK$1,FALSE),0)</f>
        <v>0</v>
      </c>
      <c r="AL171" s="9">
        <f>IFERROR(VLOOKUP($A171,pivot!$A:$I,計算式2026!AL$1,FALSE),0)</f>
        <v>0</v>
      </c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</row>
    <row r="172" spans="1:59" s="9" customFormat="1">
      <c r="A172" s="8" t="s">
        <v>89</v>
      </c>
      <c r="B172" s="8" t="s">
        <v>86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R172" s="9">
        <v>1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AE172" s="9">
        <f>IFERROR(VLOOKUP($A172,pivot!$A:$G,計算式2026!AE$1,FALSE),0)</f>
        <v>0</v>
      </c>
      <c r="AF172" s="9">
        <f>IFERROR(VLOOKUP($A172,pivot!$A:$I,計算式2026!AF$1,FALSE),0)</f>
        <v>0</v>
      </c>
      <c r="AI172" s="9">
        <f>IFERROR(VLOOKUP($A172,pivot!$A:$I,計算式2026!AI$1,FALSE),0)</f>
        <v>0</v>
      </c>
      <c r="AJ172" s="9">
        <f>IFERROR(VLOOKUP($A172,pivot!$A:$I,計算式2026!AJ$1,FALSE),0)</f>
        <v>0</v>
      </c>
      <c r="AK172" s="9">
        <f>IFERROR(VLOOKUP($A172,pivot!$A:$I,計算式2026!AK$1,FALSE),0)</f>
        <v>0</v>
      </c>
      <c r="AL172" s="9">
        <f>IFERROR(VLOOKUP($A172,pivot!$A:$I,計算式2026!AL$1,FALSE),0)</f>
        <v>0</v>
      </c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</row>
    <row r="173" spans="1:59" s="9" customFormat="1">
      <c r="A173" s="8" t="s">
        <v>90</v>
      </c>
      <c r="B173" s="8" t="s">
        <v>86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R173" s="9">
        <v>1</v>
      </c>
      <c r="S173" s="9">
        <v>0</v>
      </c>
      <c r="T173" s="9">
        <v>0</v>
      </c>
      <c r="U173" s="9">
        <v>0</v>
      </c>
      <c r="V173" s="9">
        <v>1</v>
      </c>
      <c r="W173" s="9">
        <v>0</v>
      </c>
      <c r="X173" s="9">
        <v>0</v>
      </c>
      <c r="AE173" s="9">
        <f>IFERROR(VLOOKUP($A173,pivot!$A:$G,計算式2026!AE$1,FALSE),0)</f>
        <v>0</v>
      </c>
      <c r="AF173" s="9">
        <f>IFERROR(VLOOKUP($A173,pivot!$A:$I,計算式2026!AF$1,FALSE),0)</f>
        <v>0</v>
      </c>
      <c r="AI173" s="9">
        <f>IFERROR(VLOOKUP($A173,pivot!$A:$I,計算式2026!AI$1,FALSE),0)</f>
        <v>0</v>
      </c>
      <c r="AJ173" s="9">
        <f>IFERROR(VLOOKUP($A173,pivot!$A:$I,計算式2026!AJ$1,FALSE),0)</f>
        <v>0</v>
      </c>
      <c r="AK173" s="9">
        <f>IFERROR(VLOOKUP($A173,pivot!$A:$I,計算式2026!AK$1,FALSE),0)</f>
        <v>0</v>
      </c>
      <c r="AL173" s="9">
        <f>IFERROR(VLOOKUP($A173,pivot!$A:$I,計算式2026!AL$1,FALSE),0)</f>
        <v>0</v>
      </c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</row>
    <row r="174" spans="1:59" s="9" customFormat="1">
      <c r="A174" s="8" t="s">
        <v>91</v>
      </c>
      <c r="B174" s="8" t="s">
        <v>86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R174" s="9">
        <v>2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AE174" s="9">
        <f>IFERROR(VLOOKUP($A174,pivot!$A:$G,計算式2026!AE$1,FALSE),0)</f>
        <v>0</v>
      </c>
      <c r="AF174" s="9">
        <f>IFERROR(VLOOKUP($A174,pivot!$A:$I,計算式2026!AF$1,FALSE),0)</f>
        <v>1</v>
      </c>
      <c r="AI174" s="9">
        <f>IFERROR(VLOOKUP($A174,pivot!$A:$I,計算式2026!AI$1,FALSE),0)</f>
        <v>0</v>
      </c>
      <c r="AJ174" s="9">
        <f>IFERROR(VLOOKUP($A174,pivot!$A:$I,計算式2026!AJ$1,FALSE),0)</f>
        <v>1</v>
      </c>
      <c r="AK174" s="9">
        <f>IFERROR(VLOOKUP($A174,pivot!$A:$I,計算式2026!AK$1,FALSE),0)</f>
        <v>0</v>
      </c>
      <c r="AL174" s="9">
        <f>IFERROR(VLOOKUP($A174,pivot!$A:$I,計算式2026!AL$1,FALSE),0)</f>
        <v>0</v>
      </c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</row>
    <row r="175" spans="1:59" s="9" customFormat="1">
      <c r="A175" s="8" t="s">
        <v>92</v>
      </c>
      <c r="B175" s="8" t="s">
        <v>86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R175" s="9">
        <v>1</v>
      </c>
      <c r="S175" s="9">
        <v>1</v>
      </c>
      <c r="T175" s="9">
        <v>0</v>
      </c>
      <c r="U175" s="9">
        <v>3</v>
      </c>
      <c r="V175" s="9">
        <v>3</v>
      </c>
      <c r="W175" s="9">
        <v>1</v>
      </c>
      <c r="X175" s="9">
        <v>1</v>
      </c>
      <c r="AE175" s="9">
        <f>IFERROR(VLOOKUP($A175,pivot!$A:$G,計算式2026!AE$1,FALSE),0)</f>
        <v>0</v>
      </c>
      <c r="AF175" s="9">
        <f>IFERROR(VLOOKUP($A175,pivot!$A:$I,計算式2026!AF$1,FALSE),0)</f>
        <v>0</v>
      </c>
      <c r="AI175" s="9">
        <f>IFERROR(VLOOKUP($A175,pivot!$A:$I,計算式2026!AI$1,FALSE),0)</f>
        <v>0</v>
      </c>
      <c r="AJ175" s="9">
        <f>IFERROR(VLOOKUP($A175,pivot!$A:$I,計算式2026!AJ$1,FALSE),0)</f>
        <v>0</v>
      </c>
      <c r="AK175" s="9">
        <f>IFERROR(VLOOKUP($A175,pivot!$A:$I,計算式2026!AK$1,FALSE),0)</f>
        <v>0</v>
      </c>
      <c r="AL175" s="9">
        <f>IFERROR(VLOOKUP($A175,pivot!$A:$I,計算式2026!AL$1,FALSE),0)</f>
        <v>0</v>
      </c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</row>
    <row r="176" spans="1:59" s="9" customFormat="1">
      <c r="A176" s="8" t="s">
        <v>2645</v>
      </c>
      <c r="B176" s="8" t="s">
        <v>86</v>
      </c>
      <c r="C176" s="9">
        <v>2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R176" s="9">
        <v>2</v>
      </c>
      <c r="S176" s="9">
        <v>5</v>
      </c>
      <c r="T176" s="9">
        <v>2</v>
      </c>
      <c r="U176" s="9">
        <v>4</v>
      </c>
      <c r="V176" s="9">
        <v>4</v>
      </c>
      <c r="W176" s="9">
        <v>1</v>
      </c>
      <c r="X176" s="9">
        <v>0</v>
      </c>
      <c r="AE176" s="9">
        <f>IFERROR(VLOOKUP($A176,pivot!$A:$G,計算式2026!AE$1,FALSE),0)</f>
        <v>0</v>
      </c>
      <c r="AF176" s="9">
        <f>IFERROR(VLOOKUP($A176,pivot!$A:$I,計算式2026!AF$1,FALSE),0)</f>
        <v>0</v>
      </c>
      <c r="AI176" s="9">
        <f>IFERROR(VLOOKUP($A176,pivot!$A:$I,計算式2026!AI$1,FALSE),0)</f>
        <v>0</v>
      </c>
      <c r="AJ176" s="9">
        <f>IFERROR(VLOOKUP($A176,pivot!$A:$I,計算式2026!AJ$1,FALSE),0)</f>
        <v>0</v>
      </c>
      <c r="AK176" s="9">
        <f>IFERROR(VLOOKUP($A176,pivot!$A:$I,計算式2026!AK$1,FALSE),0)</f>
        <v>0</v>
      </c>
      <c r="AL176" s="9">
        <f>IFERROR(VLOOKUP($A176,pivot!$A:$I,計算式2026!AL$1,FALSE),0)</f>
        <v>0</v>
      </c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</row>
    <row r="177" spans="1:59" s="9" customFormat="1">
      <c r="A177" s="8" t="s">
        <v>1919</v>
      </c>
      <c r="B177" s="8" t="s">
        <v>86</v>
      </c>
      <c r="C177" s="9">
        <v>0</v>
      </c>
      <c r="D177" s="9">
        <v>8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R177" s="9">
        <v>3</v>
      </c>
      <c r="S177" s="9">
        <v>6</v>
      </c>
      <c r="T177" s="9">
        <v>1</v>
      </c>
      <c r="U177" s="9">
        <v>3</v>
      </c>
      <c r="V177" s="9">
        <v>4</v>
      </c>
      <c r="W177" s="9">
        <v>0</v>
      </c>
      <c r="X177" s="9">
        <v>3</v>
      </c>
      <c r="AE177" s="9">
        <f>IFERROR(VLOOKUP($A177,pivot!$A:$G,計算式2026!AE$1,FALSE),0)</f>
        <v>0</v>
      </c>
      <c r="AF177" s="9">
        <f>IFERROR(VLOOKUP($A177,pivot!$A:$I,計算式2026!AF$1,FALSE),0)</f>
        <v>0</v>
      </c>
      <c r="AI177" s="9">
        <f>IFERROR(VLOOKUP($A177,pivot!$A:$I,計算式2026!AI$1,FALSE),0)</f>
        <v>0</v>
      </c>
      <c r="AJ177" s="9">
        <f>IFERROR(VLOOKUP($A177,pivot!$A:$I,計算式2026!AJ$1,FALSE),0)</f>
        <v>0</v>
      </c>
      <c r="AK177" s="9">
        <f>IFERROR(VLOOKUP($A177,pivot!$A:$I,計算式2026!AK$1,FALSE),0)</f>
        <v>0</v>
      </c>
      <c r="AL177" s="9">
        <f>IFERROR(VLOOKUP($A177,pivot!$A:$I,計算式2026!AL$1,FALSE),0)</f>
        <v>0</v>
      </c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</row>
    <row r="178" spans="1:59" s="9" customFormat="1">
      <c r="A178" s="8" t="s">
        <v>93</v>
      </c>
      <c r="B178" s="8" t="s">
        <v>86</v>
      </c>
      <c r="C178" s="9">
        <v>3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R178" s="9">
        <v>2</v>
      </c>
      <c r="S178" s="9">
        <v>0</v>
      </c>
      <c r="T178" s="9">
        <v>0</v>
      </c>
      <c r="U178" s="9">
        <v>0</v>
      </c>
      <c r="V178" s="9">
        <v>2</v>
      </c>
      <c r="W178" s="9">
        <v>1</v>
      </c>
      <c r="X178" s="9">
        <v>3</v>
      </c>
      <c r="AE178" s="9">
        <f>IFERROR(VLOOKUP($A178,pivot!$A:$G,計算式2026!AE$1,FALSE),0)</f>
        <v>0</v>
      </c>
      <c r="AF178" s="9">
        <f>IFERROR(VLOOKUP($A178,pivot!$A:$I,計算式2026!AF$1,FALSE),0)</f>
        <v>0</v>
      </c>
      <c r="AI178" s="9">
        <f>IFERROR(VLOOKUP($A178,pivot!$A:$I,計算式2026!AI$1,FALSE),0)</f>
        <v>0</v>
      </c>
      <c r="AJ178" s="9">
        <f>IFERROR(VLOOKUP($A178,pivot!$A:$I,計算式2026!AJ$1,FALSE),0)</f>
        <v>0</v>
      </c>
      <c r="AK178" s="9">
        <f>IFERROR(VLOOKUP($A178,pivot!$A:$I,計算式2026!AK$1,FALSE),0)</f>
        <v>0</v>
      </c>
      <c r="AL178" s="9">
        <f>IFERROR(VLOOKUP($A178,pivot!$A:$I,計算式2026!AL$1,FALSE),0)</f>
        <v>0</v>
      </c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</row>
    <row r="179" spans="1:59" s="9" customFormat="1">
      <c r="A179" s="8" t="s">
        <v>94</v>
      </c>
      <c r="B179" s="8" t="s">
        <v>86</v>
      </c>
      <c r="C179" s="9">
        <v>334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R179" s="9">
        <v>3</v>
      </c>
      <c r="S179" s="9">
        <v>5</v>
      </c>
      <c r="T179" s="9">
        <v>3</v>
      </c>
      <c r="U179" s="9">
        <v>3</v>
      </c>
      <c r="V179" s="9">
        <v>4</v>
      </c>
      <c r="W179" s="9">
        <v>2</v>
      </c>
      <c r="X179" s="9">
        <v>4</v>
      </c>
      <c r="AE179" s="9">
        <f>IFERROR(VLOOKUP($A179,pivot!$A:$G,計算式2026!AE$1,FALSE),0)</f>
        <v>0</v>
      </c>
      <c r="AF179" s="9">
        <f>IFERROR(VLOOKUP($A179,pivot!$A:$I,計算式2026!AF$1,FALSE),0)</f>
        <v>0</v>
      </c>
      <c r="AI179" s="9">
        <f>IFERROR(VLOOKUP($A179,pivot!$A:$I,計算式2026!AI$1,FALSE),0)</f>
        <v>0</v>
      </c>
      <c r="AJ179" s="9">
        <f>IFERROR(VLOOKUP($A179,pivot!$A:$I,計算式2026!AJ$1,FALSE),0)</f>
        <v>0</v>
      </c>
      <c r="AK179" s="9">
        <f>IFERROR(VLOOKUP($A179,pivot!$A:$I,計算式2026!AK$1,FALSE),0)</f>
        <v>0</v>
      </c>
      <c r="AL179" s="9">
        <f>IFERROR(VLOOKUP($A179,pivot!$A:$I,計算式2026!AL$1,FALSE),0)</f>
        <v>0</v>
      </c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</row>
    <row r="180" spans="1:59" s="9" customFormat="1">
      <c r="A180" s="8" t="s">
        <v>95</v>
      </c>
      <c r="B180" s="8" t="s">
        <v>86</v>
      </c>
      <c r="C180" s="9">
        <v>102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R180" s="9">
        <v>3</v>
      </c>
      <c r="S180" s="9">
        <v>5</v>
      </c>
      <c r="T180" s="9">
        <v>2</v>
      </c>
      <c r="U180" s="9">
        <v>1</v>
      </c>
      <c r="V180" s="9">
        <v>4</v>
      </c>
      <c r="W180" s="9">
        <v>1</v>
      </c>
      <c r="X180" s="9">
        <v>3</v>
      </c>
      <c r="AE180" s="9">
        <f>IFERROR(VLOOKUP($A180,pivot!$A:$G,計算式2026!AE$1,FALSE),0)</f>
        <v>0</v>
      </c>
      <c r="AF180" s="9">
        <f>IFERROR(VLOOKUP($A180,pivot!$A:$I,計算式2026!AF$1,FALSE),0)</f>
        <v>0</v>
      </c>
      <c r="AI180" s="9">
        <f>IFERROR(VLOOKUP($A180,pivot!$A:$I,計算式2026!AI$1,FALSE),0)</f>
        <v>0</v>
      </c>
      <c r="AJ180" s="9">
        <f>IFERROR(VLOOKUP($A180,pivot!$A:$I,計算式2026!AJ$1,FALSE),0)</f>
        <v>0</v>
      </c>
      <c r="AK180" s="9">
        <f>IFERROR(VLOOKUP($A180,pivot!$A:$I,計算式2026!AK$1,FALSE),0)</f>
        <v>0</v>
      </c>
      <c r="AL180" s="9">
        <f>IFERROR(VLOOKUP($A180,pivot!$A:$I,計算式2026!AL$1,FALSE),0)</f>
        <v>0</v>
      </c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</row>
    <row r="181" spans="1:59" s="9" customFormat="1">
      <c r="A181" s="8" t="s">
        <v>2686</v>
      </c>
      <c r="B181" s="8" t="s">
        <v>86</v>
      </c>
      <c r="C181" s="9">
        <v>3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R181" s="9">
        <v>3</v>
      </c>
      <c r="S181" s="9">
        <v>2</v>
      </c>
      <c r="T181" s="9">
        <v>0</v>
      </c>
      <c r="U181" s="9">
        <v>4</v>
      </c>
      <c r="V181" s="9">
        <v>3</v>
      </c>
      <c r="W181" s="9">
        <v>1</v>
      </c>
      <c r="X181" s="9">
        <v>1</v>
      </c>
      <c r="AE181" s="9">
        <f>IFERROR(VLOOKUP($A181,pivot!$A:$G,計算式2026!AE$1,FALSE),0)</f>
        <v>0</v>
      </c>
      <c r="AF181" s="9">
        <f>IFERROR(VLOOKUP($A181,pivot!$A:$I,計算式2026!AF$1,FALSE),0)</f>
        <v>0</v>
      </c>
      <c r="AI181" s="9">
        <f>IFERROR(VLOOKUP($A181,pivot!$A:$I,計算式2026!AI$1,FALSE),0)</f>
        <v>0</v>
      </c>
      <c r="AJ181" s="9">
        <f>IFERROR(VLOOKUP($A181,pivot!$A:$I,計算式2026!AJ$1,FALSE),0)</f>
        <v>0</v>
      </c>
      <c r="AK181" s="9">
        <f>IFERROR(VLOOKUP($A181,pivot!$A:$I,計算式2026!AK$1,FALSE),0)</f>
        <v>0</v>
      </c>
      <c r="AL181" s="9">
        <f>IFERROR(VLOOKUP($A181,pivot!$A:$I,計算式2026!AL$1,FALSE),0)</f>
        <v>0</v>
      </c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</row>
    <row r="182" spans="1:59" s="9" customFormat="1">
      <c r="A182" s="8" t="s">
        <v>96</v>
      </c>
      <c r="B182" s="8" t="s">
        <v>86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1</v>
      </c>
      <c r="W182" s="9">
        <v>0</v>
      </c>
      <c r="X182" s="9">
        <v>0</v>
      </c>
      <c r="AE182" s="9">
        <f>IFERROR(VLOOKUP($A182,pivot!$A:$G,計算式2026!AE$1,FALSE),0)</f>
        <v>0</v>
      </c>
      <c r="AF182" s="9">
        <f>IFERROR(VLOOKUP($A182,pivot!$A:$I,計算式2026!AF$1,FALSE),0)</f>
        <v>0</v>
      </c>
      <c r="AI182" s="9">
        <f>IFERROR(VLOOKUP($A182,pivot!$A:$I,計算式2026!AI$1,FALSE),0)</f>
        <v>0</v>
      </c>
      <c r="AJ182" s="9">
        <f>IFERROR(VLOOKUP($A182,pivot!$A:$I,計算式2026!AJ$1,FALSE),0)</f>
        <v>0</v>
      </c>
      <c r="AK182" s="9">
        <f>IFERROR(VLOOKUP($A182,pivot!$A:$I,計算式2026!AK$1,FALSE),0)</f>
        <v>0</v>
      </c>
      <c r="AL182" s="9">
        <f>IFERROR(VLOOKUP($A182,pivot!$A:$I,計算式2026!AL$1,FALSE),0)</f>
        <v>0</v>
      </c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</row>
    <row r="183" spans="1:59" s="9" customFormat="1">
      <c r="A183" s="8" t="s">
        <v>97</v>
      </c>
      <c r="B183" s="8" t="s">
        <v>86</v>
      </c>
      <c r="C183" s="9">
        <v>66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R183" s="9">
        <v>3</v>
      </c>
      <c r="S183" s="9">
        <v>4</v>
      </c>
      <c r="T183" s="9">
        <v>3</v>
      </c>
      <c r="U183" s="9">
        <v>4</v>
      </c>
      <c r="V183" s="9">
        <v>4</v>
      </c>
      <c r="W183" s="9">
        <v>1</v>
      </c>
      <c r="X183" s="9">
        <v>3</v>
      </c>
      <c r="AE183" s="9">
        <f>IFERROR(VLOOKUP($A183,pivot!$A:$G,計算式2026!AE$1,FALSE),0)</f>
        <v>0</v>
      </c>
      <c r="AF183" s="9">
        <f>IFERROR(VLOOKUP($A183,pivot!$A:$I,計算式2026!AF$1,FALSE),0)</f>
        <v>0</v>
      </c>
      <c r="AI183" s="9">
        <f>IFERROR(VLOOKUP($A183,pivot!$A:$I,計算式2026!AI$1,FALSE),0)</f>
        <v>0</v>
      </c>
      <c r="AJ183" s="9">
        <f>IFERROR(VLOOKUP($A183,pivot!$A:$I,計算式2026!AJ$1,FALSE),0)</f>
        <v>0</v>
      </c>
      <c r="AK183" s="9">
        <f>IFERROR(VLOOKUP($A183,pivot!$A:$I,計算式2026!AK$1,FALSE),0)</f>
        <v>0</v>
      </c>
      <c r="AL183" s="9">
        <f>IFERROR(VLOOKUP($A183,pivot!$A:$I,計算式2026!AL$1,FALSE),0)</f>
        <v>0</v>
      </c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</row>
    <row r="184" spans="1:59" s="9" customFormat="1">
      <c r="A184" s="8" t="s">
        <v>1920</v>
      </c>
      <c r="B184" s="8" t="s">
        <v>86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R184" s="9">
        <v>0</v>
      </c>
      <c r="S184" s="9">
        <v>1</v>
      </c>
      <c r="T184" s="9">
        <v>1</v>
      </c>
      <c r="U184" s="9">
        <v>0</v>
      </c>
      <c r="V184" s="9">
        <v>1</v>
      </c>
      <c r="W184" s="9">
        <v>0</v>
      </c>
      <c r="X184" s="9">
        <v>0</v>
      </c>
      <c r="AE184" s="9">
        <f>IFERROR(VLOOKUP($A184,pivot!$A:$G,計算式2026!AE$1,FALSE),0)</f>
        <v>0</v>
      </c>
      <c r="AF184" s="9">
        <f>IFERROR(VLOOKUP($A184,pivot!$A:$I,計算式2026!AF$1,FALSE),0)</f>
        <v>0</v>
      </c>
      <c r="AI184" s="9">
        <f>IFERROR(VLOOKUP($A184,pivot!$A:$I,計算式2026!AI$1,FALSE),0)</f>
        <v>0</v>
      </c>
      <c r="AJ184" s="9">
        <f>IFERROR(VLOOKUP($A184,pivot!$A:$I,計算式2026!AJ$1,FALSE),0)</f>
        <v>0</v>
      </c>
      <c r="AK184" s="9">
        <f>IFERROR(VLOOKUP($A184,pivot!$A:$I,計算式2026!AK$1,FALSE),0)</f>
        <v>0</v>
      </c>
      <c r="AL184" s="9">
        <f>IFERROR(VLOOKUP($A184,pivot!$A:$I,計算式2026!AL$1,FALSE),0)</f>
        <v>0</v>
      </c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</row>
    <row r="185" spans="1:59" s="9" customFormat="1">
      <c r="A185" s="8" t="s">
        <v>98</v>
      </c>
      <c r="B185" s="8" t="s">
        <v>86</v>
      </c>
      <c r="C185" s="9">
        <v>376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R185" s="9">
        <v>3</v>
      </c>
      <c r="S185" s="9">
        <v>4</v>
      </c>
      <c r="T185" s="9">
        <v>3</v>
      </c>
      <c r="U185" s="9">
        <v>3</v>
      </c>
      <c r="V185" s="9">
        <v>5</v>
      </c>
      <c r="W185" s="9">
        <v>2</v>
      </c>
      <c r="X185" s="9">
        <v>3</v>
      </c>
      <c r="AE185" s="9">
        <f>IFERROR(VLOOKUP($A185,pivot!$A:$G,計算式2026!AE$1,FALSE),0)</f>
        <v>0</v>
      </c>
      <c r="AF185" s="9">
        <f>IFERROR(VLOOKUP($A185,pivot!$A:$I,計算式2026!AF$1,FALSE),0)</f>
        <v>0</v>
      </c>
      <c r="AI185" s="9">
        <f>IFERROR(VLOOKUP($A185,pivot!$A:$I,計算式2026!AI$1,FALSE),0)</f>
        <v>0</v>
      </c>
      <c r="AJ185" s="9">
        <f>IFERROR(VLOOKUP($A185,pivot!$A:$I,計算式2026!AJ$1,FALSE),0)</f>
        <v>0</v>
      </c>
      <c r="AK185" s="9">
        <f>IFERROR(VLOOKUP($A185,pivot!$A:$I,計算式2026!AK$1,FALSE),0)</f>
        <v>0</v>
      </c>
      <c r="AL185" s="9">
        <f>IFERROR(VLOOKUP($A185,pivot!$A:$I,計算式2026!AL$1,FALSE),0)</f>
        <v>0</v>
      </c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</row>
    <row r="186" spans="1:59" s="9" customFormat="1">
      <c r="A186" s="8" t="s">
        <v>99</v>
      </c>
      <c r="B186" s="8" t="s">
        <v>86</v>
      </c>
      <c r="C186" s="9">
        <v>259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R186" s="9">
        <v>3</v>
      </c>
      <c r="S186" s="9">
        <v>5</v>
      </c>
      <c r="T186" s="9">
        <v>2</v>
      </c>
      <c r="U186" s="9">
        <v>2</v>
      </c>
      <c r="V186" s="9">
        <v>5</v>
      </c>
      <c r="W186" s="9">
        <v>2</v>
      </c>
      <c r="X186" s="9">
        <v>3</v>
      </c>
      <c r="AE186" s="9">
        <f>IFERROR(VLOOKUP($A186,pivot!$A:$G,計算式2026!AE$1,FALSE),0)</f>
        <v>0</v>
      </c>
      <c r="AF186" s="9">
        <f>IFERROR(VLOOKUP($A186,pivot!$A:$I,計算式2026!AF$1,FALSE),0)</f>
        <v>1</v>
      </c>
      <c r="AI186" s="9">
        <f>IFERROR(VLOOKUP($A186,pivot!$A:$I,計算式2026!AI$1,FALSE),0)</f>
        <v>2</v>
      </c>
      <c r="AJ186" s="9">
        <f>IFERROR(VLOOKUP($A186,pivot!$A:$I,計算式2026!AJ$1,FALSE),0)</f>
        <v>3</v>
      </c>
      <c r="AK186" s="9">
        <f>IFERROR(VLOOKUP($A186,pivot!$A:$I,計算式2026!AK$1,FALSE),0)</f>
        <v>1</v>
      </c>
      <c r="AL186" s="9">
        <f>IFERROR(VLOOKUP($A186,pivot!$A:$I,計算式2026!AL$1,FALSE),0)</f>
        <v>2</v>
      </c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</row>
    <row r="187" spans="1:59" s="9" customFormat="1">
      <c r="A187" s="8" t="s">
        <v>100</v>
      </c>
      <c r="B187" s="8" t="s">
        <v>86</v>
      </c>
      <c r="C187" s="9">
        <v>558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R187" s="9">
        <v>3</v>
      </c>
      <c r="S187" s="9">
        <v>5</v>
      </c>
      <c r="T187" s="9">
        <v>2</v>
      </c>
      <c r="U187" s="9">
        <v>3</v>
      </c>
      <c r="V187" s="9">
        <v>4</v>
      </c>
      <c r="W187" s="9">
        <v>2</v>
      </c>
      <c r="X187" s="9">
        <v>3</v>
      </c>
      <c r="AE187" s="9">
        <f>IFERROR(VLOOKUP($A187,pivot!$A:$G,計算式2026!AE$1,FALSE),0)</f>
        <v>0</v>
      </c>
      <c r="AF187" s="9">
        <f>IFERROR(VLOOKUP($A187,pivot!$A:$I,計算式2026!AF$1,FALSE),0)</f>
        <v>0</v>
      </c>
      <c r="AI187" s="9">
        <f>IFERROR(VLOOKUP($A187,pivot!$A:$I,計算式2026!AI$1,FALSE),0)</f>
        <v>0</v>
      </c>
      <c r="AJ187" s="9">
        <f>IFERROR(VLOOKUP($A187,pivot!$A:$I,計算式2026!AJ$1,FALSE),0)</f>
        <v>0</v>
      </c>
      <c r="AK187" s="9">
        <f>IFERROR(VLOOKUP($A187,pivot!$A:$I,計算式2026!AK$1,FALSE),0)</f>
        <v>0</v>
      </c>
      <c r="AL187" s="9">
        <f>IFERROR(VLOOKUP($A187,pivot!$A:$I,計算式2026!AL$1,FALSE),0)</f>
        <v>0</v>
      </c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</row>
    <row r="188" spans="1:59" s="9" customFormat="1">
      <c r="A188" s="8" t="s">
        <v>101</v>
      </c>
      <c r="B188" s="8" t="s">
        <v>86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R188" s="9">
        <v>3</v>
      </c>
      <c r="S188" s="9">
        <v>5</v>
      </c>
      <c r="T188" s="9">
        <v>1</v>
      </c>
      <c r="U188" s="9">
        <v>3</v>
      </c>
      <c r="V188" s="9">
        <v>5</v>
      </c>
      <c r="W188" s="9">
        <v>0</v>
      </c>
      <c r="X188" s="9">
        <v>0</v>
      </c>
      <c r="AE188" s="9">
        <f>IFERROR(VLOOKUP($A188,pivot!$A:$G,計算式2026!AE$1,FALSE),0)</f>
        <v>0</v>
      </c>
      <c r="AF188" s="9">
        <f>IFERROR(VLOOKUP($A188,pivot!$A:$I,計算式2026!AF$1,FALSE),0)</f>
        <v>0</v>
      </c>
      <c r="AI188" s="9">
        <f>IFERROR(VLOOKUP($A188,pivot!$A:$I,計算式2026!AI$1,FALSE),0)</f>
        <v>0</v>
      </c>
      <c r="AJ188" s="9">
        <f>IFERROR(VLOOKUP($A188,pivot!$A:$I,計算式2026!AJ$1,FALSE),0)</f>
        <v>0</v>
      </c>
      <c r="AK188" s="9">
        <f>IFERROR(VLOOKUP($A188,pivot!$A:$I,計算式2026!AK$1,FALSE),0)</f>
        <v>0</v>
      </c>
      <c r="AL188" s="9">
        <f>IFERROR(VLOOKUP($A188,pivot!$A:$I,計算式2026!AL$1,FALSE),0)</f>
        <v>0</v>
      </c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</row>
    <row r="189" spans="1:59" s="9" customFormat="1">
      <c r="A189" s="8" t="s">
        <v>1556</v>
      </c>
      <c r="B189" s="8" t="s">
        <v>86</v>
      </c>
      <c r="C189" s="9">
        <v>4</v>
      </c>
      <c r="D189" s="9">
        <v>7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R189" s="9">
        <v>3</v>
      </c>
      <c r="S189" s="9">
        <v>4</v>
      </c>
      <c r="T189" s="9">
        <v>2</v>
      </c>
      <c r="U189" s="9">
        <v>3</v>
      </c>
      <c r="V189" s="9">
        <v>4</v>
      </c>
      <c r="W189" s="9">
        <v>1</v>
      </c>
      <c r="X189" s="9">
        <v>3</v>
      </c>
      <c r="AE189" s="9">
        <f>IFERROR(VLOOKUP($A189,pivot!$A:$G,計算式2026!AE$1,FALSE),0)</f>
        <v>0</v>
      </c>
      <c r="AF189" s="9">
        <f>IFERROR(VLOOKUP($A189,pivot!$A:$I,計算式2026!AF$1,FALSE),0)</f>
        <v>0</v>
      </c>
      <c r="AI189" s="9">
        <f>IFERROR(VLOOKUP($A189,pivot!$A:$I,計算式2026!AI$1,FALSE),0)</f>
        <v>0</v>
      </c>
      <c r="AJ189" s="9">
        <f>IFERROR(VLOOKUP($A189,pivot!$A:$I,計算式2026!AJ$1,FALSE),0)</f>
        <v>0</v>
      </c>
      <c r="AK189" s="9">
        <f>IFERROR(VLOOKUP($A189,pivot!$A:$I,計算式2026!AK$1,FALSE),0)</f>
        <v>0</v>
      </c>
      <c r="AL189" s="9">
        <f>IFERROR(VLOOKUP($A189,pivot!$A:$I,計算式2026!AL$1,FALSE),0)</f>
        <v>0</v>
      </c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</row>
    <row r="190" spans="1:59" s="9" customFormat="1">
      <c r="A190" s="8" t="s">
        <v>102</v>
      </c>
      <c r="B190" s="8" t="s">
        <v>86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R190" s="9">
        <v>4</v>
      </c>
      <c r="S190" s="9">
        <v>3</v>
      </c>
      <c r="T190" s="9">
        <v>2</v>
      </c>
      <c r="U190" s="9">
        <v>3</v>
      </c>
      <c r="V190" s="9">
        <v>4</v>
      </c>
      <c r="W190" s="9">
        <v>2</v>
      </c>
      <c r="X190" s="9">
        <v>3</v>
      </c>
      <c r="AE190" s="9">
        <f>IFERROR(VLOOKUP($A190,pivot!$A:$G,計算式2026!AE$1,FALSE),0)</f>
        <v>0</v>
      </c>
      <c r="AF190" s="9">
        <f>IFERROR(VLOOKUP($A190,pivot!$A:$I,計算式2026!AF$1,FALSE),0)</f>
        <v>0</v>
      </c>
      <c r="AI190" s="9">
        <f>IFERROR(VLOOKUP($A190,pivot!$A:$I,計算式2026!AI$1,FALSE),0)</f>
        <v>0</v>
      </c>
      <c r="AJ190" s="9">
        <f>IFERROR(VLOOKUP($A190,pivot!$A:$I,計算式2026!AJ$1,FALSE),0)</f>
        <v>0</v>
      </c>
      <c r="AK190" s="9">
        <f>IFERROR(VLOOKUP($A190,pivot!$A:$I,計算式2026!AK$1,FALSE),0)</f>
        <v>0</v>
      </c>
      <c r="AL190" s="9">
        <f>IFERROR(VLOOKUP($A190,pivot!$A:$I,計算式2026!AL$1,FALSE),0)</f>
        <v>0</v>
      </c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</row>
    <row r="191" spans="1:59" s="9" customFormat="1">
      <c r="A191" s="8" t="s">
        <v>103</v>
      </c>
      <c r="B191" s="8" t="s">
        <v>86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R191" s="9">
        <v>2</v>
      </c>
      <c r="S191" s="9">
        <v>0</v>
      </c>
      <c r="T191" s="9">
        <v>0</v>
      </c>
      <c r="U191" s="9">
        <v>0</v>
      </c>
      <c r="V191" s="9">
        <v>1</v>
      </c>
      <c r="W191" s="9">
        <v>0</v>
      </c>
      <c r="X191" s="9">
        <v>0</v>
      </c>
      <c r="AE191" s="9">
        <f>IFERROR(VLOOKUP($A191,pivot!$A:$G,計算式2026!AE$1,FALSE),0)</f>
        <v>0</v>
      </c>
      <c r="AF191" s="9">
        <f>IFERROR(VLOOKUP($A191,pivot!$A:$I,計算式2026!AF$1,FALSE),0)</f>
        <v>0</v>
      </c>
      <c r="AI191" s="9">
        <f>IFERROR(VLOOKUP($A191,pivot!$A:$I,計算式2026!AI$1,FALSE),0)</f>
        <v>0</v>
      </c>
      <c r="AJ191" s="9">
        <f>IFERROR(VLOOKUP($A191,pivot!$A:$I,計算式2026!AJ$1,FALSE),0)</f>
        <v>0</v>
      </c>
      <c r="AK191" s="9">
        <f>IFERROR(VLOOKUP($A191,pivot!$A:$I,計算式2026!AK$1,FALSE),0)</f>
        <v>0</v>
      </c>
      <c r="AL191" s="9">
        <f>IFERROR(VLOOKUP($A191,pivot!$A:$I,計算式2026!AL$1,FALSE),0)</f>
        <v>0</v>
      </c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</row>
    <row r="192" spans="1:59" s="9" customFormat="1">
      <c r="A192" s="8" t="s">
        <v>2698</v>
      </c>
      <c r="B192" s="8" t="s">
        <v>86</v>
      </c>
      <c r="C192" s="9">
        <v>3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R192" s="9">
        <v>2</v>
      </c>
      <c r="S192" s="9">
        <v>4</v>
      </c>
      <c r="T192" s="9">
        <v>2</v>
      </c>
      <c r="U192" s="9">
        <v>3</v>
      </c>
      <c r="V192" s="9">
        <v>4</v>
      </c>
      <c r="W192" s="9">
        <v>1</v>
      </c>
      <c r="X192" s="9">
        <v>1</v>
      </c>
      <c r="AE192" s="9">
        <f>IFERROR(VLOOKUP($A192,pivot!$A:$G,計算式2026!AE$1,FALSE),0)</f>
        <v>0</v>
      </c>
      <c r="AF192" s="9">
        <f>IFERROR(VLOOKUP($A192,pivot!$A:$I,計算式2026!AF$1,FALSE),0)</f>
        <v>0</v>
      </c>
      <c r="AI192" s="9">
        <f>IFERROR(VLOOKUP($A192,pivot!$A:$I,計算式2026!AI$1,FALSE),0)</f>
        <v>0</v>
      </c>
      <c r="AJ192" s="9">
        <f>IFERROR(VLOOKUP($A192,pivot!$A:$I,計算式2026!AJ$1,FALSE),0)</f>
        <v>0</v>
      </c>
      <c r="AK192" s="9">
        <f>IFERROR(VLOOKUP($A192,pivot!$A:$I,計算式2026!AK$1,FALSE),0)</f>
        <v>0</v>
      </c>
      <c r="AL192" s="9">
        <f>IFERROR(VLOOKUP($A192,pivot!$A:$I,計算式2026!AL$1,FALSE),0)</f>
        <v>0</v>
      </c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</row>
    <row r="193" spans="1:59" s="9" customFormat="1">
      <c r="A193" s="8" t="s">
        <v>104</v>
      </c>
      <c r="B193" s="8" t="s">
        <v>86</v>
      </c>
      <c r="C193" s="9">
        <v>3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R193" s="9">
        <v>4</v>
      </c>
      <c r="S193" s="9">
        <v>4</v>
      </c>
      <c r="T193" s="9">
        <v>0</v>
      </c>
      <c r="U193" s="9">
        <v>1</v>
      </c>
      <c r="V193" s="9">
        <v>4</v>
      </c>
      <c r="W193" s="9">
        <v>2</v>
      </c>
      <c r="X193" s="9">
        <v>3</v>
      </c>
      <c r="AE193" s="9">
        <f>IFERROR(VLOOKUP($A193,pivot!$A:$G,計算式2026!AE$1,FALSE),0)</f>
        <v>0</v>
      </c>
      <c r="AF193" s="9">
        <f>IFERROR(VLOOKUP($A193,pivot!$A:$I,計算式2026!AF$1,FALSE),0)</f>
        <v>0</v>
      </c>
      <c r="AI193" s="9">
        <f>IFERROR(VLOOKUP($A193,pivot!$A:$I,計算式2026!AI$1,FALSE),0)</f>
        <v>0</v>
      </c>
      <c r="AJ193" s="9">
        <f>IFERROR(VLOOKUP($A193,pivot!$A:$I,計算式2026!AJ$1,FALSE),0)</f>
        <v>0</v>
      </c>
      <c r="AK193" s="9">
        <f>IFERROR(VLOOKUP($A193,pivot!$A:$I,計算式2026!AK$1,FALSE),0)</f>
        <v>1</v>
      </c>
      <c r="AL193" s="9">
        <f>IFERROR(VLOOKUP($A193,pivot!$A:$I,計算式2026!AL$1,FALSE),0)</f>
        <v>3</v>
      </c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</row>
    <row r="194" spans="1:59" s="9" customFormat="1">
      <c r="A194" s="8" t="s">
        <v>105</v>
      </c>
      <c r="B194" s="8" t="s">
        <v>86</v>
      </c>
      <c r="C194" s="9">
        <v>150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R194" s="9">
        <v>3</v>
      </c>
      <c r="S194" s="9">
        <v>3</v>
      </c>
      <c r="T194" s="9">
        <v>3</v>
      </c>
      <c r="U194" s="9">
        <v>3</v>
      </c>
      <c r="V194" s="9">
        <v>4</v>
      </c>
      <c r="W194" s="9">
        <v>1</v>
      </c>
      <c r="X194" s="9">
        <v>3</v>
      </c>
      <c r="AE194" s="9">
        <f>IFERROR(VLOOKUP($A194,pivot!$A:$G,計算式2026!AE$1,FALSE),0)</f>
        <v>0</v>
      </c>
      <c r="AF194" s="9">
        <f>IFERROR(VLOOKUP($A194,pivot!$A:$I,計算式2026!AF$1,FALSE),0)</f>
        <v>0</v>
      </c>
      <c r="AI194" s="9">
        <f>IFERROR(VLOOKUP($A194,pivot!$A:$I,計算式2026!AI$1,FALSE),0)</f>
        <v>0</v>
      </c>
      <c r="AJ194" s="9">
        <f>IFERROR(VLOOKUP($A194,pivot!$A:$I,計算式2026!AJ$1,FALSE),0)</f>
        <v>0</v>
      </c>
      <c r="AK194" s="9">
        <f>IFERROR(VLOOKUP($A194,pivot!$A:$I,計算式2026!AK$1,FALSE),0)</f>
        <v>0</v>
      </c>
      <c r="AL194" s="9">
        <f>IFERROR(VLOOKUP($A194,pivot!$A:$I,計算式2026!AL$1,FALSE),0)</f>
        <v>0</v>
      </c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</row>
    <row r="195" spans="1:59" s="9" customFormat="1">
      <c r="A195" s="8" t="s">
        <v>106</v>
      </c>
      <c r="B195" s="8" t="s">
        <v>86</v>
      </c>
      <c r="C195" s="9">
        <v>131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R195" s="9">
        <v>2</v>
      </c>
      <c r="S195" s="9">
        <v>4</v>
      </c>
      <c r="T195" s="9">
        <v>2</v>
      </c>
      <c r="U195" s="9">
        <v>3</v>
      </c>
      <c r="V195" s="9">
        <v>4</v>
      </c>
      <c r="W195" s="9">
        <v>1</v>
      </c>
      <c r="X195" s="9">
        <v>3</v>
      </c>
      <c r="AE195" s="9">
        <f>IFERROR(VLOOKUP($A195,pivot!$A:$G,計算式2026!AE$1,FALSE),0)</f>
        <v>0</v>
      </c>
      <c r="AF195" s="9">
        <f>IFERROR(VLOOKUP($A195,pivot!$A:$I,計算式2026!AF$1,FALSE),0)</f>
        <v>0</v>
      </c>
      <c r="AI195" s="9">
        <f>IFERROR(VLOOKUP($A195,pivot!$A:$I,計算式2026!AI$1,FALSE),0)</f>
        <v>0</v>
      </c>
      <c r="AJ195" s="9">
        <f>IFERROR(VLOOKUP($A195,pivot!$A:$I,計算式2026!AJ$1,FALSE),0)</f>
        <v>0</v>
      </c>
      <c r="AK195" s="9">
        <f>IFERROR(VLOOKUP($A195,pivot!$A:$I,計算式2026!AK$1,FALSE),0)</f>
        <v>0</v>
      </c>
      <c r="AL195" s="9">
        <f>IFERROR(VLOOKUP($A195,pivot!$A:$I,計算式2026!AL$1,FALSE),0)</f>
        <v>0</v>
      </c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</row>
    <row r="196" spans="1:59" s="9" customFormat="1">
      <c r="A196" s="8" t="s">
        <v>107</v>
      </c>
      <c r="B196" s="8" t="s">
        <v>86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R196" s="9">
        <v>3</v>
      </c>
      <c r="S196" s="9">
        <v>6</v>
      </c>
      <c r="T196" s="9">
        <v>3</v>
      </c>
      <c r="U196" s="9">
        <v>4</v>
      </c>
      <c r="V196" s="9">
        <v>4</v>
      </c>
      <c r="W196" s="9">
        <v>1</v>
      </c>
      <c r="X196" s="9">
        <v>3</v>
      </c>
      <c r="AE196" s="9">
        <f>IFERROR(VLOOKUP($A196,pivot!$A:$G,計算式2026!AE$1,FALSE),0)</f>
        <v>0</v>
      </c>
      <c r="AF196" s="9">
        <f>IFERROR(VLOOKUP($A196,pivot!$A:$I,計算式2026!AF$1,FALSE),0)</f>
        <v>0</v>
      </c>
      <c r="AI196" s="9">
        <f>IFERROR(VLOOKUP($A196,pivot!$A:$I,計算式2026!AI$1,FALSE),0)</f>
        <v>0</v>
      </c>
      <c r="AJ196" s="9">
        <f>IFERROR(VLOOKUP($A196,pivot!$A:$I,計算式2026!AJ$1,FALSE),0)</f>
        <v>0</v>
      </c>
      <c r="AK196" s="9">
        <f>IFERROR(VLOOKUP($A196,pivot!$A:$I,計算式2026!AK$1,FALSE),0)</f>
        <v>0</v>
      </c>
      <c r="AL196" s="9">
        <f>IFERROR(VLOOKUP($A196,pivot!$A:$I,計算式2026!AL$1,FALSE),0)</f>
        <v>2</v>
      </c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</row>
    <row r="197" spans="1:59" s="9" customFormat="1">
      <c r="A197" s="8" t="s">
        <v>1653</v>
      </c>
      <c r="B197" s="8" t="s">
        <v>86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R197" s="9">
        <v>2</v>
      </c>
      <c r="S197" s="9">
        <v>2</v>
      </c>
      <c r="T197" s="9">
        <v>0</v>
      </c>
      <c r="U197" s="9">
        <v>0</v>
      </c>
      <c r="V197" s="9">
        <v>2</v>
      </c>
      <c r="W197" s="9">
        <v>1</v>
      </c>
      <c r="X197" s="9">
        <v>2</v>
      </c>
      <c r="AE197" s="9">
        <f>IFERROR(VLOOKUP($A197,pivot!$A:$G,計算式2026!AE$1,FALSE),0)</f>
        <v>0</v>
      </c>
      <c r="AF197" s="9">
        <f>IFERROR(VLOOKUP($A197,pivot!$A:$I,計算式2026!AF$1,FALSE),0)</f>
        <v>0</v>
      </c>
      <c r="AI197" s="9">
        <f>IFERROR(VLOOKUP($A197,pivot!$A:$I,計算式2026!AI$1,FALSE),0)</f>
        <v>0</v>
      </c>
      <c r="AJ197" s="9">
        <f>IFERROR(VLOOKUP($A197,pivot!$A:$I,計算式2026!AJ$1,FALSE),0)</f>
        <v>0</v>
      </c>
      <c r="AK197" s="9">
        <f>IFERROR(VLOOKUP($A197,pivot!$A:$I,計算式2026!AK$1,FALSE),0)</f>
        <v>0</v>
      </c>
      <c r="AL197" s="9">
        <f>IFERROR(VLOOKUP($A197,pivot!$A:$I,計算式2026!AL$1,FALSE),0)</f>
        <v>0</v>
      </c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</row>
    <row r="198" spans="1:59" s="9" customFormat="1">
      <c r="A198" s="8" t="s">
        <v>108</v>
      </c>
      <c r="B198" s="8" t="s">
        <v>86</v>
      </c>
      <c r="C198" s="9">
        <v>119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R198" s="9">
        <v>3</v>
      </c>
      <c r="S198" s="9">
        <v>4</v>
      </c>
      <c r="T198" s="9">
        <v>2</v>
      </c>
      <c r="U198" s="9">
        <v>4</v>
      </c>
      <c r="V198" s="9">
        <v>4</v>
      </c>
      <c r="W198" s="9">
        <v>2</v>
      </c>
      <c r="X198" s="9">
        <v>3</v>
      </c>
      <c r="AE198" s="9">
        <f>IFERROR(VLOOKUP($A198,pivot!$A:$G,計算式2026!AE$1,FALSE),0)</f>
        <v>0</v>
      </c>
      <c r="AF198" s="9">
        <f>IFERROR(VLOOKUP($A198,pivot!$A:$I,計算式2026!AF$1,FALSE),0)</f>
        <v>0</v>
      </c>
      <c r="AI198" s="9">
        <f>IFERROR(VLOOKUP($A198,pivot!$A:$I,計算式2026!AI$1,FALSE),0)</f>
        <v>0</v>
      </c>
      <c r="AJ198" s="9">
        <f>IFERROR(VLOOKUP($A198,pivot!$A:$I,計算式2026!AJ$1,FALSE),0)</f>
        <v>0</v>
      </c>
      <c r="AK198" s="9">
        <f>IFERROR(VLOOKUP($A198,pivot!$A:$I,計算式2026!AK$1,FALSE),0)</f>
        <v>0</v>
      </c>
      <c r="AL198" s="9">
        <f>IFERROR(VLOOKUP($A198,pivot!$A:$I,計算式2026!AL$1,FALSE),0)</f>
        <v>0</v>
      </c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</row>
    <row r="199" spans="1:59" s="9" customFormat="1">
      <c r="A199" s="8" t="s">
        <v>1557</v>
      </c>
      <c r="B199" s="8" t="s">
        <v>86</v>
      </c>
      <c r="C199" s="9">
        <v>0</v>
      </c>
      <c r="D199" s="9">
        <v>7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R199" s="9">
        <v>3</v>
      </c>
      <c r="S199" s="9">
        <v>5</v>
      </c>
      <c r="T199" s="9">
        <v>2</v>
      </c>
      <c r="U199" s="9">
        <v>3</v>
      </c>
      <c r="V199" s="9">
        <v>5</v>
      </c>
      <c r="W199" s="9">
        <v>1</v>
      </c>
      <c r="X199" s="9">
        <v>3</v>
      </c>
      <c r="AE199" s="9">
        <f>IFERROR(VLOOKUP($A199,pivot!$A:$G,計算式2026!AE$1,FALSE),0)</f>
        <v>0</v>
      </c>
      <c r="AF199" s="9">
        <f>IFERROR(VLOOKUP($A199,pivot!$A:$I,計算式2026!AF$1,FALSE),0)</f>
        <v>0</v>
      </c>
      <c r="AI199" s="9">
        <f>IFERROR(VLOOKUP($A199,pivot!$A:$I,計算式2026!AI$1,FALSE),0)</f>
        <v>0</v>
      </c>
      <c r="AJ199" s="9">
        <f>IFERROR(VLOOKUP($A199,pivot!$A:$I,計算式2026!AJ$1,FALSE),0)</f>
        <v>0</v>
      </c>
      <c r="AK199" s="9">
        <f>IFERROR(VLOOKUP($A199,pivot!$A:$I,計算式2026!AK$1,FALSE),0)</f>
        <v>0</v>
      </c>
      <c r="AL199" s="9">
        <f>IFERROR(VLOOKUP($A199,pivot!$A:$I,計算式2026!AL$1,FALSE),0)</f>
        <v>0</v>
      </c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</row>
    <row r="200" spans="1:59" s="9" customFormat="1">
      <c r="A200" s="8" t="s">
        <v>109</v>
      </c>
      <c r="B200" s="8" t="s">
        <v>86</v>
      </c>
      <c r="C200" s="9">
        <v>2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R200" s="9">
        <v>3</v>
      </c>
      <c r="S200" s="9">
        <v>4</v>
      </c>
      <c r="T200" s="9">
        <v>1</v>
      </c>
      <c r="U200" s="9">
        <v>2</v>
      </c>
      <c r="V200" s="9">
        <v>4</v>
      </c>
      <c r="W200" s="9">
        <v>1</v>
      </c>
      <c r="X200" s="9">
        <v>0</v>
      </c>
      <c r="AE200" s="9">
        <f>IFERROR(VLOOKUP($A200,pivot!$A:$G,計算式2026!AE$1,FALSE),0)</f>
        <v>0</v>
      </c>
      <c r="AF200" s="9">
        <f>IFERROR(VLOOKUP($A200,pivot!$A:$I,計算式2026!AF$1,FALSE),0)</f>
        <v>0</v>
      </c>
      <c r="AI200" s="9">
        <f>IFERROR(VLOOKUP($A200,pivot!$A:$I,計算式2026!AI$1,FALSE),0)</f>
        <v>0</v>
      </c>
      <c r="AJ200" s="9">
        <f>IFERROR(VLOOKUP($A200,pivot!$A:$I,計算式2026!AJ$1,FALSE),0)</f>
        <v>0</v>
      </c>
      <c r="AK200" s="9">
        <f>IFERROR(VLOOKUP($A200,pivot!$A:$I,計算式2026!AK$1,FALSE),0)</f>
        <v>0</v>
      </c>
      <c r="AL200" s="9">
        <f>IFERROR(VLOOKUP($A200,pivot!$A:$I,計算式2026!AL$1,FALSE),0)</f>
        <v>0</v>
      </c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</row>
    <row r="201" spans="1:59" s="9" customFormat="1">
      <c r="A201" s="8" t="s">
        <v>110</v>
      </c>
      <c r="B201" s="8" t="s">
        <v>86</v>
      </c>
      <c r="C201" s="9">
        <v>232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R201" s="9">
        <v>2</v>
      </c>
      <c r="S201" s="9">
        <v>4</v>
      </c>
      <c r="T201" s="9">
        <v>3</v>
      </c>
      <c r="U201" s="9">
        <v>3</v>
      </c>
      <c r="V201" s="9">
        <v>5</v>
      </c>
      <c r="W201" s="9">
        <v>1</v>
      </c>
      <c r="X201" s="9">
        <v>3</v>
      </c>
      <c r="AE201" s="9">
        <f>IFERROR(VLOOKUP($A201,pivot!$A:$G,計算式2026!AE$1,FALSE),0)</f>
        <v>0</v>
      </c>
      <c r="AF201" s="9">
        <f>IFERROR(VLOOKUP($A201,pivot!$A:$I,計算式2026!AF$1,FALSE),0)</f>
        <v>0</v>
      </c>
      <c r="AI201" s="9">
        <f>IFERROR(VLOOKUP($A201,pivot!$A:$I,計算式2026!AI$1,FALSE),0)</f>
        <v>0</v>
      </c>
      <c r="AJ201" s="9">
        <f>IFERROR(VLOOKUP($A201,pivot!$A:$I,計算式2026!AJ$1,FALSE),0)</f>
        <v>0</v>
      </c>
      <c r="AK201" s="9">
        <f>IFERROR(VLOOKUP($A201,pivot!$A:$I,計算式2026!AK$1,FALSE),0)</f>
        <v>0</v>
      </c>
      <c r="AL201" s="9">
        <f>IFERROR(VLOOKUP($A201,pivot!$A:$I,計算式2026!AL$1,FALSE),0)</f>
        <v>0</v>
      </c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</row>
    <row r="202" spans="1:59" s="9" customFormat="1">
      <c r="A202" s="8" t="s">
        <v>111</v>
      </c>
      <c r="B202" s="8" t="s">
        <v>86</v>
      </c>
      <c r="C202" s="9">
        <v>342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R202" s="9">
        <v>3</v>
      </c>
      <c r="S202" s="9">
        <v>5</v>
      </c>
      <c r="T202" s="9">
        <v>2</v>
      </c>
      <c r="U202" s="9">
        <v>4</v>
      </c>
      <c r="V202" s="9">
        <v>4</v>
      </c>
      <c r="W202" s="9">
        <v>2</v>
      </c>
      <c r="X202" s="9">
        <v>3</v>
      </c>
      <c r="AE202" s="9">
        <f>IFERROR(VLOOKUP($A202,pivot!$A:$G,計算式2026!AE$1,FALSE),0)</f>
        <v>0</v>
      </c>
      <c r="AF202" s="9">
        <f>IFERROR(VLOOKUP($A202,pivot!$A:$I,計算式2026!AF$1,FALSE),0)</f>
        <v>0</v>
      </c>
      <c r="AI202" s="9">
        <f>IFERROR(VLOOKUP($A202,pivot!$A:$I,計算式2026!AI$1,FALSE),0)</f>
        <v>0</v>
      </c>
      <c r="AJ202" s="9">
        <f>IFERROR(VLOOKUP($A202,pivot!$A:$I,計算式2026!AJ$1,FALSE),0)</f>
        <v>0</v>
      </c>
      <c r="AK202" s="9">
        <f>IFERROR(VLOOKUP($A202,pivot!$A:$I,計算式2026!AK$1,FALSE),0)</f>
        <v>0</v>
      </c>
      <c r="AL202" s="9">
        <f>IFERROR(VLOOKUP($A202,pivot!$A:$I,計算式2026!AL$1,FALSE),0)</f>
        <v>0</v>
      </c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</row>
    <row r="203" spans="1:59" s="9" customFormat="1">
      <c r="A203" s="8" t="s">
        <v>112</v>
      </c>
      <c r="B203" s="8" t="s">
        <v>86</v>
      </c>
      <c r="C203" s="9">
        <v>116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R203" s="9">
        <v>3</v>
      </c>
      <c r="S203" s="9">
        <v>6</v>
      </c>
      <c r="T203" s="9">
        <v>2</v>
      </c>
      <c r="U203" s="9">
        <v>5</v>
      </c>
      <c r="V203" s="9">
        <v>6</v>
      </c>
      <c r="W203" s="9">
        <v>1</v>
      </c>
      <c r="X203" s="9">
        <v>3</v>
      </c>
      <c r="AE203" s="9">
        <f>IFERROR(VLOOKUP($A203,pivot!$A:$G,計算式2026!AE$1,FALSE),0)</f>
        <v>0</v>
      </c>
      <c r="AF203" s="9">
        <f>IFERROR(VLOOKUP($A203,pivot!$A:$I,計算式2026!AF$1,FALSE),0)</f>
        <v>0</v>
      </c>
      <c r="AI203" s="9">
        <f>IFERROR(VLOOKUP($A203,pivot!$A:$I,計算式2026!AI$1,FALSE),0)</f>
        <v>0</v>
      </c>
      <c r="AJ203" s="9">
        <f>IFERROR(VLOOKUP($A203,pivot!$A:$I,計算式2026!AJ$1,FALSE),0)</f>
        <v>0</v>
      </c>
      <c r="AK203" s="9">
        <f>IFERROR(VLOOKUP($A203,pivot!$A:$I,計算式2026!AK$1,FALSE),0)</f>
        <v>0</v>
      </c>
      <c r="AL203" s="9">
        <f>IFERROR(VLOOKUP($A203,pivot!$A:$I,計算式2026!AL$1,FALSE),0)</f>
        <v>0</v>
      </c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</row>
    <row r="204" spans="1:59" s="9" customFormat="1">
      <c r="A204" s="8" t="s">
        <v>1558</v>
      </c>
      <c r="B204" s="8" t="s">
        <v>86</v>
      </c>
      <c r="C204" s="9">
        <v>29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R204" s="9">
        <v>3</v>
      </c>
      <c r="S204" s="9">
        <v>4</v>
      </c>
      <c r="T204" s="9">
        <v>3</v>
      </c>
      <c r="U204" s="9">
        <v>3</v>
      </c>
      <c r="V204" s="9">
        <v>5</v>
      </c>
      <c r="W204" s="9">
        <v>1</v>
      </c>
      <c r="X204" s="9">
        <v>3</v>
      </c>
      <c r="AE204" s="9">
        <f>IFERROR(VLOOKUP($A204,pivot!$A:$G,計算式2026!AE$1,FALSE),0)</f>
        <v>0</v>
      </c>
      <c r="AF204" s="9">
        <f>IFERROR(VLOOKUP($A204,pivot!$A:$I,計算式2026!AF$1,FALSE),0)</f>
        <v>0</v>
      </c>
      <c r="AI204" s="9">
        <f>IFERROR(VLOOKUP($A204,pivot!$A:$I,計算式2026!AI$1,FALSE),0)</f>
        <v>0</v>
      </c>
      <c r="AJ204" s="9">
        <f>IFERROR(VLOOKUP($A204,pivot!$A:$I,計算式2026!AJ$1,FALSE),0)</f>
        <v>0</v>
      </c>
      <c r="AK204" s="9">
        <f>IFERROR(VLOOKUP($A204,pivot!$A:$I,計算式2026!AK$1,FALSE),0)</f>
        <v>0</v>
      </c>
      <c r="AL204" s="9">
        <f>IFERROR(VLOOKUP($A204,pivot!$A:$I,計算式2026!AL$1,FALSE),0)</f>
        <v>0</v>
      </c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</row>
    <row r="205" spans="1:59" s="9" customFormat="1">
      <c r="A205" s="8" t="s">
        <v>113</v>
      </c>
      <c r="B205" s="8" t="s">
        <v>86</v>
      </c>
      <c r="C205" s="9">
        <v>241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R205" s="9">
        <v>3</v>
      </c>
      <c r="S205" s="9">
        <v>4</v>
      </c>
      <c r="T205" s="9">
        <v>2</v>
      </c>
      <c r="U205" s="9">
        <v>2</v>
      </c>
      <c r="V205" s="9">
        <v>3</v>
      </c>
      <c r="W205" s="9">
        <v>2</v>
      </c>
      <c r="X205" s="9">
        <v>3</v>
      </c>
      <c r="AE205" s="9">
        <f>IFERROR(VLOOKUP($A205,pivot!$A:$G,計算式2026!AE$1,FALSE),0)</f>
        <v>0</v>
      </c>
      <c r="AF205" s="9">
        <f>IFERROR(VLOOKUP($A205,pivot!$A:$I,計算式2026!AF$1,FALSE),0)</f>
        <v>0</v>
      </c>
      <c r="AI205" s="9">
        <f>IFERROR(VLOOKUP($A205,pivot!$A:$I,計算式2026!AI$1,FALSE),0)</f>
        <v>0</v>
      </c>
      <c r="AJ205" s="9">
        <f>IFERROR(VLOOKUP($A205,pivot!$A:$I,計算式2026!AJ$1,FALSE),0)</f>
        <v>0</v>
      </c>
      <c r="AK205" s="9">
        <f>IFERROR(VLOOKUP($A205,pivot!$A:$I,計算式2026!AK$1,FALSE),0)</f>
        <v>0</v>
      </c>
      <c r="AL205" s="9">
        <f>IFERROR(VLOOKUP($A205,pivot!$A:$I,計算式2026!AL$1,FALSE),0)</f>
        <v>0</v>
      </c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</row>
    <row r="206" spans="1:59" s="9" customFormat="1">
      <c r="A206" s="8" t="s">
        <v>114</v>
      </c>
      <c r="B206" s="8" t="s">
        <v>86</v>
      </c>
      <c r="C206" s="9">
        <v>264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R206" s="9">
        <v>3</v>
      </c>
      <c r="S206" s="9">
        <v>4</v>
      </c>
      <c r="T206" s="9">
        <v>2</v>
      </c>
      <c r="U206" s="9">
        <v>3</v>
      </c>
      <c r="V206" s="9">
        <v>4</v>
      </c>
      <c r="W206" s="9">
        <v>2</v>
      </c>
      <c r="X206" s="9">
        <v>3</v>
      </c>
      <c r="AE206" s="9">
        <f>IFERROR(VLOOKUP($A206,pivot!$A:$G,計算式2026!AE$1,FALSE),0)</f>
        <v>0</v>
      </c>
      <c r="AF206" s="9">
        <f>IFERROR(VLOOKUP($A206,pivot!$A:$I,計算式2026!AF$1,FALSE),0)</f>
        <v>0</v>
      </c>
      <c r="AI206" s="9">
        <f>IFERROR(VLOOKUP($A206,pivot!$A:$I,計算式2026!AI$1,FALSE),0)</f>
        <v>0</v>
      </c>
      <c r="AJ206" s="9">
        <f>IFERROR(VLOOKUP($A206,pivot!$A:$I,計算式2026!AJ$1,FALSE),0)</f>
        <v>0</v>
      </c>
      <c r="AK206" s="9">
        <f>IFERROR(VLOOKUP($A206,pivot!$A:$I,計算式2026!AK$1,FALSE),0)</f>
        <v>0</v>
      </c>
      <c r="AL206" s="9">
        <f>IFERROR(VLOOKUP($A206,pivot!$A:$I,計算式2026!AL$1,FALSE),0)</f>
        <v>0</v>
      </c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</row>
    <row r="207" spans="1:59" s="9" customFormat="1">
      <c r="A207" s="8" t="s">
        <v>115</v>
      </c>
      <c r="B207" s="8" t="s">
        <v>86</v>
      </c>
      <c r="C207" s="9">
        <v>72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R207" s="9">
        <v>3</v>
      </c>
      <c r="S207" s="9">
        <v>6</v>
      </c>
      <c r="T207" s="9">
        <v>3</v>
      </c>
      <c r="U207" s="9">
        <v>3</v>
      </c>
      <c r="V207" s="9">
        <v>5</v>
      </c>
      <c r="W207" s="9">
        <v>2</v>
      </c>
      <c r="X207" s="9">
        <v>3</v>
      </c>
      <c r="AE207" s="9">
        <f>IFERROR(VLOOKUP($A207,pivot!$A:$G,計算式2026!AE$1,FALSE),0)</f>
        <v>0</v>
      </c>
      <c r="AF207" s="9">
        <f>IFERROR(VLOOKUP($A207,pivot!$A:$I,計算式2026!AF$1,FALSE),0)</f>
        <v>0</v>
      </c>
      <c r="AI207" s="9">
        <f>IFERROR(VLOOKUP($A207,pivot!$A:$I,計算式2026!AI$1,FALSE),0)</f>
        <v>0</v>
      </c>
      <c r="AJ207" s="9">
        <f>IFERROR(VLOOKUP($A207,pivot!$A:$I,計算式2026!AJ$1,FALSE),0)</f>
        <v>0</v>
      </c>
      <c r="AK207" s="9">
        <f>IFERROR(VLOOKUP($A207,pivot!$A:$I,計算式2026!AK$1,FALSE),0)</f>
        <v>0</v>
      </c>
      <c r="AL207" s="9">
        <f>IFERROR(VLOOKUP($A207,pivot!$A:$I,計算式2026!AL$1,FALSE),0)</f>
        <v>0</v>
      </c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</row>
    <row r="208" spans="1:59" s="9" customFormat="1">
      <c r="A208" s="8" t="s">
        <v>2606</v>
      </c>
      <c r="B208" s="8" t="s">
        <v>86</v>
      </c>
      <c r="C208" s="9">
        <v>3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R208" s="9">
        <v>3</v>
      </c>
      <c r="S208" s="9">
        <v>1</v>
      </c>
      <c r="T208" s="9">
        <v>2</v>
      </c>
      <c r="U208" s="9">
        <v>3</v>
      </c>
      <c r="V208" s="9">
        <v>4</v>
      </c>
      <c r="W208" s="9">
        <v>1</v>
      </c>
      <c r="X208" s="9">
        <v>1</v>
      </c>
      <c r="AE208" s="9">
        <f>IFERROR(VLOOKUP($A208,pivot!$A:$G,計算式2026!AE$1,FALSE),0)</f>
        <v>0</v>
      </c>
      <c r="AF208" s="9">
        <f>IFERROR(VLOOKUP($A208,pivot!$A:$I,計算式2026!AF$1,FALSE),0)</f>
        <v>0</v>
      </c>
      <c r="AI208" s="9">
        <f>IFERROR(VLOOKUP($A208,pivot!$A:$I,計算式2026!AI$1,FALSE),0)</f>
        <v>0</v>
      </c>
      <c r="AJ208" s="9">
        <f>IFERROR(VLOOKUP($A208,pivot!$A:$I,計算式2026!AJ$1,FALSE),0)</f>
        <v>0</v>
      </c>
      <c r="AK208" s="9">
        <f>IFERROR(VLOOKUP($A208,pivot!$A:$I,計算式2026!AK$1,FALSE),0)</f>
        <v>0</v>
      </c>
      <c r="AL208" s="9">
        <f>IFERROR(VLOOKUP($A208,pivot!$A:$I,計算式2026!AL$1,FALSE),0)</f>
        <v>0</v>
      </c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</row>
    <row r="209" spans="1:59" s="9" customFormat="1">
      <c r="A209" s="8" t="s">
        <v>116</v>
      </c>
      <c r="B209" s="8" t="s">
        <v>86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R209" s="9">
        <v>3</v>
      </c>
      <c r="S209" s="9">
        <v>5</v>
      </c>
      <c r="T209" s="9">
        <v>3</v>
      </c>
      <c r="U209" s="9">
        <v>4</v>
      </c>
      <c r="V209" s="9">
        <v>5</v>
      </c>
      <c r="W209" s="9">
        <v>1</v>
      </c>
      <c r="X209" s="9">
        <v>3</v>
      </c>
      <c r="AE209" s="9">
        <f>IFERROR(VLOOKUP($A209,pivot!$A:$G,計算式2026!AE$1,FALSE),0)</f>
        <v>0</v>
      </c>
      <c r="AF209" s="9">
        <f>IFERROR(VLOOKUP($A209,pivot!$A:$I,計算式2026!AF$1,FALSE),0)</f>
        <v>0</v>
      </c>
      <c r="AI209" s="9">
        <f>IFERROR(VLOOKUP($A209,pivot!$A:$I,計算式2026!AI$1,FALSE),0)</f>
        <v>1</v>
      </c>
      <c r="AJ209" s="9">
        <f>IFERROR(VLOOKUP($A209,pivot!$A:$I,計算式2026!AJ$1,FALSE),0)</f>
        <v>1</v>
      </c>
      <c r="AK209" s="9">
        <f>IFERROR(VLOOKUP($A209,pivot!$A:$I,計算式2026!AK$1,FALSE),0)</f>
        <v>0</v>
      </c>
      <c r="AL209" s="9">
        <f>IFERROR(VLOOKUP($A209,pivot!$A:$I,計算式2026!AL$1,FALSE),0)</f>
        <v>0</v>
      </c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</row>
    <row r="210" spans="1:59" s="9" customFormat="1">
      <c r="A210" s="8" t="s">
        <v>117</v>
      </c>
      <c r="B210" s="8" t="s">
        <v>86</v>
      </c>
      <c r="C210" s="9">
        <v>34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R210" s="9">
        <v>3</v>
      </c>
      <c r="S210" s="9">
        <v>5</v>
      </c>
      <c r="T210" s="9">
        <v>3</v>
      </c>
      <c r="U210" s="9">
        <v>3</v>
      </c>
      <c r="V210" s="9">
        <v>5</v>
      </c>
      <c r="W210" s="9">
        <v>2</v>
      </c>
      <c r="X210" s="9">
        <v>3</v>
      </c>
      <c r="AE210" s="9">
        <f>IFERROR(VLOOKUP($A210,pivot!$A:$G,計算式2026!AE$1,FALSE),0)</f>
        <v>0</v>
      </c>
      <c r="AF210" s="9">
        <f>IFERROR(VLOOKUP($A210,pivot!$A:$I,計算式2026!AF$1,FALSE),0)</f>
        <v>0</v>
      </c>
      <c r="AI210" s="9">
        <f>IFERROR(VLOOKUP($A210,pivot!$A:$I,計算式2026!AI$1,FALSE),0)</f>
        <v>0</v>
      </c>
      <c r="AJ210" s="9">
        <f>IFERROR(VLOOKUP($A210,pivot!$A:$I,計算式2026!AJ$1,FALSE),0)</f>
        <v>0</v>
      </c>
      <c r="AK210" s="9">
        <f>IFERROR(VLOOKUP($A210,pivot!$A:$I,計算式2026!AK$1,FALSE),0)</f>
        <v>0</v>
      </c>
      <c r="AL210" s="9">
        <f>IFERROR(VLOOKUP($A210,pivot!$A:$I,計算式2026!AL$1,FALSE),0)</f>
        <v>0</v>
      </c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</row>
    <row r="211" spans="1:59" s="9" customFormat="1">
      <c r="A211" s="8" t="s">
        <v>118</v>
      </c>
      <c r="B211" s="8" t="s">
        <v>86</v>
      </c>
      <c r="C211" s="9">
        <v>119</v>
      </c>
      <c r="D211" s="9">
        <v>80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R211" s="9">
        <v>2</v>
      </c>
      <c r="S211" s="9">
        <v>2</v>
      </c>
      <c r="T211" s="9">
        <v>7</v>
      </c>
      <c r="U211" s="9">
        <v>5</v>
      </c>
      <c r="V211" s="9">
        <v>4</v>
      </c>
      <c r="W211" s="9">
        <v>1</v>
      </c>
      <c r="X211" s="9">
        <v>3</v>
      </c>
      <c r="AE211" s="9">
        <f>IFERROR(VLOOKUP($A211,pivot!$A:$G,計算式2026!AE$1,FALSE),0)</f>
        <v>0</v>
      </c>
      <c r="AF211" s="9">
        <f>IFERROR(VLOOKUP($A211,pivot!$A:$I,計算式2026!AF$1,FALSE),0)</f>
        <v>0</v>
      </c>
      <c r="AI211" s="9">
        <f>IFERROR(VLOOKUP($A211,pivot!$A:$I,計算式2026!AI$1,FALSE),0)</f>
        <v>1</v>
      </c>
      <c r="AJ211" s="9">
        <f>IFERROR(VLOOKUP($A211,pivot!$A:$I,計算式2026!AJ$1,FALSE),0)</f>
        <v>0</v>
      </c>
      <c r="AK211" s="9">
        <f>IFERROR(VLOOKUP($A211,pivot!$A:$I,計算式2026!AK$1,FALSE),0)</f>
        <v>0</v>
      </c>
      <c r="AL211" s="9">
        <f>IFERROR(VLOOKUP($A211,pivot!$A:$I,計算式2026!AL$1,FALSE),0)</f>
        <v>0</v>
      </c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</row>
    <row r="212" spans="1:59" s="9" customFormat="1">
      <c r="A212" s="8" t="s">
        <v>119</v>
      </c>
      <c r="B212" s="8" t="s">
        <v>86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R212" s="9">
        <v>0</v>
      </c>
      <c r="S212" s="9">
        <v>1</v>
      </c>
      <c r="T212" s="9">
        <v>0</v>
      </c>
      <c r="U212" s="9">
        <v>2</v>
      </c>
      <c r="V212" s="9">
        <v>1</v>
      </c>
      <c r="W212" s="9">
        <v>2</v>
      </c>
      <c r="X212" s="9">
        <v>0</v>
      </c>
      <c r="AE212" s="9">
        <f>IFERROR(VLOOKUP($A212,pivot!$A:$G,計算式2026!AE$1,FALSE),0)</f>
        <v>0</v>
      </c>
      <c r="AF212" s="9">
        <f>IFERROR(VLOOKUP($A212,pivot!$A:$I,計算式2026!AF$1,FALSE),0)</f>
        <v>0</v>
      </c>
      <c r="AI212" s="9">
        <f>IFERROR(VLOOKUP($A212,pivot!$A:$I,計算式2026!AI$1,FALSE),0)</f>
        <v>0</v>
      </c>
      <c r="AJ212" s="9">
        <f>IFERROR(VLOOKUP($A212,pivot!$A:$I,計算式2026!AJ$1,FALSE),0)</f>
        <v>0</v>
      </c>
      <c r="AK212" s="9">
        <f>IFERROR(VLOOKUP($A212,pivot!$A:$I,計算式2026!AK$1,FALSE),0)</f>
        <v>0</v>
      </c>
      <c r="AL212" s="9">
        <f>IFERROR(VLOOKUP($A212,pivot!$A:$I,計算式2026!AL$1,FALSE),0)</f>
        <v>0</v>
      </c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</row>
    <row r="213" spans="1:59" s="9" customFormat="1">
      <c r="A213" s="8" t="s">
        <v>120</v>
      </c>
      <c r="B213" s="8" t="s">
        <v>86</v>
      </c>
      <c r="C213" s="9">
        <v>654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R213" s="9">
        <v>3</v>
      </c>
      <c r="S213" s="9">
        <v>5</v>
      </c>
      <c r="T213" s="9">
        <v>2</v>
      </c>
      <c r="U213" s="9">
        <v>1</v>
      </c>
      <c r="V213" s="9">
        <v>4</v>
      </c>
      <c r="W213" s="9">
        <v>1</v>
      </c>
      <c r="X213" s="9">
        <v>3</v>
      </c>
      <c r="AE213" s="9">
        <f>IFERROR(VLOOKUP($A213,pivot!$A:$G,計算式2026!AE$1,FALSE),0)</f>
        <v>0</v>
      </c>
      <c r="AF213" s="9">
        <f>IFERROR(VLOOKUP($A213,pivot!$A:$I,計算式2026!AF$1,FALSE),0)</f>
        <v>1</v>
      </c>
      <c r="AI213" s="9">
        <f>IFERROR(VLOOKUP($A213,pivot!$A:$I,計算式2026!AI$1,FALSE),0)</f>
        <v>1</v>
      </c>
      <c r="AJ213" s="9">
        <f>IFERROR(VLOOKUP($A213,pivot!$A:$I,計算式2026!AJ$1,FALSE),0)</f>
        <v>0</v>
      </c>
      <c r="AK213" s="9">
        <f>IFERROR(VLOOKUP($A213,pivot!$A:$I,計算式2026!AK$1,FALSE),0)</f>
        <v>0</v>
      </c>
      <c r="AL213" s="9">
        <f>IFERROR(VLOOKUP($A213,pivot!$A:$I,計算式2026!AL$1,FALSE),0)</f>
        <v>0</v>
      </c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</row>
    <row r="214" spans="1:59" s="9" customFormat="1">
      <c r="A214" s="8" t="s">
        <v>121</v>
      </c>
      <c r="B214" s="8" t="s">
        <v>86</v>
      </c>
      <c r="C214" s="9">
        <v>864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R214" s="9">
        <v>3</v>
      </c>
      <c r="S214" s="9">
        <v>4</v>
      </c>
      <c r="T214" s="9">
        <v>3</v>
      </c>
      <c r="U214" s="9">
        <v>3</v>
      </c>
      <c r="V214" s="9">
        <v>4</v>
      </c>
      <c r="W214" s="9">
        <v>2</v>
      </c>
      <c r="X214" s="9">
        <v>3</v>
      </c>
      <c r="AE214" s="9">
        <f>IFERROR(VLOOKUP($A214,pivot!$A:$G,計算式2026!AE$1,FALSE),0)</f>
        <v>0</v>
      </c>
      <c r="AF214" s="9">
        <f>IFERROR(VLOOKUP($A214,pivot!$A:$I,計算式2026!AF$1,FALSE),0)</f>
        <v>0</v>
      </c>
      <c r="AI214" s="9">
        <f>IFERROR(VLOOKUP($A214,pivot!$A:$I,計算式2026!AI$1,FALSE),0)</f>
        <v>0</v>
      </c>
      <c r="AJ214" s="9">
        <f>IFERROR(VLOOKUP($A214,pivot!$A:$I,計算式2026!AJ$1,FALSE),0)</f>
        <v>0</v>
      </c>
      <c r="AK214" s="9">
        <f>IFERROR(VLOOKUP($A214,pivot!$A:$I,計算式2026!AK$1,FALSE),0)</f>
        <v>0</v>
      </c>
      <c r="AL214" s="9">
        <f>IFERROR(VLOOKUP($A214,pivot!$A:$I,計算式2026!AL$1,FALSE),0)</f>
        <v>0</v>
      </c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</row>
    <row r="215" spans="1:59" s="9" customFormat="1">
      <c r="A215" s="8" t="s">
        <v>122</v>
      </c>
      <c r="B215" s="8" t="s">
        <v>86</v>
      </c>
      <c r="C215" s="9">
        <v>146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R215" s="9">
        <v>2</v>
      </c>
      <c r="S215" s="9">
        <v>7</v>
      </c>
      <c r="T215" s="9">
        <v>2</v>
      </c>
      <c r="U215" s="9">
        <v>2</v>
      </c>
      <c r="V215" s="9">
        <v>4</v>
      </c>
      <c r="W215" s="9">
        <v>2</v>
      </c>
      <c r="X215" s="9">
        <v>3</v>
      </c>
      <c r="AE215" s="9">
        <f>IFERROR(VLOOKUP($A215,pivot!$A:$G,計算式2026!AE$1,FALSE),0)</f>
        <v>0</v>
      </c>
      <c r="AF215" s="9">
        <f>IFERROR(VLOOKUP($A215,pivot!$A:$I,計算式2026!AF$1,FALSE),0)</f>
        <v>0</v>
      </c>
      <c r="AI215" s="9">
        <f>IFERROR(VLOOKUP($A215,pivot!$A:$I,計算式2026!AI$1,FALSE),0)</f>
        <v>0</v>
      </c>
      <c r="AJ215" s="9">
        <f>IFERROR(VLOOKUP($A215,pivot!$A:$I,計算式2026!AJ$1,FALSE),0)</f>
        <v>0</v>
      </c>
      <c r="AK215" s="9">
        <f>IFERROR(VLOOKUP($A215,pivot!$A:$I,計算式2026!AK$1,FALSE),0)</f>
        <v>0</v>
      </c>
      <c r="AL215" s="9">
        <f>IFERROR(VLOOKUP($A215,pivot!$A:$I,計算式2026!AL$1,FALSE),0)</f>
        <v>0</v>
      </c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</row>
    <row r="216" spans="1:59" s="9" customFormat="1">
      <c r="A216" s="8" t="s">
        <v>123</v>
      </c>
      <c r="B216" s="8" t="s">
        <v>86</v>
      </c>
      <c r="C216" s="9">
        <v>1080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R216" s="9">
        <v>3</v>
      </c>
      <c r="S216" s="9">
        <v>5</v>
      </c>
      <c r="T216" s="9">
        <v>1</v>
      </c>
      <c r="U216" s="9">
        <v>3</v>
      </c>
      <c r="V216" s="9">
        <v>3</v>
      </c>
      <c r="W216" s="9">
        <v>1</v>
      </c>
      <c r="X216" s="9">
        <v>3</v>
      </c>
      <c r="AE216" s="9">
        <f>IFERROR(VLOOKUP($A216,pivot!$A:$G,計算式2026!AE$1,FALSE),0)</f>
        <v>0</v>
      </c>
      <c r="AF216" s="9">
        <f>IFERROR(VLOOKUP($A216,pivot!$A:$I,計算式2026!AF$1,FALSE),0)</f>
        <v>0</v>
      </c>
      <c r="AI216" s="9">
        <f>IFERROR(VLOOKUP($A216,pivot!$A:$I,計算式2026!AI$1,FALSE),0)</f>
        <v>0</v>
      </c>
      <c r="AJ216" s="9">
        <f>IFERROR(VLOOKUP($A216,pivot!$A:$I,計算式2026!AJ$1,FALSE),0)</f>
        <v>0</v>
      </c>
      <c r="AK216" s="9">
        <f>IFERROR(VLOOKUP($A216,pivot!$A:$I,計算式2026!AK$1,FALSE),0)</f>
        <v>0</v>
      </c>
      <c r="AL216" s="9">
        <f>IFERROR(VLOOKUP($A216,pivot!$A:$I,計算式2026!AL$1,FALSE),0)</f>
        <v>0</v>
      </c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</row>
    <row r="217" spans="1:59" s="9" customFormat="1">
      <c r="A217" s="8" t="s">
        <v>124</v>
      </c>
      <c r="B217" s="8" t="s">
        <v>86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R217" s="9">
        <v>0</v>
      </c>
      <c r="S217" s="9">
        <v>0</v>
      </c>
      <c r="T217" s="9">
        <v>1</v>
      </c>
      <c r="U217" s="9">
        <v>0</v>
      </c>
      <c r="V217" s="9">
        <v>0</v>
      </c>
      <c r="W217" s="9">
        <v>0</v>
      </c>
      <c r="X217" s="9">
        <v>0</v>
      </c>
      <c r="AE217" s="9">
        <f>IFERROR(VLOOKUP($A217,pivot!$A:$G,計算式2026!AE$1,FALSE),0)</f>
        <v>0</v>
      </c>
      <c r="AF217" s="9">
        <f>IFERROR(VLOOKUP($A217,pivot!$A:$I,計算式2026!AF$1,FALSE),0)</f>
        <v>0</v>
      </c>
      <c r="AI217" s="9">
        <f>IFERROR(VLOOKUP($A217,pivot!$A:$I,計算式2026!AI$1,FALSE),0)</f>
        <v>0</v>
      </c>
      <c r="AJ217" s="9">
        <f>IFERROR(VLOOKUP($A217,pivot!$A:$I,計算式2026!AJ$1,FALSE),0)</f>
        <v>0</v>
      </c>
      <c r="AK217" s="9">
        <f>IFERROR(VLOOKUP($A217,pivot!$A:$I,計算式2026!AK$1,FALSE),0)</f>
        <v>0</v>
      </c>
      <c r="AL217" s="9">
        <f>IFERROR(VLOOKUP($A217,pivot!$A:$I,計算式2026!AL$1,FALSE),0)</f>
        <v>0</v>
      </c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</row>
    <row r="218" spans="1:59" s="9" customFormat="1">
      <c r="A218" s="8" t="s">
        <v>2662</v>
      </c>
      <c r="B218" s="8" t="s">
        <v>86</v>
      </c>
      <c r="C218" s="9">
        <v>4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R218" s="9">
        <v>2</v>
      </c>
      <c r="S218" s="9">
        <v>5</v>
      </c>
      <c r="T218" s="9">
        <v>2</v>
      </c>
      <c r="U218" s="9">
        <v>4</v>
      </c>
      <c r="V218" s="9">
        <v>4</v>
      </c>
      <c r="W218" s="9">
        <v>1</v>
      </c>
      <c r="X218" s="9">
        <v>3</v>
      </c>
      <c r="AE218" s="9">
        <f>IFERROR(VLOOKUP($A218,pivot!$A:$G,計算式2026!AE$1,FALSE),0)</f>
        <v>0</v>
      </c>
      <c r="AF218" s="9">
        <f>IFERROR(VLOOKUP($A218,pivot!$A:$I,計算式2026!AF$1,FALSE),0)</f>
        <v>0</v>
      </c>
      <c r="AI218" s="9">
        <f>IFERROR(VLOOKUP($A218,pivot!$A:$I,計算式2026!AI$1,FALSE),0)</f>
        <v>0</v>
      </c>
      <c r="AJ218" s="9">
        <f>IFERROR(VLOOKUP($A218,pivot!$A:$I,計算式2026!AJ$1,FALSE),0)</f>
        <v>0</v>
      </c>
      <c r="AK218" s="9">
        <f>IFERROR(VLOOKUP($A218,pivot!$A:$I,計算式2026!AK$1,FALSE),0)</f>
        <v>0</v>
      </c>
      <c r="AL218" s="9">
        <f>IFERROR(VLOOKUP($A218,pivot!$A:$I,計算式2026!AL$1,FALSE),0)</f>
        <v>0</v>
      </c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</row>
    <row r="219" spans="1:59" s="9" customFormat="1">
      <c r="A219" s="8" t="s">
        <v>125</v>
      </c>
      <c r="B219" s="8" t="s">
        <v>86</v>
      </c>
      <c r="C219" s="9">
        <v>377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R219" s="9">
        <v>3</v>
      </c>
      <c r="S219" s="9">
        <v>4</v>
      </c>
      <c r="T219" s="9">
        <v>2</v>
      </c>
      <c r="U219" s="9">
        <v>2</v>
      </c>
      <c r="V219" s="9">
        <v>4</v>
      </c>
      <c r="W219" s="9">
        <v>2</v>
      </c>
      <c r="X219" s="9">
        <v>3</v>
      </c>
      <c r="AE219" s="9">
        <f>IFERROR(VLOOKUP($A219,pivot!$A:$G,計算式2026!AE$1,FALSE),0)</f>
        <v>0</v>
      </c>
      <c r="AF219" s="9">
        <f>IFERROR(VLOOKUP($A219,pivot!$A:$I,計算式2026!AF$1,FALSE),0)</f>
        <v>0</v>
      </c>
      <c r="AI219" s="9">
        <f>IFERROR(VLOOKUP($A219,pivot!$A:$I,計算式2026!AI$1,FALSE),0)</f>
        <v>0</v>
      </c>
      <c r="AJ219" s="9">
        <f>IFERROR(VLOOKUP($A219,pivot!$A:$I,計算式2026!AJ$1,FALSE),0)</f>
        <v>0</v>
      </c>
      <c r="AK219" s="9">
        <f>IFERROR(VLOOKUP($A219,pivot!$A:$I,計算式2026!AK$1,FALSE),0)</f>
        <v>0</v>
      </c>
      <c r="AL219" s="9">
        <f>IFERROR(VLOOKUP($A219,pivot!$A:$I,計算式2026!AL$1,FALSE),0)</f>
        <v>0</v>
      </c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</row>
    <row r="220" spans="1:59" s="9" customFormat="1">
      <c r="A220" s="8" t="s">
        <v>126</v>
      </c>
      <c r="B220" s="8" t="s">
        <v>86</v>
      </c>
      <c r="C220" s="9">
        <v>93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R220" s="9">
        <v>3</v>
      </c>
      <c r="S220" s="9">
        <v>4</v>
      </c>
      <c r="T220" s="9">
        <v>1</v>
      </c>
      <c r="U220" s="9">
        <v>3</v>
      </c>
      <c r="V220" s="9">
        <v>4</v>
      </c>
      <c r="W220" s="9">
        <v>2</v>
      </c>
      <c r="X220" s="9">
        <v>3</v>
      </c>
      <c r="AE220" s="9">
        <f>IFERROR(VLOOKUP($A220,pivot!$A:$G,計算式2026!AE$1,FALSE),0)</f>
        <v>0</v>
      </c>
      <c r="AF220" s="9">
        <f>IFERROR(VLOOKUP($A220,pivot!$A:$I,計算式2026!AF$1,FALSE),0)</f>
        <v>0</v>
      </c>
      <c r="AI220" s="9">
        <f>IFERROR(VLOOKUP($A220,pivot!$A:$I,計算式2026!AI$1,FALSE),0)</f>
        <v>0</v>
      </c>
      <c r="AJ220" s="9">
        <f>IFERROR(VLOOKUP($A220,pivot!$A:$I,計算式2026!AJ$1,FALSE),0)</f>
        <v>0</v>
      </c>
      <c r="AK220" s="9">
        <f>IFERROR(VLOOKUP($A220,pivot!$A:$I,計算式2026!AK$1,FALSE),0)</f>
        <v>0</v>
      </c>
      <c r="AL220" s="9">
        <f>IFERROR(VLOOKUP($A220,pivot!$A:$I,計算式2026!AL$1,FALSE),0)</f>
        <v>0</v>
      </c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</row>
    <row r="221" spans="1:59" s="9" customFormat="1">
      <c r="A221" s="8" t="s">
        <v>1559</v>
      </c>
      <c r="B221" s="8" t="s">
        <v>86</v>
      </c>
      <c r="C221" s="9">
        <v>2</v>
      </c>
      <c r="D221" s="9">
        <v>32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R221" s="9">
        <v>3</v>
      </c>
      <c r="S221" s="9">
        <v>6</v>
      </c>
      <c r="T221" s="9">
        <v>1</v>
      </c>
      <c r="U221" s="9">
        <v>2</v>
      </c>
      <c r="V221" s="9">
        <v>4</v>
      </c>
      <c r="W221" s="9">
        <v>2</v>
      </c>
      <c r="X221" s="9">
        <v>3</v>
      </c>
      <c r="AE221" s="9">
        <f>IFERROR(VLOOKUP($A221,pivot!$A:$G,計算式2026!AE$1,FALSE),0)</f>
        <v>0</v>
      </c>
      <c r="AF221" s="9">
        <f>IFERROR(VLOOKUP($A221,pivot!$A:$I,計算式2026!AF$1,FALSE),0)</f>
        <v>0</v>
      </c>
      <c r="AI221" s="9">
        <f>IFERROR(VLOOKUP($A221,pivot!$A:$I,計算式2026!AI$1,FALSE),0)</f>
        <v>0</v>
      </c>
      <c r="AJ221" s="9">
        <f>IFERROR(VLOOKUP($A221,pivot!$A:$I,計算式2026!AJ$1,FALSE),0)</f>
        <v>0</v>
      </c>
      <c r="AK221" s="9">
        <f>IFERROR(VLOOKUP($A221,pivot!$A:$I,計算式2026!AK$1,FALSE),0)</f>
        <v>0</v>
      </c>
      <c r="AL221" s="9">
        <f>IFERROR(VLOOKUP($A221,pivot!$A:$I,計算式2026!AL$1,FALSE),0)</f>
        <v>0</v>
      </c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</row>
    <row r="222" spans="1:59" s="9" customFormat="1">
      <c r="A222" s="8" t="s">
        <v>127</v>
      </c>
      <c r="B222" s="8" t="s">
        <v>86</v>
      </c>
      <c r="C222" s="9">
        <v>108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R222" s="9">
        <v>3</v>
      </c>
      <c r="S222" s="9">
        <v>4</v>
      </c>
      <c r="T222" s="9">
        <v>2</v>
      </c>
      <c r="U222" s="9">
        <v>2</v>
      </c>
      <c r="V222" s="9">
        <v>4</v>
      </c>
      <c r="W222" s="9">
        <v>2</v>
      </c>
      <c r="X222" s="9">
        <v>3</v>
      </c>
      <c r="AE222" s="9">
        <f>IFERROR(VLOOKUP($A222,pivot!$A:$G,計算式2026!AE$1,FALSE),0)</f>
        <v>0</v>
      </c>
      <c r="AF222" s="9">
        <f>IFERROR(VLOOKUP($A222,pivot!$A:$I,計算式2026!AF$1,FALSE),0)</f>
        <v>0</v>
      </c>
      <c r="AI222" s="9">
        <f>IFERROR(VLOOKUP($A222,pivot!$A:$I,計算式2026!AI$1,FALSE),0)</f>
        <v>1</v>
      </c>
      <c r="AJ222" s="9">
        <f>IFERROR(VLOOKUP($A222,pivot!$A:$I,計算式2026!AJ$1,FALSE),0)</f>
        <v>0</v>
      </c>
      <c r="AK222" s="9">
        <f>IFERROR(VLOOKUP($A222,pivot!$A:$I,計算式2026!AK$1,FALSE),0)</f>
        <v>0</v>
      </c>
      <c r="AL222" s="9">
        <f>IFERROR(VLOOKUP($A222,pivot!$A:$I,計算式2026!AL$1,FALSE),0)</f>
        <v>1</v>
      </c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</row>
    <row r="223" spans="1:59" s="9" customFormat="1">
      <c r="A223" s="8" t="s">
        <v>128</v>
      </c>
      <c r="B223" s="8" t="s">
        <v>86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AE223" s="9">
        <f>IFERROR(VLOOKUP($A223,pivot!$A:$G,計算式2026!AE$1,FALSE),0)</f>
        <v>0</v>
      </c>
      <c r="AF223" s="9">
        <f>IFERROR(VLOOKUP($A223,pivot!$A:$I,計算式2026!AF$1,FALSE),0)</f>
        <v>0</v>
      </c>
      <c r="AI223" s="9">
        <f>IFERROR(VLOOKUP($A223,pivot!$A:$I,計算式2026!AI$1,FALSE),0)</f>
        <v>0</v>
      </c>
      <c r="AJ223" s="9">
        <f>IFERROR(VLOOKUP($A223,pivot!$A:$I,計算式2026!AJ$1,FALSE),0)</f>
        <v>0</v>
      </c>
      <c r="AK223" s="9">
        <f>IFERROR(VLOOKUP($A223,pivot!$A:$I,計算式2026!AK$1,FALSE),0)</f>
        <v>0</v>
      </c>
      <c r="AL223" s="9">
        <f>IFERROR(VLOOKUP($A223,pivot!$A:$I,計算式2026!AL$1,FALSE),0)</f>
        <v>0</v>
      </c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</row>
    <row r="224" spans="1:59" s="9" customFormat="1">
      <c r="A224" s="8" t="s">
        <v>1921</v>
      </c>
      <c r="B224" s="8" t="s">
        <v>86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R224" s="9">
        <v>3</v>
      </c>
      <c r="S224" s="9">
        <v>3</v>
      </c>
      <c r="T224" s="9">
        <v>0</v>
      </c>
      <c r="U224" s="9">
        <v>0</v>
      </c>
      <c r="V224" s="9">
        <v>2</v>
      </c>
      <c r="W224" s="9">
        <v>0</v>
      </c>
      <c r="X224" s="9">
        <v>0</v>
      </c>
      <c r="AE224" s="9">
        <f>IFERROR(VLOOKUP($A224,pivot!$A:$G,計算式2026!AE$1,FALSE),0)</f>
        <v>0</v>
      </c>
      <c r="AF224" s="9">
        <f>IFERROR(VLOOKUP($A224,pivot!$A:$I,計算式2026!AF$1,FALSE),0)</f>
        <v>0</v>
      </c>
      <c r="AI224" s="9">
        <f>IFERROR(VLOOKUP($A224,pivot!$A:$I,計算式2026!AI$1,FALSE),0)</f>
        <v>0</v>
      </c>
      <c r="AJ224" s="9">
        <f>IFERROR(VLOOKUP($A224,pivot!$A:$I,計算式2026!AJ$1,FALSE),0)</f>
        <v>0</v>
      </c>
      <c r="AK224" s="9">
        <f>IFERROR(VLOOKUP($A224,pivot!$A:$I,計算式2026!AK$1,FALSE),0)</f>
        <v>0</v>
      </c>
      <c r="AL224" s="9">
        <f>IFERROR(VLOOKUP($A224,pivot!$A:$I,計算式2026!AL$1,FALSE),0)</f>
        <v>0</v>
      </c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</row>
    <row r="225" spans="1:59" s="9" customFormat="1">
      <c r="A225" s="8" t="s">
        <v>129</v>
      </c>
      <c r="B225" s="8" t="s">
        <v>86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R225" s="9">
        <v>3</v>
      </c>
      <c r="S225" s="9">
        <v>4</v>
      </c>
      <c r="T225" s="9">
        <v>1</v>
      </c>
      <c r="U225" s="9">
        <v>3</v>
      </c>
      <c r="V225" s="9">
        <v>4</v>
      </c>
      <c r="W225" s="9">
        <v>0</v>
      </c>
      <c r="X225" s="9">
        <v>3</v>
      </c>
      <c r="AE225" s="9">
        <f>IFERROR(VLOOKUP($A225,pivot!$A:$G,計算式2026!AE$1,FALSE),0)</f>
        <v>0</v>
      </c>
      <c r="AF225" s="9">
        <f>IFERROR(VLOOKUP($A225,pivot!$A:$I,計算式2026!AF$1,FALSE),0)</f>
        <v>0</v>
      </c>
      <c r="AI225" s="9">
        <f>IFERROR(VLOOKUP($A225,pivot!$A:$I,計算式2026!AI$1,FALSE),0)</f>
        <v>0</v>
      </c>
      <c r="AJ225" s="9">
        <f>IFERROR(VLOOKUP($A225,pivot!$A:$I,計算式2026!AJ$1,FALSE),0)</f>
        <v>0</v>
      </c>
      <c r="AK225" s="9">
        <f>IFERROR(VLOOKUP($A225,pivot!$A:$I,計算式2026!AK$1,FALSE),0)</f>
        <v>0</v>
      </c>
      <c r="AL225" s="9">
        <f>IFERROR(VLOOKUP($A225,pivot!$A:$I,計算式2026!AL$1,FALSE),0)</f>
        <v>0</v>
      </c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</row>
    <row r="226" spans="1:59" s="9" customFormat="1">
      <c r="A226" s="8" t="s">
        <v>130</v>
      </c>
      <c r="B226" s="8" t="s">
        <v>86</v>
      </c>
      <c r="C226" s="9">
        <v>1055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R226" s="9">
        <v>3</v>
      </c>
      <c r="S226" s="9">
        <v>4</v>
      </c>
      <c r="T226" s="9">
        <v>3</v>
      </c>
      <c r="U226" s="9">
        <v>4</v>
      </c>
      <c r="V226" s="9">
        <v>4</v>
      </c>
      <c r="W226" s="9">
        <v>2</v>
      </c>
      <c r="X226" s="9">
        <v>3</v>
      </c>
      <c r="AE226" s="9">
        <f>IFERROR(VLOOKUP($A226,pivot!$A:$G,計算式2026!AE$1,FALSE),0)</f>
        <v>0</v>
      </c>
      <c r="AF226" s="9">
        <f>IFERROR(VLOOKUP($A226,pivot!$A:$I,計算式2026!AF$1,FALSE),0)</f>
        <v>0</v>
      </c>
      <c r="AI226" s="9">
        <f>IFERROR(VLOOKUP($A226,pivot!$A:$I,計算式2026!AI$1,FALSE),0)</f>
        <v>0</v>
      </c>
      <c r="AJ226" s="9">
        <f>IFERROR(VLOOKUP($A226,pivot!$A:$I,計算式2026!AJ$1,FALSE),0)</f>
        <v>0</v>
      </c>
      <c r="AK226" s="9">
        <f>IFERROR(VLOOKUP($A226,pivot!$A:$I,計算式2026!AK$1,FALSE),0)</f>
        <v>0</v>
      </c>
      <c r="AL226" s="9">
        <f>IFERROR(VLOOKUP($A226,pivot!$A:$I,計算式2026!AL$1,FALSE),0)</f>
        <v>0</v>
      </c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</row>
    <row r="227" spans="1:59" s="9" customFormat="1">
      <c r="A227" s="8" t="s">
        <v>2721</v>
      </c>
      <c r="B227" s="8" t="s">
        <v>86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R227" s="9">
        <v>1</v>
      </c>
      <c r="S227" s="9">
        <v>0</v>
      </c>
      <c r="T227" s="9">
        <v>0</v>
      </c>
      <c r="U227" s="9">
        <v>0</v>
      </c>
      <c r="V227" s="9">
        <v>0</v>
      </c>
      <c r="W227" s="9">
        <v>1</v>
      </c>
      <c r="X227" s="9">
        <v>0</v>
      </c>
      <c r="AE227" s="9">
        <f>IFERROR(VLOOKUP($A227,pivot!$A:$G,計算式2026!AE$1,FALSE),0)</f>
        <v>0</v>
      </c>
      <c r="AF227" s="9">
        <f>IFERROR(VLOOKUP($A227,pivot!$A:$I,計算式2026!AF$1,FALSE),0)</f>
        <v>0</v>
      </c>
      <c r="AI227" s="9">
        <f>IFERROR(VLOOKUP($A227,pivot!$A:$I,計算式2026!AI$1,FALSE),0)</f>
        <v>0</v>
      </c>
      <c r="AJ227" s="9">
        <f>IFERROR(VLOOKUP($A227,pivot!$A:$I,計算式2026!AJ$1,FALSE),0)</f>
        <v>0</v>
      </c>
      <c r="AK227" s="9">
        <f>IFERROR(VLOOKUP($A227,pivot!$A:$I,計算式2026!AK$1,FALSE),0)</f>
        <v>0</v>
      </c>
      <c r="AL227" s="9">
        <f>IFERROR(VLOOKUP($A227,pivot!$A:$I,計算式2026!AL$1,FALSE),0)</f>
        <v>0</v>
      </c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</row>
    <row r="228" spans="1:59" s="9" customFormat="1">
      <c r="A228" s="8" t="s">
        <v>1922</v>
      </c>
      <c r="B228" s="8" t="s">
        <v>86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R228" s="9">
        <v>1</v>
      </c>
      <c r="S228" s="9">
        <v>0</v>
      </c>
      <c r="T228" s="9">
        <v>0</v>
      </c>
      <c r="U228" s="9">
        <v>1</v>
      </c>
      <c r="V228" s="9">
        <v>1</v>
      </c>
      <c r="W228" s="9">
        <v>2</v>
      </c>
      <c r="X228" s="9">
        <v>3</v>
      </c>
      <c r="AE228" s="9">
        <f>IFERROR(VLOOKUP($A228,pivot!$A:$G,計算式2026!AE$1,FALSE),0)</f>
        <v>0</v>
      </c>
      <c r="AF228" s="9">
        <f>IFERROR(VLOOKUP($A228,pivot!$A:$I,計算式2026!AF$1,FALSE),0)</f>
        <v>0</v>
      </c>
      <c r="AI228" s="9">
        <f>IFERROR(VLOOKUP($A228,pivot!$A:$I,計算式2026!AI$1,FALSE),0)</f>
        <v>0</v>
      </c>
      <c r="AJ228" s="9">
        <f>IFERROR(VLOOKUP($A228,pivot!$A:$I,計算式2026!AJ$1,FALSE),0)</f>
        <v>0</v>
      </c>
      <c r="AK228" s="9">
        <f>IFERROR(VLOOKUP($A228,pivot!$A:$I,計算式2026!AK$1,FALSE),0)</f>
        <v>0</v>
      </c>
      <c r="AL228" s="9">
        <f>IFERROR(VLOOKUP($A228,pivot!$A:$I,計算式2026!AL$1,FALSE),0)</f>
        <v>0</v>
      </c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</row>
    <row r="229" spans="1:59" s="9" customFormat="1">
      <c r="A229" s="8" t="s">
        <v>131</v>
      </c>
      <c r="B229" s="8" t="s">
        <v>86</v>
      </c>
      <c r="C229" s="9">
        <v>2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R229" s="9">
        <v>3</v>
      </c>
      <c r="S229" s="9">
        <v>4</v>
      </c>
      <c r="T229" s="9">
        <v>0</v>
      </c>
      <c r="U229" s="9">
        <v>2</v>
      </c>
      <c r="V229" s="9">
        <v>4</v>
      </c>
      <c r="W229" s="9">
        <v>0</v>
      </c>
      <c r="X229" s="9">
        <v>0</v>
      </c>
      <c r="AE229" s="9">
        <f>IFERROR(VLOOKUP($A229,pivot!$A:$G,計算式2026!AE$1,FALSE),0)</f>
        <v>0</v>
      </c>
      <c r="AF229" s="9">
        <f>IFERROR(VLOOKUP($A229,pivot!$A:$I,計算式2026!AF$1,FALSE),0)</f>
        <v>0</v>
      </c>
      <c r="AI229" s="9">
        <f>IFERROR(VLOOKUP($A229,pivot!$A:$I,計算式2026!AI$1,FALSE),0)</f>
        <v>0</v>
      </c>
      <c r="AJ229" s="9">
        <f>IFERROR(VLOOKUP($A229,pivot!$A:$I,計算式2026!AJ$1,FALSE),0)</f>
        <v>0</v>
      </c>
      <c r="AK229" s="9">
        <f>IFERROR(VLOOKUP($A229,pivot!$A:$I,計算式2026!AK$1,FALSE),0)</f>
        <v>0</v>
      </c>
      <c r="AL229" s="9">
        <f>IFERROR(VLOOKUP($A229,pivot!$A:$I,計算式2026!AL$1,FALSE),0)</f>
        <v>0</v>
      </c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</row>
    <row r="230" spans="1:59" s="9" customFormat="1">
      <c r="A230" s="8" t="s">
        <v>132</v>
      </c>
      <c r="B230" s="8" t="s">
        <v>86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R230" s="9">
        <v>3</v>
      </c>
      <c r="S230" s="9">
        <v>5</v>
      </c>
      <c r="T230" s="9">
        <v>0</v>
      </c>
      <c r="U230" s="9">
        <v>0</v>
      </c>
      <c r="V230" s="9">
        <v>4</v>
      </c>
      <c r="W230" s="9">
        <v>2</v>
      </c>
      <c r="X230" s="9">
        <v>1</v>
      </c>
      <c r="AE230" s="9">
        <f>IFERROR(VLOOKUP($A230,pivot!$A:$G,計算式2026!AE$1,FALSE),0)</f>
        <v>0</v>
      </c>
      <c r="AF230" s="9">
        <f>IFERROR(VLOOKUP($A230,pivot!$A:$I,計算式2026!AF$1,FALSE),0)</f>
        <v>0</v>
      </c>
      <c r="AI230" s="9">
        <f>IFERROR(VLOOKUP($A230,pivot!$A:$I,計算式2026!AI$1,FALSE),0)</f>
        <v>0</v>
      </c>
      <c r="AJ230" s="9">
        <f>IFERROR(VLOOKUP($A230,pivot!$A:$I,計算式2026!AJ$1,FALSE),0)</f>
        <v>0</v>
      </c>
      <c r="AK230" s="9">
        <f>IFERROR(VLOOKUP($A230,pivot!$A:$I,計算式2026!AK$1,FALSE),0)</f>
        <v>0</v>
      </c>
      <c r="AL230" s="9">
        <f>IFERROR(VLOOKUP($A230,pivot!$A:$I,計算式2026!AL$1,FALSE),0)</f>
        <v>0</v>
      </c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</row>
    <row r="231" spans="1:59" s="9" customFormat="1">
      <c r="A231" s="8" t="s">
        <v>133</v>
      </c>
      <c r="B231" s="8" t="s">
        <v>86</v>
      </c>
      <c r="C231" s="9">
        <v>2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R231" s="9">
        <v>2</v>
      </c>
      <c r="S231" s="9">
        <v>4</v>
      </c>
      <c r="T231" s="9">
        <v>3</v>
      </c>
      <c r="U231" s="9">
        <v>2</v>
      </c>
      <c r="V231" s="9">
        <v>4</v>
      </c>
      <c r="W231" s="9">
        <v>0</v>
      </c>
      <c r="X231" s="9">
        <v>1</v>
      </c>
      <c r="AE231" s="9">
        <f>IFERROR(VLOOKUP($A231,pivot!$A:$G,計算式2026!AE$1,FALSE),0)</f>
        <v>0</v>
      </c>
      <c r="AF231" s="9">
        <f>IFERROR(VLOOKUP($A231,pivot!$A:$I,計算式2026!AF$1,FALSE),0)</f>
        <v>0</v>
      </c>
      <c r="AI231" s="9">
        <f>IFERROR(VLOOKUP($A231,pivot!$A:$I,計算式2026!AI$1,FALSE),0)</f>
        <v>1</v>
      </c>
      <c r="AJ231" s="9">
        <f>IFERROR(VLOOKUP($A231,pivot!$A:$I,計算式2026!AJ$1,FALSE),0)</f>
        <v>0</v>
      </c>
      <c r="AK231" s="9">
        <f>IFERROR(VLOOKUP($A231,pivot!$A:$I,計算式2026!AK$1,FALSE),0)</f>
        <v>0</v>
      </c>
      <c r="AL231" s="9">
        <f>IFERROR(VLOOKUP($A231,pivot!$A:$I,計算式2026!AL$1,FALSE),0)</f>
        <v>1</v>
      </c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</row>
    <row r="232" spans="1:59" s="9" customFormat="1">
      <c r="A232" s="8" t="s">
        <v>1671</v>
      </c>
      <c r="B232" s="8" t="s">
        <v>134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R232" s="9">
        <v>1</v>
      </c>
      <c r="S232" s="9">
        <v>0</v>
      </c>
      <c r="T232" s="9">
        <v>0</v>
      </c>
      <c r="U232" s="9">
        <v>0</v>
      </c>
      <c r="V232" s="9">
        <v>1</v>
      </c>
      <c r="W232" s="9">
        <v>0</v>
      </c>
      <c r="X232" s="9">
        <v>0</v>
      </c>
      <c r="AE232" s="9">
        <f>IFERROR(VLOOKUP($A232,pivot!$A:$G,計算式2026!AE$1,FALSE),0)</f>
        <v>0</v>
      </c>
      <c r="AF232" s="9">
        <f>IFERROR(VLOOKUP($A232,pivot!$A:$I,計算式2026!AF$1,FALSE),0)</f>
        <v>0</v>
      </c>
      <c r="AI232" s="9">
        <f>IFERROR(VLOOKUP($A232,pivot!$A:$I,計算式2026!AI$1,FALSE),0)</f>
        <v>0</v>
      </c>
      <c r="AJ232" s="9">
        <f>IFERROR(VLOOKUP($A232,pivot!$A:$I,計算式2026!AJ$1,FALSE),0)</f>
        <v>0</v>
      </c>
      <c r="AK232" s="9">
        <f>IFERROR(VLOOKUP($A232,pivot!$A:$I,計算式2026!AK$1,FALSE),0)</f>
        <v>0</v>
      </c>
      <c r="AL232" s="9">
        <f>IFERROR(VLOOKUP($A232,pivot!$A:$I,計算式2026!AL$1,FALSE),0)</f>
        <v>0</v>
      </c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</row>
    <row r="233" spans="1:59" s="9" customFormat="1">
      <c r="A233" s="8" t="s">
        <v>135</v>
      </c>
      <c r="B233" s="8" t="s">
        <v>134</v>
      </c>
      <c r="C233" s="9">
        <v>141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R233" s="9">
        <v>3</v>
      </c>
      <c r="S233" s="9">
        <v>6</v>
      </c>
      <c r="T233" s="9">
        <v>2</v>
      </c>
      <c r="U233" s="9">
        <v>3</v>
      </c>
      <c r="V233" s="9">
        <v>4</v>
      </c>
      <c r="W233" s="9">
        <v>1</v>
      </c>
      <c r="X233" s="9">
        <v>2</v>
      </c>
      <c r="AE233" s="9">
        <f>IFERROR(VLOOKUP($A233,pivot!$A:$G,計算式2026!AE$1,FALSE),0)</f>
        <v>0</v>
      </c>
      <c r="AF233" s="9">
        <f>IFERROR(VLOOKUP($A233,pivot!$A:$I,計算式2026!AF$1,FALSE),0)</f>
        <v>0</v>
      </c>
      <c r="AI233" s="9">
        <f>IFERROR(VLOOKUP($A233,pivot!$A:$I,計算式2026!AI$1,FALSE),0)</f>
        <v>0</v>
      </c>
      <c r="AJ233" s="9">
        <f>IFERROR(VLOOKUP($A233,pivot!$A:$I,計算式2026!AJ$1,FALSE),0)</f>
        <v>0</v>
      </c>
      <c r="AK233" s="9">
        <f>IFERROR(VLOOKUP($A233,pivot!$A:$I,計算式2026!AK$1,FALSE),0)</f>
        <v>0</v>
      </c>
      <c r="AL233" s="9">
        <f>IFERROR(VLOOKUP($A233,pivot!$A:$I,計算式2026!AL$1,FALSE),0)</f>
        <v>0</v>
      </c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</row>
    <row r="234" spans="1:59" s="9" customFormat="1">
      <c r="A234" s="8" t="s">
        <v>136</v>
      </c>
      <c r="B234" s="8" t="s">
        <v>134</v>
      </c>
      <c r="C234" s="9">
        <v>248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R234" s="9">
        <v>3</v>
      </c>
      <c r="S234" s="9">
        <v>4</v>
      </c>
      <c r="T234" s="9">
        <v>1</v>
      </c>
      <c r="U234" s="9">
        <v>3</v>
      </c>
      <c r="V234" s="9">
        <v>4</v>
      </c>
      <c r="W234" s="9">
        <v>1</v>
      </c>
      <c r="X234" s="9">
        <v>2</v>
      </c>
      <c r="AE234" s="9">
        <f>IFERROR(VLOOKUP($A234,pivot!$A:$G,計算式2026!AE$1,FALSE),0)</f>
        <v>0</v>
      </c>
      <c r="AF234" s="9">
        <f>IFERROR(VLOOKUP($A234,pivot!$A:$I,計算式2026!AF$1,FALSE),0)</f>
        <v>0</v>
      </c>
      <c r="AI234" s="9">
        <f>IFERROR(VLOOKUP($A234,pivot!$A:$I,計算式2026!AI$1,FALSE),0)</f>
        <v>0</v>
      </c>
      <c r="AJ234" s="9">
        <f>IFERROR(VLOOKUP($A234,pivot!$A:$I,計算式2026!AJ$1,FALSE),0)</f>
        <v>0</v>
      </c>
      <c r="AK234" s="9">
        <f>IFERROR(VLOOKUP($A234,pivot!$A:$I,計算式2026!AK$1,FALSE),0)</f>
        <v>0</v>
      </c>
      <c r="AL234" s="9">
        <f>IFERROR(VLOOKUP($A234,pivot!$A:$I,計算式2026!AL$1,FALSE),0)</f>
        <v>0</v>
      </c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</row>
    <row r="235" spans="1:59" s="9" customFormat="1">
      <c r="A235" s="8" t="s">
        <v>137</v>
      </c>
      <c r="B235" s="8" t="s">
        <v>134</v>
      </c>
      <c r="C235" s="9">
        <v>140</v>
      </c>
      <c r="D235" s="9">
        <v>11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R235" s="9">
        <v>2</v>
      </c>
      <c r="S235" s="9">
        <v>4</v>
      </c>
      <c r="T235" s="9">
        <v>1</v>
      </c>
      <c r="U235" s="9">
        <v>3</v>
      </c>
      <c r="V235" s="9">
        <v>3</v>
      </c>
      <c r="W235" s="9">
        <v>1</v>
      </c>
      <c r="X235" s="9">
        <v>2</v>
      </c>
      <c r="AE235" s="9">
        <f>IFERROR(VLOOKUP($A235,pivot!$A:$G,計算式2026!AE$1,FALSE),0)</f>
        <v>0</v>
      </c>
      <c r="AF235" s="9">
        <f>IFERROR(VLOOKUP($A235,pivot!$A:$I,計算式2026!AF$1,FALSE),0)</f>
        <v>0</v>
      </c>
      <c r="AI235" s="9">
        <f>IFERROR(VLOOKUP($A235,pivot!$A:$I,計算式2026!AI$1,FALSE),0)</f>
        <v>0</v>
      </c>
      <c r="AJ235" s="9">
        <f>IFERROR(VLOOKUP($A235,pivot!$A:$I,計算式2026!AJ$1,FALSE),0)</f>
        <v>0</v>
      </c>
      <c r="AK235" s="9">
        <f>IFERROR(VLOOKUP($A235,pivot!$A:$I,計算式2026!AK$1,FALSE),0)</f>
        <v>0</v>
      </c>
      <c r="AL235" s="9">
        <f>IFERROR(VLOOKUP($A235,pivot!$A:$I,計算式2026!AL$1,FALSE),0)</f>
        <v>0</v>
      </c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</row>
    <row r="236" spans="1:59" s="9" customFormat="1">
      <c r="A236" s="8" t="s">
        <v>138</v>
      </c>
      <c r="B236" s="8" t="s">
        <v>134</v>
      </c>
      <c r="C236" s="9">
        <v>363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R236" s="9">
        <v>3</v>
      </c>
      <c r="S236" s="9">
        <v>2</v>
      </c>
      <c r="T236" s="9">
        <v>1</v>
      </c>
      <c r="U236" s="9">
        <v>3</v>
      </c>
      <c r="V236" s="9">
        <v>3</v>
      </c>
      <c r="W236" s="9">
        <v>1</v>
      </c>
      <c r="X236" s="9">
        <v>2</v>
      </c>
      <c r="AE236" s="9">
        <f>IFERROR(VLOOKUP($A236,pivot!$A:$G,計算式2026!AE$1,FALSE),0)</f>
        <v>0</v>
      </c>
      <c r="AF236" s="9">
        <f>IFERROR(VLOOKUP($A236,pivot!$A:$I,計算式2026!AF$1,FALSE),0)</f>
        <v>0</v>
      </c>
      <c r="AI236" s="9">
        <f>IFERROR(VLOOKUP($A236,pivot!$A:$I,計算式2026!AI$1,FALSE),0)</f>
        <v>0</v>
      </c>
      <c r="AJ236" s="9">
        <f>IFERROR(VLOOKUP($A236,pivot!$A:$I,計算式2026!AJ$1,FALSE),0)</f>
        <v>0</v>
      </c>
      <c r="AK236" s="9">
        <f>IFERROR(VLOOKUP($A236,pivot!$A:$I,計算式2026!AK$1,FALSE),0)</f>
        <v>0</v>
      </c>
      <c r="AL236" s="9">
        <f>IFERROR(VLOOKUP($A236,pivot!$A:$I,計算式2026!AL$1,FALSE),0)</f>
        <v>0</v>
      </c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</row>
    <row r="237" spans="1:59" s="9" customFormat="1">
      <c r="A237" s="8" t="s">
        <v>139</v>
      </c>
      <c r="B237" s="8" t="s">
        <v>134</v>
      </c>
      <c r="C237" s="9">
        <v>66</v>
      </c>
      <c r="D237" s="9">
        <v>5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R237" s="9">
        <v>3</v>
      </c>
      <c r="S237" s="9">
        <v>4</v>
      </c>
      <c r="T237" s="9">
        <v>1</v>
      </c>
      <c r="U237" s="9">
        <v>3</v>
      </c>
      <c r="V237" s="9">
        <v>4</v>
      </c>
      <c r="W237" s="9">
        <v>2</v>
      </c>
      <c r="X237" s="9">
        <v>2</v>
      </c>
      <c r="AE237" s="9">
        <f>IFERROR(VLOOKUP($A237,pivot!$A:$G,計算式2026!AE$1,FALSE),0)</f>
        <v>0</v>
      </c>
      <c r="AF237" s="9">
        <f>IFERROR(VLOOKUP($A237,pivot!$A:$I,計算式2026!AF$1,FALSE),0)</f>
        <v>0</v>
      </c>
      <c r="AI237" s="9">
        <f>IFERROR(VLOOKUP($A237,pivot!$A:$I,計算式2026!AI$1,FALSE),0)</f>
        <v>0</v>
      </c>
      <c r="AJ237" s="9">
        <f>IFERROR(VLOOKUP($A237,pivot!$A:$I,計算式2026!AJ$1,FALSE),0)</f>
        <v>0</v>
      </c>
      <c r="AK237" s="9">
        <f>IFERROR(VLOOKUP($A237,pivot!$A:$I,計算式2026!AK$1,FALSE),0)</f>
        <v>0</v>
      </c>
      <c r="AL237" s="9">
        <f>IFERROR(VLOOKUP($A237,pivot!$A:$I,計算式2026!AL$1,FALSE),0)</f>
        <v>0</v>
      </c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</row>
    <row r="238" spans="1:59" s="9" customFormat="1">
      <c r="A238" s="8" t="s">
        <v>140</v>
      </c>
      <c r="B238" s="8" t="s">
        <v>134</v>
      </c>
      <c r="C238" s="9">
        <v>281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R238" s="9">
        <v>3</v>
      </c>
      <c r="S238" s="9">
        <v>3</v>
      </c>
      <c r="T238" s="9">
        <v>2</v>
      </c>
      <c r="U238" s="9">
        <v>3</v>
      </c>
      <c r="V238" s="9">
        <v>4</v>
      </c>
      <c r="W238" s="9">
        <v>0</v>
      </c>
      <c r="X238" s="9">
        <v>2</v>
      </c>
      <c r="AE238" s="9">
        <f>IFERROR(VLOOKUP($A238,pivot!$A:$G,計算式2026!AE$1,FALSE),0)</f>
        <v>0</v>
      </c>
      <c r="AF238" s="9">
        <f>IFERROR(VLOOKUP($A238,pivot!$A:$I,計算式2026!AF$1,FALSE),0)</f>
        <v>0</v>
      </c>
      <c r="AI238" s="9">
        <f>IFERROR(VLOOKUP($A238,pivot!$A:$I,計算式2026!AI$1,FALSE),0)</f>
        <v>0</v>
      </c>
      <c r="AJ238" s="9">
        <f>IFERROR(VLOOKUP($A238,pivot!$A:$I,計算式2026!AJ$1,FALSE),0)</f>
        <v>0</v>
      </c>
      <c r="AK238" s="9">
        <f>IFERROR(VLOOKUP($A238,pivot!$A:$I,計算式2026!AK$1,FALSE),0)</f>
        <v>0</v>
      </c>
      <c r="AL238" s="9">
        <f>IFERROR(VLOOKUP($A238,pivot!$A:$I,計算式2026!AL$1,FALSE),0)</f>
        <v>0</v>
      </c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</row>
    <row r="239" spans="1:59" s="9" customFormat="1">
      <c r="A239" s="8" t="s">
        <v>141</v>
      </c>
      <c r="B239" s="8" t="s">
        <v>134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R239" s="9">
        <v>0</v>
      </c>
      <c r="S239" s="9">
        <v>1</v>
      </c>
      <c r="T239" s="9">
        <v>0</v>
      </c>
      <c r="U239" s="9">
        <v>0</v>
      </c>
      <c r="V239" s="9">
        <v>2</v>
      </c>
      <c r="W239" s="9">
        <v>0</v>
      </c>
      <c r="X239" s="9">
        <v>0</v>
      </c>
      <c r="AE239" s="9">
        <f>IFERROR(VLOOKUP($A239,pivot!$A:$G,計算式2026!AE$1,FALSE),0)</f>
        <v>0</v>
      </c>
      <c r="AF239" s="9">
        <f>IFERROR(VLOOKUP($A239,pivot!$A:$I,計算式2026!AF$1,FALSE),0)</f>
        <v>0</v>
      </c>
      <c r="AI239" s="9">
        <f>IFERROR(VLOOKUP($A239,pivot!$A:$I,計算式2026!AI$1,FALSE),0)</f>
        <v>0</v>
      </c>
      <c r="AJ239" s="9">
        <f>IFERROR(VLOOKUP($A239,pivot!$A:$I,計算式2026!AJ$1,FALSE),0)</f>
        <v>0</v>
      </c>
      <c r="AK239" s="9">
        <f>IFERROR(VLOOKUP($A239,pivot!$A:$I,計算式2026!AK$1,FALSE),0)</f>
        <v>0</v>
      </c>
      <c r="AL239" s="9">
        <f>IFERROR(VLOOKUP($A239,pivot!$A:$I,計算式2026!AL$1,FALSE),0)</f>
        <v>0</v>
      </c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</row>
    <row r="240" spans="1:59" s="9" customFormat="1">
      <c r="A240" s="8" t="s">
        <v>142</v>
      </c>
      <c r="B240" s="8" t="s">
        <v>134</v>
      </c>
      <c r="C240" s="9">
        <v>692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R240" s="9">
        <v>2</v>
      </c>
      <c r="S240" s="9">
        <v>2</v>
      </c>
      <c r="T240" s="9">
        <v>1</v>
      </c>
      <c r="U240" s="9">
        <v>1</v>
      </c>
      <c r="V240" s="9">
        <v>3</v>
      </c>
      <c r="W240" s="9">
        <v>2</v>
      </c>
      <c r="X240" s="9">
        <v>3</v>
      </c>
      <c r="AE240" s="9">
        <f>IFERROR(VLOOKUP($A240,pivot!$A:$G,計算式2026!AE$1,FALSE),0)</f>
        <v>0</v>
      </c>
      <c r="AF240" s="9">
        <f>IFERROR(VLOOKUP($A240,pivot!$A:$I,計算式2026!AF$1,FALSE),0)</f>
        <v>0</v>
      </c>
      <c r="AI240" s="9">
        <f>IFERROR(VLOOKUP($A240,pivot!$A:$I,計算式2026!AI$1,FALSE),0)</f>
        <v>0</v>
      </c>
      <c r="AJ240" s="9">
        <f>IFERROR(VLOOKUP($A240,pivot!$A:$I,計算式2026!AJ$1,FALSE),0)</f>
        <v>0</v>
      </c>
      <c r="AK240" s="9">
        <f>IFERROR(VLOOKUP($A240,pivot!$A:$I,計算式2026!AK$1,FALSE),0)</f>
        <v>0</v>
      </c>
      <c r="AL240" s="9">
        <f>IFERROR(VLOOKUP($A240,pivot!$A:$I,計算式2026!AL$1,FALSE),0)</f>
        <v>0</v>
      </c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</row>
    <row r="241" spans="1:59" s="9" customFormat="1">
      <c r="A241" s="8" t="s">
        <v>143</v>
      </c>
      <c r="B241" s="8" t="s">
        <v>134</v>
      </c>
      <c r="C241" s="9">
        <v>40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R241" s="9">
        <v>3</v>
      </c>
      <c r="S241" s="9">
        <v>2</v>
      </c>
      <c r="T241" s="9">
        <v>2</v>
      </c>
      <c r="U241" s="9">
        <v>2</v>
      </c>
      <c r="V241" s="9">
        <v>3</v>
      </c>
      <c r="W241" s="9">
        <v>1</v>
      </c>
      <c r="X241" s="9">
        <v>2</v>
      </c>
      <c r="AE241" s="9">
        <f>IFERROR(VLOOKUP($A241,pivot!$A:$G,計算式2026!AE$1,FALSE),0)</f>
        <v>0</v>
      </c>
      <c r="AF241" s="9">
        <f>IFERROR(VLOOKUP($A241,pivot!$A:$I,計算式2026!AF$1,FALSE),0)</f>
        <v>0</v>
      </c>
      <c r="AI241" s="9">
        <f>IFERROR(VLOOKUP($A241,pivot!$A:$I,計算式2026!AI$1,FALSE),0)</f>
        <v>0</v>
      </c>
      <c r="AJ241" s="9">
        <f>IFERROR(VLOOKUP($A241,pivot!$A:$I,計算式2026!AJ$1,FALSE),0)</f>
        <v>0</v>
      </c>
      <c r="AK241" s="9">
        <f>IFERROR(VLOOKUP($A241,pivot!$A:$I,計算式2026!AK$1,FALSE),0)</f>
        <v>0</v>
      </c>
      <c r="AL241" s="9">
        <f>IFERROR(VLOOKUP($A241,pivot!$A:$I,計算式2026!AL$1,FALSE),0)</f>
        <v>0</v>
      </c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</row>
    <row r="242" spans="1:59" s="9" customFormat="1">
      <c r="A242" s="8" t="s">
        <v>144</v>
      </c>
      <c r="B242" s="8" t="s">
        <v>134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R242" s="9">
        <v>0</v>
      </c>
      <c r="S242" s="9">
        <v>2</v>
      </c>
      <c r="T242" s="9">
        <v>0</v>
      </c>
      <c r="U242" s="9">
        <v>0</v>
      </c>
      <c r="V242" s="9">
        <v>1</v>
      </c>
      <c r="W242" s="9">
        <v>0</v>
      </c>
      <c r="X242" s="9">
        <v>0</v>
      </c>
      <c r="AE242" s="9">
        <f>IFERROR(VLOOKUP($A242,pivot!$A:$G,計算式2026!AE$1,FALSE),0)</f>
        <v>0</v>
      </c>
      <c r="AF242" s="9">
        <f>IFERROR(VLOOKUP($A242,pivot!$A:$I,計算式2026!AF$1,FALSE),0)</f>
        <v>0</v>
      </c>
      <c r="AI242" s="9">
        <f>IFERROR(VLOOKUP($A242,pivot!$A:$I,計算式2026!AI$1,FALSE),0)</f>
        <v>0</v>
      </c>
      <c r="AJ242" s="9">
        <f>IFERROR(VLOOKUP($A242,pivot!$A:$I,計算式2026!AJ$1,FALSE),0)</f>
        <v>0</v>
      </c>
      <c r="AK242" s="9">
        <f>IFERROR(VLOOKUP($A242,pivot!$A:$I,計算式2026!AK$1,FALSE),0)</f>
        <v>0</v>
      </c>
      <c r="AL242" s="9">
        <f>IFERROR(VLOOKUP($A242,pivot!$A:$I,計算式2026!AL$1,FALSE),0)</f>
        <v>0</v>
      </c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</row>
    <row r="243" spans="1:59" s="9" customFormat="1">
      <c r="A243" s="8" t="s">
        <v>145</v>
      </c>
      <c r="B243" s="8" t="s">
        <v>134</v>
      </c>
      <c r="C243" s="9">
        <v>150</v>
      </c>
      <c r="D243" s="9">
        <v>22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R243" s="9">
        <v>3</v>
      </c>
      <c r="S243" s="9">
        <v>3</v>
      </c>
      <c r="T243" s="9">
        <v>1</v>
      </c>
      <c r="U243" s="9">
        <v>3</v>
      </c>
      <c r="V243" s="9">
        <v>3</v>
      </c>
      <c r="W243" s="9">
        <v>2</v>
      </c>
      <c r="X243" s="9">
        <v>2</v>
      </c>
      <c r="AE243" s="9">
        <f>IFERROR(VLOOKUP($A243,pivot!$A:$G,計算式2026!AE$1,FALSE),0)</f>
        <v>0</v>
      </c>
      <c r="AF243" s="9">
        <f>IFERROR(VLOOKUP($A243,pivot!$A:$I,計算式2026!AF$1,FALSE),0)</f>
        <v>0</v>
      </c>
      <c r="AI243" s="9">
        <f>IFERROR(VLOOKUP($A243,pivot!$A:$I,計算式2026!AI$1,FALSE),0)</f>
        <v>0</v>
      </c>
      <c r="AJ243" s="9">
        <f>IFERROR(VLOOKUP($A243,pivot!$A:$I,計算式2026!AJ$1,FALSE),0)</f>
        <v>0</v>
      </c>
      <c r="AK243" s="9">
        <f>IFERROR(VLOOKUP($A243,pivot!$A:$I,計算式2026!AK$1,FALSE),0)</f>
        <v>0</v>
      </c>
      <c r="AL243" s="9">
        <f>IFERROR(VLOOKUP($A243,pivot!$A:$I,計算式2026!AL$1,FALSE),0)</f>
        <v>0</v>
      </c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</row>
    <row r="244" spans="1:59" s="9" customFormat="1">
      <c r="A244" s="8" t="s">
        <v>146</v>
      </c>
      <c r="B244" s="8" t="s">
        <v>147</v>
      </c>
      <c r="C244" s="9">
        <v>0</v>
      </c>
      <c r="D244" s="9">
        <v>1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R244" s="9">
        <v>2</v>
      </c>
      <c r="S244" s="9">
        <v>4</v>
      </c>
      <c r="T244" s="9">
        <v>2</v>
      </c>
      <c r="U244" s="9">
        <v>3</v>
      </c>
      <c r="V244" s="9">
        <v>3</v>
      </c>
      <c r="W244" s="9">
        <v>0</v>
      </c>
      <c r="X244" s="9">
        <v>2</v>
      </c>
      <c r="AE244" s="9">
        <f>IFERROR(VLOOKUP($A244,pivot!$A:$G,計算式2026!AE$1,FALSE),0)</f>
        <v>0</v>
      </c>
      <c r="AF244" s="9">
        <f>IFERROR(VLOOKUP($A244,pivot!$A:$I,計算式2026!AF$1,FALSE),0)</f>
        <v>0</v>
      </c>
      <c r="AI244" s="9">
        <f>IFERROR(VLOOKUP($A244,pivot!$A:$I,計算式2026!AI$1,FALSE),0)</f>
        <v>0</v>
      </c>
      <c r="AJ244" s="9">
        <f>IFERROR(VLOOKUP($A244,pivot!$A:$I,計算式2026!AJ$1,FALSE),0)</f>
        <v>0</v>
      </c>
      <c r="AK244" s="9">
        <f>IFERROR(VLOOKUP($A244,pivot!$A:$I,計算式2026!AK$1,FALSE),0)</f>
        <v>0</v>
      </c>
      <c r="AL244" s="9">
        <f>IFERROR(VLOOKUP($A244,pivot!$A:$I,計算式2026!AL$1,FALSE),0)</f>
        <v>0</v>
      </c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</row>
    <row r="245" spans="1:59" s="9" customFormat="1">
      <c r="A245" s="8" t="s">
        <v>148</v>
      </c>
      <c r="B245" s="8" t="s">
        <v>147</v>
      </c>
      <c r="C245" s="9">
        <v>67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R245" s="9">
        <v>2</v>
      </c>
      <c r="S245" s="9">
        <v>6</v>
      </c>
      <c r="T245" s="9">
        <v>1</v>
      </c>
      <c r="U245" s="9">
        <v>3</v>
      </c>
      <c r="V245" s="9">
        <v>2</v>
      </c>
      <c r="W245" s="9">
        <v>1</v>
      </c>
      <c r="X245" s="9">
        <v>3</v>
      </c>
      <c r="AE245" s="9">
        <f>IFERROR(VLOOKUP($A245,pivot!$A:$G,計算式2026!AE$1,FALSE),0)</f>
        <v>0</v>
      </c>
      <c r="AF245" s="9">
        <f>IFERROR(VLOOKUP($A245,pivot!$A:$I,計算式2026!AF$1,FALSE),0)</f>
        <v>0</v>
      </c>
      <c r="AI245" s="9">
        <f>IFERROR(VLOOKUP($A245,pivot!$A:$I,計算式2026!AI$1,FALSE),0)</f>
        <v>0</v>
      </c>
      <c r="AJ245" s="9">
        <f>IFERROR(VLOOKUP($A245,pivot!$A:$I,計算式2026!AJ$1,FALSE),0)</f>
        <v>0</v>
      </c>
      <c r="AK245" s="9">
        <f>IFERROR(VLOOKUP($A245,pivot!$A:$I,計算式2026!AK$1,FALSE),0)</f>
        <v>0</v>
      </c>
      <c r="AL245" s="9">
        <f>IFERROR(VLOOKUP($A245,pivot!$A:$I,計算式2026!AL$1,FALSE),0)</f>
        <v>0</v>
      </c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</row>
    <row r="246" spans="1:59" s="9" customFormat="1">
      <c r="A246" s="8" t="s">
        <v>149</v>
      </c>
      <c r="B246" s="8" t="s">
        <v>147</v>
      </c>
      <c r="C246" s="9">
        <v>143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R246" s="9">
        <v>2</v>
      </c>
      <c r="S246" s="9">
        <v>3</v>
      </c>
      <c r="T246" s="9">
        <v>1</v>
      </c>
      <c r="U246" s="9">
        <v>2</v>
      </c>
      <c r="V246" s="9">
        <v>3</v>
      </c>
      <c r="W246" s="9">
        <v>2</v>
      </c>
      <c r="X246" s="9">
        <v>2</v>
      </c>
      <c r="AE246" s="9">
        <f>IFERROR(VLOOKUP($A246,pivot!$A:$G,計算式2026!AE$1,FALSE),0)</f>
        <v>0</v>
      </c>
      <c r="AF246" s="9">
        <f>IFERROR(VLOOKUP($A246,pivot!$A:$I,計算式2026!AF$1,FALSE),0)</f>
        <v>0</v>
      </c>
      <c r="AI246" s="9">
        <f>IFERROR(VLOOKUP($A246,pivot!$A:$I,計算式2026!AI$1,FALSE),0)</f>
        <v>0</v>
      </c>
      <c r="AJ246" s="9">
        <f>IFERROR(VLOOKUP($A246,pivot!$A:$I,計算式2026!AJ$1,FALSE),0)</f>
        <v>0</v>
      </c>
      <c r="AK246" s="9">
        <f>IFERROR(VLOOKUP($A246,pivot!$A:$I,計算式2026!AK$1,FALSE),0)</f>
        <v>0</v>
      </c>
      <c r="AL246" s="9">
        <f>IFERROR(VLOOKUP($A246,pivot!$A:$I,計算式2026!AL$1,FALSE),0)</f>
        <v>0</v>
      </c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</row>
    <row r="247" spans="1:59" s="9" customFormat="1">
      <c r="A247" s="8" t="s">
        <v>150</v>
      </c>
      <c r="B247" s="8" t="s">
        <v>147</v>
      </c>
      <c r="C247" s="9">
        <v>35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R247" s="9">
        <v>2</v>
      </c>
      <c r="S247" s="9">
        <v>3</v>
      </c>
      <c r="T247" s="9">
        <v>1</v>
      </c>
      <c r="U247" s="9">
        <v>3</v>
      </c>
      <c r="V247" s="9">
        <v>3</v>
      </c>
      <c r="W247" s="9">
        <v>1</v>
      </c>
      <c r="X247" s="9">
        <v>2</v>
      </c>
      <c r="AE247" s="9">
        <f>IFERROR(VLOOKUP($A247,pivot!$A:$G,計算式2026!AE$1,FALSE),0)</f>
        <v>0</v>
      </c>
      <c r="AF247" s="9">
        <f>IFERROR(VLOOKUP($A247,pivot!$A:$I,計算式2026!AF$1,FALSE),0)</f>
        <v>0</v>
      </c>
      <c r="AI247" s="9">
        <f>IFERROR(VLOOKUP($A247,pivot!$A:$I,計算式2026!AI$1,FALSE),0)</f>
        <v>0</v>
      </c>
      <c r="AJ247" s="9">
        <f>IFERROR(VLOOKUP($A247,pivot!$A:$I,計算式2026!AJ$1,FALSE),0)</f>
        <v>0</v>
      </c>
      <c r="AK247" s="9">
        <f>IFERROR(VLOOKUP($A247,pivot!$A:$I,計算式2026!AK$1,FALSE),0)</f>
        <v>0</v>
      </c>
      <c r="AL247" s="9">
        <f>IFERROR(VLOOKUP($A247,pivot!$A:$I,計算式2026!AL$1,FALSE),0)</f>
        <v>0</v>
      </c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</row>
    <row r="248" spans="1:59" s="9" customFormat="1">
      <c r="A248" s="8" t="s">
        <v>151</v>
      </c>
      <c r="B248" s="8" t="s">
        <v>147</v>
      </c>
      <c r="C248" s="9">
        <v>94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R248" s="9">
        <v>2</v>
      </c>
      <c r="S248" s="9">
        <v>3</v>
      </c>
      <c r="T248" s="9">
        <v>1</v>
      </c>
      <c r="U248" s="9">
        <v>3</v>
      </c>
      <c r="V248" s="9">
        <v>3</v>
      </c>
      <c r="W248" s="9">
        <v>1</v>
      </c>
      <c r="X248" s="9">
        <v>2</v>
      </c>
      <c r="AE248" s="9">
        <f>IFERROR(VLOOKUP($A248,pivot!$A:$G,計算式2026!AE$1,FALSE),0)</f>
        <v>0</v>
      </c>
      <c r="AF248" s="9">
        <f>IFERROR(VLOOKUP($A248,pivot!$A:$I,計算式2026!AF$1,FALSE),0)</f>
        <v>0</v>
      </c>
      <c r="AI248" s="9">
        <f>IFERROR(VLOOKUP($A248,pivot!$A:$I,計算式2026!AI$1,FALSE),0)</f>
        <v>0</v>
      </c>
      <c r="AJ248" s="9">
        <f>IFERROR(VLOOKUP($A248,pivot!$A:$I,計算式2026!AJ$1,FALSE),0)</f>
        <v>0</v>
      </c>
      <c r="AK248" s="9">
        <f>IFERROR(VLOOKUP($A248,pivot!$A:$I,計算式2026!AK$1,FALSE),0)</f>
        <v>0</v>
      </c>
      <c r="AL248" s="9">
        <f>IFERROR(VLOOKUP($A248,pivot!$A:$I,計算式2026!AL$1,FALSE),0)</f>
        <v>0</v>
      </c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</row>
    <row r="249" spans="1:59" s="9" customFormat="1">
      <c r="A249" s="8" t="s">
        <v>152</v>
      </c>
      <c r="B249" s="8" t="s">
        <v>147</v>
      </c>
      <c r="C249" s="9">
        <v>57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R249" s="9">
        <v>2</v>
      </c>
      <c r="S249" s="9">
        <v>5</v>
      </c>
      <c r="T249" s="9">
        <v>1</v>
      </c>
      <c r="U249" s="9">
        <v>3</v>
      </c>
      <c r="V249" s="9">
        <v>3</v>
      </c>
      <c r="W249" s="9">
        <v>3</v>
      </c>
      <c r="X249" s="9">
        <v>2</v>
      </c>
      <c r="AE249" s="9">
        <f>IFERROR(VLOOKUP($A249,pivot!$A:$G,計算式2026!AE$1,FALSE),0)</f>
        <v>0</v>
      </c>
      <c r="AF249" s="9">
        <f>IFERROR(VLOOKUP($A249,pivot!$A:$I,計算式2026!AF$1,FALSE),0)</f>
        <v>0</v>
      </c>
      <c r="AI249" s="9">
        <f>IFERROR(VLOOKUP($A249,pivot!$A:$I,計算式2026!AI$1,FALSE),0)</f>
        <v>0</v>
      </c>
      <c r="AJ249" s="9">
        <f>IFERROR(VLOOKUP($A249,pivot!$A:$I,計算式2026!AJ$1,FALSE),0)</f>
        <v>0</v>
      </c>
      <c r="AK249" s="9">
        <f>IFERROR(VLOOKUP($A249,pivot!$A:$I,計算式2026!AK$1,FALSE),0)</f>
        <v>0</v>
      </c>
      <c r="AL249" s="9">
        <f>IFERROR(VLOOKUP($A249,pivot!$A:$I,計算式2026!AL$1,FALSE),0)</f>
        <v>0</v>
      </c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</row>
    <row r="250" spans="1:59" s="9" customFormat="1">
      <c r="A250" s="8" t="s">
        <v>1672</v>
      </c>
      <c r="B250" s="8" t="s">
        <v>147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R250" s="9">
        <v>3</v>
      </c>
      <c r="S250" s="9">
        <v>2</v>
      </c>
      <c r="T250" s="9">
        <v>0</v>
      </c>
      <c r="U250" s="9">
        <v>2</v>
      </c>
      <c r="V250" s="9">
        <v>0</v>
      </c>
      <c r="W250" s="9">
        <v>0</v>
      </c>
      <c r="X250" s="9">
        <v>1</v>
      </c>
      <c r="AE250" s="9">
        <f>IFERROR(VLOOKUP($A250,pivot!$A:$G,計算式2026!AE$1,FALSE),0)</f>
        <v>0</v>
      </c>
      <c r="AF250" s="9">
        <f>IFERROR(VLOOKUP($A250,pivot!$A:$I,計算式2026!AF$1,FALSE),0)</f>
        <v>0</v>
      </c>
      <c r="AI250" s="9">
        <f>IFERROR(VLOOKUP($A250,pivot!$A:$I,計算式2026!AI$1,FALSE),0)</f>
        <v>0</v>
      </c>
      <c r="AJ250" s="9">
        <f>IFERROR(VLOOKUP($A250,pivot!$A:$I,計算式2026!AJ$1,FALSE),0)</f>
        <v>0</v>
      </c>
      <c r="AK250" s="9">
        <f>IFERROR(VLOOKUP($A250,pivot!$A:$I,計算式2026!AK$1,FALSE),0)</f>
        <v>0</v>
      </c>
      <c r="AL250" s="9">
        <f>IFERROR(VLOOKUP($A250,pivot!$A:$I,計算式2026!AL$1,FALSE),0)</f>
        <v>0</v>
      </c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</row>
    <row r="251" spans="1:59" s="9" customFormat="1">
      <c r="A251" s="8" t="s">
        <v>153</v>
      </c>
      <c r="B251" s="8" t="s">
        <v>147</v>
      </c>
      <c r="C251" s="9">
        <v>101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R251" s="9">
        <v>2</v>
      </c>
      <c r="S251" s="9">
        <v>4</v>
      </c>
      <c r="T251" s="9">
        <v>1</v>
      </c>
      <c r="U251" s="9">
        <v>3</v>
      </c>
      <c r="V251" s="9">
        <v>5</v>
      </c>
      <c r="W251" s="9">
        <v>1</v>
      </c>
      <c r="X251" s="9">
        <v>2</v>
      </c>
      <c r="AE251" s="9">
        <f>IFERROR(VLOOKUP($A251,pivot!$A:$G,計算式2026!AE$1,FALSE),0)</f>
        <v>0</v>
      </c>
      <c r="AF251" s="9">
        <f>IFERROR(VLOOKUP($A251,pivot!$A:$I,計算式2026!AF$1,FALSE),0)</f>
        <v>0</v>
      </c>
      <c r="AI251" s="9">
        <f>IFERROR(VLOOKUP($A251,pivot!$A:$I,計算式2026!AI$1,FALSE),0)</f>
        <v>0</v>
      </c>
      <c r="AJ251" s="9">
        <f>IFERROR(VLOOKUP($A251,pivot!$A:$I,計算式2026!AJ$1,FALSE),0)</f>
        <v>0</v>
      </c>
      <c r="AK251" s="9">
        <f>IFERROR(VLOOKUP($A251,pivot!$A:$I,計算式2026!AK$1,FALSE),0)</f>
        <v>0</v>
      </c>
      <c r="AL251" s="9">
        <f>IFERROR(VLOOKUP($A251,pivot!$A:$I,計算式2026!AL$1,FALSE),0)</f>
        <v>0</v>
      </c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</row>
    <row r="252" spans="1:59" s="9" customFormat="1">
      <c r="A252" s="8" t="s">
        <v>154</v>
      </c>
      <c r="B252" s="8" t="s">
        <v>147</v>
      </c>
      <c r="C252" s="9">
        <v>131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R252" s="9">
        <v>3</v>
      </c>
      <c r="S252" s="9">
        <v>3</v>
      </c>
      <c r="T252" s="9">
        <v>1</v>
      </c>
      <c r="U252" s="9">
        <v>3</v>
      </c>
      <c r="V252" s="9">
        <v>3</v>
      </c>
      <c r="W252" s="9">
        <v>2</v>
      </c>
      <c r="X252" s="9">
        <v>2</v>
      </c>
      <c r="AE252" s="9">
        <f>IFERROR(VLOOKUP($A252,pivot!$A:$G,計算式2026!AE$1,FALSE),0)</f>
        <v>0</v>
      </c>
      <c r="AF252" s="9">
        <f>IFERROR(VLOOKUP($A252,pivot!$A:$I,計算式2026!AF$1,FALSE),0)</f>
        <v>0</v>
      </c>
      <c r="AI252" s="9">
        <f>IFERROR(VLOOKUP($A252,pivot!$A:$I,計算式2026!AI$1,FALSE),0)</f>
        <v>0</v>
      </c>
      <c r="AJ252" s="9">
        <f>IFERROR(VLOOKUP($A252,pivot!$A:$I,計算式2026!AJ$1,FALSE),0)</f>
        <v>0</v>
      </c>
      <c r="AK252" s="9">
        <f>IFERROR(VLOOKUP($A252,pivot!$A:$I,計算式2026!AK$1,FALSE),0)</f>
        <v>0</v>
      </c>
      <c r="AL252" s="9">
        <f>IFERROR(VLOOKUP($A252,pivot!$A:$I,計算式2026!AL$1,FALSE),0)</f>
        <v>0</v>
      </c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</row>
    <row r="253" spans="1:59" s="9" customFormat="1">
      <c r="A253" s="8" t="s">
        <v>155</v>
      </c>
      <c r="B253" s="8" t="s">
        <v>147</v>
      </c>
      <c r="C253" s="9">
        <v>341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R253" s="9">
        <v>3</v>
      </c>
      <c r="S253" s="9">
        <v>4</v>
      </c>
      <c r="T253" s="9">
        <v>0</v>
      </c>
      <c r="U253" s="9">
        <v>4</v>
      </c>
      <c r="V253" s="9">
        <v>4</v>
      </c>
      <c r="W253" s="9">
        <v>1</v>
      </c>
      <c r="X253" s="9">
        <v>2</v>
      </c>
      <c r="AE253" s="9">
        <f>IFERROR(VLOOKUP($A253,pivot!$A:$G,計算式2026!AE$1,FALSE),0)</f>
        <v>0</v>
      </c>
      <c r="AF253" s="9">
        <f>IFERROR(VLOOKUP($A253,pivot!$A:$I,計算式2026!AF$1,FALSE),0)</f>
        <v>0</v>
      </c>
      <c r="AI253" s="9">
        <f>IFERROR(VLOOKUP($A253,pivot!$A:$I,計算式2026!AI$1,FALSE),0)</f>
        <v>0</v>
      </c>
      <c r="AJ253" s="9">
        <f>IFERROR(VLOOKUP($A253,pivot!$A:$I,計算式2026!AJ$1,FALSE),0)</f>
        <v>0</v>
      </c>
      <c r="AK253" s="9">
        <f>IFERROR(VLOOKUP($A253,pivot!$A:$I,計算式2026!AK$1,FALSE),0)</f>
        <v>0</v>
      </c>
      <c r="AL253" s="9">
        <f>IFERROR(VLOOKUP($A253,pivot!$A:$I,計算式2026!AL$1,FALSE),0)</f>
        <v>0</v>
      </c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</row>
    <row r="254" spans="1:59" s="9" customFormat="1">
      <c r="A254" s="8" t="s">
        <v>156</v>
      </c>
      <c r="B254" s="8" t="s">
        <v>147</v>
      </c>
      <c r="C254" s="9">
        <v>4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R254" s="9">
        <v>3</v>
      </c>
      <c r="S254" s="9">
        <v>3</v>
      </c>
      <c r="T254" s="9">
        <v>1</v>
      </c>
      <c r="U254" s="9">
        <v>3</v>
      </c>
      <c r="V254" s="9">
        <v>3</v>
      </c>
      <c r="W254" s="9">
        <v>1</v>
      </c>
      <c r="X254" s="9">
        <v>2</v>
      </c>
      <c r="AE254" s="9">
        <f>IFERROR(VLOOKUP($A254,pivot!$A:$G,計算式2026!AE$1,FALSE),0)</f>
        <v>0</v>
      </c>
      <c r="AF254" s="9">
        <f>IFERROR(VLOOKUP($A254,pivot!$A:$I,計算式2026!AF$1,FALSE),0)</f>
        <v>0</v>
      </c>
      <c r="AI254" s="9">
        <f>IFERROR(VLOOKUP($A254,pivot!$A:$I,計算式2026!AI$1,FALSE),0)</f>
        <v>0</v>
      </c>
      <c r="AJ254" s="9">
        <f>IFERROR(VLOOKUP($A254,pivot!$A:$I,計算式2026!AJ$1,FALSE),0)</f>
        <v>0</v>
      </c>
      <c r="AK254" s="9">
        <f>IFERROR(VLOOKUP($A254,pivot!$A:$I,計算式2026!AK$1,FALSE),0)</f>
        <v>0</v>
      </c>
      <c r="AL254" s="9">
        <f>IFERROR(VLOOKUP($A254,pivot!$A:$I,計算式2026!AL$1,FALSE),0)</f>
        <v>0</v>
      </c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</row>
    <row r="255" spans="1:59" s="9" customFormat="1">
      <c r="A255" s="8" t="s">
        <v>157</v>
      </c>
      <c r="B255" s="8" t="s">
        <v>147</v>
      </c>
      <c r="C255" s="9">
        <v>12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R255" s="9">
        <v>3</v>
      </c>
      <c r="S255" s="9">
        <v>3</v>
      </c>
      <c r="T255" s="9">
        <v>1</v>
      </c>
      <c r="U255" s="9">
        <v>3</v>
      </c>
      <c r="V255" s="9">
        <v>3</v>
      </c>
      <c r="W255" s="9">
        <v>1</v>
      </c>
      <c r="X255" s="9">
        <v>2</v>
      </c>
      <c r="AE255" s="9">
        <f>IFERROR(VLOOKUP($A255,pivot!$A:$G,計算式2026!AE$1,FALSE),0)</f>
        <v>0</v>
      </c>
      <c r="AF255" s="9">
        <f>IFERROR(VLOOKUP($A255,pivot!$A:$I,計算式2026!AF$1,FALSE),0)</f>
        <v>0</v>
      </c>
      <c r="AI255" s="9">
        <f>IFERROR(VLOOKUP($A255,pivot!$A:$I,計算式2026!AI$1,FALSE),0)</f>
        <v>0</v>
      </c>
      <c r="AJ255" s="9">
        <f>IFERROR(VLOOKUP($A255,pivot!$A:$I,計算式2026!AJ$1,FALSE),0)</f>
        <v>0</v>
      </c>
      <c r="AK255" s="9">
        <f>IFERROR(VLOOKUP($A255,pivot!$A:$I,計算式2026!AK$1,FALSE),0)</f>
        <v>0</v>
      </c>
      <c r="AL255" s="9">
        <f>IFERROR(VLOOKUP($A255,pivot!$A:$I,計算式2026!AL$1,FALSE),0)</f>
        <v>0</v>
      </c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</row>
    <row r="256" spans="1:59" s="9" customFormat="1">
      <c r="A256" s="8" t="s">
        <v>158</v>
      </c>
      <c r="B256" s="8" t="s">
        <v>147</v>
      </c>
      <c r="C256" s="9">
        <v>5</v>
      </c>
      <c r="D256" s="9">
        <v>8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R256" s="9">
        <v>2</v>
      </c>
      <c r="S256" s="9">
        <v>4</v>
      </c>
      <c r="T256" s="9">
        <v>1</v>
      </c>
      <c r="U256" s="9">
        <v>4</v>
      </c>
      <c r="V256" s="9">
        <v>3</v>
      </c>
      <c r="W256" s="9">
        <v>1</v>
      </c>
      <c r="X256" s="9">
        <v>2</v>
      </c>
      <c r="AE256" s="9">
        <f>IFERROR(VLOOKUP($A256,pivot!$A:$G,計算式2026!AE$1,FALSE),0)</f>
        <v>0</v>
      </c>
      <c r="AF256" s="9">
        <f>IFERROR(VLOOKUP($A256,pivot!$A:$I,計算式2026!AF$1,FALSE),0)</f>
        <v>0</v>
      </c>
      <c r="AI256" s="9">
        <f>IFERROR(VLOOKUP($A256,pivot!$A:$I,計算式2026!AI$1,FALSE),0)</f>
        <v>0</v>
      </c>
      <c r="AJ256" s="9">
        <f>IFERROR(VLOOKUP($A256,pivot!$A:$I,計算式2026!AJ$1,FALSE),0)</f>
        <v>0</v>
      </c>
      <c r="AK256" s="9">
        <f>IFERROR(VLOOKUP($A256,pivot!$A:$I,計算式2026!AK$1,FALSE),0)</f>
        <v>0</v>
      </c>
      <c r="AL256" s="9">
        <f>IFERROR(VLOOKUP($A256,pivot!$A:$I,計算式2026!AL$1,FALSE),0)</f>
        <v>0</v>
      </c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</row>
    <row r="257" spans="1:59" s="9" customFormat="1">
      <c r="A257" s="8" t="s">
        <v>159</v>
      </c>
      <c r="B257" s="8" t="s">
        <v>160</v>
      </c>
      <c r="C257" s="9">
        <v>9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R257" s="9">
        <v>1</v>
      </c>
      <c r="S257" s="9">
        <v>4</v>
      </c>
      <c r="T257" s="9">
        <v>0</v>
      </c>
      <c r="U257" s="9">
        <v>2</v>
      </c>
      <c r="V257" s="9">
        <v>2</v>
      </c>
      <c r="W257" s="9">
        <v>0</v>
      </c>
      <c r="X257" s="9">
        <v>0</v>
      </c>
      <c r="AE257" s="9">
        <f>IFERROR(VLOOKUP($A257,pivot!$A:$G,計算式2026!AE$1,FALSE),0)</f>
        <v>0</v>
      </c>
      <c r="AF257" s="9">
        <f>IFERROR(VLOOKUP($A257,pivot!$A:$I,計算式2026!AF$1,FALSE),0)</f>
        <v>0</v>
      </c>
      <c r="AI257" s="9">
        <f>IFERROR(VLOOKUP($A257,pivot!$A:$I,計算式2026!AI$1,FALSE),0)</f>
        <v>0</v>
      </c>
      <c r="AJ257" s="9">
        <f>IFERROR(VLOOKUP($A257,pivot!$A:$I,計算式2026!AJ$1,FALSE),0)</f>
        <v>0</v>
      </c>
      <c r="AK257" s="9">
        <f>IFERROR(VLOOKUP($A257,pivot!$A:$I,計算式2026!AK$1,FALSE),0)</f>
        <v>0</v>
      </c>
      <c r="AL257" s="9">
        <f>IFERROR(VLOOKUP($A257,pivot!$A:$I,計算式2026!AL$1,FALSE),0)</f>
        <v>0</v>
      </c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</row>
    <row r="258" spans="1:59" s="9" customFormat="1">
      <c r="A258" s="8" t="s">
        <v>161</v>
      </c>
      <c r="B258" s="8" t="s">
        <v>160</v>
      </c>
      <c r="C258" s="9">
        <v>16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R258" s="9">
        <v>1</v>
      </c>
      <c r="S258" s="9">
        <v>9</v>
      </c>
      <c r="T258" s="9">
        <v>0</v>
      </c>
      <c r="U258" s="9">
        <v>2</v>
      </c>
      <c r="V258" s="9">
        <v>0</v>
      </c>
      <c r="W258" s="9">
        <v>0</v>
      </c>
      <c r="X258" s="9">
        <v>0</v>
      </c>
      <c r="AE258" s="9">
        <f>IFERROR(VLOOKUP($A258,pivot!$A:$G,計算式2026!AE$1,FALSE),0)</f>
        <v>0</v>
      </c>
      <c r="AF258" s="9">
        <f>IFERROR(VLOOKUP($A258,pivot!$A:$I,計算式2026!AF$1,FALSE),0)</f>
        <v>0</v>
      </c>
      <c r="AI258" s="9">
        <f>IFERROR(VLOOKUP($A258,pivot!$A:$I,計算式2026!AI$1,FALSE),0)</f>
        <v>0</v>
      </c>
      <c r="AJ258" s="9">
        <f>IFERROR(VLOOKUP($A258,pivot!$A:$I,計算式2026!AJ$1,FALSE),0)</f>
        <v>0</v>
      </c>
      <c r="AK258" s="9">
        <f>IFERROR(VLOOKUP($A258,pivot!$A:$I,計算式2026!AK$1,FALSE),0)</f>
        <v>0</v>
      </c>
      <c r="AL258" s="9">
        <f>IFERROR(VLOOKUP($A258,pivot!$A:$I,計算式2026!AL$1,FALSE),0)</f>
        <v>0</v>
      </c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</row>
    <row r="259" spans="1:59" s="9" customFormat="1">
      <c r="A259" s="8" t="s">
        <v>162</v>
      </c>
      <c r="B259" s="8" t="s">
        <v>160</v>
      </c>
      <c r="C259" s="9">
        <v>36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R259" s="9">
        <v>1</v>
      </c>
      <c r="S259" s="9">
        <v>4</v>
      </c>
      <c r="T259" s="9">
        <v>0</v>
      </c>
      <c r="U259" s="9">
        <v>2</v>
      </c>
      <c r="V259" s="9">
        <v>1</v>
      </c>
      <c r="W259" s="9">
        <v>0</v>
      </c>
      <c r="X259" s="9">
        <v>0</v>
      </c>
      <c r="AE259" s="9">
        <f>IFERROR(VLOOKUP($A259,pivot!$A:$G,計算式2026!AE$1,FALSE),0)</f>
        <v>0</v>
      </c>
      <c r="AF259" s="9">
        <f>IFERROR(VLOOKUP($A259,pivot!$A:$I,計算式2026!AF$1,FALSE),0)</f>
        <v>0</v>
      </c>
      <c r="AI259" s="9">
        <f>IFERROR(VLOOKUP($A259,pivot!$A:$I,計算式2026!AI$1,FALSE),0)</f>
        <v>0</v>
      </c>
      <c r="AJ259" s="9">
        <f>IFERROR(VLOOKUP($A259,pivot!$A:$I,計算式2026!AJ$1,FALSE),0)</f>
        <v>0</v>
      </c>
      <c r="AK259" s="9">
        <f>IFERROR(VLOOKUP($A259,pivot!$A:$I,計算式2026!AK$1,FALSE),0)</f>
        <v>0</v>
      </c>
      <c r="AL259" s="9">
        <f>IFERROR(VLOOKUP($A259,pivot!$A:$I,計算式2026!AL$1,FALSE),0)</f>
        <v>0</v>
      </c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</row>
    <row r="260" spans="1:59" s="9" customFormat="1">
      <c r="A260" s="8" t="s">
        <v>163</v>
      </c>
      <c r="B260" s="8" t="s">
        <v>160</v>
      </c>
      <c r="C260" s="9">
        <v>63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R260" s="9">
        <v>1</v>
      </c>
      <c r="S260" s="9">
        <v>5</v>
      </c>
      <c r="T260" s="9">
        <v>0</v>
      </c>
      <c r="U260" s="9">
        <v>2</v>
      </c>
      <c r="V260" s="9">
        <v>1</v>
      </c>
      <c r="W260" s="9">
        <v>0</v>
      </c>
      <c r="X260" s="9">
        <v>0</v>
      </c>
      <c r="AE260" s="9">
        <f>IFERROR(VLOOKUP($A260,pivot!$A:$G,計算式2026!AE$1,FALSE),0)</f>
        <v>0</v>
      </c>
      <c r="AF260" s="9">
        <f>IFERROR(VLOOKUP($A260,pivot!$A:$I,計算式2026!AF$1,FALSE),0)</f>
        <v>0</v>
      </c>
      <c r="AI260" s="9">
        <f>IFERROR(VLOOKUP($A260,pivot!$A:$I,計算式2026!AI$1,FALSE),0)</f>
        <v>0</v>
      </c>
      <c r="AJ260" s="9">
        <f>IFERROR(VLOOKUP($A260,pivot!$A:$I,計算式2026!AJ$1,FALSE),0)</f>
        <v>0</v>
      </c>
      <c r="AK260" s="9">
        <f>IFERROR(VLOOKUP($A260,pivot!$A:$I,計算式2026!AK$1,FALSE),0)</f>
        <v>0</v>
      </c>
      <c r="AL260" s="9">
        <f>IFERROR(VLOOKUP($A260,pivot!$A:$I,計算式2026!AL$1,FALSE),0)</f>
        <v>0</v>
      </c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</row>
    <row r="261" spans="1:59" s="9" customFormat="1">
      <c r="A261" s="8" t="s">
        <v>164</v>
      </c>
      <c r="B261" s="8" t="s">
        <v>160</v>
      </c>
      <c r="C261" s="9">
        <v>57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R261" s="9">
        <v>0</v>
      </c>
      <c r="S261" s="9">
        <v>1</v>
      </c>
      <c r="T261" s="9">
        <v>0</v>
      </c>
      <c r="U261" s="9">
        <v>1</v>
      </c>
      <c r="V261" s="9">
        <v>0</v>
      </c>
      <c r="W261" s="9">
        <v>0</v>
      </c>
      <c r="X261" s="9">
        <v>0</v>
      </c>
      <c r="AE261" s="9">
        <f>IFERROR(VLOOKUP($A261,pivot!$A:$G,計算式2026!AE$1,FALSE),0)</f>
        <v>0</v>
      </c>
      <c r="AF261" s="9">
        <f>IFERROR(VLOOKUP($A261,pivot!$A:$I,計算式2026!AF$1,FALSE),0)</f>
        <v>0</v>
      </c>
      <c r="AI261" s="9">
        <f>IFERROR(VLOOKUP($A261,pivot!$A:$I,計算式2026!AI$1,FALSE),0)</f>
        <v>0</v>
      </c>
      <c r="AJ261" s="9">
        <f>IFERROR(VLOOKUP($A261,pivot!$A:$I,計算式2026!AJ$1,FALSE),0)</f>
        <v>0</v>
      </c>
      <c r="AK261" s="9">
        <f>IFERROR(VLOOKUP($A261,pivot!$A:$I,計算式2026!AK$1,FALSE),0)</f>
        <v>0</v>
      </c>
      <c r="AL261" s="9">
        <f>IFERROR(VLOOKUP($A261,pivot!$A:$I,計算式2026!AL$1,FALSE),0)</f>
        <v>0</v>
      </c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</row>
    <row r="262" spans="1:59" s="9" customFormat="1">
      <c r="A262" s="8" t="s">
        <v>165</v>
      </c>
      <c r="B262" s="8" t="s">
        <v>160</v>
      </c>
      <c r="C262" s="9">
        <v>13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R262" s="9">
        <v>0</v>
      </c>
      <c r="S262" s="9">
        <v>6</v>
      </c>
      <c r="T262" s="9">
        <v>0</v>
      </c>
      <c r="U262" s="9">
        <v>2</v>
      </c>
      <c r="V262" s="9">
        <v>0</v>
      </c>
      <c r="W262" s="9">
        <v>0</v>
      </c>
      <c r="X262" s="9">
        <v>0</v>
      </c>
      <c r="AE262" s="9">
        <f>IFERROR(VLOOKUP($A262,pivot!$A:$G,計算式2026!AE$1,FALSE),0)</f>
        <v>0</v>
      </c>
      <c r="AF262" s="9">
        <f>IFERROR(VLOOKUP($A262,pivot!$A:$I,計算式2026!AF$1,FALSE),0)</f>
        <v>0</v>
      </c>
      <c r="AI262" s="9">
        <f>IFERROR(VLOOKUP($A262,pivot!$A:$I,計算式2026!AI$1,FALSE),0)</f>
        <v>0</v>
      </c>
      <c r="AJ262" s="9">
        <f>IFERROR(VLOOKUP($A262,pivot!$A:$I,計算式2026!AJ$1,FALSE),0)</f>
        <v>0</v>
      </c>
      <c r="AK262" s="9">
        <f>IFERROR(VLOOKUP($A262,pivot!$A:$I,計算式2026!AK$1,FALSE),0)</f>
        <v>0</v>
      </c>
      <c r="AL262" s="9">
        <f>IFERROR(VLOOKUP($A262,pivot!$A:$I,計算式2026!AL$1,FALSE),0)</f>
        <v>0</v>
      </c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</row>
    <row r="263" spans="1:59" s="9" customFormat="1">
      <c r="A263" s="8" t="s">
        <v>166</v>
      </c>
      <c r="B263" s="8" t="s">
        <v>160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R263" s="9">
        <v>0</v>
      </c>
      <c r="S263" s="9">
        <v>3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AE263" s="9">
        <f>IFERROR(VLOOKUP($A263,pivot!$A:$G,計算式2026!AE$1,FALSE),0)</f>
        <v>0</v>
      </c>
      <c r="AF263" s="9">
        <f>IFERROR(VLOOKUP($A263,pivot!$A:$I,計算式2026!AF$1,FALSE),0)</f>
        <v>0</v>
      </c>
      <c r="AI263" s="9">
        <f>IFERROR(VLOOKUP($A263,pivot!$A:$I,計算式2026!AI$1,FALSE),0)</f>
        <v>0</v>
      </c>
      <c r="AJ263" s="9">
        <f>IFERROR(VLOOKUP($A263,pivot!$A:$I,計算式2026!AJ$1,FALSE),0)</f>
        <v>0</v>
      </c>
      <c r="AK263" s="9">
        <f>IFERROR(VLOOKUP($A263,pivot!$A:$I,計算式2026!AK$1,FALSE),0)</f>
        <v>0</v>
      </c>
      <c r="AL263" s="9">
        <f>IFERROR(VLOOKUP($A263,pivot!$A:$I,計算式2026!AL$1,FALSE),0)</f>
        <v>0</v>
      </c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</row>
    <row r="264" spans="1:59" s="9" customFormat="1">
      <c r="A264" s="8" t="s">
        <v>167</v>
      </c>
      <c r="B264" s="8" t="s">
        <v>160</v>
      </c>
      <c r="C264" s="9">
        <v>44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R264" s="9">
        <v>0</v>
      </c>
      <c r="S264" s="9">
        <v>4</v>
      </c>
      <c r="T264" s="9">
        <v>0</v>
      </c>
      <c r="U264" s="9">
        <v>2</v>
      </c>
      <c r="V264" s="9">
        <v>1</v>
      </c>
      <c r="W264" s="9">
        <v>0</v>
      </c>
      <c r="X264" s="9">
        <v>0</v>
      </c>
      <c r="AE264" s="9">
        <f>IFERROR(VLOOKUP($A264,pivot!$A:$G,計算式2026!AE$1,FALSE),0)</f>
        <v>0</v>
      </c>
      <c r="AF264" s="9">
        <f>IFERROR(VLOOKUP($A264,pivot!$A:$I,計算式2026!AF$1,FALSE),0)</f>
        <v>0</v>
      </c>
      <c r="AI264" s="9">
        <f>IFERROR(VLOOKUP($A264,pivot!$A:$I,計算式2026!AI$1,FALSE),0)</f>
        <v>0</v>
      </c>
      <c r="AJ264" s="9">
        <f>IFERROR(VLOOKUP($A264,pivot!$A:$I,計算式2026!AJ$1,FALSE),0)</f>
        <v>0</v>
      </c>
      <c r="AK264" s="9">
        <f>IFERROR(VLOOKUP($A264,pivot!$A:$I,計算式2026!AK$1,FALSE),0)</f>
        <v>0</v>
      </c>
      <c r="AL264" s="9">
        <f>IFERROR(VLOOKUP($A264,pivot!$A:$I,計算式2026!AL$1,FALSE),0)</f>
        <v>0</v>
      </c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</row>
    <row r="265" spans="1:59" s="9" customFormat="1">
      <c r="A265" s="8" t="s">
        <v>168</v>
      </c>
      <c r="B265" s="8" t="s">
        <v>160</v>
      </c>
      <c r="C265" s="9">
        <v>114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R265" s="9">
        <v>1</v>
      </c>
      <c r="S265" s="9">
        <v>7</v>
      </c>
      <c r="T265" s="9">
        <v>0</v>
      </c>
      <c r="U265" s="9">
        <v>2</v>
      </c>
      <c r="V265" s="9">
        <v>1</v>
      </c>
      <c r="W265" s="9">
        <v>0</v>
      </c>
      <c r="X265" s="9">
        <v>0</v>
      </c>
      <c r="AE265" s="9">
        <f>IFERROR(VLOOKUP($A265,pivot!$A:$G,計算式2026!AE$1,FALSE),0)</f>
        <v>0</v>
      </c>
      <c r="AF265" s="9">
        <f>IFERROR(VLOOKUP($A265,pivot!$A:$I,計算式2026!AF$1,FALSE),0)</f>
        <v>0</v>
      </c>
      <c r="AI265" s="9">
        <f>IFERROR(VLOOKUP($A265,pivot!$A:$I,計算式2026!AI$1,FALSE),0)</f>
        <v>0</v>
      </c>
      <c r="AJ265" s="9">
        <f>IFERROR(VLOOKUP($A265,pivot!$A:$I,計算式2026!AJ$1,FALSE),0)</f>
        <v>0</v>
      </c>
      <c r="AK265" s="9">
        <f>IFERROR(VLOOKUP($A265,pivot!$A:$I,計算式2026!AK$1,FALSE),0)</f>
        <v>0</v>
      </c>
      <c r="AL265" s="9">
        <f>IFERROR(VLOOKUP($A265,pivot!$A:$I,計算式2026!AL$1,FALSE),0)</f>
        <v>0</v>
      </c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</row>
    <row r="266" spans="1:59" s="9" customFormat="1">
      <c r="A266" s="8" t="s">
        <v>169</v>
      </c>
      <c r="B266" s="8" t="s">
        <v>160</v>
      </c>
      <c r="C266" s="9">
        <v>101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R266" s="9">
        <v>1</v>
      </c>
      <c r="S266" s="9">
        <v>4</v>
      </c>
      <c r="T266" s="9">
        <v>0</v>
      </c>
      <c r="U266" s="9">
        <v>1</v>
      </c>
      <c r="V266" s="9">
        <v>1</v>
      </c>
      <c r="W266" s="9">
        <v>0</v>
      </c>
      <c r="X266" s="9">
        <v>0</v>
      </c>
      <c r="AE266" s="9">
        <f>IFERROR(VLOOKUP($A266,pivot!$A:$G,計算式2026!AE$1,FALSE),0)</f>
        <v>0</v>
      </c>
      <c r="AF266" s="9">
        <f>IFERROR(VLOOKUP($A266,pivot!$A:$I,計算式2026!AF$1,FALSE),0)</f>
        <v>0</v>
      </c>
      <c r="AI266" s="9">
        <f>IFERROR(VLOOKUP($A266,pivot!$A:$I,計算式2026!AI$1,FALSE),0)</f>
        <v>0</v>
      </c>
      <c r="AJ266" s="9">
        <f>IFERROR(VLOOKUP($A266,pivot!$A:$I,計算式2026!AJ$1,FALSE),0)</f>
        <v>0</v>
      </c>
      <c r="AK266" s="9">
        <f>IFERROR(VLOOKUP($A266,pivot!$A:$I,計算式2026!AK$1,FALSE),0)</f>
        <v>0</v>
      </c>
      <c r="AL266" s="9">
        <f>IFERROR(VLOOKUP($A266,pivot!$A:$I,計算式2026!AL$1,FALSE),0)</f>
        <v>0</v>
      </c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</row>
    <row r="267" spans="1:59" s="9" customFormat="1">
      <c r="A267" s="8" t="s">
        <v>170</v>
      </c>
      <c r="B267" s="8" t="s">
        <v>160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R267" s="9">
        <v>0</v>
      </c>
      <c r="S267" s="9">
        <v>5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AE267" s="9">
        <f>IFERROR(VLOOKUP($A267,pivot!$A:$G,計算式2026!AE$1,FALSE),0)</f>
        <v>0</v>
      </c>
      <c r="AF267" s="9">
        <f>IFERROR(VLOOKUP($A267,pivot!$A:$I,計算式2026!AF$1,FALSE),0)</f>
        <v>0</v>
      </c>
      <c r="AI267" s="9">
        <f>IFERROR(VLOOKUP($A267,pivot!$A:$I,計算式2026!AI$1,FALSE),0)</f>
        <v>0</v>
      </c>
      <c r="AJ267" s="9">
        <f>IFERROR(VLOOKUP($A267,pivot!$A:$I,計算式2026!AJ$1,FALSE),0)</f>
        <v>0</v>
      </c>
      <c r="AK267" s="9">
        <f>IFERROR(VLOOKUP($A267,pivot!$A:$I,計算式2026!AK$1,FALSE),0)</f>
        <v>0</v>
      </c>
      <c r="AL267" s="9">
        <f>IFERROR(VLOOKUP($A267,pivot!$A:$I,計算式2026!AL$1,FALSE),0)</f>
        <v>0</v>
      </c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</row>
    <row r="268" spans="1:59" s="9" customFormat="1">
      <c r="A268" s="8" t="s">
        <v>1560</v>
      </c>
      <c r="B268" s="8" t="s">
        <v>172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R268" s="9">
        <v>1</v>
      </c>
      <c r="S268" s="9">
        <v>3</v>
      </c>
      <c r="T268" s="9">
        <v>0</v>
      </c>
      <c r="U268" s="9">
        <v>3</v>
      </c>
      <c r="V268" s="9">
        <v>3</v>
      </c>
      <c r="W268" s="9">
        <v>1</v>
      </c>
      <c r="X268" s="9">
        <v>1</v>
      </c>
      <c r="AE268" s="9">
        <f>IFERROR(VLOOKUP($A268,pivot!$A:$G,計算式2026!AE$1,FALSE),0)</f>
        <v>0</v>
      </c>
      <c r="AF268" s="9">
        <f>IFERROR(VLOOKUP($A268,pivot!$A:$I,計算式2026!AF$1,FALSE),0)</f>
        <v>0</v>
      </c>
      <c r="AI268" s="9">
        <f>IFERROR(VLOOKUP($A268,pivot!$A:$I,計算式2026!AI$1,FALSE),0)</f>
        <v>0</v>
      </c>
      <c r="AJ268" s="9">
        <f>IFERROR(VLOOKUP($A268,pivot!$A:$I,計算式2026!AJ$1,FALSE),0)</f>
        <v>0</v>
      </c>
      <c r="AK268" s="9">
        <f>IFERROR(VLOOKUP($A268,pivot!$A:$I,計算式2026!AK$1,FALSE),0)</f>
        <v>0</v>
      </c>
      <c r="AL268" s="9">
        <f>IFERROR(VLOOKUP($A268,pivot!$A:$I,計算式2026!AL$1,FALSE),0)</f>
        <v>0</v>
      </c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</row>
    <row r="269" spans="1:59" s="9" customFormat="1">
      <c r="A269" s="8" t="s">
        <v>171</v>
      </c>
      <c r="B269" s="8" t="s">
        <v>172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R269" s="9">
        <v>2</v>
      </c>
      <c r="S269" s="9">
        <v>4</v>
      </c>
      <c r="T269" s="9">
        <v>2</v>
      </c>
      <c r="U269" s="9">
        <v>1</v>
      </c>
      <c r="V269" s="9">
        <v>3</v>
      </c>
      <c r="W269" s="9">
        <v>2</v>
      </c>
      <c r="X269" s="9">
        <v>1</v>
      </c>
      <c r="AE269" s="9">
        <f>IFERROR(VLOOKUP($A269,pivot!$A:$G,計算式2026!AE$1,FALSE),0)</f>
        <v>0</v>
      </c>
      <c r="AF269" s="9">
        <f>IFERROR(VLOOKUP($A269,pivot!$A:$I,計算式2026!AF$1,FALSE),0)</f>
        <v>0</v>
      </c>
      <c r="AI269" s="9">
        <f>IFERROR(VLOOKUP($A269,pivot!$A:$I,計算式2026!AI$1,FALSE),0)</f>
        <v>0</v>
      </c>
      <c r="AJ269" s="9">
        <f>IFERROR(VLOOKUP($A269,pivot!$A:$I,計算式2026!AJ$1,FALSE),0)</f>
        <v>0</v>
      </c>
      <c r="AK269" s="9">
        <f>IFERROR(VLOOKUP($A269,pivot!$A:$I,計算式2026!AK$1,FALSE),0)</f>
        <v>0</v>
      </c>
      <c r="AL269" s="9">
        <f>IFERROR(VLOOKUP($A269,pivot!$A:$I,計算式2026!AL$1,FALSE),0)</f>
        <v>0</v>
      </c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</row>
    <row r="270" spans="1:59" s="9" customFormat="1">
      <c r="A270" s="8" t="s">
        <v>173</v>
      </c>
      <c r="B270" s="8" t="s">
        <v>172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R270" s="9">
        <v>2</v>
      </c>
      <c r="S270" s="9">
        <v>4</v>
      </c>
      <c r="T270" s="9">
        <v>1</v>
      </c>
      <c r="U270" s="9">
        <v>3</v>
      </c>
      <c r="V270" s="9">
        <v>3</v>
      </c>
      <c r="W270" s="9">
        <v>2</v>
      </c>
      <c r="X270" s="9">
        <v>2</v>
      </c>
      <c r="AE270" s="9">
        <f>IFERROR(VLOOKUP($A270,pivot!$A:$G,計算式2026!AE$1,FALSE),0)</f>
        <v>0</v>
      </c>
      <c r="AF270" s="9">
        <f>IFERROR(VLOOKUP($A270,pivot!$A:$I,計算式2026!AF$1,FALSE),0)</f>
        <v>0</v>
      </c>
      <c r="AI270" s="9">
        <f>IFERROR(VLOOKUP($A270,pivot!$A:$I,計算式2026!AI$1,FALSE),0)</f>
        <v>0</v>
      </c>
      <c r="AJ270" s="9">
        <f>IFERROR(VLOOKUP($A270,pivot!$A:$I,計算式2026!AJ$1,FALSE),0)</f>
        <v>0</v>
      </c>
      <c r="AK270" s="9">
        <f>IFERROR(VLOOKUP($A270,pivot!$A:$I,計算式2026!AK$1,FALSE),0)</f>
        <v>0</v>
      </c>
      <c r="AL270" s="9">
        <f>IFERROR(VLOOKUP($A270,pivot!$A:$I,計算式2026!AL$1,FALSE),0)</f>
        <v>0</v>
      </c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</row>
    <row r="271" spans="1:59" s="9" customFormat="1">
      <c r="A271" s="8" t="s">
        <v>174</v>
      </c>
      <c r="B271" s="8" t="s">
        <v>172</v>
      </c>
      <c r="C271" s="9">
        <v>166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R271" s="9">
        <v>3</v>
      </c>
      <c r="S271" s="9">
        <v>4</v>
      </c>
      <c r="T271" s="9">
        <v>2</v>
      </c>
      <c r="U271" s="9">
        <v>3</v>
      </c>
      <c r="V271" s="9">
        <v>5</v>
      </c>
      <c r="W271" s="9">
        <v>2</v>
      </c>
      <c r="X271" s="9">
        <v>2</v>
      </c>
      <c r="AE271" s="9">
        <f>IFERROR(VLOOKUP($A271,pivot!$A:$G,計算式2026!AE$1,FALSE),0)</f>
        <v>0</v>
      </c>
      <c r="AF271" s="9">
        <f>IFERROR(VLOOKUP($A271,pivot!$A:$I,計算式2026!AF$1,FALSE),0)</f>
        <v>0</v>
      </c>
      <c r="AI271" s="9">
        <f>IFERROR(VLOOKUP($A271,pivot!$A:$I,計算式2026!AI$1,FALSE),0)</f>
        <v>0</v>
      </c>
      <c r="AJ271" s="9">
        <f>IFERROR(VLOOKUP($A271,pivot!$A:$I,計算式2026!AJ$1,FALSE),0)</f>
        <v>0</v>
      </c>
      <c r="AK271" s="9">
        <f>IFERROR(VLOOKUP($A271,pivot!$A:$I,計算式2026!AK$1,FALSE),0)</f>
        <v>0</v>
      </c>
      <c r="AL271" s="9">
        <f>IFERROR(VLOOKUP($A271,pivot!$A:$I,計算式2026!AL$1,FALSE),0)</f>
        <v>0</v>
      </c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</row>
    <row r="272" spans="1:59" s="9" customFormat="1">
      <c r="A272" s="8" t="s">
        <v>2605</v>
      </c>
      <c r="B272" s="8" t="s">
        <v>172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R272" s="9">
        <v>3</v>
      </c>
      <c r="S272" s="9">
        <v>1</v>
      </c>
      <c r="T272" s="9">
        <v>0</v>
      </c>
      <c r="U272" s="9">
        <v>0</v>
      </c>
      <c r="V272" s="9">
        <v>2</v>
      </c>
      <c r="W272" s="9">
        <v>1</v>
      </c>
      <c r="X272" s="9">
        <v>0</v>
      </c>
      <c r="AE272" s="9">
        <f>IFERROR(VLOOKUP($A272,pivot!$A:$G,計算式2026!AE$1,FALSE),0)</f>
        <v>0</v>
      </c>
      <c r="AF272" s="9">
        <f>IFERROR(VLOOKUP($A272,pivot!$A:$I,計算式2026!AF$1,FALSE),0)</f>
        <v>0</v>
      </c>
      <c r="AI272" s="9">
        <f>IFERROR(VLOOKUP($A272,pivot!$A:$I,計算式2026!AI$1,FALSE),0)</f>
        <v>0</v>
      </c>
      <c r="AJ272" s="9">
        <f>IFERROR(VLOOKUP($A272,pivot!$A:$I,計算式2026!AJ$1,FALSE),0)</f>
        <v>0</v>
      </c>
      <c r="AK272" s="9">
        <f>IFERROR(VLOOKUP($A272,pivot!$A:$I,計算式2026!AK$1,FALSE),0)</f>
        <v>0</v>
      </c>
      <c r="AL272" s="9">
        <f>IFERROR(VLOOKUP($A272,pivot!$A:$I,計算式2026!AL$1,FALSE),0)</f>
        <v>0</v>
      </c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</row>
    <row r="273" spans="1:59" s="9" customFormat="1">
      <c r="A273" s="8" t="s">
        <v>1561</v>
      </c>
      <c r="B273" s="8" t="s">
        <v>172</v>
      </c>
      <c r="C273" s="9">
        <v>8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R273" s="9">
        <v>3</v>
      </c>
      <c r="S273" s="9">
        <v>5</v>
      </c>
      <c r="T273" s="9">
        <v>1</v>
      </c>
      <c r="U273" s="9">
        <v>4</v>
      </c>
      <c r="V273" s="9">
        <v>4</v>
      </c>
      <c r="W273" s="9">
        <v>2</v>
      </c>
      <c r="X273" s="9">
        <v>2</v>
      </c>
      <c r="AE273" s="9">
        <f>IFERROR(VLOOKUP($A273,pivot!$A:$G,計算式2026!AE$1,FALSE),0)</f>
        <v>0</v>
      </c>
      <c r="AF273" s="9">
        <f>IFERROR(VLOOKUP($A273,pivot!$A:$I,計算式2026!AF$1,FALSE),0)</f>
        <v>0</v>
      </c>
      <c r="AI273" s="9">
        <f>IFERROR(VLOOKUP($A273,pivot!$A:$I,計算式2026!AI$1,FALSE),0)</f>
        <v>0</v>
      </c>
      <c r="AJ273" s="9">
        <f>IFERROR(VLOOKUP($A273,pivot!$A:$I,計算式2026!AJ$1,FALSE),0)</f>
        <v>0</v>
      </c>
      <c r="AK273" s="9">
        <f>IFERROR(VLOOKUP($A273,pivot!$A:$I,計算式2026!AK$1,FALSE),0)</f>
        <v>0</v>
      </c>
      <c r="AL273" s="9">
        <f>IFERROR(VLOOKUP($A273,pivot!$A:$I,計算式2026!AL$1,FALSE),0)</f>
        <v>0</v>
      </c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</row>
    <row r="274" spans="1:59" s="9" customFormat="1">
      <c r="A274" s="8" t="s">
        <v>175</v>
      </c>
      <c r="B274" s="8" t="s">
        <v>172</v>
      </c>
      <c r="C274" s="9">
        <v>1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R274" s="9">
        <v>2</v>
      </c>
      <c r="S274" s="9">
        <v>3</v>
      </c>
      <c r="T274" s="9">
        <v>0</v>
      </c>
      <c r="U274" s="9">
        <v>2</v>
      </c>
      <c r="V274" s="9">
        <v>2</v>
      </c>
      <c r="W274" s="9">
        <v>0</v>
      </c>
      <c r="X274" s="9">
        <v>0</v>
      </c>
      <c r="AE274" s="9">
        <f>IFERROR(VLOOKUP($A274,pivot!$A:$G,計算式2026!AE$1,FALSE),0)</f>
        <v>0</v>
      </c>
      <c r="AF274" s="9">
        <f>IFERROR(VLOOKUP($A274,pivot!$A:$I,計算式2026!AF$1,FALSE),0)</f>
        <v>0</v>
      </c>
      <c r="AI274" s="9">
        <f>IFERROR(VLOOKUP($A274,pivot!$A:$I,計算式2026!AI$1,FALSE),0)</f>
        <v>0</v>
      </c>
      <c r="AJ274" s="9">
        <f>IFERROR(VLOOKUP($A274,pivot!$A:$I,計算式2026!AJ$1,FALSE),0)</f>
        <v>0</v>
      </c>
      <c r="AK274" s="9">
        <f>IFERROR(VLOOKUP($A274,pivot!$A:$I,計算式2026!AK$1,FALSE),0)</f>
        <v>0</v>
      </c>
      <c r="AL274" s="9">
        <f>IFERROR(VLOOKUP($A274,pivot!$A:$I,計算式2026!AL$1,FALSE),0)</f>
        <v>0</v>
      </c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</row>
    <row r="275" spans="1:59" s="9" customFormat="1">
      <c r="A275" s="8" t="s">
        <v>176</v>
      </c>
      <c r="B275" s="8" t="s">
        <v>172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R275" s="9">
        <v>2</v>
      </c>
      <c r="S275" s="9">
        <v>1</v>
      </c>
      <c r="T275" s="9">
        <v>1</v>
      </c>
      <c r="U275" s="9">
        <v>2</v>
      </c>
      <c r="V275" s="9">
        <v>1</v>
      </c>
      <c r="W275" s="9">
        <v>0</v>
      </c>
      <c r="X275" s="9">
        <v>2</v>
      </c>
      <c r="AE275" s="9">
        <f>IFERROR(VLOOKUP($A275,pivot!$A:$G,計算式2026!AE$1,FALSE),0)</f>
        <v>0</v>
      </c>
      <c r="AF275" s="9">
        <f>IFERROR(VLOOKUP($A275,pivot!$A:$I,計算式2026!AF$1,FALSE),0)</f>
        <v>0</v>
      </c>
      <c r="AI275" s="9">
        <f>IFERROR(VLOOKUP($A275,pivot!$A:$I,計算式2026!AI$1,FALSE),0)</f>
        <v>0</v>
      </c>
      <c r="AJ275" s="9">
        <f>IFERROR(VLOOKUP($A275,pivot!$A:$I,計算式2026!AJ$1,FALSE),0)</f>
        <v>0</v>
      </c>
      <c r="AK275" s="9">
        <f>IFERROR(VLOOKUP($A275,pivot!$A:$I,計算式2026!AK$1,FALSE),0)</f>
        <v>0</v>
      </c>
      <c r="AL275" s="9">
        <f>IFERROR(VLOOKUP($A275,pivot!$A:$I,計算式2026!AL$1,FALSE),0)</f>
        <v>0</v>
      </c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</row>
    <row r="276" spans="1:59" s="9" customFormat="1">
      <c r="A276" s="8" t="s">
        <v>177</v>
      </c>
      <c r="B276" s="8" t="s">
        <v>172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R276" s="9">
        <v>1</v>
      </c>
      <c r="S276" s="9">
        <v>3</v>
      </c>
      <c r="T276" s="9">
        <v>0</v>
      </c>
      <c r="U276" s="9">
        <v>3</v>
      </c>
      <c r="V276" s="9">
        <v>2</v>
      </c>
      <c r="W276" s="9">
        <v>0</v>
      </c>
      <c r="X276" s="9">
        <v>0</v>
      </c>
      <c r="AE276" s="9">
        <f>IFERROR(VLOOKUP($A276,pivot!$A:$G,計算式2026!AE$1,FALSE),0)</f>
        <v>0</v>
      </c>
      <c r="AF276" s="9">
        <f>IFERROR(VLOOKUP($A276,pivot!$A:$I,計算式2026!AF$1,FALSE),0)</f>
        <v>0</v>
      </c>
      <c r="AI276" s="9">
        <f>IFERROR(VLOOKUP($A276,pivot!$A:$I,計算式2026!AI$1,FALSE),0)</f>
        <v>0</v>
      </c>
      <c r="AJ276" s="9">
        <f>IFERROR(VLOOKUP($A276,pivot!$A:$I,計算式2026!AJ$1,FALSE),0)</f>
        <v>0</v>
      </c>
      <c r="AK276" s="9">
        <f>IFERROR(VLOOKUP($A276,pivot!$A:$I,計算式2026!AK$1,FALSE),0)</f>
        <v>0</v>
      </c>
      <c r="AL276" s="9">
        <f>IFERROR(VLOOKUP($A276,pivot!$A:$I,計算式2026!AL$1,FALSE),0)</f>
        <v>0</v>
      </c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</row>
    <row r="277" spans="1:59" s="9" customFormat="1">
      <c r="A277" s="8" t="s">
        <v>2635</v>
      </c>
      <c r="B277" s="8" t="s">
        <v>172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R277" s="9">
        <v>0</v>
      </c>
      <c r="S277" s="9">
        <v>1</v>
      </c>
      <c r="T277" s="9">
        <v>0</v>
      </c>
      <c r="U277" s="9">
        <v>1</v>
      </c>
      <c r="V277" s="9">
        <v>2</v>
      </c>
      <c r="W277" s="9">
        <v>1</v>
      </c>
      <c r="X277" s="9">
        <v>1</v>
      </c>
      <c r="AE277" s="9">
        <f>IFERROR(VLOOKUP($A277,pivot!$A:$G,計算式2026!AE$1,FALSE),0)</f>
        <v>0</v>
      </c>
      <c r="AF277" s="9">
        <f>IFERROR(VLOOKUP($A277,pivot!$A:$I,計算式2026!AF$1,FALSE),0)</f>
        <v>0</v>
      </c>
      <c r="AI277" s="9">
        <f>IFERROR(VLOOKUP($A277,pivot!$A:$I,計算式2026!AI$1,FALSE),0)</f>
        <v>0</v>
      </c>
      <c r="AJ277" s="9">
        <f>IFERROR(VLOOKUP($A277,pivot!$A:$I,計算式2026!AJ$1,FALSE),0)</f>
        <v>0</v>
      </c>
      <c r="AK277" s="9">
        <f>IFERROR(VLOOKUP($A277,pivot!$A:$I,計算式2026!AK$1,FALSE),0)</f>
        <v>0</v>
      </c>
      <c r="AL277" s="9">
        <f>IFERROR(VLOOKUP($A277,pivot!$A:$I,計算式2026!AL$1,FALSE),0)</f>
        <v>0</v>
      </c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</row>
    <row r="278" spans="1:59" s="9" customFormat="1">
      <c r="A278" s="8" t="s">
        <v>1923</v>
      </c>
      <c r="B278" s="8" t="s">
        <v>172</v>
      </c>
      <c r="C278" s="9">
        <v>2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R278" s="9">
        <v>1</v>
      </c>
      <c r="S278" s="9">
        <v>3</v>
      </c>
      <c r="T278" s="9">
        <v>3</v>
      </c>
      <c r="U278" s="9">
        <v>1</v>
      </c>
      <c r="V278" s="9">
        <v>1</v>
      </c>
      <c r="W278" s="9">
        <v>1</v>
      </c>
      <c r="X278" s="9">
        <v>0</v>
      </c>
      <c r="AE278" s="9">
        <f>IFERROR(VLOOKUP($A278,pivot!$A:$G,計算式2026!AE$1,FALSE),0)</f>
        <v>0</v>
      </c>
      <c r="AF278" s="9">
        <f>IFERROR(VLOOKUP($A278,pivot!$A:$I,計算式2026!AF$1,FALSE),0)</f>
        <v>0</v>
      </c>
      <c r="AI278" s="9">
        <f>IFERROR(VLOOKUP($A278,pivot!$A:$I,計算式2026!AI$1,FALSE),0)</f>
        <v>0</v>
      </c>
      <c r="AJ278" s="9">
        <f>IFERROR(VLOOKUP($A278,pivot!$A:$I,計算式2026!AJ$1,FALSE),0)</f>
        <v>0</v>
      </c>
      <c r="AK278" s="9">
        <f>IFERROR(VLOOKUP($A278,pivot!$A:$I,計算式2026!AK$1,FALSE),0)</f>
        <v>0</v>
      </c>
      <c r="AL278" s="9">
        <f>IFERROR(VLOOKUP($A278,pivot!$A:$I,計算式2026!AL$1,FALSE),0)</f>
        <v>0</v>
      </c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</row>
    <row r="279" spans="1:59" s="9" customFormat="1">
      <c r="A279" s="8" t="s">
        <v>178</v>
      </c>
      <c r="B279" s="8" t="s">
        <v>172</v>
      </c>
      <c r="C279" s="9">
        <v>1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R279" s="9">
        <v>2</v>
      </c>
      <c r="S279" s="9">
        <v>3</v>
      </c>
      <c r="T279" s="9">
        <v>1</v>
      </c>
      <c r="U279" s="9">
        <v>3</v>
      </c>
      <c r="V279" s="9">
        <v>3</v>
      </c>
      <c r="W279" s="9">
        <v>2</v>
      </c>
      <c r="X279" s="9">
        <v>2</v>
      </c>
      <c r="AE279" s="9">
        <f>IFERROR(VLOOKUP($A279,pivot!$A:$G,計算式2026!AE$1,FALSE),0)</f>
        <v>0</v>
      </c>
      <c r="AF279" s="9">
        <f>IFERROR(VLOOKUP($A279,pivot!$A:$I,計算式2026!AF$1,FALSE),0)</f>
        <v>0</v>
      </c>
      <c r="AI279" s="9">
        <f>IFERROR(VLOOKUP($A279,pivot!$A:$I,計算式2026!AI$1,FALSE),0)</f>
        <v>0</v>
      </c>
      <c r="AJ279" s="9">
        <f>IFERROR(VLOOKUP($A279,pivot!$A:$I,計算式2026!AJ$1,FALSE),0)</f>
        <v>0</v>
      </c>
      <c r="AK279" s="9">
        <f>IFERROR(VLOOKUP($A279,pivot!$A:$I,計算式2026!AK$1,FALSE),0)</f>
        <v>0</v>
      </c>
      <c r="AL279" s="9">
        <f>IFERROR(VLOOKUP($A279,pivot!$A:$I,計算式2026!AL$1,FALSE),0)</f>
        <v>0</v>
      </c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</row>
    <row r="280" spans="1:59" s="9" customFormat="1">
      <c r="A280" s="8" t="s">
        <v>179</v>
      </c>
      <c r="B280" s="8" t="s">
        <v>172</v>
      </c>
      <c r="C280" s="9">
        <v>89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R280" s="9">
        <v>2</v>
      </c>
      <c r="S280" s="9">
        <v>3</v>
      </c>
      <c r="T280" s="9">
        <v>1</v>
      </c>
      <c r="U280" s="9">
        <v>4</v>
      </c>
      <c r="V280" s="9">
        <v>5</v>
      </c>
      <c r="W280" s="9">
        <v>1</v>
      </c>
      <c r="X280" s="9">
        <v>2</v>
      </c>
      <c r="AE280" s="9">
        <f>IFERROR(VLOOKUP($A280,pivot!$A:$G,計算式2026!AE$1,FALSE),0)</f>
        <v>0</v>
      </c>
      <c r="AF280" s="9">
        <f>IFERROR(VLOOKUP($A280,pivot!$A:$I,計算式2026!AF$1,FALSE),0)</f>
        <v>0</v>
      </c>
      <c r="AI280" s="9">
        <f>IFERROR(VLOOKUP($A280,pivot!$A:$I,計算式2026!AI$1,FALSE),0)</f>
        <v>0</v>
      </c>
      <c r="AJ280" s="9">
        <f>IFERROR(VLOOKUP($A280,pivot!$A:$I,計算式2026!AJ$1,FALSE),0)</f>
        <v>0</v>
      </c>
      <c r="AK280" s="9">
        <f>IFERROR(VLOOKUP($A280,pivot!$A:$I,計算式2026!AK$1,FALSE),0)</f>
        <v>0</v>
      </c>
      <c r="AL280" s="9">
        <f>IFERROR(VLOOKUP($A280,pivot!$A:$I,計算式2026!AL$1,FALSE),0)</f>
        <v>0</v>
      </c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</row>
    <row r="281" spans="1:59" s="9" customFormat="1">
      <c r="A281" s="8" t="s">
        <v>2722</v>
      </c>
      <c r="B281" s="8" t="s">
        <v>172</v>
      </c>
      <c r="C281" s="9">
        <v>3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R281" s="9">
        <v>2</v>
      </c>
      <c r="S281" s="9">
        <v>2</v>
      </c>
      <c r="T281" s="9">
        <v>0</v>
      </c>
      <c r="U281" s="9">
        <v>3</v>
      </c>
      <c r="V281" s="9">
        <v>3</v>
      </c>
      <c r="W281" s="9">
        <v>1</v>
      </c>
      <c r="X281" s="9">
        <v>2</v>
      </c>
      <c r="AE281" s="9">
        <f>IFERROR(VLOOKUP($A281,pivot!$A:$G,計算式2026!AE$1,FALSE),0)</f>
        <v>0</v>
      </c>
      <c r="AF281" s="9">
        <f>IFERROR(VLOOKUP($A281,pivot!$A:$I,計算式2026!AF$1,FALSE),0)</f>
        <v>0</v>
      </c>
      <c r="AI281" s="9">
        <f>IFERROR(VLOOKUP($A281,pivot!$A:$I,計算式2026!AI$1,FALSE),0)</f>
        <v>0</v>
      </c>
      <c r="AJ281" s="9">
        <f>IFERROR(VLOOKUP($A281,pivot!$A:$I,計算式2026!AJ$1,FALSE),0)</f>
        <v>0</v>
      </c>
      <c r="AK281" s="9">
        <f>IFERROR(VLOOKUP($A281,pivot!$A:$I,計算式2026!AK$1,FALSE),0)</f>
        <v>0</v>
      </c>
      <c r="AL281" s="9">
        <f>IFERROR(VLOOKUP($A281,pivot!$A:$I,計算式2026!AL$1,FALSE),0)</f>
        <v>0</v>
      </c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</row>
    <row r="282" spans="1:59" s="9" customFormat="1">
      <c r="A282" s="8" t="s">
        <v>180</v>
      </c>
      <c r="B282" s="8" t="s">
        <v>172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R282" s="9">
        <v>1</v>
      </c>
      <c r="S282" s="9">
        <v>0</v>
      </c>
      <c r="T282" s="9">
        <v>0</v>
      </c>
      <c r="U282" s="9">
        <v>1</v>
      </c>
      <c r="V282" s="9">
        <v>3</v>
      </c>
      <c r="W282" s="9">
        <v>1</v>
      </c>
      <c r="X282" s="9">
        <v>0</v>
      </c>
      <c r="AE282" s="9">
        <f>IFERROR(VLOOKUP($A282,pivot!$A:$G,計算式2026!AE$1,FALSE),0)</f>
        <v>0</v>
      </c>
      <c r="AF282" s="9">
        <f>IFERROR(VLOOKUP($A282,pivot!$A:$I,計算式2026!AF$1,FALSE),0)</f>
        <v>0</v>
      </c>
      <c r="AI282" s="9">
        <f>IFERROR(VLOOKUP($A282,pivot!$A:$I,計算式2026!AI$1,FALSE),0)</f>
        <v>0</v>
      </c>
      <c r="AJ282" s="9">
        <f>IFERROR(VLOOKUP($A282,pivot!$A:$I,計算式2026!AJ$1,FALSE),0)</f>
        <v>0</v>
      </c>
      <c r="AK282" s="9">
        <f>IFERROR(VLOOKUP($A282,pivot!$A:$I,計算式2026!AK$1,FALSE),0)</f>
        <v>0</v>
      </c>
      <c r="AL282" s="9">
        <f>IFERROR(VLOOKUP($A282,pivot!$A:$I,計算式2026!AL$1,FALSE),0)</f>
        <v>0</v>
      </c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</row>
    <row r="283" spans="1:59" s="9" customFormat="1">
      <c r="A283" s="8" t="s">
        <v>1924</v>
      </c>
      <c r="B283" s="8" t="s">
        <v>172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1</v>
      </c>
      <c r="X283" s="9">
        <v>0</v>
      </c>
      <c r="AE283" s="9">
        <f>IFERROR(VLOOKUP($A283,pivot!$A:$G,計算式2026!AE$1,FALSE),0)</f>
        <v>0</v>
      </c>
      <c r="AF283" s="9">
        <f>IFERROR(VLOOKUP($A283,pivot!$A:$I,計算式2026!AF$1,FALSE),0)</f>
        <v>0</v>
      </c>
      <c r="AI283" s="9">
        <f>IFERROR(VLOOKUP($A283,pivot!$A:$I,計算式2026!AI$1,FALSE),0)</f>
        <v>0</v>
      </c>
      <c r="AJ283" s="9">
        <f>IFERROR(VLOOKUP($A283,pivot!$A:$I,計算式2026!AJ$1,FALSE),0)</f>
        <v>0</v>
      </c>
      <c r="AK283" s="9">
        <f>IFERROR(VLOOKUP($A283,pivot!$A:$I,計算式2026!AK$1,FALSE),0)</f>
        <v>0</v>
      </c>
      <c r="AL283" s="9">
        <f>IFERROR(VLOOKUP($A283,pivot!$A:$I,計算式2026!AL$1,FALSE),0)</f>
        <v>0</v>
      </c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</row>
    <row r="284" spans="1:59" s="9" customFormat="1">
      <c r="A284" s="8" t="s">
        <v>181</v>
      </c>
      <c r="B284" s="8" t="s">
        <v>172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R284" s="9">
        <v>2</v>
      </c>
      <c r="S284" s="9">
        <v>2</v>
      </c>
      <c r="T284" s="9">
        <v>1</v>
      </c>
      <c r="U284" s="9">
        <v>1</v>
      </c>
      <c r="V284" s="9">
        <v>1</v>
      </c>
      <c r="W284" s="9">
        <v>0</v>
      </c>
      <c r="X284" s="9">
        <v>1</v>
      </c>
      <c r="AE284" s="9">
        <f>IFERROR(VLOOKUP($A284,pivot!$A:$G,計算式2026!AE$1,FALSE),0)</f>
        <v>0</v>
      </c>
      <c r="AF284" s="9">
        <f>IFERROR(VLOOKUP($A284,pivot!$A:$I,計算式2026!AF$1,FALSE),0)</f>
        <v>0</v>
      </c>
      <c r="AI284" s="9">
        <f>IFERROR(VLOOKUP($A284,pivot!$A:$I,計算式2026!AI$1,FALSE),0)</f>
        <v>0</v>
      </c>
      <c r="AJ284" s="9">
        <f>IFERROR(VLOOKUP($A284,pivot!$A:$I,計算式2026!AJ$1,FALSE),0)</f>
        <v>0</v>
      </c>
      <c r="AK284" s="9">
        <f>IFERROR(VLOOKUP($A284,pivot!$A:$I,計算式2026!AK$1,FALSE),0)</f>
        <v>0</v>
      </c>
      <c r="AL284" s="9">
        <f>IFERROR(VLOOKUP($A284,pivot!$A:$I,計算式2026!AL$1,FALSE),0)</f>
        <v>0</v>
      </c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</row>
    <row r="285" spans="1:59" s="9" customFormat="1">
      <c r="A285" s="8" t="s">
        <v>182</v>
      </c>
      <c r="B285" s="8" t="s">
        <v>172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R285" s="9">
        <v>3</v>
      </c>
      <c r="S285" s="9">
        <v>4</v>
      </c>
      <c r="T285" s="9">
        <v>-1</v>
      </c>
      <c r="U285" s="9">
        <v>4</v>
      </c>
      <c r="V285" s="9">
        <v>3</v>
      </c>
      <c r="W285" s="9">
        <v>1</v>
      </c>
      <c r="X285" s="9">
        <v>2</v>
      </c>
      <c r="AE285" s="9">
        <f>IFERROR(VLOOKUP($A285,pivot!$A:$G,計算式2026!AE$1,FALSE),0)</f>
        <v>0</v>
      </c>
      <c r="AF285" s="9">
        <f>IFERROR(VLOOKUP($A285,pivot!$A:$I,計算式2026!AF$1,FALSE),0)</f>
        <v>0</v>
      </c>
      <c r="AI285" s="9">
        <f>IFERROR(VLOOKUP($A285,pivot!$A:$I,計算式2026!AI$1,FALSE),0)</f>
        <v>3</v>
      </c>
      <c r="AJ285" s="9">
        <f>IFERROR(VLOOKUP($A285,pivot!$A:$I,計算式2026!AJ$1,FALSE),0)</f>
        <v>1</v>
      </c>
      <c r="AK285" s="9">
        <f>IFERROR(VLOOKUP($A285,pivot!$A:$I,計算式2026!AK$1,FALSE),0)</f>
        <v>0</v>
      </c>
      <c r="AL285" s="9">
        <f>IFERROR(VLOOKUP($A285,pivot!$A:$I,計算式2026!AL$1,FALSE),0)</f>
        <v>0</v>
      </c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</row>
    <row r="286" spans="1:59" s="9" customFormat="1">
      <c r="A286" s="8" t="s">
        <v>183</v>
      </c>
      <c r="B286" s="8" t="s">
        <v>172</v>
      </c>
      <c r="C286" s="9">
        <v>8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R286" s="9">
        <v>4</v>
      </c>
      <c r="S286" s="9">
        <v>4</v>
      </c>
      <c r="T286" s="9">
        <v>1</v>
      </c>
      <c r="U286" s="9">
        <v>4</v>
      </c>
      <c r="V286" s="9">
        <v>4</v>
      </c>
      <c r="W286" s="9">
        <v>1</v>
      </c>
      <c r="X286" s="9">
        <v>3</v>
      </c>
      <c r="AE286" s="9">
        <f>IFERROR(VLOOKUP($A286,pivot!$A:$G,計算式2026!AE$1,FALSE),0)</f>
        <v>0</v>
      </c>
      <c r="AF286" s="9">
        <f>IFERROR(VLOOKUP($A286,pivot!$A:$I,計算式2026!AF$1,FALSE),0)</f>
        <v>0</v>
      </c>
      <c r="AI286" s="9">
        <f>IFERROR(VLOOKUP($A286,pivot!$A:$I,計算式2026!AI$1,FALSE),0)</f>
        <v>0</v>
      </c>
      <c r="AJ286" s="9">
        <f>IFERROR(VLOOKUP($A286,pivot!$A:$I,計算式2026!AJ$1,FALSE),0)</f>
        <v>0</v>
      </c>
      <c r="AK286" s="9">
        <f>IFERROR(VLOOKUP($A286,pivot!$A:$I,計算式2026!AK$1,FALSE),0)</f>
        <v>0</v>
      </c>
      <c r="AL286" s="9">
        <f>IFERROR(VLOOKUP($A286,pivot!$A:$I,計算式2026!AL$1,FALSE),0)</f>
        <v>0</v>
      </c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</row>
    <row r="287" spans="1:59" s="9" customFormat="1">
      <c r="A287" s="8" t="s">
        <v>184</v>
      </c>
      <c r="B287" s="8" t="s">
        <v>172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R287" s="9">
        <v>1</v>
      </c>
      <c r="S287" s="9">
        <v>2</v>
      </c>
      <c r="T287" s="9">
        <v>0</v>
      </c>
      <c r="U287" s="9">
        <v>2</v>
      </c>
      <c r="V287" s="9">
        <v>0</v>
      </c>
      <c r="W287" s="9">
        <v>0</v>
      </c>
      <c r="X287" s="9">
        <v>0</v>
      </c>
      <c r="AE287" s="9">
        <f>IFERROR(VLOOKUP($A287,pivot!$A:$G,計算式2026!AE$1,FALSE),0)</f>
        <v>0</v>
      </c>
      <c r="AF287" s="9">
        <f>IFERROR(VLOOKUP($A287,pivot!$A:$I,計算式2026!AF$1,FALSE),0)</f>
        <v>0</v>
      </c>
      <c r="AI287" s="9">
        <f>IFERROR(VLOOKUP($A287,pivot!$A:$I,計算式2026!AI$1,FALSE),0)</f>
        <v>0</v>
      </c>
      <c r="AJ287" s="9">
        <f>IFERROR(VLOOKUP($A287,pivot!$A:$I,計算式2026!AJ$1,FALSE),0)</f>
        <v>0</v>
      </c>
      <c r="AK287" s="9">
        <f>IFERROR(VLOOKUP($A287,pivot!$A:$I,計算式2026!AK$1,FALSE),0)</f>
        <v>0</v>
      </c>
      <c r="AL287" s="9">
        <f>IFERROR(VLOOKUP($A287,pivot!$A:$I,計算式2026!AL$1,FALSE),0)</f>
        <v>0</v>
      </c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</row>
    <row r="288" spans="1:59" s="9" customFormat="1">
      <c r="A288" s="8" t="s">
        <v>1562</v>
      </c>
      <c r="B288" s="8" t="s">
        <v>172</v>
      </c>
      <c r="C288" s="9">
        <v>27</v>
      </c>
      <c r="D288" s="9">
        <v>3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R288" s="9">
        <v>3</v>
      </c>
      <c r="S288" s="9">
        <v>4</v>
      </c>
      <c r="T288" s="9">
        <v>1</v>
      </c>
      <c r="U288" s="9">
        <v>3</v>
      </c>
      <c r="V288" s="9">
        <v>3</v>
      </c>
      <c r="W288" s="9">
        <v>1</v>
      </c>
      <c r="X288" s="9">
        <v>3</v>
      </c>
      <c r="AE288" s="9">
        <f>IFERROR(VLOOKUP($A288,pivot!$A:$G,計算式2026!AE$1,FALSE),0)</f>
        <v>0</v>
      </c>
      <c r="AF288" s="9">
        <f>IFERROR(VLOOKUP($A288,pivot!$A:$I,計算式2026!AF$1,FALSE),0)</f>
        <v>0</v>
      </c>
      <c r="AI288" s="9">
        <f>IFERROR(VLOOKUP($A288,pivot!$A:$I,計算式2026!AI$1,FALSE),0)</f>
        <v>0</v>
      </c>
      <c r="AJ288" s="9">
        <f>IFERROR(VLOOKUP($A288,pivot!$A:$I,計算式2026!AJ$1,FALSE),0)</f>
        <v>0</v>
      </c>
      <c r="AK288" s="9">
        <f>IFERROR(VLOOKUP($A288,pivot!$A:$I,計算式2026!AK$1,FALSE),0)</f>
        <v>0</v>
      </c>
      <c r="AL288" s="9">
        <f>IFERROR(VLOOKUP($A288,pivot!$A:$I,計算式2026!AL$1,FALSE),0)</f>
        <v>0</v>
      </c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</row>
    <row r="289" spans="1:59" s="9" customFormat="1">
      <c r="A289" s="8" t="s">
        <v>185</v>
      </c>
      <c r="B289" s="8" t="s">
        <v>172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R289" s="9">
        <v>2</v>
      </c>
      <c r="S289" s="9">
        <v>2</v>
      </c>
      <c r="T289" s="9">
        <v>0</v>
      </c>
      <c r="U289" s="9">
        <v>2</v>
      </c>
      <c r="V289" s="9">
        <v>2</v>
      </c>
      <c r="W289" s="9">
        <v>0</v>
      </c>
      <c r="X289" s="9">
        <v>0</v>
      </c>
      <c r="AE289" s="9">
        <f>IFERROR(VLOOKUP($A289,pivot!$A:$G,計算式2026!AE$1,FALSE),0)</f>
        <v>0</v>
      </c>
      <c r="AF289" s="9">
        <f>IFERROR(VLOOKUP($A289,pivot!$A:$I,計算式2026!AF$1,FALSE),0)</f>
        <v>0</v>
      </c>
      <c r="AI289" s="9">
        <f>IFERROR(VLOOKUP($A289,pivot!$A:$I,計算式2026!AI$1,FALSE),0)</f>
        <v>0</v>
      </c>
      <c r="AJ289" s="9">
        <f>IFERROR(VLOOKUP($A289,pivot!$A:$I,計算式2026!AJ$1,FALSE),0)</f>
        <v>0</v>
      </c>
      <c r="AK289" s="9">
        <f>IFERROR(VLOOKUP($A289,pivot!$A:$I,計算式2026!AK$1,FALSE),0)</f>
        <v>0</v>
      </c>
      <c r="AL289" s="9">
        <f>IFERROR(VLOOKUP($A289,pivot!$A:$I,計算式2026!AL$1,FALSE),0)</f>
        <v>0</v>
      </c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</row>
    <row r="290" spans="1:59" s="9" customFormat="1">
      <c r="A290" s="8" t="s">
        <v>186</v>
      </c>
      <c r="B290" s="8" t="s">
        <v>172</v>
      </c>
      <c r="C290" s="9">
        <v>2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R290" s="9">
        <v>2</v>
      </c>
      <c r="S290" s="9">
        <v>3</v>
      </c>
      <c r="T290" s="9">
        <v>1</v>
      </c>
      <c r="U290" s="9">
        <v>1</v>
      </c>
      <c r="V290" s="9">
        <v>3</v>
      </c>
      <c r="W290" s="9">
        <v>2</v>
      </c>
      <c r="X290" s="9">
        <v>1</v>
      </c>
      <c r="AE290" s="9">
        <f>IFERROR(VLOOKUP($A290,pivot!$A:$G,計算式2026!AE$1,FALSE),0)</f>
        <v>0</v>
      </c>
      <c r="AF290" s="9">
        <f>IFERROR(VLOOKUP($A290,pivot!$A:$I,計算式2026!AF$1,FALSE),0)</f>
        <v>0</v>
      </c>
      <c r="AI290" s="9">
        <f>IFERROR(VLOOKUP($A290,pivot!$A:$I,計算式2026!AI$1,FALSE),0)</f>
        <v>0</v>
      </c>
      <c r="AJ290" s="9">
        <f>IFERROR(VLOOKUP($A290,pivot!$A:$I,計算式2026!AJ$1,FALSE),0)</f>
        <v>0</v>
      </c>
      <c r="AK290" s="9">
        <f>IFERROR(VLOOKUP($A290,pivot!$A:$I,計算式2026!AK$1,FALSE),0)</f>
        <v>0</v>
      </c>
      <c r="AL290" s="9">
        <f>IFERROR(VLOOKUP($A290,pivot!$A:$I,計算式2026!AL$1,FALSE),0)</f>
        <v>0</v>
      </c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</row>
    <row r="291" spans="1:59" s="9" customFormat="1">
      <c r="A291" s="8" t="s">
        <v>2723</v>
      </c>
      <c r="B291" s="8" t="s">
        <v>172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R291" s="9">
        <v>3</v>
      </c>
      <c r="S291" s="9">
        <v>2</v>
      </c>
      <c r="T291" s="9">
        <v>0</v>
      </c>
      <c r="U291" s="9">
        <v>1</v>
      </c>
      <c r="V291" s="9">
        <v>3</v>
      </c>
      <c r="W291" s="9">
        <v>1</v>
      </c>
      <c r="X291" s="9">
        <v>2</v>
      </c>
      <c r="AE291" s="9">
        <f>IFERROR(VLOOKUP($A291,pivot!$A:$G,計算式2026!AE$1,FALSE),0)</f>
        <v>0</v>
      </c>
      <c r="AF291" s="9">
        <f>IFERROR(VLOOKUP($A291,pivot!$A:$I,計算式2026!AF$1,FALSE),0)</f>
        <v>0</v>
      </c>
      <c r="AI291" s="9">
        <f>IFERROR(VLOOKUP($A291,pivot!$A:$I,計算式2026!AI$1,FALSE),0)</f>
        <v>0</v>
      </c>
      <c r="AJ291" s="9">
        <f>IFERROR(VLOOKUP($A291,pivot!$A:$I,計算式2026!AJ$1,FALSE),0)</f>
        <v>0</v>
      </c>
      <c r="AK291" s="9">
        <f>IFERROR(VLOOKUP($A291,pivot!$A:$I,計算式2026!AK$1,FALSE),0)</f>
        <v>0</v>
      </c>
      <c r="AL291" s="9">
        <f>IFERROR(VLOOKUP($A291,pivot!$A:$I,計算式2026!AL$1,FALSE),0)</f>
        <v>0</v>
      </c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</row>
    <row r="292" spans="1:59" s="9" customFormat="1">
      <c r="A292" s="8" t="s">
        <v>187</v>
      </c>
      <c r="B292" s="8" t="s">
        <v>172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R292" s="9">
        <v>3</v>
      </c>
      <c r="S292" s="9">
        <v>4</v>
      </c>
      <c r="T292" s="9">
        <v>2</v>
      </c>
      <c r="U292" s="9">
        <v>3</v>
      </c>
      <c r="V292" s="9">
        <v>5</v>
      </c>
      <c r="W292" s="9">
        <v>0</v>
      </c>
      <c r="X292" s="9">
        <v>2</v>
      </c>
      <c r="AE292" s="9">
        <f>IFERROR(VLOOKUP($A292,pivot!$A:$G,計算式2026!AE$1,FALSE),0)</f>
        <v>0</v>
      </c>
      <c r="AF292" s="9">
        <f>IFERROR(VLOOKUP($A292,pivot!$A:$I,計算式2026!AF$1,FALSE),0)</f>
        <v>1</v>
      </c>
      <c r="AI292" s="9">
        <f>IFERROR(VLOOKUP($A292,pivot!$A:$I,計算式2026!AI$1,FALSE),0)</f>
        <v>1</v>
      </c>
      <c r="AJ292" s="9">
        <f>IFERROR(VLOOKUP($A292,pivot!$A:$I,計算式2026!AJ$1,FALSE),0)</f>
        <v>0</v>
      </c>
      <c r="AK292" s="9">
        <f>IFERROR(VLOOKUP($A292,pivot!$A:$I,計算式2026!AK$1,FALSE),0)</f>
        <v>0</v>
      </c>
      <c r="AL292" s="9">
        <f>IFERROR(VLOOKUP($A292,pivot!$A:$I,計算式2026!AL$1,FALSE),0)</f>
        <v>0</v>
      </c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</row>
    <row r="293" spans="1:59" s="9" customFormat="1">
      <c r="A293" s="8" t="s">
        <v>188</v>
      </c>
      <c r="B293" s="8" t="s">
        <v>172</v>
      </c>
      <c r="C293" s="9">
        <v>1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R293" s="9">
        <v>3</v>
      </c>
      <c r="S293" s="9">
        <v>4</v>
      </c>
      <c r="T293" s="9">
        <v>1</v>
      </c>
      <c r="U293" s="9">
        <v>3</v>
      </c>
      <c r="V293" s="9">
        <v>3</v>
      </c>
      <c r="W293" s="9">
        <v>1</v>
      </c>
      <c r="X293" s="9">
        <v>2</v>
      </c>
      <c r="AE293" s="9">
        <f>IFERROR(VLOOKUP($A293,pivot!$A:$G,計算式2026!AE$1,FALSE),0)</f>
        <v>0</v>
      </c>
      <c r="AF293" s="9">
        <f>IFERROR(VLOOKUP($A293,pivot!$A:$I,計算式2026!AF$1,FALSE),0)</f>
        <v>0</v>
      </c>
      <c r="AI293" s="9">
        <f>IFERROR(VLOOKUP($A293,pivot!$A:$I,計算式2026!AI$1,FALSE),0)</f>
        <v>0</v>
      </c>
      <c r="AJ293" s="9">
        <f>IFERROR(VLOOKUP($A293,pivot!$A:$I,計算式2026!AJ$1,FALSE),0)</f>
        <v>0</v>
      </c>
      <c r="AK293" s="9">
        <f>IFERROR(VLOOKUP($A293,pivot!$A:$I,計算式2026!AK$1,FALSE),0)</f>
        <v>0</v>
      </c>
      <c r="AL293" s="9">
        <f>IFERROR(VLOOKUP($A293,pivot!$A:$I,計算式2026!AL$1,FALSE),0)</f>
        <v>0</v>
      </c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</row>
    <row r="294" spans="1:59" s="9" customFormat="1">
      <c r="A294" s="8" t="s">
        <v>189</v>
      </c>
      <c r="B294" s="8" t="s">
        <v>172</v>
      </c>
      <c r="C294" s="9">
        <v>3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R294" s="9">
        <v>3</v>
      </c>
      <c r="S294" s="9">
        <v>4</v>
      </c>
      <c r="T294" s="9">
        <v>1</v>
      </c>
      <c r="U294" s="9">
        <v>2</v>
      </c>
      <c r="V294" s="9">
        <v>3</v>
      </c>
      <c r="W294" s="9">
        <v>1</v>
      </c>
      <c r="X294" s="9">
        <v>2</v>
      </c>
      <c r="AE294" s="9">
        <f>IFERROR(VLOOKUP($A294,pivot!$A:$G,計算式2026!AE$1,FALSE),0)</f>
        <v>0</v>
      </c>
      <c r="AF294" s="9">
        <f>IFERROR(VLOOKUP($A294,pivot!$A:$I,計算式2026!AF$1,FALSE),0)</f>
        <v>0</v>
      </c>
      <c r="AI294" s="9">
        <f>IFERROR(VLOOKUP($A294,pivot!$A:$I,計算式2026!AI$1,FALSE),0)</f>
        <v>0</v>
      </c>
      <c r="AJ294" s="9">
        <f>IFERROR(VLOOKUP($A294,pivot!$A:$I,計算式2026!AJ$1,FALSE),0)</f>
        <v>0</v>
      </c>
      <c r="AK294" s="9">
        <f>IFERROR(VLOOKUP($A294,pivot!$A:$I,計算式2026!AK$1,FALSE),0)</f>
        <v>0</v>
      </c>
      <c r="AL294" s="9">
        <f>IFERROR(VLOOKUP($A294,pivot!$A:$I,計算式2026!AL$1,FALSE),0)</f>
        <v>0</v>
      </c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</row>
    <row r="295" spans="1:59" s="9" customFormat="1">
      <c r="A295" s="8" t="s">
        <v>190</v>
      </c>
      <c r="B295" s="8" t="s">
        <v>172</v>
      </c>
      <c r="C295" s="9">
        <v>2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R295" s="9">
        <v>3</v>
      </c>
      <c r="S295" s="9">
        <v>4</v>
      </c>
      <c r="T295" s="9">
        <v>1</v>
      </c>
      <c r="U295" s="9">
        <v>2</v>
      </c>
      <c r="V295" s="9">
        <v>2</v>
      </c>
      <c r="W295" s="9">
        <v>0</v>
      </c>
      <c r="X295" s="9">
        <v>1</v>
      </c>
      <c r="AE295" s="9">
        <f>IFERROR(VLOOKUP($A295,pivot!$A:$G,計算式2026!AE$1,FALSE),0)</f>
        <v>0</v>
      </c>
      <c r="AF295" s="9">
        <f>IFERROR(VLOOKUP($A295,pivot!$A:$I,計算式2026!AF$1,FALSE),0)</f>
        <v>0</v>
      </c>
      <c r="AI295" s="9">
        <f>IFERROR(VLOOKUP($A295,pivot!$A:$I,計算式2026!AI$1,FALSE),0)</f>
        <v>0</v>
      </c>
      <c r="AJ295" s="9">
        <f>IFERROR(VLOOKUP($A295,pivot!$A:$I,計算式2026!AJ$1,FALSE),0)</f>
        <v>0</v>
      </c>
      <c r="AK295" s="9">
        <f>IFERROR(VLOOKUP($A295,pivot!$A:$I,計算式2026!AK$1,FALSE),0)</f>
        <v>0</v>
      </c>
      <c r="AL295" s="9">
        <f>IFERROR(VLOOKUP($A295,pivot!$A:$I,計算式2026!AL$1,FALSE),0)</f>
        <v>1</v>
      </c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</row>
    <row r="296" spans="1:59" s="9" customFormat="1">
      <c r="A296" s="8" t="s">
        <v>1654</v>
      </c>
      <c r="B296" s="8" t="s">
        <v>172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R296" s="9">
        <v>3</v>
      </c>
      <c r="S296" s="9">
        <v>2</v>
      </c>
      <c r="T296" s="9">
        <v>1</v>
      </c>
      <c r="U296" s="9">
        <v>3</v>
      </c>
      <c r="V296" s="9">
        <v>1</v>
      </c>
      <c r="W296" s="9">
        <v>1</v>
      </c>
      <c r="X296" s="9">
        <v>1</v>
      </c>
      <c r="AE296" s="9">
        <f>IFERROR(VLOOKUP($A296,pivot!$A:$G,計算式2026!AE$1,FALSE),0)</f>
        <v>0</v>
      </c>
      <c r="AF296" s="9">
        <f>IFERROR(VLOOKUP($A296,pivot!$A:$I,計算式2026!AF$1,FALSE),0)</f>
        <v>0</v>
      </c>
      <c r="AI296" s="9">
        <f>IFERROR(VLOOKUP($A296,pivot!$A:$I,計算式2026!AI$1,FALSE),0)</f>
        <v>0</v>
      </c>
      <c r="AJ296" s="9">
        <f>IFERROR(VLOOKUP($A296,pivot!$A:$I,計算式2026!AJ$1,FALSE),0)</f>
        <v>0</v>
      </c>
      <c r="AK296" s="9">
        <f>IFERROR(VLOOKUP($A296,pivot!$A:$I,計算式2026!AK$1,FALSE),0)</f>
        <v>0</v>
      </c>
      <c r="AL296" s="9">
        <f>IFERROR(VLOOKUP($A296,pivot!$A:$I,計算式2026!AL$1,FALSE),0)</f>
        <v>0</v>
      </c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</row>
    <row r="297" spans="1:59" s="9" customFormat="1">
      <c r="A297" s="8" t="s">
        <v>191</v>
      </c>
      <c r="B297" s="8" t="s">
        <v>172</v>
      </c>
      <c r="C297" s="9">
        <v>14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R297" s="9">
        <v>2</v>
      </c>
      <c r="S297" s="9">
        <v>4</v>
      </c>
      <c r="T297" s="9">
        <v>2</v>
      </c>
      <c r="U297" s="9">
        <v>3</v>
      </c>
      <c r="V297" s="9">
        <v>3</v>
      </c>
      <c r="W297" s="9">
        <v>1</v>
      </c>
      <c r="X297" s="9">
        <v>3</v>
      </c>
      <c r="AE297" s="9">
        <f>IFERROR(VLOOKUP($A297,pivot!$A:$G,計算式2026!AE$1,FALSE),0)</f>
        <v>0</v>
      </c>
      <c r="AF297" s="9">
        <f>IFERROR(VLOOKUP($A297,pivot!$A:$I,計算式2026!AF$1,FALSE),0)</f>
        <v>0</v>
      </c>
      <c r="AI297" s="9">
        <f>IFERROR(VLOOKUP($A297,pivot!$A:$I,計算式2026!AI$1,FALSE),0)</f>
        <v>0</v>
      </c>
      <c r="AJ297" s="9">
        <f>IFERROR(VLOOKUP($A297,pivot!$A:$I,計算式2026!AJ$1,FALSE),0)</f>
        <v>0</v>
      </c>
      <c r="AK297" s="9">
        <f>IFERROR(VLOOKUP($A297,pivot!$A:$I,計算式2026!AK$1,FALSE),0)</f>
        <v>0</v>
      </c>
      <c r="AL297" s="9">
        <f>IFERROR(VLOOKUP($A297,pivot!$A:$I,計算式2026!AL$1,FALSE),0)</f>
        <v>0</v>
      </c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</row>
    <row r="298" spans="1:59" s="9" customFormat="1">
      <c r="A298" s="8" t="s">
        <v>1563</v>
      </c>
      <c r="B298" s="8" t="s">
        <v>172</v>
      </c>
      <c r="C298" s="9">
        <v>2</v>
      </c>
      <c r="D298" s="9">
        <v>13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R298" s="9">
        <v>3</v>
      </c>
      <c r="S298" s="9">
        <v>3</v>
      </c>
      <c r="T298" s="9">
        <v>1</v>
      </c>
      <c r="U298" s="9">
        <v>3</v>
      </c>
      <c r="V298" s="9">
        <v>3</v>
      </c>
      <c r="W298" s="9">
        <v>1</v>
      </c>
      <c r="X298" s="9">
        <v>2</v>
      </c>
      <c r="AE298" s="9">
        <f>IFERROR(VLOOKUP($A298,pivot!$A:$G,計算式2026!AE$1,FALSE),0)</f>
        <v>0</v>
      </c>
      <c r="AF298" s="9">
        <f>IFERROR(VLOOKUP($A298,pivot!$A:$I,計算式2026!AF$1,FALSE),0)</f>
        <v>0</v>
      </c>
      <c r="AI298" s="9">
        <f>IFERROR(VLOOKUP($A298,pivot!$A:$I,計算式2026!AI$1,FALSE),0)</f>
        <v>0</v>
      </c>
      <c r="AJ298" s="9">
        <f>IFERROR(VLOOKUP($A298,pivot!$A:$I,計算式2026!AJ$1,FALSE),0)</f>
        <v>0</v>
      </c>
      <c r="AK298" s="9">
        <f>IFERROR(VLOOKUP($A298,pivot!$A:$I,計算式2026!AK$1,FALSE),0)</f>
        <v>0</v>
      </c>
      <c r="AL298" s="9">
        <f>IFERROR(VLOOKUP($A298,pivot!$A:$I,計算式2026!AL$1,FALSE),0)</f>
        <v>0</v>
      </c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</row>
    <row r="299" spans="1:59" s="9" customFormat="1">
      <c r="A299" s="8" t="s">
        <v>192</v>
      </c>
      <c r="B299" s="8" t="s">
        <v>172</v>
      </c>
      <c r="C299" s="9">
        <v>4</v>
      </c>
      <c r="D299" s="9">
        <v>7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R299" s="9">
        <v>3</v>
      </c>
      <c r="S299" s="9">
        <v>3</v>
      </c>
      <c r="T299" s="9">
        <v>1</v>
      </c>
      <c r="U299" s="9">
        <v>2</v>
      </c>
      <c r="V299" s="9">
        <v>3</v>
      </c>
      <c r="W299" s="9">
        <v>2</v>
      </c>
      <c r="X299" s="9">
        <v>2</v>
      </c>
      <c r="AE299" s="9">
        <f>IFERROR(VLOOKUP($A299,pivot!$A:$G,計算式2026!AE$1,FALSE),0)</f>
        <v>0</v>
      </c>
      <c r="AF299" s="9">
        <f>IFERROR(VLOOKUP($A299,pivot!$A:$I,計算式2026!AF$1,FALSE),0)</f>
        <v>0</v>
      </c>
      <c r="AI299" s="9">
        <f>IFERROR(VLOOKUP($A299,pivot!$A:$I,計算式2026!AI$1,FALSE),0)</f>
        <v>0</v>
      </c>
      <c r="AJ299" s="9">
        <f>IFERROR(VLOOKUP($A299,pivot!$A:$I,計算式2026!AJ$1,FALSE),0)</f>
        <v>0</v>
      </c>
      <c r="AK299" s="9">
        <f>IFERROR(VLOOKUP($A299,pivot!$A:$I,計算式2026!AK$1,FALSE),0)</f>
        <v>0</v>
      </c>
      <c r="AL299" s="9">
        <f>IFERROR(VLOOKUP($A299,pivot!$A:$I,計算式2026!AL$1,FALSE),0)</f>
        <v>0</v>
      </c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</row>
    <row r="300" spans="1:59" s="9" customFormat="1">
      <c r="A300" s="8" t="s">
        <v>193</v>
      </c>
      <c r="B300" s="8" t="s">
        <v>172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R300" s="9">
        <v>2</v>
      </c>
      <c r="S300" s="9">
        <v>2</v>
      </c>
      <c r="T300" s="9">
        <v>0</v>
      </c>
      <c r="U300" s="9">
        <v>3</v>
      </c>
      <c r="V300" s="9">
        <v>1</v>
      </c>
      <c r="W300" s="9">
        <v>2</v>
      </c>
      <c r="X300" s="9">
        <v>0</v>
      </c>
      <c r="AE300" s="9">
        <f>IFERROR(VLOOKUP($A300,pivot!$A:$G,計算式2026!AE$1,FALSE),0)</f>
        <v>0</v>
      </c>
      <c r="AF300" s="9">
        <f>IFERROR(VLOOKUP($A300,pivot!$A:$I,計算式2026!AF$1,FALSE),0)</f>
        <v>0</v>
      </c>
      <c r="AI300" s="9">
        <f>IFERROR(VLOOKUP($A300,pivot!$A:$I,計算式2026!AI$1,FALSE),0)</f>
        <v>0</v>
      </c>
      <c r="AJ300" s="9">
        <f>IFERROR(VLOOKUP($A300,pivot!$A:$I,計算式2026!AJ$1,FALSE),0)</f>
        <v>0</v>
      </c>
      <c r="AK300" s="9">
        <f>IFERROR(VLOOKUP($A300,pivot!$A:$I,計算式2026!AK$1,FALSE),0)</f>
        <v>0</v>
      </c>
      <c r="AL300" s="9">
        <f>IFERROR(VLOOKUP($A300,pivot!$A:$I,計算式2026!AL$1,FALSE),0)</f>
        <v>0</v>
      </c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</row>
    <row r="301" spans="1:59" s="9" customFormat="1">
      <c r="A301" s="8" t="s">
        <v>194</v>
      </c>
      <c r="B301" s="8" t="s">
        <v>172</v>
      </c>
      <c r="C301" s="9">
        <v>4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R301" s="9">
        <v>2</v>
      </c>
      <c r="S301" s="9">
        <v>4</v>
      </c>
      <c r="T301" s="9">
        <v>1</v>
      </c>
      <c r="U301" s="9">
        <v>3</v>
      </c>
      <c r="V301" s="9">
        <v>3</v>
      </c>
      <c r="W301" s="9">
        <v>2</v>
      </c>
      <c r="X301" s="9">
        <v>3</v>
      </c>
      <c r="AE301" s="9">
        <f>IFERROR(VLOOKUP($A301,pivot!$A:$G,計算式2026!AE$1,FALSE),0)</f>
        <v>0</v>
      </c>
      <c r="AF301" s="9">
        <f>IFERROR(VLOOKUP($A301,pivot!$A:$I,計算式2026!AF$1,FALSE),0)</f>
        <v>0</v>
      </c>
      <c r="AI301" s="9">
        <f>IFERROR(VLOOKUP($A301,pivot!$A:$I,計算式2026!AI$1,FALSE),0)</f>
        <v>0</v>
      </c>
      <c r="AJ301" s="9">
        <f>IFERROR(VLOOKUP($A301,pivot!$A:$I,計算式2026!AJ$1,FALSE),0)</f>
        <v>0</v>
      </c>
      <c r="AK301" s="9">
        <f>IFERROR(VLOOKUP($A301,pivot!$A:$I,計算式2026!AK$1,FALSE),0)</f>
        <v>0</v>
      </c>
      <c r="AL301" s="9">
        <f>IFERROR(VLOOKUP($A301,pivot!$A:$I,計算式2026!AL$1,FALSE),0)</f>
        <v>0</v>
      </c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</row>
    <row r="302" spans="1:59" s="9" customFormat="1">
      <c r="A302" s="8" t="s">
        <v>195</v>
      </c>
      <c r="B302" s="8" t="s">
        <v>172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R302" s="9">
        <v>3</v>
      </c>
      <c r="S302" s="9">
        <v>4</v>
      </c>
      <c r="T302" s="9">
        <v>1</v>
      </c>
      <c r="U302" s="9">
        <v>3</v>
      </c>
      <c r="V302" s="9">
        <v>4</v>
      </c>
      <c r="W302" s="9">
        <v>1</v>
      </c>
      <c r="X302" s="9">
        <v>4</v>
      </c>
      <c r="AE302" s="9">
        <f>IFERROR(VLOOKUP($A302,pivot!$A:$G,計算式2026!AE$1,FALSE),0)</f>
        <v>0</v>
      </c>
      <c r="AF302" s="9">
        <f>IFERROR(VLOOKUP($A302,pivot!$A:$I,計算式2026!AF$1,FALSE),0)</f>
        <v>0</v>
      </c>
      <c r="AI302" s="9">
        <f>IFERROR(VLOOKUP($A302,pivot!$A:$I,計算式2026!AI$1,FALSE),0)</f>
        <v>0</v>
      </c>
      <c r="AJ302" s="9">
        <f>IFERROR(VLOOKUP($A302,pivot!$A:$I,計算式2026!AJ$1,FALSE),0)</f>
        <v>0</v>
      </c>
      <c r="AK302" s="9">
        <f>IFERROR(VLOOKUP($A302,pivot!$A:$I,計算式2026!AK$1,FALSE),0)</f>
        <v>0</v>
      </c>
      <c r="AL302" s="9">
        <f>IFERROR(VLOOKUP($A302,pivot!$A:$I,計算式2026!AL$1,FALSE),0)</f>
        <v>0</v>
      </c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</row>
    <row r="303" spans="1:59" s="9" customFormat="1">
      <c r="A303" s="8" t="s">
        <v>1655</v>
      </c>
      <c r="B303" s="8" t="s">
        <v>172</v>
      </c>
      <c r="C303" s="9">
        <v>1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R303" s="9">
        <v>2</v>
      </c>
      <c r="S303" s="9">
        <v>3</v>
      </c>
      <c r="T303" s="9">
        <v>1</v>
      </c>
      <c r="U303" s="9">
        <v>2</v>
      </c>
      <c r="V303" s="9">
        <v>3</v>
      </c>
      <c r="W303" s="9">
        <v>1</v>
      </c>
      <c r="X303" s="9">
        <v>2</v>
      </c>
      <c r="AE303" s="9">
        <f>IFERROR(VLOOKUP($A303,pivot!$A:$G,計算式2026!AE$1,FALSE),0)</f>
        <v>0</v>
      </c>
      <c r="AF303" s="9">
        <f>IFERROR(VLOOKUP($A303,pivot!$A:$I,計算式2026!AF$1,FALSE),0)</f>
        <v>0</v>
      </c>
      <c r="AI303" s="9">
        <f>IFERROR(VLOOKUP($A303,pivot!$A:$I,計算式2026!AI$1,FALSE),0)</f>
        <v>0</v>
      </c>
      <c r="AJ303" s="9">
        <f>IFERROR(VLOOKUP($A303,pivot!$A:$I,計算式2026!AJ$1,FALSE),0)</f>
        <v>0</v>
      </c>
      <c r="AK303" s="9">
        <f>IFERROR(VLOOKUP($A303,pivot!$A:$I,計算式2026!AK$1,FALSE),0)</f>
        <v>0</v>
      </c>
      <c r="AL303" s="9">
        <f>IFERROR(VLOOKUP($A303,pivot!$A:$I,計算式2026!AL$1,FALSE),0)</f>
        <v>0</v>
      </c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</row>
    <row r="304" spans="1:59" s="9" customFormat="1">
      <c r="A304" s="8" t="s">
        <v>196</v>
      </c>
      <c r="B304" s="8" t="s">
        <v>172</v>
      </c>
      <c r="C304" s="9">
        <v>43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R304" s="9">
        <v>2</v>
      </c>
      <c r="S304" s="9">
        <v>3</v>
      </c>
      <c r="T304" s="9">
        <v>2</v>
      </c>
      <c r="U304" s="9">
        <v>2</v>
      </c>
      <c r="V304" s="9">
        <v>3</v>
      </c>
      <c r="W304" s="9">
        <v>1</v>
      </c>
      <c r="X304" s="9">
        <v>2</v>
      </c>
      <c r="AE304" s="9">
        <f>IFERROR(VLOOKUP($A304,pivot!$A:$G,計算式2026!AE$1,FALSE),0)</f>
        <v>0</v>
      </c>
      <c r="AF304" s="9">
        <f>IFERROR(VLOOKUP($A304,pivot!$A:$I,計算式2026!AF$1,FALSE),0)</f>
        <v>0</v>
      </c>
      <c r="AI304" s="9">
        <f>IFERROR(VLOOKUP($A304,pivot!$A:$I,計算式2026!AI$1,FALSE),0)</f>
        <v>0</v>
      </c>
      <c r="AJ304" s="9">
        <f>IFERROR(VLOOKUP($A304,pivot!$A:$I,計算式2026!AJ$1,FALSE),0)</f>
        <v>0</v>
      </c>
      <c r="AK304" s="9">
        <f>IFERROR(VLOOKUP($A304,pivot!$A:$I,計算式2026!AK$1,FALSE),0)</f>
        <v>0</v>
      </c>
      <c r="AL304" s="9">
        <f>IFERROR(VLOOKUP($A304,pivot!$A:$I,計算式2026!AL$1,FALSE),0)</f>
        <v>0</v>
      </c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</row>
    <row r="305" spans="1:59" s="9" customFormat="1">
      <c r="A305" s="8" t="s">
        <v>197</v>
      </c>
      <c r="B305" s="8" t="s">
        <v>172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R305" s="9">
        <v>3</v>
      </c>
      <c r="S305" s="9">
        <v>3</v>
      </c>
      <c r="T305" s="9">
        <v>1</v>
      </c>
      <c r="U305" s="9">
        <v>3</v>
      </c>
      <c r="V305" s="9">
        <v>3</v>
      </c>
      <c r="W305" s="9">
        <v>1</v>
      </c>
      <c r="X305" s="9">
        <v>2</v>
      </c>
      <c r="AE305" s="9">
        <f>IFERROR(VLOOKUP($A305,pivot!$A:$G,計算式2026!AE$1,FALSE),0)</f>
        <v>0</v>
      </c>
      <c r="AF305" s="9">
        <f>IFERROR(VLOOKUP($A305,pivot!$A:$I,計算式2026!AF$1,FALSE),0)</f>
        <v>0</v>
      </c>
      <c r="AI305" s="9">
        <f>IFERROR(VLOOKUP($A305,pivot!$A:$I,計算式2026!AI$1,FALSE),0)</f>
        <v>0</v>
      </c>
      <c r="AJ305" s="9">
        <f>IFERROR(VLOOKUP($A305,pivot!$A:$I,計算式2026!AJ$1,FALSE),0)</f>
        <v>0</v>
      </c>
      <c r="AK305" s="9">
        <f>IFERROR(VLOOKUP($A305,pivot!$A:$I,計算式2026!AK$1,FALSE),0)</f>
        <v>0</v>
      </c>
      <c r="AL305" s="9">
        <f>IFERROR(VLOOKUP($A305,pivot!$A:$I,計算式2026!AL$1,FALSE),0)</f>
        <v>0</v>
      </c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</row>
    <row r="306" spans="1:59" s="9" customFormat="1">
      <c r="A306" s="8" t="s">
        <v>198</v>
      </c>
      <c r="B306" s="8" t="s">
        <v>172</v>
      </c>
      <c r="C306" s="9">
        <v>2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R306" s="9">
        <v>3</v>
      </c>
      <c r="S306" s="9">
        <v>3</v>
      </c>
      <c r="T306" s="9">
        <v>1</v>
      </c>
      <c r="U306" s="9">
        <v>3</v>
      </c>
      <c r="V306" s="9">
        <v>3</v>
      </c>
      <c r="W306" s="9">
        <v>2</v>
      </c>
      <c r="X306" s="9">
        <v>3</v>
      </c>
      <c r="AE306" s="9">
        <f>IFERROR(VLOOKUP($A306,pivot!$A:$G,計算式2026!AE$1,FALSE),0)</f>
        <v>0</v>
      </c>
      <c r="AF306" s="9">
        <f>IFERROR(VLOOKUP($A306,pivot!$A:$I,計算式2026!AF$1,FALSE),0)</f>
        <v>0</v>
      </c>
      <c r="AI306" s="9">
        <f>IFERROR(VLOOKUP($A306,pivot!$A:$I,計算式2026!AI$1,FALSE),0)</f>
        <v>0</v>
      </c>
      <c r="AJ306" s="9">
        <f>IFERROR(VLOOKUP($A306,pivot!$A:$I,計算式2026!AJ$1,FALSE),0)</f>
        <v>0</v>
      </c>
      <c r="AK306" s="9">
        <f>IFERROR(VLOOKUP($A306,pivot!$A:$I,計算式2026!AK$1,FALSE),0)</f>
        <v>0</v>
      </c>
      <c r="AL306" s="9">
        <f>IFERROR(VLOOKUP($A306,pivot!$A:$I,計算式2026!AL$1,FALSE),0)</f>
        <v>0</v>
      </c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</row>
    <row r="307" spans="1:59" s="9" customFormat="1">
      <c r="A307" s="8" t="s">
        <v>2724</v>
      </c>
      <c r="B307" s="8" t="s">
        <v>172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R307" s="9">
        <v>3</v>
      </c>
      <c r="S307" s="9">
        <v>2</v>
      </c>
      <c r="T307" s="9">
        <v>1</v>
      </c>
      <c r="U307" s="9">
        <v>0</v>
      </c>
      <c r="V307" s="9">
        <v>2</v>
      </c>
      <c r="W307" s="9">
        <v>1</v>
      </c>
      <c r="X307" s="9">
        <v>1</v>
      </c>
      <c r="AE307" s="9">
        <f>IFERROR(VLOOKUP($A307,pivot!$A:$G,計算式2026!AE$1,FALSE),0)</f>
        <v>0</v>
      </c>
      <c r="AF307" s="9">
        <f>IFERROR(VLOOKUP($A307,pivot!$A:$I,計算式2026!AF$1,FALSE),0)</f>
        <v>0</v>
      </c>
      <c r="AI307" s="9">
        <f>IFERROR(VLOOKUP($A307,pivot!$A:$I,計算式2026!AI$1,FALSE),0)</f>
        <v>0</v>
      </c>
      <c r="AJ307" s="9">
        <f>IFERROR(VLOOKUP($A307,pivot!$A:$I,計算式2026!AJ$1,FALSE),0)</f>
        <v>0</v>
      </c>
      <c r="AK307" s="9">
        <f>IFERROR(VLOOKUP($A307,pivot!$A:$I,計算式2026!AK$1,FALSE),0)</f>
        <v>0</v>
      </c>
      <c r="AL307" s="9">
        <f>IFERROR(VLOOKUP($A307,pivot!$A:$I,計算式2026!AL$1,FALSE),0)</f>
        <v>0</v>
      </c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</row>
    <row r="308" spans="1:59" s="9" customFormat="1">
      <c r="A308" s="8" t="s">
        <v>199</v>
      </c>
      <c r="B308" s="8" t="s">
        <v>172</v>
      </c>
      <c r="C308" s="9">
        <v>9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R308" s="9">
        <v>3</v>
      </c>
      <c r="S308" s="9">
        <v>4</v>
      </c>
      <c r="T308" s="9">
        <v>1</v>
      </c>
      <c r="U308" s="9">
        <v>3</v>
      </c>
      <c r="V308" s="9">
        <v>3</v>
      </c>
      <c r="W308" s="9">
        <v>1</v>
      </c>
      <c r="X308" s="9">
        <v>3</v>
      </c>
      <c r="AE308" s="9">
        <f>IFERROR(VLOOKUP($A308,pivot!$A:$G,計算式2026!AE$1,FALSE),0)</f>
        <v>0</v>
      </c>
      <c r="AF308" s="9">
        <f>IFERROR(VLOOKUP($A308,pivot!$A:$I,計算式2026!AF$1,FALSE),0)</f>
        <v>0</v>
      </c>
      <c r="AI308" s="9">
        <f>IFERROR(VLOOKUP($A308,pivot!$A:$I,計算式2026!AI$1,FALSE),0)</f>
        <v>1</v>
      </c>
      <c r="AJ308" s="9">
        <f>IFERROR(VLOOKUP($A308,pivot!$A:$I,計算式2026!AJ$1,FALSE),0)</f>
        <v>0</v>
      </c>
      <c r="AK308" s="9">
        <f>IFERROR(VLOOKUP($A308,pivot!$A:$I,計算式2026!AK$1,FALSE),0)</f>
        <v>0</v>
      </c>
      <c r="AL308" s="9">
        <f>IFERROR(VLOOKUP($A308,pivot!$A:$I,計算式2026!AL$1,FALSE),0)</f>
        <v>0</v>
      </c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</row>
    <row r="309" spans="1:59" s="9" customFormat="1">
      <c r="A309" s="8" t="s">
        <v>200</v>
      </c>
      <c r="B309" s="8" t="s">
        <v>172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R309" s="9">
        <v>2</v>
      </c>
      <c r="S309" s="9">
        <v>2</v>
      </c>
      <c r="T309" s="9">
        <v>0</v>
      </c>
      <c r="U309" s="9">
        <v>2</v>
      </c>
      <c r="V309" s="9">
        <v>0</v>
      </c>
      <c r="W309" s="9">
        <v>0</v>
      </c>
      <c r="X309" s="9">
        <v>0</v>
      </c>
      <c r="AE309" s="9">
        <f>IFERROR(VLOOKUP($A309,pivot!$A:$G,計算式2026!AE$1,FALSE),0)</f>
        <v>0</v>
      </c>
      <c r="AF309" s="9">
        <f>IFERROR(VLOOKUP($A309,pivot!$A:$I,計算式2026!AF$1,FALSE),0)</f>
        <v>0</v>
      </c>
      <c r="AI309" s="9">
        <f>IFERROR(VLOOKUP($A309,pivot!$A:$I,計算式2026!AI$1,FALSE),0)</f>
        <v>0</v>
      </c>
      <c r="AJ309" s="9">
        <f>IFERROR(VLOOKUP($A309,pivot!$A:$I,計算式2026!AJ$1,FALSE),0)</f>
        <v>0</v>
      </c>
      <c r="AK309" s="9">
        <f>IFERROR(VLOOKUP($A309,pivot!$A:$I,計算式2026!AK$1,FALSE),0)</f>
        <v>0</v>
      </c>
      <c r="AL309" s="9">
        <f>IFERROR(VLOOKUP($A309,pivot!$A:$I,計算式2026!AL$1,FALSE),0)</f>
        <v>0</v>
      </c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</row>
    <row r="310" spans="1:59" s="9" customFormat="1">
      <c r="A310" s="8" t="s">
        <v>201</v>
      </c>
      <c r="B310" s="8" t="s">
        <v>172</v>
      </c>
      <c r="C310" s="9">
        <v>9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R310" s="9">
        <v>3</v>
      </c>
      <c r="S310" s="9">
        <v>4</v>
      </c>
      <c r="T310" s="9">
        <v>2</v>
      </c>
      <c r="U310" s="9">
        <v>4</v>
      </c>
      <c r="V310" s="9">
        <v>4</v>
      </c>
      <c r="W310" s="9">
        <v>2</v>
      </c>
      <c r="X310" s="9">
        <v>2</v>
      </c>
      <c r="AE310" s="9">
        <f>IFERROR(VLOOKUP($A310,pivot!$A:$G,計算式2026!AE$1,FALSE),0)</f>
        <v>0</v>
      </c>
      <c r="AF310" s="9">
        <f>IFERROR(VLOOKUP($A310,pivot!$A:$I,計算式2026!AF$1,FALSE),0)</f>
        <v>0</v>
      </c>
      <c r="AI310" s="9">
        <f>IFERROR(VLOOKUP($A310,pivot!$A:$I,計算式2026!AI$1,FALSE),0)</f>
        <v>0</v>
      </c>
      <c r="AJ310" s="9">
        <f>IFERROR(VLOOKUP($A310,pivot!$A:$I,計算式2026!AJ$1,FALSE),0)</f>
        <v>0</v>
      </c>
      <c r="AK310" s="9">
        <f>IFERROR(VLOOKUP($A310,pivot!$A:$I,計算式2026!AK$1,FALSE),0)</f>
        <v>0</v>
      </c>
      <c r="AL310" s="9">
        <f>IFERROR(VLOOKUP($A310,pivot!$A:$I,計算式2026!AL$1,FALSE),0)</f>
        <v>0</v>
      </c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</row>
    <row r="311" spans="1:59" s="9" customFormat="1">
      <c r="A311" s="8" t="s">
        <v>202</v>
      </c>
      <c r="B311" s="8" t="s">
        <v>172</v>
      </c>
      <c r="C311" s="9">
        <v>4</v>
      </c>
      <c r="D311" s="9">
        <v>23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R311" s="9">
        <v>4</v>
      </c>
      <c r="S311" s="9">
        <v>4</v>
      </c>
      <c r="T311" s="9">
        <v>2</v>
      </c>
      <c r="U311" s="9">
        <v>4</v>
      </c>
      <c r="V311" s="9">
        <v>4</v>
      </c>
      <c r="W311" s="9">
        <v>1</v>
      </c>
      <c r="X311" s="9">
        <v>2</v>
      </c>
      <c r="AE311" s="9">
        <f>IFERROR(VLOOKUP($A311,pivot!$A:$G,計算式2026!AE$1,FALSE),0)</f>
        <v>0</v>
      </c>
      <c r="AF311" s="9">
        <f>IFERROR(VLOOKUP($A311,pivot!$A:$I,計算式2026!AF$1,FALSE),0)</f>
        <v>0</v>
      </c>
      <c r="AI311" s="9">
        <f>IFERROR(VLOOKUP($A311,pivot!$A:$I,計算式2026!AI$1,FALSE),0)</f>
        <v>1</v>
      </c>
      <c r="AJ311" s="9">
        <f>IFERROR(VLOOKUP($A311,pivot!$A:$I,計算式2026!AJ$1,FALSE),0)</f>
        <v>0</v>
      </c>
      <c r="AK311" s="9">
        <f>IFERROR(VLOOKUP($A311,pivot!$A:$I,計算式2026!AK$1,FALSE),0)</f>
        <v>0</v>
      </c>
      <c r="AL311" s="9">
        <f>IFERROR(VLOOKUP($A311,pivot!$A:$I,計算式2026!AL$1,FALSE),0)</f>
        <v>0</v>
      </c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</row>
    <row r="312" spans="1:59" s="9" customFormat="1">
      <c r="A312" s="8" t="s">
        <v>203</v>
      </c>
      <c r="B312" s="8" t="s">
        <v>172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AE312" s="9">
        <f>IFERROR(VLOOKUP($A312,pivot!$A:$G,計算式2026!AE$1,FALSE),0)</f>
        <v>0</v>
      </c>
      <c r="AF312" s="9">
        <f>IFERROR(VLOOKUP($A312,pivot!$A:$I,計算式2026!AF$1,FALSE),0)</f>
        <v>0</v>
      </c>
      <c r="AI312" s="9">
        <f>IFERROR(VLOOKUP($A312,pivot!$A:$I,計算式2026!AI$1,FALSE),0)</f>
        <v>0</v>
      </c>
      <c r="AJ312" s="9">
        <f>IFERROR(VLOOKUP($A312,pivot!$A:$I,計算式2026!AJ$1,FALSE),0)</f>
        <v>0</v>
      </c>
      <c r="AK312" s="9">
        <f>IFERROR(VLOOKUP($A312,pivot!$A:$I,計算式2026!AK$1,FALSE),0)</f>
        <v>0</v>
      </c>
      <c r="AL312" s="9">
        <f>IFERROR(VLOOKUP($A312,pivot!$A:$I,計算式2026!AL$1,FALSE),0)</f>
        <v>0</v>
      </c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</row>
    <row r="313" spans="1:59" s="9" customFormat="1">
      <c r="A313" s="8" t="s">
        <v>204</v>
      </c>
      <c r="B313" s="8" t="s">
        <v>172</v>
      </c>
      <c r="C313" s="9">
        <v>2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R313" s="9">
        <v>3</v>
      </c>
      <c r="S313" s="9">
        <v>4</v>
      </c>
      <c r="T313" s="9">
        <v>2</v>
      </c>
      <c r="U313" s="9">
        <v>3</v>
      </c>
      <c r="V313" s="9">
        <v>4</v>
      </c>
      <c r="W313" s="9">
        <v>1</v>
      </c>
      <c r="X313" s="9">
        <v>2</v>
      </c>
      <c r="AE313" s="9">
        <f>IFERROR(VLOOKUP($A313,pivot!$A:$G,計算式2026!AE$1,FALSE),0)</f>
        <v>0</v>
      </c>
      <c r="AF313" s="9">
        <f>IFERROR(VLOOKUP($A313,pivot!$A:$I,計算式2026!AF$1,FALSE),0)</f>
        <v>0</v>
      </c>
      <c r="AI313" s="9">
        <f>IFERROR(VLOOKUP($A313,pivot!$A:$I,計算式2026!AI$1,FALSE),0)</f>
        <v>0</v>
      </c>
      <c r="AJ313" s="9">
        <f>IFERROR(VLOOKUP($A313,pivot!$A:$I,計算式2026!AJ$1,FALSE),0)</f>
        <v>1</v>
      </c>
      <c r="AK313" s="9">
        <f>IFERROR(VLOOKUP($A313,pivot!$A:$I,計算式2026!AK$1,FALSE),0)</f>
        <v>0</v>
      </c>
      <c r="AL313" s="9">
        <f>IFERROR(VLOOKUP($A313,pivot!$A:$I,計算式2026!AL$1,FALSE),0)</f>
        <v>0</v>
      </c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</row>
    <row r="314" spans="1:59" s="9" customFormat="1">
      <c r="A314" s="8" t="s">
        <v>205</v>
      </c>
      <c r="B314" s="8" t="s">
        <v>172</v>
      </c>
      <c r="C314" s="9">
        <v>36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R314" s="9">
        <v>4</v>
      </c>
      <c r="S314" s="9">
        <v>4</v>
      </c>
      <c r="T314" s="9">
        <v>1</v>
      </c>
      <c r="U314" s="9">
        <v>3</v>
      </c>
      <c r="V314" s="9">
        <v>4</v>
      </c>
      <c r="W314" s="9">
        <v>2</v>
      </c>
      <c r="X314" s="9">
        <v>2</v>
      </c>
      <c r="AE314" s="9">
        <f>IFERROR(VLOOKUP($A314,pivot!$A:$G,計算式2026!AE$1,FALSE),0)</f>
        <v>0</v>
      </c>
      <c r="AF314" s="9">
        <f>IFERROR(VLOOKUP($A314,pivot!$A:$I,計算式2026!AF$1,FALSE),0)</f>
        <v>0</v>
      </c>
      <c r="AI314" s="9">
        <f>IFERROR(VLOOKUP($A314,pivot!$A:$I,計算式2026!AI$1,FALSE),0)</f>
        <v>0</v>
      </c>
      <c r="AJ314" s="9">
        <f>IFERROR(VLOOKUP($A314,pivot!$A:$I,計算式2026!AJ$1,FALSE),0)</f>
        <v>0</v>
      </c>
      <c r="AK314" s="9">
        <f>IFERROR(VLOOKUP($A314,pivot!$A:$I,計算式2026!AK$1,FALSE),0)</f>
        <v>0</v>
      </c>
      <c r="AL314" s="9">
        <f>IFERROR(VLOOKUP($A314,pivot!$A:$I,計算式2026!AL$1,FALSE),0)</f>
        <v>0</v>
      </c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</row>
    <row r="315" spans="1:59" s="9" customFormat="1">
      <c r="A315" s="8" t="s">
        <v>206</v>
      </c>
      <c r="B315" s="8" t="s">
        <v>172</v>
      </c>
      <c r="C315" s="9">
        <v>79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R315" s="9">
        <v>3</v>
      </c>
      <c r="S315" s="9">
        <v>6</v>
      </c>
      <c r="T315" s="9">
        <v>1</v>
      </c>
      <c r="U315" s="9">
        <v>3</v>
      </c>
      <c r="V315" s="9">
        <v>5</v>
      </c>
      <c r="W315" s="9">
        <v>1</v>
      </c>
      <c r="X315" s="9">
        <v>2</v>
      </c>
      <c r="AE315" s="9">
        <f>IFERROR(VLOOKUP($A315,pivot!$A:$G,計算式2026!AE$1,FALSE),0)</f>
        <v>0</v>
      </c>
      <c r="AF315" s="9">
        <f>IFERROR(VLOOKUP($A315,pivot!$A:$I,計算式2026!AF$1,FALSE),0)</f>
        <v>0</v>
      </c>
      <c r="AI315" s="9">
        <f>IFERROR(VLOOKUP($A315,pivot!$A:$I,計算式2026!AI$1,FALSE),0)</f>
        <v>0</v>
      </c>
      <c r="AJ315" s="9">
        <f>IFERROR(VLOOKUP($A315,pivot!$A:$I,計算式2026!AJ$1,FALSE),0)</f>
        <v>0</v>
      </c>
      <c r="AK315" s="9">
        <f>IFERROR(VLOOKUP($A315,pivot!$A:$I,計算式2026!AK$1,FALSE),0)</f>
        <v>0</v>
      </c>
      <c r="AL315" s="9">
        <f>IFERROR(VLOOKUP($A315,pivot!$A:$I,計算式2026!AL$1,FALSE),0)</f>
        <v>0</v>
      </c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</row>
    <row r="316" spans="1:59" s="9" customFormat="1">
      <c r="A316" s="8" t="s">
        <v>207</v>
      </c>
      <c r="B316" s="8" t="s">
        <v>172</v>
      </c>
      <c r="C316" s="9">
        <v>116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R316" s="9">
        <v>2</v>
      </c>
      <c r="S316" s="9">
        <v>3</v>
      </c>
      <c r="T316" s="9">
        <v>1</v>
      </c>
      <c r="U316" s="9">
        <v>2</v>
      </c>
      <c r="V316" s="9">
        <v>4</v>
      </c>
      <c r="W316" s="9">
        <v>2</v>
      </c>
      <c r="X316" s="9">
        <v>2</v>
      </c>
      <c r="AE316" s="9">
        <f>IFERROR(VLOOKUP($A316,pivot!$A:$G,計算式2026!AE$1,FALSE),0)</f>
        <v>0</v>
      </c>
      <c r="AF316" s="9">
        <f>IFERROR(VLOOKUP($A316,pivot!$A:$I,計算式2026!AF$1,FALSE),0)</f>
        <v>0</v>
      </c>
      <c r="AI316" s="9">
        <f>IFERROR(VLOOKUP($A316,pivot!$A:$I,計算式2026!AI$1,FALSE),0)</f>
        <v>0</v>
      </c>
      <c r="AJ316" s="9">
        <f>IFERROR(VLOOKUP($A316,pivot!$A:$I,計算式2026!AJ$1,FALSE),0)</f>
        <v>0</v>
      </c>
      <c r="AK316" s="9">
        <f>IFERROR(VLOOKUP($A316,pivot!$A:$I,計算式2026!AK$1,FALSE),0)</f>
        <v>0</v>
      </c>
      <c r="AL316" s="9">
        <f>IFERROR(VLOOKUP($A316,pivot!$A:$I,計算式2026!AL$1,FALSE),0)</f>
        <v>0</v>
      </c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</row>
    <row r="317" spans="1:59" s="9" customFormat="1">
      <c r="A317" s="8" t="s">
        <v>2598</v>
      </c>
      <c r="B317" s="8" t="s">
        <v>172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R317" s="9">
        <v>2</v>
      </c>
      <c r="S317" s="9">
        <v>2</v>
      </c>
      <c r="T317" s="9">
        <v>2</v>
      </c>
      <c r="U317" s="9">
        <v>0</v>
      </c>
      <c r="V317" s="9">
        <v>1</v>
      </c>
      <c r="W317" s="9">
        <v>1</v>
      </c>
      <c r="X317" s="9">
        <v>2</v>
      </c>
      <c r="AE317" s="9">
        <f>IFERROR(VLOOKUP($A317,pivot!$A:$G,計算式2026!AE$1,FALSE),0)</f>
        <v>0</v>
      </c>
      <c r="AF317" s="9">
        <f>IFERROR(VLOOKUP($A317,pivot!$A:$I,計算式2026!AF$1,FALSE),0)</f>
        <v>0</v>
      </c>
      <c r="AI317" s="9">
        <f>IFERROR(VLOOKUP($A317,pivot!$A:$I,計算式2026!AI$1,FALSE),0)</f>
        <v>0</v>
      </c>
      <c r="AJ317" s="9">
        <f>IFERROR(VLOOKUP($A317,pivot!$A:$I,計算式2026!AJ$1,FALSE),0)</f>
        <v>0</v>
      </c>
      <c r="AK317" s="9">
        <f>IFERROR(VLOOKUP($A317,pivot!$A:$I,計算式2026!AK$1,FALSE),0)</f>
        <v>0</v>
      </c>
      <c r="AL317" s="9">
        <f>IFERROR(VLOOKUP($A317,pivot!$A:$I,計算式2026!AL$1,FALSE),0)</f>
        <v>0</v>
      </c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</row>
    <row r="318" spans="1:59" s="9" customFormat="1">
      <c r="A318" s="8" t="s">
        <v>208</v>
      </c>
      <c r="B318" s="8" t="s">
        <v>172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1</v>
      </c>
      <c r="X318" s="9">
        <v>0</v>
      </c>
      <c r="AE318" s="9">
        <f>IFERROR(VLOOKUP($A318,pivot!$A:$G,計算式2026!AE$1,FALSE),0)</f>
        <v>0</v>
      </c>
      <c r="AF318" s="9">
        <f>IFERROR(VLOOKUP($A318,pivot!$A:$I,計算式2026!AF$1,FALSE),0)</f>
        <v>0</v>
      </c>
      <c r="AI318" s="9">
        <f>IFERROR(VLOOKUP($A318,pivot!$A:$I,計算式2026!AI$1,FALSE),0)</f>
        <v>0</v>
      </c>
      <c r="AJ318" s="9">
        <f>IFERROR(VLOOKUP($A318,pivot!$A:$I,計算式2026!AJ$1,FALSE),0)</f>
        <v>0</v>
      </c>
      <c r="AK318" s="9">
        <f>IFERROR(VLOOKUP($A318,pivot!$A:$I,計算式2026!AK$1,FALSE),0)</f>
        <v>0</v>
      </c>
      <c r="AL318" s="9">
        <f>IFERROR(VLOOKUP($A318,pivot!$A:$I,計算式2026!AL$1,FALSE),0)</f>
        <v>0</v>
      </c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</row>
    <row r="319" spans="1:59" s="9" customFormat="1">
      <c r="A319" s="8" t="s">
        <v>209</v>
      </c>
      <c r="B319" s="8" t="s">
        <v>172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R319" s="9">
        <v>3</v>
      </c>
      <c r="S319" s="9">
        <v>2</v>
      </c>
      <c r="T319" s="9">
        <v>0</v>
      </c>
      <c r="U319" s="9">
        <v>1</v>
      </c>
      <c r="V319" s="9">
        <v>2</v>
      </c>
      <c r="W319" s="9">
        <v>2</v>
      </c>
      <c r="X319" s="9">
        <v>1</v>
      </c>
      <c r="AE319" s="9">
        <f>IFERROR(VLOOKUP($A319,pivot!$A:$G,計算式2026!AE$1,FALSE),0)</f>
        <v>0</v>
      </c>
      <c r="AF319" s="9">
        <f>IFERROR(VLOOKUP($A319,pivot!$A:$I,計算式2026!AF$1,FALSE),0)</f>
        <v>0</v>
      </c>
      <c r="AI319" s="9">
        <f>IFERROR(VLOOKUP($A319,pivot!$A:$I,計算式2026!AI$1,FALSE),0)</f>
        <v>0</v>
      </c>
      <c r="AJ319" s="9">
        <f>IFERROR(VLOOKUP($A319,pivot!$A:$I,計算式2026!AJ$1,FALSE),0)</f>
        <v>0</v>
      </c>
      <c r="AK319" s="9">
        <f>IFERROR(VLOOKUP($A319,pivot!$A:$I,計算式2026!AK$1,FALSE),0)</f>
        <v>0</v>
      </c>
      <c r="AL319" s="9">
        <f>IFERROR(VLOOKUP($A319,pivot!$A:$I,計算式2026!AL$1,FALSE),0)</f>
        <v>0</v>
      </c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</row>
    <row r="320" spans="1:59" s="9" customFormat="1">
      <c r="A320" s="8" t="s">
        <v>1564</v>
      </c>
      <c r="B320" s="8" t="s">
        <v>172</v>
      </c>
      <c r="C320" s="9">
        <v>9</v>
      </c>
      <c r="D320" s="9">
        <v>21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R320" s="9">
        <v>3</v>
      </c>
      <c r="S320" s="9">
        <v>3</v>
      </c>
      <c r="T320" s="9">
        <v>1</v>
      </c>
      <c r="U320" s="9">
        <v>3</v>
      </c>
      <c r="V320" s="9">
        <v>3</v>
      </c>
      <c r="W320" s="9">
        <v>1</v>
      </c>
      <c r="X320" s="9">
        <v>2</v>
      </c>
      <c r="AE320" s="9">
        <f>IFERROR(VLOOKUP($A320,pivot!$A:$G,計算式2026!AE$1,FALSE),0)</f>
        <v>0</v>
      </c>
      <c r="AF320" s="9">
        <f>IFERROR(VLOOKUP($A320,pivot!$A:$I,計算式2026!AF$1,FALSE),0)</f>
        <v>0</v>
      </c>
      <c r="AI320" s="9">
        <f>IFERROR(VLOOKUP($A320,pivot!$A:$I,計算式2026!AI$1,FALSE),0)</f>
        <v>0</v>
      </c>
      <c r="AJ320" s="9">
        <f>IFERROR(VLOOKUP($A320,pivot!$A:$I,計算式2026!AJ$1,FALSE),0)</f>
        <v>0</v>
      </c>
      <c r="AK320" s="9">
        <f>IFERROR(VLOOKUP($A320,pivot!$A:$I,計算式2026!AK$1,FALSE),0)</f>
        <v>0</v>
      </c>
      <c r="AL320" s="9">
        <f>IFERROR(VLOOKUP($A320,pivot!$A:$I,計算式2026!AL$1,FALSE),0)</f>
        <v>0</v>
      </c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</row>
    <row r="321" spans="1:59" s="9" customFormat="1">
      <c r="A321" s="8" t="s">
        <v>210</v>
      </c>
      <c r="B321" s="8" t="s">
        <v>172</v>
      </c>
      <c r="C321" s="9">
        <v>23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R321" s="9">
        <v>3</v>
      </c>
      <c r="S321" s="9">
        <v>4</v>
      </c>
      <c r="T321" s="9">
        <v>2</v>
      </c>
      <c r="U321" s="9">
        <v>2</v>
      </c>
      <c r="V321" s="9">
        <v>4</v>
      </c>
      <c r="W321" s="9">
        <v>1</v>
      </c>
      <c r="X321" s="9">
        <v>2</v>
      </c>
      <c r="AE321" s="9">
        <f>IFERROR(VLOOKUP($A321,pivot!$A:$G,計算式2026!AE$1,FALSE),0)</f>
        <v>0</v>
      </c>
      <c r="AF321" s="9">
        <f>IFERROR(VLOOKUP($A321,pivot!$A:$I,計算式2026!AF$1,FALSE),0)</f>
        <v>0</v>
      </c>
      <c r="AI321" s="9">
        <f>IFERROR(VLOOKUP($A321,pivot!$A:$I,計算式2026!AI$1,FALSE),0)</f>
        <v>0</v>
      </c>
      <c r="AJ321" s="9">
        <f>IFERROR(VLOOKUP($A321,pivot!$A:$I,計算式2026!AJ$1,FALSE),0)</f>
        <v>0</v>
      </c>
      <c r="AK321" s="9">
        <f>IFERROR(VLOOKUP($A321,pivot!$A:$I,計算式2026!AK$1,FALSE),0)</f>
        <v>0</v>
      </c>
      <c r="AL321" s="9">
        <f>IFERROR(VLOOKUP($A321,pivot!$A:$I,計算式2026!AL$1,FALSE),0)</f>
        <v>1</v>
      </c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</row>
    <row r="322" spans="1:59" s="9" customFormat="1">
      <c r="A322" s="8" t="s">
        <v>211</v>
      </c>
      <c r="B322" s="8" t="s">
        <v>172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R322" s="9">
        <v>3</v>
      </c>
      <c r="S322" s="9">
        <v>2</v>
      </c>
      <c r="T322" s="9">
        <v>1</v>
      </c>
      <c r="U322" s="9">
        <v>2</v>
      </c>
      <c r="V322" s="9">
        <v>2</v>
      </c>
      <c r="W322" s="9">
        <v>1</v>
      </c>
      <c r="X322" s="9">
        <v>0</v>
      </c>
      <c r="AE322" s="9">
        <f>IFERROR(VLOOKUP($A322,pivot!$A:$G,計算式2026!AE$1,FALSE),0)</f>
        <v>0</v>
      </c>
      <c r="AF322" s="9">
        <f>IFERROR(VLOOKUP($A322,pivot!$A:$I,計算式2026!AF$1,FALSE),0)</f>
        <v>0</v>
      </c>
      <c r="AI322" s="9">
        <f>IFERROR(VLOOKUP($A322,pivot!$A:$I,計算式2026!AI$1,FALSE),0)</f>
        <v>0</v>
      </c>
      <c r="AJ322" s="9">
        <f>IFERROR(VLOOKUP($A322,pivot!$A:$I,計算式2026!AJ$1,FALSE),0)</f>
        <v>0</v>
      </c>
      <c r="AK322" s="9">
        <f>IFERROR(VLOOKUP($A322,pivot!$A:$I,計算式2026!AK$1,FALSE),0)</f>
        <v>0</v>
      </c>
      <c r="AL322" s="9">
        <f>IFERROR(VLOOKUP($A322,pivot!$A:$I,計算式2026!AL$1,FALSE),0)</f>
        <v>0</v>
      </c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</row>
    <row r="323" spans="1:59" s="9" customFormat="1">
      <c r="A323" s="8" t="s">
        <v>1925</v>
      </c>
      <c r="B323" s="8" t="s">
        <v>172</v>
      </c>
      <c r="C323" s="9">
        <v>2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R323" s="9">
        <v>3</v>
      </c>
      <c r="S323" s="9">
        <v>4</v>
      </c>
      <c r="T323" s="9">
        <v>2</v>
      </c>
      <c r="U323" s="9">
        <v>3</v>
      </c>
      <c r="V323" s="9">
        <v>4</v>
      </c>
      <c r="W323" s="9">
        <v>1</v>
      </c>
      <c r="X323" s="9">
        <v>2</v>
      </c>
      <c r="AE323" s="9">
        <f>IFERROR(VLOOKUP($A323,pivot!$A:$G,計算式2026!AE$1,FALSE),0)</f>
        <v>0</v>
      </c>
      <c r="AF323" s="9">
        <f>IFERROR(VLOOKUP($A323,pivot!$A:$I,計算式2026!AF$1,FALSE),0)</f>
        <v>0</v>
      </c>
      <c r="AI323" s="9">
        <f>IFERROR(VLOOKUP($A323,pivot!$A:$I,計算式2026!AI$1,FALSE),0)</f>
        <v>0</v>
      </c>
      <c r="AJ323" s="9">
        <f>IFERROR(VLOOKUP($A323,pivot!$A:$I,計算式2026!AJ$1,FALSE),0)</f>
        <v>0</v>
      </c>
      <c r="AK323" s="9">
        <f>IFERROR(VLOOKUP($A323,pivot!$A:$I,計算式2026!AK$1,FALSE),0)</f>
        <v>0</v>
      </c>
      <c r="AL323" s="9">
        <f>IFERROR(VLOOKUP($A323,pivot!$A:$I,計算式2026!AL$1,FALSE),0)</f>
        <v>0</v>
      </c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</row>
    <row r="324" spans="1:59" s="9" customFormat="1">
      <c r="A324" s="8" t="s">
        <v>212</v>
      </c>
      <c r="B324" s="8" t="s">
        <v>172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R324" s="9">
        <v>1</v>
      </c>
      <c r="S324" s="9">
        <v>2</v>
      </c>
      <c r="T324" s="9">
        <v>1</v>
      </c>
      <c r="U324" s="9">
        <v>3</v>
      </c>
      <c r="V324" s="9">
        <v>2</v>
      </c>
      <c r="W324" s="9">
        <v>0</v>
      </c>
      <c r="X324" s="9">
        <v>0</v>
      </c>
      <c r="AE324" s="9">
        <f>IFERROR(VLOOKUP($A324,pivot!$A:$G,計算式2026!AE$1,FALSE),0)</f>
        <v>0</v>
      </c>
      <c r="AF324" s="9">
        <f>IFERROR(VLOOKUP($A324,pivot!$A:$I,計算式2026!AF$1,FALSE),0)</f>
        <v>0</v>
      </c>
      <c r="AI324" s="9">
        <f>IFERROR(VLOOKUP($A324,pivot!$A:$I,計算式2026!AI$1,FALSE),0)</f>
        <v>0</v>
      </c>
      <c r="AJ324" s="9">
        <f>IFERROR(VLOOKUP($A324,pivot!$A:$I,計算式2026!AJ$1,FALSE),0)</f>
        <v>0</v>
      </c>
      <c r="AK324" s="9">
        <f>IFERROR(VLOOKUP($A324,pivot!$A:$I,計算式2026!AK$1,FALSE),0)</f>
        <v>0</v>
      </c>
      <c r="AL324" s="9">
        <f>IFERROR(VLOOKUP($A324,pivot!$A:$I,計算式2026!AL$1,FALSE),0)</f>
        <v>0</v>
      </c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</row>
    <row r="325" spans="1:59" s="9" customFormat="1">
      <c r="A325" s="8" t="s">
        <v>213</v>
      </c>
      <c r="B325" s="8" t="s">
        <v>172</v>
      </c>
      <c r="C325" s="9">
        <v>19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R325" s="9">
        <v>3</v>
      </c>
      <c r="S325" s="9">
        <v>4</v>
      </c>
      <c r="T325" s="9">
        <v>3</v>
      </c>
      <c r="U325" s="9">
        <v>3</v>
      </c>
      <c r="V325" s="9">
        <v>4</v>
      </c>
      <c r="W325" s="9">
        <v>2</v>
      </c>
      <c r="X325" s="9">
        <v>2</v>
      </c>
      <c r="AE325" s="9">
        <f>IFERROR(VLOOKUP($A325,pivot!$A:$G,計算式2026!AE$1,FALSE),0)</f>
        <v>0</v>
      </c>
      <c r="AF325" s="9">
        <f>IFERROR(VLOOKUP($A325,pivot!$A:$I,計算式2026!AF$1,FALSE),0)</f>
        <v>0</v>
      </c>
      <c r="AI325" s="9">
        <f>IFERROR(VLOOKUP($A325,pivot!$A:$I,計算式2026!AI$1,FALSE),0)</f>
        <v>0</v>
      </c>
      <c r="AJ325" s="9">
        <f>IFERROR(VLOOKUP($A325,pivot!$A:$I,計算式2026!AJ$1,FALSE),0)</f>
        <v>0</v>
      </c>
      <c r="AK325" s="9">
        <f>IFERROR(VLOOKUP($A325,pivot!$A:$I,計算式2026!AK$1,FALSE),0)</f>
        <v>0</v>
      </c>
      <c r="AL325" s="9">
        <f>IFERROR(VLOOKUP($A325,pivot!$A:$I,計算式2026!AL$1,FALSE),0)</f>
        <v>0</v>
      </c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</row>
    <row r="326" spans="1:59" s="9" customFormat="1">
      <c r="A326" s="8" t="s">
        <v>2725</v>
      </c>
      <c r="B326" s="8" t="s">
        <v>172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R326" s="9">
        <v>0</v>
      </c>
      <c r="S326" s="9">
        <v>3</v>
      </c>
      <c r="T326" s="9">
        <v>1</v>
      </c>
      <c r="U326" s="9">
        <v>2</v>
      </c>
      <c r="V326" s="9">
        <v>1</v>
      </c>
      <c r="W326" s="9">
        <v>0</v>
      </c>
      <c r="X326" s="9">
        <v>0</v>
      </c>
      <c r="AE326" s="9">
        <f>IFERROR(VLOOKUP($A326,pivot!$A:$G,計算式2026!AE$1,FALSE),0)</f>
        <v>0</v>
      </c>
      <c r="AF326" s="9">
        <f>IFERROR(VLOOKUP($A326,pivot!$A:$I,計算式2026!AF$1,FALSE),0)</f>
        <v>0</v>
      </c>
      <c r="AI326" s="9">
        <f>IFERROR(VLOOKUP($A326,pivot!$A:$I,計算式2026!AI$1,FALSE),0)</f>
        <v>0</v>
      </c>
      <c r="AJ326" s="9">
        <f>IFERROR(VLOOKUP($A326,pivot!$A:$I,計算式2026!AJ$1,FALSE),0)</f>
        <v>0</v>
      </c>
      <c r="AK326" s="9">
        <f>IFERROR(VLOOKUP($A326,pivot!$A:$I,計算式2026!AK$1,FALSE),0)</f>
        <v>0</v>
      </c>
      <c r="AL326" s="9">
        <f>IFERROR(VLOOKUP($A326,pivot!$A:$I,計算式2026!AL$1,FALSE),0)</f>
        <v>0</v>
      </c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</row>
    <row r="327" spans="1:59" s="9" customFormat="1">
      <c r="A327" s="8" t="s">
        <v>1926</v>
      </c>
      <c r="B327" s="8" t="s">
        <v>172</v>
      </c>
      <c r="C327" s="9">
        <v>6</v>
      </c>
      <c r="D327" s="9">
        <v>8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R327" s="9">
        <v>3</v>
      </c>
      <c r="S327" s="9">
        <v>3</v>
      </c>
      <c r="T327" s="9">
        <v>3</v>
      </c>
      <c r="U327" s="9">
        <v>3</v>
      </c>
      <c r="V327" s="9">
        <v>3</v>
      </c>
      <c r="W327" s="9">
        <v>2</v>
      </c>
      <c r="X327" s="9">
        <v>2</v>
      </c>
      <c r="AE327" s="9">
        <f>IFERROR(VLOOKUP($A327,pivot!$A:$G,計算式2026!AE$1,FALSE),0)</f>
        <v>0</v>
      </c>
      <c r="AF327" s="9">
        <f>IFERROR(VLOOKUP($A327,pivot!$A:$I,計算式2026!AF$1,FALSE),0)</f>
        <v>0</v>
      </c>
      <c r="AI327" s="9">
        <f>IFERROR(VLOOKUP($A327,pivot!$A:$I,計算式2026!AI$1,FALSE),0)</f>
        <v>0</v>
      </c>
      <c r="AJ327" s="9">
        <f>IFERROR(VLOOKUP($A327,pivot!$A:$I,計算式2026!AJ$1,FALSE),0)</f>
        <v>0</v>
      </c>
      <c r="AK327" s="9">
        <f>IFERROR(VLOOKUP($A327,pivot!$A:$I,計算式2026!AK$1,FALSE),0)</f>
        <v>0</v>
      </c>
      <c r="AL327" s="9">
        <f>IFERROR(VLOOKUP($A327,pivot!$A:$I,計算式2026!AL$1,FALSE),0)</f>
        <v>0</v>
      </c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</row>
    <row r="328" spans="1:59" s="9" customFormat="1">
      <c r="A328" s="8" t="s">
        <v>214</v>
      </c>
      <c r="B328" s="8" t="s">
        <v>172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R328" s="9">
        <v>3</v>
      </c>
      <c r="S328" s="9">
        <v>4</v>
      </c>
      <c r="T328" s="9">
        <v>2</v>
      </c>
      <c r="U328" s="9">
        <v>3</v>
      </c>
      <c r="V328" s="9">
        <v>4</v>
      </c>
      <c r="W328" s="9">
        <v>0</v>
      </c>
      <c r="X328" s="9">
        <v>2</v>
      </c>
      <c r="AE328" s="9">
        <f>IFERROR(VLOOKUP($A328,pivot!$A:$G,計算式2026!AE$1,FALSE),0)</f>
        <v>0</v>
      </c>
      <c r="AF328" s="9">
        <f>IFERROR(VLOOKUP($A328,pivot!$A:$I,計算式2026!AF$1,FALSE),0)</f>
        <v>0</v>
      </c>
      <c r="AI328" s="9">
        <f>IFERROR(VLOOKUP($A328,pivot!$A:$I,計算式2026!AI$1,FALSE),0)</f>
        <v>0</v>
      </c>
      <c r="AJ328" s="9">
        <f>IFERROR(VLOOKUP($A328,pivot!$A:$I,計算式2026!AJ$1,FALSE),0)</f>
        <v>0</v>
      </c>
      <c r="AK328" s="9">
        <f>IFERROR(VLOOKUP($A328,pivot!$A:$I,計算式2026!AK$1,FALSE),0)</f>
        <v>0</v>
      </c>
      <c r="AL328" s="9">
        <f>IFERROR(VLOOKUP($A328,pivot!$A:$I,計算式2026!AL$1,FALSE),0)</f>
        <v>0</v>
      </c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</row>
    <row r="329" spans="1:59" s="9" customFormat="1">
      <c r="A329" s="8" t="s">
        <v>215</v>
      </c>
      <c r="B329" s="8" t="s">
        <v>172</v>
      </c>
      <c r="C329" s="9">
        <v>5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R329" s="9">
        <v>3</v>
      </c>
      <c r="S329" s="9">
        <v>4</v>
      </c>
      <c r="T329" s="9">
        <v>1</v>
      </c>
      <c r="U329" s="9">
        <v>3</v>
      </c>
      <c r="V329" s="9">
        <v>4</v>
      </c>
      <c r="W329" s="9">
        <v>1</v>
      </c>
      <c r="X329" s="9">
        <v>2</v>
      </c>
      <c r="AE329" s="9">
        <f>IFERROR(VLOOKUP($A329,pivot!$A:$G,計算式2026!AE$1,FALSE),0)</f>
        <v>0</v>
      </c>
      <c r="AF329" s="9">
        <f>IFERROR(VLOOKUP($A329,pivot!$A:$I,計算式2026!AF$1,FALSE),0)</f>
        <v>0</v>
      </c>
      <c r="AI329" s="9">
        <f>IFERROR(VLOOKUP($A329,pivot!$A:$I,計算式2026!AI$1,FALSE),0)</f>
        <v>0</v>
      </c>
      <c r="AJ329" s="9">
        <f>IFERROR(VLOOKUP($A329,pivot!$A:$I,計算式2026!AJ$1,FALSE),0)</f>
        <v>0</v>
      </c>
      <c r="AK329" s="9">
        <f>IFERROR(VLOOKUP($A329,pivot!$A:$I,計算式2026!AK$1,FALSE),0)</f>
        <v>0</v>
      </c>
      <c r="AL329" s="9">
        <f>IFERROR(VLOOKUP($A329,pivot!$A:$I,計算式2026!AL$1,FALSE),0)</f>
        <v>0</v>
      </c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</row>
    <row r="330" spans="1:59" s="9" customFormat="1">
      <c r="A330" s="8" t="s">
        <v>216</v>
      </c>
      <c r="B330" s="8" t="s">
        <v>172</v>
      </c>
      <c r="C330" s="9">
        <v>20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R330" s="9">
        <v>3</v>
      </c>
      <c r="S330" s="9">
        <v>4</v>
      </c>
      <c r="T330" s="9">
        <v>2</v>
      </c>
      <c r="U330" s="9">
        <v>3</v>
      </c>
      <c r="V330" s="9">
        <v>4</v>
      </c>
      <c r="W330" s="9">
        <v>1</v>
      </c>
      <c r="X330" s="9">
        <v>2</v>
      </c>
      <c r="AE330" s="9">
        <f>IFERROR(VLOOKUP($A330,pivot!$A:$G,計算式2026!AE$1,FALSE),0)</f>
        <v>0</v>
      </c>
      <c r="AF330" s="9">
        <f>IFERROR(VLOOKUP($A330,pivot!$A:$I,計算式2026!AF$1,FALSE),0)</f>
        <v>0</v>
      </c>
      <c r="AI330" s="9">
        <f>IFERROR(VLOOKUP($A330,pivot!$A:$I,計算式2026!AI$1,FALSE),0)</f>
        <v>0</v>
      </c>
      <c r="AJ330" s="9">
        <f>IFERROR(VLOOKUP($A330,pivot!$A:$I,計算式2026!AJ$1,FALSE),0)</f>
        <v>0</v>
      </c>
      <c r="AK330" s="9">
        <f>IFERROR(VLOOKUP($A330,pivot!$A:$I,計算式2026!AK$1,FALSE),0)</f>
        <v>0</v>
      </c>
      <c r="AL330" s="9">
        <f>IFERROR(VLOOKUP($A330,pivot!$A:$I,計算式2026!AL$1,FALSE),0)</f>
        <v>0</v>
      </c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</row>
    <row r="331" spans="1:59" s="9" customFormat="1">
      <c r="A331" s="8" t="s">
        <v>218</v>
      </c>
      <c r="B331" s="8" t="s">
        <v>217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R331" s="9">
        <v>1</v>
      </c>
      <c r="S331" s="9">
        <v>0</v>
      </c>
      <c r="T331" s="9">
        <v>0</v>
      </c>
      <c r="U331" s="9">
        <v>0</v>
      </c>
      <c r="V331" s="9">
        <v>4</v>
      </c>
      <c r="W331" s="9">
        <v>0</v>
      </c>
      <c r="X331" s="9">
        <v>0</v>
      </c>
      <c r="AE331" s="9">
        <f>IFERROR(VLOOKUP($A331,pivot!$A:$G,計算式2026!AE$1,FALSE),0)</f>
        <v>0</v>
      </c>
      <c r="AF331" s="9">
        <f>IFERROR(VLOOKUP($A331,pivot!$A:$I,計算式2026!AF$1,FALSE),0)</f>
        <v>0</v>
      </c>
      <c r="AI331" s="9">
        <f>IFERROR(VLOOKUP($A331,pivot!$A:$I,計算式2026!AI$1,FALSE),0)</f>
        <v>0</v>
      </c>
      <c r="AJ331" s="9">
        <f>IFERROR(VLOOKUP($A331,pivot!$A:$I,計算式2026!AJ$1,FALSE),0)</f>
        <v>0</v>
      </c>
      <c r="AK331" s="9">
        <f>IFERROR(VLOOKUP($A331,pivot!$A:$I,計算式2026!AK$1,FALSE),0)</f>
        <v>0</v>
      </c>
      <c r="AL331" s="9">
        <f>IFERROR(VLOOKUP($A331,pivot!$A:$I,計算式2026!AL$1,FALSE),0)</f>
        <v>0</v>
      </c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</row>
    <row r="332" spans="1:59" s="9" customFormat="1">
      <c r="A332" s="8" t="s">
        <v>2726</v>
      </c>
      <c r="B332" s="8" t="s">
        <v>220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R332" s="9">
        <v>1</v>
      </c>
      <c r="S332" s="9">
        <v>3</v>
      </c>
      <c r="T332" s="9">
        <v>1</v>
      </c>
      <c r="U332" s="9">
        <v>2</v>
      </c>
      <c r="V332" s="9">
        <v>3</v>
      </c>
      <c r="W332" s="9">
        <v>1</v>
      </c>
      <c r="X332" s="9">
        <v>2</v>
      </c>
      <c r="AE332" s="9">
        <f>IFERROR(VLOOKUP($A332,pivot!$A:$G,計算式2026!AE$1,FALSE),0)</f>
        <v>0</v>
      </c>
      <c r="AF332" s="9">
        <f>IFERROR(VLOOKUP($A332,pivot!$A:$I,計算式2026!AF$1,FALSE),0)</f>
        <v>0</v>
      </c>
      <c r="AI332" s="9">
        <f>IFERROR(VLOOKUP($A332,pivot!$A:$I,計算式2026!AI$1,FALSE),0)</f>
        <v>0</v>
      </c>
      <c r="AJ332" s="9">
        <f>IFERROR(VLOOKUP($A332,pivot!$A:$I,計算式2026!AJ$1,FALSE),0)</f>
        <v>0</v>
      </c>
      <c r="AK332" s="9">
        <f>IFERROR(VLOOKUP($A332,pivot!$A:$I,計算式2026!AK$1,FALSE),0)</f>
        <v>0</v>
      </c>
      <c r="AL332" s="9">
        <f>IFERROR(VLOOKUP($A332,pivot!$A:$I,計算式2026!AL$1,FALSE),0)</f>
        <v>0</v>
      </c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</row>
    <row r="333" spans="1:59" s="9" customFormat="1">
      <c r="A333" s="8" t="s">
        <v>1927</v>
      </c>
      <c r="B333" s="8" t="s">
        <v>220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R333" s="9">
        <v>0</v>
      </c>
      <c r="S333" s="9">
        <v>0</v>
      </c>
      <c r="T333" s="9">
        <v>0</v>
      </c>
      <c r="U333" s="9">
        <v>2</v>
      </c>
      <c r="V333" s="9">
        <v>2</v>
      </c>
      <c r="W333" s="9">
        <v>0</v>
      </c>
      <c r="X333" s="9">
        <v>1</v>
      </c>
      <c r="AE333" s="9">
        <f>IFERROR(VLOOKUP($A333,pivot!$A:$G,計算式2026!AE$1,FALSE),0)</f>
        <v>0</v>
      </c>
      <c r="AF333" s="9">
        <f>IFERROR(VLOOKUP($A333,pivot!$A:$I,計算式2026!AF$1,FALSE),0)</f>
        <v>0</v>
      </c>
      <c r="AI333" s="9">
        <f>IFERROR(VLOOKUP($A333,pivot!$A:$I,計算式2026!AI$1,FALSE),0)</f>
        <v>0</v>
      </c>
      <c r="AJ333" s="9">
        <f>IFERROR(VLOOKUP($A333,pivot!$A:$I,計算式2026!AJ$1,FALSE),0)</f>
        <v>0</v>
      </c>
      <c r="AK333" s="9">
        <f>IFERROR(VLOOKUP($A333,pivot!$A:$I,計算式2026!AK$1,FALSE),0)</f>
        <v>0</v>
      </c>
      <c r="AL333" s="9">
        <f>IFERROR(VLOOKUP($A333,pivot!$A:$I,計算式2026!AL$1,FALSE),0)</f>
        <v>0</v>
      </c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</row>
    <row r="334" spans="1:59" s="9" customFormat="1">
      <c r="A334" s="8" t="s">
        <v>219</v>
      </c>
      <c r="B334" s="8" t="s">
        <v>220</v>
      </c>
      <c r="C334" s="9">
        <v>65</v>
      </c>
      <c r="D334" s="9">
        <v>1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R334" s="9">
        <v>3</v>
      </c>
      <c r="S334" s="9">
        <v>4</v>
      </c>
      <c r="T334" s="9">
        <v>1</v>
      </c>
      <c r="U334" s="9">
        <v>3</v>
      </c>
      <c r="V334" s="9">
        <v>3</v>
      </c>
      <c r="W334" s="9">
        <v>1</v>
      </c>
      <c r="X334" s="9">
        <v>2</v>
      </c>
      <c r="AE334" s="9">
        <f>IFERROR(VLOOKUP($A334,pivot!$A:$G,計算式2026!AE$1,FALSE),0)</f>
        <v>0</v>
      </c>
      <c r="AF334" s="9">
        <f>IFERROR(VLOOKUP($A334,pivot!$A:$I,計算式2026!AF$1,FALSE),0)</f>
        <v>0</v>
      </c>
      <c r="AI334" s="9">
        <f>IFERROR(VLOOKUP($A334,pivot!$A:$I,計算式2026!AI$1,FALSE),0)</f>
        <v>0</v>
      </c>
      <c r="AJ334" s="9">
        <f>IFERROR(VLOOKUP($A334,pivot!$A:$I,計算式2026!AJ$1,FALSE),0)</f>
        <v>0</v>
      </c>
      <c r="AK334" s="9">
        <f>IFERROR(VLOOKUP($A334,pivot!$A:$I,計算式2026!AK$1,FALSE),0)</f>
        <v>0</v>
      </c>
      <c r="AL334" s="9">
        <f>IFERROR(VLOOKUP($A334,pivot!$A:$I,計算式2026!AL$1,FALSE),0)</f>
        <v>0</v>
      </c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</row>
    <row r="335" spans="1:59" s="9" customFormat="1">
      <c r="A335" s="8" t="s">
        <v>221</v>
      </c>
      <c r="B335" s="8" t="s">
        <v>220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AE335" s="9">
        <f>IFERROR(VLOOKUP($A335,pivot!$A:$G,計算式2026!AE$1,FALSE),0)</f>
        <v>0</v>
      </c>
      <c r="AF335" s="9">
        <f>IFERROR(VLOOKUP($A335,pivot!$A:$I,計算式2026!AF$1,FALSE),0)</f>
        <v>0</v>
      </c>
      <c r="AI335" s="9">
        <f>IFERROR(VLOOKUP($A335,pivot!$A:$I,計算式2026!AI$1,FALSE),0)</f>
        <v>0</v>
      </c>
      <c r="AJ335" s="9">
        <f>IFERROR(VLOOKUP($A335,pivot!$A:$I,計算式2026!AJ$1,FALSE),0)</f>
        <v>0</v>
      </c>
      <c r="AK335" s="9">
        <f>IFERROR(VLOOKUP($A335,pivot!$A:$I,計算式2026!AK$1,FALSE),0)</f>
        <v>0</v>
      </c>
      <c r="AL335" s="9">
        <f>IFERROR(VLOOKUP($A335,pivot!$A:$I,計算式2026!AL$1,FALSE),0)</f>
        <v>0</v>
      </c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</row>
    <row r="336" spans="1:59" s="9" customFormat="1">
      <c r="A336" s="8" t="s">
        <v>222</v>
      </c>
      <c r="B336" s="8" t="s">
        <v>220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R336" s="9">
        <v>3</v>
      </c>
      <c r="S336" s="9">
        <v>0</v>
      </c>
      <c r="T336" s="9">
        <v>0</v>
      </c>
      <c r="U336" s="9">
        <v>3</v>
      </c>
      <c r="V336" s="9">
        <v>2</v>
      </c>
      <c r="W336" s="9">
        <v>0</v>
      </c>
      <c r="X336" s="9">
        <v>2</v>
      </c>
      <c r="AE336" s="9">
        <f>IFERROR(VLOOKUP($A336,pivot!$A:$G,計算式2026!AE$1,FALSE),0)</f>
        <v>0</v>
      </c>
      <c r="AF336" s="9">
        <f>IFERROR(VLOOKUP($A336,pivot!$A:$I,計算式2026!AF$1,FALSE),0)</f>
        <v>0</v>
      </c>
      <c r="AI336" s="9">
        <f>IFERROR(VLOOKUP($A336,pivot!$A:$I,計算式2026!AI$1,FALSE),0)</f>
        <v>0</v>
      </c>
      <c r="AJ336" s="9">
        <f>IFERROR(VLOOKUP($A336,pivot!$A:$I,計算式2026!AJ$1,FALSE),0)</f>
        <v>0</v>
      </c>
      <c r="AK336" s="9">
        <f>IFERROR(VLOOKUP($A336,pivot!$A:$I,計算式2026!AK$1,FALSE),0)</f>
        <v>0</v>
      </c>
      <c r="AL336" s="9">
        <f>IFERROR(VLOOKUP($A336,pivot!$A:$I,計算式2026!AL$1,FALSE),0)</f>
        <v>0</v>
      </c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</row>
    <row r="337" spans="1:59" s="9" customFormat="1">
      <c r="A337" s="8" t="s">
        <v>223</v>
      </c>
      <c r="B337" s="8" t="s">
        <v>220</v>
      </c>
      <c r="C337" s="9">
        <v>79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R337" s="9">
        <v>2</v>
      </c>
      <c r="S337" s="9">
        <v>3</v>
      </c>
      <c r="T337" s="9">
        <v>2</v>
      </c>
      <c r="U337" s="9">
        <v>2</v>
      </c>
      <c r="V337" s="9">
        <v>3</v>
      </c>
      <c r="W337" s="9">
        <v>1</v>
      </c>
      <c r="X337" s="9">
        <v>3</v>
      </c>
      <c r="AE337" s="9">
        <f>IFERROR(VLOOKUP($A337,pivot!$A:$G,計算式2026!AE$1,FALSE),0)</f>
        <v>0</v>
      </c>
      <c r="AF337" s="9">
        <f>IFERROR(VLOOKUP($A337,pivot!$A:$I,計算式2026!AF$1,FALSE),0)</f>
        <v>0</v>
      </c>
      <c r="AI337" s="9">
        <f>IFERROR(VLOOKUP($A337,pivot!$A:$I,計算式2026!AI$1,FALSE),0)</f>
        <v>0</v>
      </c>
      <c r="AJ337" s="9">
        <f>IFERROR(VLOOKUP($A337,pivot!$A:$I,計算式2026!AJ$1,FALSE),0)</f>
        <v>0</v>
      </c>
      <c r="AK337" s="9">
        <f>IFERROR(VLOOKUP($A337,pivot!$A:$I,計算式2026!AK$1,FALSE),0)</f>
        <v>0</v>
      </c>
      <c r="AL337" s="9">
        <f>IFERROR(VLOOKUP($A337,pivot!$A:$I,計算式2026!AL$1,FALSE),0)</f>
        <v>0</v>
      </c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</row>
    <row r="338" spans="1:59" s="9" customFormat="1">
      <c r="A338" s="8" t="s">
        <v>224</v>
      </c>
      <c r="B338" s="8" t="s">
        <v>220</v>
      </c>
      <c r="C338" s="9">
        <v>0</v>
      </c>
      <c r="D338" s="9">
        <v>8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R338" s="9">
        <v>1</v>
      </c>
      <c r="S338" s="9">
        <v>3</v>
      </c>
      <c r="T338" s="9">
        <v>2</v>
      </c>
      <c r="U338" s="9">
        <v>3</v>
      </c>
      <c r="V338" s="9">
        <v>3</v>
      </c>
      <c r="W338" s="9">
        <v>2</v>
      </c>
      <c r="X338" s="9">
        <v>2</v>
      </c>
      <c r="AE338" s="9">
        <f>IFERROR(VLOOKUP($A338,pivot!$A:$G,計算式2026!AE$1,FALSE),0)</f>
        <v>0</v>
      </c>
      <c r="AF338" s="9">
        <f>IFERROR(VLOOKUP($A338,pivot!$A:$I,計算式2026!AF$1,FALSE),0)</f>
        <v>0</v>
      </c>
      <c r="AI338" s="9">
        <f>IFERROR(VLOOKUP($A338,pivot!$A:$I,計算式2026!AI$1,FALSE),0)</f>
        <v>0</v>
      </c>
      <c r="AJ338" s="9">
        <f>IFERROR(VLOOKUP($A338,pivot!$A:$I,計算式2026!AJ$1,FALSE),0)</f>
        <v>0</v>
      </c>
      <c r="AK338" s="9">
        <f>IFERROR(VLOOKUP($A338,pivot!$A:$I,計算式2026!AK$1,FALSE),0)</f>
        <v>0</v>
      </c>
      <c r="AL338" s="9">
        <f>IFERROR(VLOOKUP($A338,pivot!$A:$I,計算式2026!AL$1,FALSE),0)</f>
        <v>0</v>
      </c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</row>
    <row r="339" spans="1:59" s="9" customFormat="1">
      <c r="A339" s="8" t="s">
        <v>225</v>
      </c>
      <c r="B339" s="8" t="s">
        <v>220</v>
      </c>
      <c r="C339" s="9">
        <v>18</v>
      </c>
      <c r="D339" s="9">
        <v>16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R339" s="9">
        <v>3</v>
      </c>
      <c r="S339" s="9">
        <v>3</v>
      </c>
      <c r="T339" s="9">
        <v>2</v>
      </c>
      <c r="U339" s="9">
        <v>3</v>
      </c>
      <c r="V339" s="9">
        <v>3</v>
      </c>
      <c r="W339" s="9">
        <v>1</v>
      </c>
      <c r="X339" s="9">
        <v>2</v>
      </c>
      <c r="AE339" s="9">
        <f>IFERROR(VLOOKUP($A339,pivot!$A:$G,計算式2026!AE$1,FALSE),0)</f>
        <v>0</v>
      </c>
      <c r="AF339" s="9">
        <f>IFERROR(VLOOKUP($A339,pivot!$A:$I,計算式2026!AF$1,FALSE),0)</f>
        <v>0</v>
      </c>
      <c r="AI339" s="9">
        <f>IFERROR(VLOOKUP($A339,pivot!$A:$I,計算式2026!AI$1,FALSE),0)</f>
        <v>0</v>
      </c>
      <c r="AJ339" s="9">
        <f>IFERROR(VLOOKUP($A339,pivot!$A:$I,計算式2026!AJ$1,FALSE),0)</f>
        <v>0</v>
      </c>
      <c r="AK339" s="9">
        <f>IFERROR(VLOOKUP($A339,pivot!$A:$I,計算式2026!AK$1,FALSE),0)</f>
        <v>0</v>
      </c>
      <c r="AL339" s="9">
        <f>IFERROR(VLOOKUP($A339,pivot!$A:$I,計算式2026!AL$1,FALSE),0)</f>
        <v>0</v>
      </c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</row>
    <row r="340" spans="1:59" s="9" customFormat="1">
      <c r="A340" s="8" t="s">
        <v>226</v>
      </c>
      <c r="B340" s="8" t="s">
        <v>220</v>
      </c>
      <c r="C340" s="9">
        <v>4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R340" s="9">
        <v>3</v>
      </c>
      <c r="S340" s="9">
        <v>3</v>
      </c>
      <c r="T340" s="9">
        <v>2</v>
      </c>
      <c r="U340" s="9">
        <v>3</v>
      </c>
      <c r="V340" s="9">
        <v>3</v>
      </c>
      <c r="W340" s="9">
        <v>1</v>
      </c>
      <c r="X340" s="9">
        <v>2</v>
      </c>
      <c r="AE340" s="9">
        <f>IFERROR(VLOOKUP($A340,pivot!$A:$G,計算式2026!AE$1,FALSE),0)</f>
        <v>0</v>
      </c>
      <c r="AF340" s="9">
        <f>IFERROR(VLOOKUP($A340,pivot!$A:$I,計算式2026!AF$1,FALSE),0)</f>
        <v>0</v>
      </c>
      <c r="AI340" s="9">
        <f>IFERROR(VLOOKUP($A340,pivot!$A:$I,計算式2026!AI$1,FALSE),0)</f>
        <v>0</v>
      </c>
      <c r="AJ340" s="9">
        <f>IFERROR(VLOOKUP($A340,pivot!$A:$I,計算式2026!AJ$1,FALSE),0)</f>
        <v>0</v>
      </c>
      <c r="AK340" s="9">
        <f>IFERROR(VLOOKUP($A340,pivot!$A:$I,計算式2026!AK$1,FALSE),0)</f>
        <v>0</v>
      </c>
      <c r="AL340" s="9">
        <f>IFERROR(VLOOKUP($A340,pivot!$A:$I,計算式2026!AL$1,FALSE),0)</f>
        <v>0</v>
      </c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</row>
    <row r="341" spans="1:59" s="9" customFormat="1">
      <c r="A341" s="8" t="s">
        <v>1565</v>
      </c>
      <c r="B341" s="8" t="s">
        <v>220</v>
      </c>
      <c r="C341" s="9">
        <v>1</v>
      </c>
      <c r="D341" s="9">
        <v>27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R341" s="9">
        <v>3</v>
      </c>
      <c r="S341" s="9">
        <v>3</v>
      </c>
      <c r="T341" s="9">
        <v>1</v>
      </c>
      <c r="U341" s="9">
        <v>3</v>
      </c>
      <c r="V341" s="9">
        <v>3</v>
      </c>
      <c r="W341" s="9">
        <v>1</v>
      </c>
      <c r="X341" s="9">
        <v>2</v>
      </c>
      <c r="AE341" s="9">
        <f>IFERROR(VLOOKUP($A341,pivot!$A:$G,計算式2026!AE$1,FALSE),0)</f>
        <v>0</v>
      </c>
      <c r="AF341" s="9">
        <f>IFERROR(VLOOKUP($A341,pivot!$A:$I,計算式2026!AF$1,FALSE),0)</f>
        <v>0</v>
      </c>
      <c r="AI341" s="9">
        <f>IFERROR(VLOOKUP($A341,pivot!$A:$I,計算式2026!AI$1,FALSE),0)</f>
        <v>0</v>
      </c>
      <c r="AJ341" s="9">
        <f>IFERROR(VLOOKUP($A341,pivot!$A:$I,計算式2026!AJ$1,FALSE),0)</f>
        <v>0</v>
      </c>
      <c r="AK341" s="9">
        <f>IFERROR(VLOOKUP($A341,pivot!$A:$I,計算式2026!AK$1,FALSE),0)</f>
        <v>0</v>
      </c>
      <c r="AL341" s="9">
        <f>IFERROR(VLOOKUP($A341,pivot!$A:$I,計算式2026!AL$1,FALSE),0)</f>
        <v>0</v>
      </c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</row>
    <row r="342" spans="1:59" s="9" customFormat="1">
      <c r="A342" s="8" t="s">
        <v>227</v>
      </c>
      <c r="B342" s="8" t="s">
        <v>220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R342" s="9">
        <v>3</v>
      </c>
      <c r="S342" s="9">
        <v>4</v>
      </c>
      <c r="T342" s="9">
        <v>0</v>
      </c>
      <c r="U342" s="9">
        <v>2</v>
      </c>
      <c r="V342" s="9">
        <v>1</v>
      </c>
      <c r="W342" s="9">
        <v>1</v>
      </c>
      <c r="X342" s="9">
        <v>0</v>
      </c>
      <c r="AE342" s="9">
        <f>IFERROR(VLOOKUP($A342,pivot!$A:$G,計算式2026!AE$1,FALSE),0)</f>
        <v>0</v>
      </c>
      <c r="AF342" s="9">
        <f>IFERROR(VLOOKUP($A342,pivot!$A:$I,計算式2026!AF$1,FALSE),0)</f>
        <v>0</v>
      </c>
      <c r="AI342" s="9">
        <f>IFERROR(VLOOKUP($A342,pivot!$A:$I,計算式2026!AI$1,FALSE),0)</f>
        <v>0</v>
      </c>
      <c r="AJ342" s="9">
        <f>IFERROR(VLOOKUP($A342,pivot!$A:$I,計算式2026!AJ$1,FALSE),0)</f>
        <v>0</v>
      </c>
      <c r="AK342" s="9">
        <f>IFERROR(VLOOKUP($A342,pivot!$A:$I,計算式2026!AK$1,FALSE),0)</f>
        <v>0</v>
      </c>
      <c r="AL342" s="9">
        <f>IFERROR(VLOOKUP($A342,pivot!$A:$I,計算式2026!AL$1,FALSE),0)</f>
        <v>0</v>
      </c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</row>
    <row r="343" spans="1:59" s="9" customFormat="1">
      <c r="A343" s="8" t="s">
        <v>228</v>
      </c>
      <c r="B343" s="8" t="s">
        <v>220</v>
      </c>
      <c r="C343" s="9">
        <v>89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R343" s="9">
        <v>2</v>
      </c>
      <c r="S343" s="9">
        <v>4</v>
      </c>
      <c r="T343" s="9">
        <v>2</v>
      </c>
      <c r="U343" s="9">
        <v>2</v>
      </c>
      <c r="V343" s="9">
        <v>4</v>
      </c>
      <c r="W343" s="9">
        <v>2</v>
      </c>
      <c r="X343" s="9">
        <v>2</v>
      </c>
      <c r="AE343" s="9">
        <f>IFERROR(VLOOKUP($A343,pivot!$A:$G,計算式2026!AE$1,FALSE),0)</f>
        <v>0</v>
      </c>
      <c r="AF343" s="9">
        <f>IFERROR(VLOOKUP($A343,pivot!$A:$I,計算式2026!AF$1,FALSE),0)</f>
        <v>0</v>
      </c>
      <c r="AI343" s="9">
        <f>IFERROR(VLOOKUP($A343,pivot!$A:$I,計算式2026!AI$1,FALSE),0)</f>
        <v>0</v>
      </c>
      <c r="AJ343" s="9">
        <f>IFERROR(VLOOKUP($A343,pivot!$A:$I,計算式2026!AJ$1,FALSE),0)</f>
        <v>0</v>
      </c>
      <c r="AK343" s="9">
        <f>IFERROR(VLOOKUP($A343,pivot!$A:$I,計算式2026!AK$1,FALSE),0)</f>
        <v>0</v>
      </c>
      <c r="AL343" s="9">
        <f>IFERROR(VLOOKUP($A343,pivot!$A:$I,計算式2026!AL$1,FALSE),0)</f>
        <v>0</v>
      </c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</row>
    <row r="344" spans="1:59" s="9" customFormat="1">
      <c r="A344" s="8" t="s">
        <v>229</v>
      </c>
      <c r="B344" s="8" t="s">
        <v>220</v>
      </c>
      <c r="C344" s="9">
        <v>66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R344" s="9">
        <v>3</v>
      </c>
      <c r="S344" s="9">
        <v>4</v>
      </c>
      <c r="T344" s="9">
        <v>2</v>
      </c>
      <c r="U344" s="9">
        <v>2</v>
      </c>
      <c r="V344" s="9">
        <v>4</v>
      </c>
      <c r="W344" s="9">
        <v>1</v>
      </c>
      <c r="X344" s="9">
        <v>2</v>
      </c>
      <c r="AE344" s="9">
        <f>IFERROR(VLOOKUP($A344,pivot!$A:$G,計算式2026!AE$1,FALSE),0)</f>
        <v>0</v>
      </c>
      <c r="AF344" s="9">
        <f>IFERROR(VLOOKUP($A344,pivot!$A:$I,計算式2026!AF$1,FALSE),0)</f>
        <v>0</v>
      </c>
      <c r="AI344" s="9">
        <f>IFERROR(VLOOKUP($A344,pivot!$A:$I,計算式2026!AI$1,FALSE),0)</f>
        <v>1</v>
      </c>
      <c r="AJ344" s="9">
        <f>IFERROR(VLOOKUP($A344,pivot!$A:$I,計算式2026!AJ$1,FALSE),0)</f>
        <v>0</v>
      </c>
      <c r="AK344" s="9">
        <f>IFERROR(VLOOKUP($A344,pivot!$A:$I,計算式2026!AK$1,FALSE),0)</f>
        <v>0</v>
      </c>
      <c r="AL344" s="9">
        <f>IFERROR(VLOOKUP($A344,pivot!$A:$I,計算式2026!AL$1,FALSE),0)</f>
        <v>0</v>
      </c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</row>
    <row r="345" spans="1:59" s="9" customFormat="1">
      <c r="A345" s="8" t="s">
        <v>230</v>
      </c>
      <c r="B345" s="8" t="s">
        <v>220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R345" s="9">
        <v>2</v>
      </c>
      <c r="S345" s="9">
        <v>4</v>
      </c>
      <c r="T345" s="9">
        <v>0</v>
      </c>
      <c r="U345" s="9">
        <v>2</v>
      </c>
      <c r="V345" s="9">
        <v>2</v>
      </c>
      <c r="W345" s="9">
        <v>1</v>
      </c>
      <c r="X345" s="9">
        <v>2</v>
      </c>
      <c r="AE345" s="9">
        <f>IFERROR(VLOOKUP($A345,pivot!$A:$G,計算式2026!AE$1,FALSE),0)</f>
        <v>0</v>
      </c>
      <c r="AF345" s="9">
        <f>IFERROR(VLOOKUP($A345,pivot!$A:$I,計算式2026!AF$1,FALSE),0)</f>
        <v>0</v>
      </c>
      <c r="AI345" s="9">
        <f>IFERROR(VLOOKUP($A345,pivot!$A:$I,計算式2026!AI$1,FALSE),0)</f>
        <v>0</v>
      </c>
      <c r="AJ345" s="9">
        <f>IFERROR(VLOOKUP($A345,pivot!$A:$I,計算式2026!AJ$1,FALSE),0)</f>
        <v>0</v>
      </c>
      <c r="AK345" s="9">
        <f>IFERROR(VLOOKUP($A345,pivot!$A:$I,計算式2026!AK$1,FALSE),0)</f>
        <v>0</v>
      </c>
      <c r="AL345" s="9">
        <f>IFERROR(VLOOKUP($A345,pivot!$A:$I,計算式2026!AL$1,FALSE),0)</f>
        <v>0</v>
      </c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</row>
    <row r="346" spans="1:59" s="9" customFormat="1">
      <c r="A346" s="8" t="s">
        <v>231</v>
      </c>
      <c r="B346" s="8" t="s">
        <v>220</v>
      </c>
      <c r="C346" s="9">
        <v>41</v>
      </c>
      <c r="D346" s="9">
        <v>7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R346" s="9">
        <v>3</v>
      </c>
      <c r="S346" s="9">
        <v>4</v>
      </c>
      <c r="T346" s="9">
        <v>2</v>
      </c>
      <c r="U346" s="9">
        <v>3</v>
      </c>
      <c r="V346" s="9">
        <v>3</v>
      </c>
      <c r="W346" s="9">
        <v>1</v>
      </c>
      <c r="X346" s="9">
        <v>2</v>
      </c>
      <c r="AE346" s="9">
        <f>IFERROR(VLOOKUP($A346,pivot!$A:$G,計算式2026!AE$1,FALSE),0)</f>
        <v>0</v>
      </c>
      <c r="AF346" s="9">
        <f>IFERROR(VLOOKUP($A346,pivot!$A:$I,計算式2026!AF$1,FALSE),0)</f>
        <v>0</v>
      </c>
      <c r="AI346" s="9">
        <f>IFERROR(VLOOKUP($A346,pivot!$A:$I,計算式2026!AI$1,FALSE),0)</f>
        <v>0</v>
      </c>
      <c r="AJ346" s="9">
        <f>IFERROR(VLOOKUP($A346,pivot!$A:$I,計算式2026!AJ$1,FALSE),0)</f>
        <v>0</v>
      </c>
      <c r="AK346" s="9">
        <f>IFERROR(VLOOKUP($A346,pivot!$A:$I,計算式2026!AK$1,FALSE),0)</f>
        <v>0</v>
      </c>
      <c r="AL346" s="9">
        <f>IFERROR(VLOOKUP($A346,pivot!$A:$I,計算式2026!AL$1,FALSE),0)</f>
        <v>0</v>
      </c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</row>
    <row r="347" spans="1:59" s="9" customFormat="1">
      <c r="A347" s="8" t="s">
        <v>232</v>
      </c>
      <c r="B347" s="8" t="s">
        <v>220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R347" s="9">
        <v>2</v>
      </c>
      <c r="S347" s="9">
        <v>3</v>
      </c>
      <c r="T347" s="9">
        <v>0</v>
      </c>
      <c r="U347" s="9">
        <v>1</v>
      </c>
      <c r="V347" s="9">
        <v>2</v>
      </c>
      <c r="W347" s="9">
        <v>1</v>
      </c>
      <c r="X347" s="9">
        <v>2</v>
      </c>
      <c r="AE347" s="9">
        <f>IFERROR(VLOOKUP($A347,pivot!$A:$G,計算式2026!AE$1,FALSE),0)</f>
        <v>0</v>
      </c>
      <c r="AF347" s="9">
        <f>IFERROR(VLOOKUP($A347,pivot!$A:$I,計算式2026!AF$1,FALSE),0)</f>
        <v>0</v>
      </c>
      <c r="AI347" s="9">
        <f>IFERROR(VLOOKUP($A347,pivot!$A:$I,計算式2026!AI$1,FALSE),0)</f>
        <v>2</v>
      </c>
      <c r="AJ347" s="9">
        <f>IFERROR(VLOOKUP($A347,pivot!$A:$I,計算式2026!AJ$1,FALSE),0)</f>
        <v>0</v>
      </c>
      <c r="AK347" s="9">
        <f>IFERROR(VLOOKUP($A347,pivot!$A:$I,計算式2026!AK$1,FALSE),0)</f>
        <v>0</v>
      </c>
      <c r="AL347" s="9">
        <f>IFERROR(VLOOKUP($A347,pivot!$A:$I,計算式2026!AL$1,FALSE),0)</f>
        <v>0</v>
      </c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</row>
    <row r="348" spans="1:59" s="9" customFormat="1">
      <c r="A348" s="8" t="s">
        <v>1928</v>
      </c>
      <c r="B348" s="8" t="s">
        <v>220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R348" s="9">
        <v>1</v>
      </c>
      <c r="S348" s="9">
        <v>3</v>
      </c>
      <c r="T348" s="9">
        <v>0</v>
      </c>
      <c r="U348" s="9">
        <v>2</v>
      </c>
      <c r="V348" s="9">
        <v>3</v>
      </c>
      <c r="W348" s="9">
        <v>0</v>
      </c>
      <c r="X348" s="9">
        <v>2</v>
      </c>
      <c r="AE348" s="9">
        <f>IFERROR(VLOOKUP($A348,pivot!$A:$G,計算式2026!AE$1,FALSE),0)</f>
        <v>0</v>
      </c>
      <c r="AF348" s="9">
        <f>IFERROR(VLOOKUP($A348,pivot!$A:$I,計算式2026!AF$1,FALSE),0)</f>
        <v>0</v>
      </c>
      <c r="AI348" s="9">
        <f>IFERROR(VLOOKUP($A348,pivot!$A:$I,計算式2026!AI$1,FALSE),0)</f>
        <v>0</v>
      </c>
      <c r="AJ348" s="9">
        <f>IFERROR(VLOOKUP($A348,pivot!$A:$I,計算式2026!AJ$1,FALSE),0)</f>
        <v>0</v>
      </c>
      <c r="AK348" s="9">
        <f>IFERROR(VLOOKUP($A348,pivot!$A:$I,計算式2026!AK$1,FALSE),0)</f>
        <v>0</v>
      </c>
      <c r="AL348" s="9">
        <f>IFERROR(VLOOKUP($A348,pivot!$A:$I,計算式2026!AL$1,FALSE),0)</f>
        <v>0</v>
      </c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</row>
    <row r="349" spans="1:59" s="9" customFormat="1">
      <c r="A349" s="8" t="s">
        <v>233</v>
      </c>
      <c r="B349" s="8" t="s">
        <v>234</v>
      </c>
      <c r="C349" s="9">
        <v>285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R349" s="9">
        <v>4</v>
      </c>
      <c r="S349" s="9">
        <v>4</v>
      </c>
      <c r="T349" s="9">
        <v>1</v>
      </c>
      <c r="U349" s="9">
        <v>3</v>
      </c>
      <c r="V349" s="9">
        <v>4</v>
      </c>
      <c r="W349" s="9">
        <v>2</v>
      </c>
      <c r="X349" s="9">
        <v>3</v>
      </c>
      <c r="AE349" s="9">
        <f>IFERROR(VLOOKUP($A349,pivot!$A:$G,計算式2026!AE$1,FALSE),0)</f>
        <v>0</v>
      </c>
      <c r="AF349" s="9">
        <f>IFERROR(VLOOKUP($A349,pivot!$A:$I,計算式2026!AF$1,FALSE),0)</f>
        <v>0</v>
      </c>
      <c r="AI349" s="9">
        <f>IFERROR(VLOOKUP($A349,pivot!$A:$I,計算式2026!AI$1,FALSE),0)</f>
        <v>0</v>
      </c>
      <c r="AJ349" s="9">
        <f>IFERROR(VLOOKUP($A349,pivot!$A:$I,計算式2026!AJ$1,FALSE),0)</f>
        <v>0</v>
      </c>
      <c r="AK349" s="9">
        <f>IFERROR(VLOOKUP($A349,pivot!$A:$I,計算式2026!AK$1,FALSE),0)</f>
        <v>0</v>
      </c>
      <c r="AL349" s="9">
        <f>IFERROR(VLOOKUP($A349,pivot!$A:$I,計算式2026!AL$1,FALSE),0)</f>
        <v>0</v>
      </c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</row>
    <row r="350" spans="1:59" s="9" customFormat="1">
      <c r="A350" s="8" t="s">
        <v>235</v>
      </c>
      <c r="B350" s="8" t="s">
        <v>236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R350" s="9">
        <v>1</v>
      </c>
      <c r="S350" s="9">
        <v>1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AE350" s="9">
        <f>IFERROR(VLOOKUP($A350,pivot!$A:$G,計算式2026!AE$1,FALSE),0)</f>
        <v>0</v>
      </c>
      <c r="AF350" s="9">
        <f>IFERROR(VLOOKUP($A350,pivot!$A:$I,計算式2026!AF$1,FALSE),0)</f>
        <v>0</v>
      </c>
      <c r="AI350" s="9">
        <f>IFERROR(VLOOKUP($A350,pivot!$A:$I,計算式2026!AI$1,FALSE),0)</f>
        <v>0</v>
      </c>
      <c r="AJ350" s="9">
        <f>IFERROR(VLOOKUP($A350,pivot!$A:$I,計算式2026!AJ$1,FALSE),0)</f>
        <v>0</v>
      </c>
      <c r="AK350" s="9">
        <f>IFERROR(VLOOKUP($A350,pivot!$A:$I,計算式2026!AK$1,FALSE),0)</f>
        <v>0</v>
      </c>
      <c r="AL350" s="9">
        <f>IFERROR(VLOOKUP($A350,pivot!$A:$I,計算式2026!AL$1,FALSE),0)</f>
        <v>0</v>
      </c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</row>
    <row r="351" spans="1:59" s="9" customFormat="1">
      <c r="A351" s="8" t="s">
        <v>2727</v>
      </c>
      <c r="B351" s="8" t="s">
        <v>237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R351" s="9">
        <v>2</v>
      </c>
      <c r="S351" s="9">
        <v>1</v>
      </c>
      <c r="T351" s="9">
        <v>2</v>
      </c>
      <c r="U351" s="9">
        <v>0</v>
      </c>
      <c r="V351" s="9">
        <v>0</v>
      </c>
      <c r="W351" s="9">
        <v>0</v>
      </c>
      <c r="X351" s="9">
        <v>0</v>
      </c>
      <c r="AE351" s="9">
        <f>IFERROR(VLOOKUP($A351,pivot!$A:$G,計算式2026!AE$1,FALSE),0)</f>
        <v>0</v>
      </c>
      <c r="AF351" s="9">
        <f>IFERROR(VLOOKUP($A351,pivot!$A:$I,計算式2026!AF$1,FALSE),0)</f>
        <v>0</v>
      </c>
      <c r="AI351" s="9">
        <f>IFERROR(VLOOKUP($A351,pivot!$A:$I,計算式2026!AI$1,FALSE),0)</f>
        <v>0</v>
      </c>
      <c r="AJ351" s="9">
        <f>IFERROR(VLOOKUP($A351,pivot!$A:$I,計算式2026!AJ$1,FALSE),0)</f>
        <v>0</v>
      </c>
      <c r="AK351" s="9">
        <f>IFERROR(VLOOKUP($A351,pivot!$A:$I,計算式2026!AK$1,FALSE),0)</f>
        <v>0</v>
      </c>
      <c r="AL351" s="9">
        <f>IFERROR(VLOOKUP($A351,pivot!$A:$I,計算式2026!AL$1,FALSE),0)</f>
        <v>0</v>
      </c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</row>
    <row r="352" spans="1:59" s="9" customFormat="1">
      <c r="A352" s="8" t="s">
        <v>1929</v>
      </c>
      <c r="B352" s="8" t="s">
        <v>237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R352" s="9">
        <v>0</v>
      </c>
      <c r="S352" s="9">
        <v>1</v>
      </c>
      <c r="T352" s="9">
        <v>1</v>
      </c>
      <c r="U352" s="9">
        <v>0</v>
      </c>
      <c r="V352" s="9">
        <v>2</v>
      </c>
      <c r="W352" s="9">
        <v>1</v>
      </c>
      <c r="X352" s="9">
        <v>0</v>
      </c>
      <c r="AE352" s="9">
        <f>IFERROR(VLOOKUP($A352,pivot!$A:$G,計算式2026!AE$1,FALSE),0)</f>
        <v>0</v>
      </c>
      <c r="AF352" s="9">
        <f>IFERROR(VLOOKUP($A352,pivot!$A:$I,計算式2026!AF$1,FALSE),0)</f>
        <v>0</v>
      </c>
      <c r="AI352" s="9">
        <f>IFERROR(VLOOKUP($A352,pivot!$A:$I,計算式2026!AI$1,FALSE),0)</f>
        <v>0</v>
      </c>
      <c r="AJ352" s="9">
        <f>IFERROR(VLOOKUP($A352,pivot!$A:$I,計算式2026!AJ$1,FALSE),0)</f>
        <v>0</v>
      </c>
      <c r="AK352" s="9">
        <f>IFERROR(VLOOKUP($A352,pivot!$A:$I,計算式2026!AK$1,FALSE),0)</f>
        <v>0</v>
      </c>
      <c r="AL352" s="9">
        <f>IFERROR(VLOOKUP($A352,pivot!$A:$I,計算式2026!AL$1,FALSE),0)</f>
        <v>0</v>
      </c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</row>
    <row r="353" spans="1:59" s="9" customFormat="1">
      <c r="A353" s="8" t="s">
        <v>238</v>
      </c>
      <c r="B353" s="8" t="s">
        <v>237</v>
      </c>
      <c r="C353" s="9">
        <v>15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R353" s="9">
        <v>3</v>
      </c>
      <c r="S353" s="9">
        <v>4</v>
      </c>
      <c r="T353" s="9">
        <v>1</v>
      </c>
      <c r="U353" s="9">
        <v>3</v>
      </c>
      <c r="V353" s="9">
        <v>3</v>
      </c>
      <c r="W353" s="9">
        <v>1</v>
      </c>
      <c r="X353" s="9">
        <v>2</v>
      </c>
      <c r="AE353" s="9">
        <f>IFERROR(VLOOKUP($A353,pivot!$A:$G,計算式2026!AE$1,FALSE),0)</f>
        <v>0</v>
      </c>
      <c r="AF353" s="9">
        <f>IFERROR(VLOOKUP($A353,pivot!$A:$I,計算式2026!AF$1,FALSE),0)</f>
        <v>0</v>
      </c>
      <c r="AI353" s="9">
        <f>IFERROR(VLOOKUP($A353,pivot!$A:$I,計算式2026!AI$1,FALSE),0)</f>
        <v>0</v>
      </c>
      <c r="AJ353" s="9">
        <f>IFERROR(VLOOKUP($A353,pivot!$A:$I,計算式2026!AJ$1,FALSE),0)</f>
        <v>0</v>
      </c>
      <c r="AK353" s="9">
        <f>IFERROR(VLOOKUP($A353,pivot!$A:$I,計算式2026!AK$1,FALSE),0)</f>
        <v>0</v>
      </c>
      <c r="AL353" s="9">
        <f>IFERROR(VLOOKUP($A353,pivot!$A:$I,計算式2026!AL$1,FALSE),0)</f>
        <v>0</v>
      </c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</row>
    <row r="354" spans="1:59" s="9" customFormat="1">
      <c r="A354" s="8" t="s">
        <v>239</v>
      </c>
      <c r="B354" s="8" t="s">
        <v>237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R354" s="9">
        <v>0</v>
      </c>
      <c r="S354" s="9">
        <v>3</v>
      </c>
      <c r="T354" s="9">
        <v>1</v>
      </c>
      <c r="U354" s="9">
        <v>3</v>
      </c>
      <c r="V354" s="9">
        <v>3</v>
      </c>
      <c r="W354" s="9">
        <v>0</v>
      </c>
      <c r="X354" s="9">
        <v>1</v>
      </c>
      <c r="AE354" s="9">
        <f>IFERROR(VLOOKUP($A354,pivot!$A:$G,計算式2026!AE$1,FALSE),0)</f>
        <v>0</v>
      </c>
      <c r="AF354" s="9">
        <f>IFERROR(VLOOKUP($A354,pivot!$A:$I,計算式2026!AF$1,FALSE),0)</f>
        <v>0</v>
      </c>
      <c r="AI354" s="9">
        <f>IFERROR(VLOOKUP($A354,pivot!$A:$I,計算式2026!AI$1,FALSE),0)</f>
        <v>0</v>
      </c>
      <c r="AJ354" s="9">
        <f>IFERROR(VLOOKUP($A354,pivot!$A:$I,計算式2026!AJ$1,FALSE),0)</f>
        <v>0</v>
      </c>
      <c r="AK354" s="9">
        <f>IFERROR(VLOOKUP($A354,pivot!$A:$I,計算式2026!AK$1,FALSE),0)</f>
        <v>0</v>
      </c>
      <c r="AL354" s="9">
        <f>IFERROR(VLOOKUP($A354,pivot!$A:$I,計算式2026!AL$1,FALSE),0)</f>
        <v>0</v>
      </c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</row>
    <row r="355" spans="1:59" s="9" customFormat="1">
      <c r="A355" s="8" t="s">
        <v>240</v>
      </c>
      <c r="B355" s="8" t="s">
        <v>237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AE355" s="9">
        <f>IFERROR(VLOOKUP($A355,pivot!$A:$G,計算式2026!AE$1,FALSE),0)</f>
        <v>0</v>
      </c>
      <c r="AF355" s="9">
        <f>IFERROR(VLOOKUP($A355,pivot!$A:$I,計算式2026!AF$1,FALSE),0)</f>
        <v>0</v>
      </c>
      <c r="AI355" s="9">
        <f>IFERROR(VLOOKUP($A355,pivot!$A:$I,計算式2026!AI$1,FALSE),0)</f>
        <v>0</v>
      </c>
      <c r="AJ355" s="9">
        <f>IFERROR(VLOOKUP($A355,pivot!$A:$I,計算式2026!AJ$1,FALSE),0)</f>
        <v>0</v>
      </c>
      <c r="AK355" s="9">
        <f>IFERROR(VLOOKUP($A355,pivot!$A:$I,計算式2026!AK$1,FALSE),0)</f>
        <v>0</v>
      </c>
      <c r="AL355" s="9">
        <f>IFERROR(VLOOKUP($A355,pivot!$A:$I,計算式2026!AL$1,FALSE),0)</f>
        <v>0</v>
      </c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</row>
    <row r="356" spans="1:59" s="9" customFormat="1">
      <c r="A356" s="8" t="s">
        <v>1566</v>
      </c>
      <c r="B356" s="8" t="s">
        <v>237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R356" s="9">
        <v>3</v>
      </c>
      <c r="S356" s="9">
        <v>3</v>
      </c>
      <c r="T356" s="9">
        <v>2</v>
      </c>
      <c r="U356" s="9">
        <v>3</v>
      </c>
      <c r="V356" s="9">
        <v>3</v>
      </c>
      <c r="W356" s="9">
        <v>1</v>
      </c>
      <c r="X356" s="9">
        <v>2</v>
      </c>
      <c r="AE356" s="9">
        <f>IFERROR(VLOOKUP($A356,pivot!$A:$G,計算式2026!AE$1,FALSE),0)</f>
        <v>0</v>
      </c>
      <c r="AF356" s="9">
        <f>IFERROR(VLOOKUP($A356,pivot!$A:$I,計算式2026!AF$1,FALSE),0)</f>
        <v>0</v>
      </c>
      <c r="AI356" s="9">
        <f>IFERROR(VLOOKUP($A356,pivot!$A:$I,計算式2026!AI$1,FALSE),0)</f>
        <v>0</v>
      </c>
      <c r="AJ356" s="9">
        <f>IFERROR(VLOOKUP($A356,pivot!$A:$I,計算式2026!AJ$1,FALSE),0)</f>
        <v>0</v>
      </c>
      <c r="AK356" s="9">
        <f>IFERROR(VLOOKUP($A356,pivot!$A:$I,計算式2026!AK$1,FALSE),0)</f>
        <v>0</v>
      </c>
      <c r="AL356" s="9">
        <f>IFERROR(VLOOKUP($A356,pivot!$A:$I,計算式2026!AL$1,FALSE),0)</f>
        <v>0</v>
      </c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</row>
    <row r="357" spans="1:59" s="9" customFormat="1">
      <c r="A357" s="8" t="s">
        <v>241</v>
      </c>
      <c r="B357" s="8" t="s">
        <v>237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R357" s="9">
        <v>1</v>
      </c>
      <c r="S357" s="9">
        <v>2</v>
      </c>
      <c r="T357" s="9">
        <v>0</v>
      </c>
      <c r="U357" s="9">
        <v>0</v>
      </c>
      <c r="V357" s="9">
        <v>4</v>
      </c>
      <c r="W357" s="9">
        <v>0</v>
      </c>
      <c r="X357" s="9">
        <v>0</v>
      </c>
      <c r="AE357" s="9">
        <f>IFERROR(VLOOKUP($A357,pivot!$A:$G,計算式2026!AE$1,FALSE),0)</f>
        <v>0</v>
      </c>
      <c r="AF357" s="9">
        <f>IFERROR(VLOOKUP($A357,pivot!$A:$I,計算式2026!AF$1,FALSE),0)</f>
        <v>0</v>
      </c>
      <c r="AI357" s="9">
        <f>IFERROR(VLOOKUP($A357,pivot!$A:$I,計算式2026!AI$1,FALSE),0)</f>
        <v>0</v>
      </c>
      <c r="AJ357" s="9">
        <f>IFERROR(VLOOKUP($A357,pivot!$A:$I,計算式2026!AJ$1,FALSE),0)</f>
        <v>0</v>
      </c>
      <c r="AK357" s="9">
        <f>IFERROR(VLOOKUP($A357,pivot!$A:$I,計算式2026!AK$1,FALSE),0)</f>
        <v>0</v>
      </c>
      <c r="AL357" s="9">
        <f>IFERROR(VLOOKUP($A357,pivot!$A:$I,計算式2026!AL$1,FALSE),0)</f>
        <v>0</v>
      </c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</row>
    <row r="358" spans="1:59" s="9" customFormat="1">
      <c r="A358" s="8" t="s">
        <v>242</v>
      </c>
      <c r="B358" s="8" t="s">
        <v>237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R358" s="9">
        <v>0</v>
      </c>
      <c r="S358" s="9">
        <v>0</v>
      </c>
      <c r="T358" s="9">
        <v>1</v>
      </c>
      <c r="U358" s="9">
        <v>0</v>
      </c>
      <c r="V358" s="9">
        <v>0</v>
      </c>
      <c r="W358" s="9">
        <v>0</v>
      </c>
      <c r="X358" s="9">
        <v>2</v>
      </c>
      <c r="AE358" s="9">
        <f>IFERROR(VLOOKUP($A358,pivot!$A:$G,計算式2026!AE$1,FALSE),0)</f>
        <v>0</v>
      </c>
      <c r="AF358" s="9">
        <f>IFERROR(VLOOKUP($A358,pivot!$A:$I,計算式2026!AF$1,FALSE),0)</f>
        <v>0</v>
      </c>
      <c r="AI358" s="9">
        <f>IFERROR(VLOOKUP($A358,pivot!$A:$I,計算式2026!AI$1,FALSE),0)</f>
        <v>0</v>
      </c>
      <c r="AJ358" s="9">
        <f>IFERROR(VLOOKUP($A358,pivot!$A:$I,計算式2026!AJ$1,FALSE),0)</f>
        <v>0</v>
      </c>
      <c r="AK358" s="9">
        <f>IFERROR(VLOOKUP($A358,pivot!$A:$I,計算式2026!AK$1,FALSE),0)</f>
        <v>0</v>
      </c>
      <c r="AL358" s="9">
        <f>IFERROR(VLOOKUP($A358,pivot!$A:$I,計算式2026!AL$1,FALSE),0)</f>
        <v>0</v>
      </c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</row>
    <row r="359" spans="1:59" s="9" customFormat="1">
      <c r="A359" s="8" t="s">
        <v>243</v>
      </c>
      <c r="B359" s="8" t="s">
        <v>237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AE359" s="9">
        <f>IFERROR(VLOOKUP($A359,pivot!$A:$G,計算式2026!AE$1,FALSE),0)</f>
        <v>0</v>
      </c>
      <c r="AF359" s="9">
        <f>IFERROR(VLOOKUP($A359,pivot!$A:$I,計算式2026!AF$1,FALSE),0)</f>
        <v>0</v>
      </c>
      <c r="AI359" s="9">
        <f>IFERROR(VLOOKUP($A359,pivot!$A:$I,計算式2026!AI$1,FALSE),0)</f>
        <v>0</v>
      </c>
      <c r="AJ359" s="9">
        <f>IFERROR(VLOOKUP($A359,pivot!$A:$I,計算式2026!AJ$1,FALSE),0)</f>
        <v>0</v>
      </c>
      <c r="AK359" s="9">
        <f>IFERROR(VLOOKUP($A359,pivot!$A:$I,計算式2026!AK$1,FALSE),0)</f>
        <v>0</v>
      </c>
      <c r="AL359" s="9">
        <f>IFERROR(VLOOKUP($A359,pivot!$A:$I,計算式2026!AL$1,FALSE),0)</f>
        <v>0</v>
      </c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</row>
    <row r="360" spans="1:59" s="9" customFormat="1">
      <c r="A360" s="8" t="s">
        <v>1930</v>
      </c>
      <c r="B360" s="8" t="s">
        <v>237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R360" s="9">
        <v>2</v>
      </c>
      <c r="S360" s="9">
        <v>4</v>
      </c>
      <c r="T360" s="9">
        <v>1</v>
      </c>
      <c r="U360" s="9">
        <v>0</v>
      </c>
      <c r="V360" s="9">
        <v>2</v>
      </c>
      <c r="W360" s="9">
        <v>0</v>
      </c>
      <c r="X360" s="9">
        <v>1</v>
      </c>
      <c r="AE360" s="9">
        <f>IFERROR(VLOOKUP($A360,pivot!$A:$G,計算式2026!AE$1,FALSE),0)</f>
        <v>0</v>
      </c>
      <c r="AF360" s="9">
        <f>IFERROR(VLOOKUP($A360,pivot!$A:$I,計算式2026!AF$1,FALSE),0)</f>
        <v>0</v>
      </c>
      <c r="AI360" s="9">
        <f>IFERROR(VLOOKUP($A360,pivot!$A:$I,計算式2026!AI$1,FALSE),0)</f>
        <v>0</v>
      </c>
      <c r="AJ360" s="9">
        <f>IFERROR(VLOOKUP($A360,pivot!$A:$I,計算式2026!AJ$1,FALSE),0)</f>
        <v>0</v>
      </c>
      <c r="AK360" s="9">
        <f>IFERROR(VLOOKUP($A360,pivot!$A:$I,計算式2026!AK$1,FALSE),0)</f>
        <v>0</v>
      </c>
      <c r="AL360" s="9">
        <f>IFERROR(VLOOKUP($A360,pivot!$A:$I,計算式2026!AL$1,FALSE),0)</f>
        <v>0</v>
      </c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</row>
    <row r="361" spans="1:59" s="9" customFormat="1">
      <c r="A361" s="8" t="s">
        <v>1931</v>
      </c>
      <c r="B361" s="8" t="s">
        <v>1932</v>
      </c>
      <c r="C361" s="9">
        <v>20</v>
      </c>
      <c r="D361" s="9">
        <v>187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R361" s="9">
        <v>3</v>
      </c>
      <c r="S361" s="9">
        <v>3</v>
      </c>
      <c r="T361" s="9">
        <v>2</v>
      </c>
      <c r="U361" s="9">
        <v>3</v>
      </c>
      <c r="V361" s="9">
        <v>5</v>
      </c>
      <c r="W361" s="9">
        <v>1</v>
      </c>
      <c r="X361" s="9">
        <v>5</v>
      </c>
      <c r="AE361" s="9">
        <f>IFERROR(VLOOKUP($A361,pivot!$A:$G,計算式2026!AE$1,FALSE),0)</f>
        <v>0</v>
      </c>
      <c r="AF361" s="9">
        <f>IFERROR(VLOOKUP($A361,pivot!$A:$I,計算式2026!AF$1,FALSE),0)</f>
        <v>0</v>
      </c>
      <c r="AI361" s="9">
        <f>IFERROR(VLOOKUP($A361,pivot!$A:$I,計算式2026!AI$1,FALSE),0)</f>
        <v>0</v>
      </c>
      <c r="AJ361" s="9">
        <f>IFERROR(VLOOKUP($A361,pivot!$A:$I,計算式2026!AJ$1,FALSE),0)</f>
        <v>0</v>
      </c>
      <c r="AK361" s="9">
        <f>IFERROR(VLOOKUP($A361,pivot!$A:$I,計算式2026!AK$1,FALSE),0)</f>
        <v>0</v>
      </c>
      <c r="AL361" s="9">
        <f>IFERROR(VLOOKUP($A361,pivot!$A:$I,計算式2026!AL$1,FALSE),0)</f>
        <v>0</v>
      </c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</row>
    <row r="362" spans="1:59" s="9" customFormat="1">
      <c r="A362" s="8" t="s">
        <v>1933</v>
      </c>
      <c r="B362" s="8" t="s">
        <v>1932</v>
      </c>
      <c r="C362" s="9">
        <v>20</v>
      </c>
      <c r="D362" s="9">
        <v>148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R362" s="9">
        <v>4</v>
      </c>
      <c r="S362" s="9">
        <v>3</v>
      </c>
      <c r="T362" s="9">
        <v>2</v>
      </c>
      <c r="U362" s="9">
        <v>3</v>
      </c>
      <c r="V362" s="9">
        <v>5</v>
      </c>
      <c r="W362" s="9">
        <v>1</v>
      </c>
      <c r="X362" s="9">
        <v>4</v>
      </c>
      <c r="AE362" s="9">
        <f>IFERROR(VLOOKUP($A362,pivot!$A:$G,計算式2026!AE$1,FALSE),0)</f>
        <v>0</v>
      </c>
      <c r="AF362" s="9">
        <f>IFERROR(VLOOKUP($A362,pivot!$A:$I,計算式2026!AF$1,FALSE),0)</f>
        <v>0</v>
      </c>
      <c r="AI362" s="9">
        <f>IFERROR(VLOOKUP($A362,pivot!$A:$I,計算式2026!AI$1,FALSE),0)</f>
        <v>0</v>
      </c>
      <c r="AJ362" s="9">
        <f>IFERROR(VLOOKUP($A362,pivot!$A:$I,計算式2026!AJ$1,FALSE),0)</f>
        <v>0</v>
      </c>
      <c r="AK362" s="9">
        <f>IFERROR(VLOOKUP($A362,pivot!$A:$I,計算式2026!AK$1,FALSE),0)</f>
        <v>0</v>
      </c>
      <c r="AL362" s="9">
        <f>IFERROR(VLOOKUP($A362,pivot!$A:$I,計算式2026!AL$1,FALSE),0)</f>
        <v>0</v>
      </c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</row>
    <row r="363" spans="1:59" s="9" customFormat="1">
      <c r="A363" s="8" t="s">
        <v>1934</v>
      </c>
      <c r="B363" s="8" t="s">
        <v>1932</v>
      </c>
      <c r="C363" s="9">
        <v>0</v>
      </c>
      <c r="D363" s="9">
        <v>94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R363" s="9">
        <v>3</v>
      </c>
      <c r="S363" s="9">
        <v>2</v>
      </c>
      <c r="T363" s="9">
        <v>1</v>
      </c>
      <c r="U363" s="9">
        <v>3</v>
      </c>
      <c r="V363" s="9">
        <v>3</v>
      </c>
      <c r="W363" s="9">
        <v>1</v>
      </c>
      <c r="X363" s="9">
        <v>3</v>
      </c>
      <c r="AE363" s="9">
        <f>IFERROR(VLOOKUP($A363,pivot!$A:$G,計算式2026!AE$1,FALSE),0)</f>
        <v>0</v>
      </c>
      <c r="AF363" s="9">
        <f>IFERROR(VLOOKUP($A363,pivot!$A:$I,計算式2026!AF$1,FALSE),0)</f>
        <v>0</v>
      </c>
      <c r="AI363" s="9">
        <f>IFERROR(VLOOKUP($A363,pivot!$A:$I,計算式2026!AI$1,FALSE),0)</f>
        <v>0</v>
      </c>
      <c r="AJ363" s="9">
        <f>IFERROR(VLOOKUP($A363,pivot!$A:$I,計算式2026!AJ$1,FALSE),0)</f>
        <v>0</v>
      </c>
      <c r="AK363" s="9">
        <f>IFERROR(VLOOKUP($A363,pivot!$A:$I,計算式2026!AK$1,FALSE),0)</f>
        <v>0</v>
      </c>
      <c r="AL363" s="9">
        <f>IFERROR(VLOOKUP($A363,pivot!$A:$I,計算式2026!AL$1,FALSE),0)</f>
        <v>0</v>
      </c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</row>
    <row r="364" spans="1:59" s="9" customFormat="1">
      <c r="A364" s="8" t="s">
        <v>1935</v>
      </c>
      <c r="B364" s="8" t="s">
        <v>1932</v>
      </c>
      <c r="C364" s="9">
        <v>7</v>
      </c>
      <c r="D364" s="9">
        <v>89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R364" s="9">
        <v>3</v>
      </c>
      <c r="S364" s="9">
        <v>2</v>
      </c>
      <c r="T364" s="9">
        <v>3</v>
      </c>
      <c r="U364" s="9">
        <v>2</v>
      </c>
      <c r="V364" s="9">
        <v>4</v>
      </c>
      <c r="W364" s="9">
        <v>1</v>
      </c>
      <c r="X364" s="9">
        <v>4</v>
      </c>
      <c r="AE364" s="9">
        <f>IFERROR(VLOOKUP($A364,pivot!$A:$G,計算式2026!AE$1,FALSE),0)</f>
        <v>0</v>
      </c>
      <c r="AF364" s="9">
        <f>IFERROR(VLOOKUP($A364,pivot!$A:$I,計算式2026!AF$1,FALSE),0)</f>
        <v>0</v>
      </c>
      <c r="AI364" s="9">
        <f>IFERROR(VLOOKUP($A364,pivot!$A:$I,計算式2026!AI$1,FALSE),0)</f>
        <v>0</v>
      </c>
      <c r="AJ364" s="9">
        <f>IFERROR(VLOOKUP($A364,pivot!$A:$I,計算式2026!AJ$1,FALSE),0)</f>
        <v>0</v>
      </c>
      <c r="AK364" s="9">
        <f>IFERROR(VLOOKUP($A364,pivot!$A:$I,計算式2026!AK$1,FALSE),0)</f>
        <v>0</v>
      </c>
      <c r="AL364" s="9">
        <f>IFERROR(VLOOKUP($A364,pivot!$A:$I,計算式2026!AL$1,FALSE),0)</f>
        <v>0</v>
      </c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</row>
    <row r="365" spans="1:59" s="9" customFormat="1">
      <c r="A365" s="8" t="s">
        <v>1936</v>
      </c>
      <c r="B365" s="8" t="s">
        <v>1937</v>
      </c>
      <c r="C365" s="9">
        <v>14</v>
      </c>
      <c r="D365" s="9">
        <v>38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R365" s="9">
        <v>3</v>
      </c>
      <c r="S365" s="9">
        <v>3</v>
      </c>
      <c r="T365" s="9">
        <v>2</v>
      </c>
      <c r="U365" s="9">
        <v>3</v>
      </c>
      <c r="V365" s="9">
        <v>3</v>
      </c>
      <c r="W365" s="9">
        <v>1</v>
      </c>
      <c r="X365" s="9">
        <v>3</v>
      </c>
      <c r="AE365" s="9">
        <f>IFERROR(VLOOKUP($A365,pivot!$A:$G,計算式2026!AE$1,FALSE),0)</f>
        <v>0</v>
      </c>
      <c r="AF365" s="9">
        <f>IFERROR(VLOOKUP($A365,pivot!$A:$I,計算式2026!AF$1,FALSE),0)</f>
        <v>0</v>
      </c>
      <c r="AI365" s="9">
        <f>IFERROR(VLOOKUP($A365,pivot!$A:$I,計算式2026!AI$1,FALSE),0)</f>
        <v>0</v>
      </c>
      <c r="AJ365" s="9">
        <f>IFERROR(VLOOKUP($A365,pivot!$A:$I,計算式2026!AJ$1,FALSE),0)</f>
        <v>0</v>
      </c>
      <c r="AK365" s="9">
        <f>IFERROR(VLOOKUP($A365,pivot!$A:$I,計算式2026!AK$1,FALSE),0)</f>
        <v>0</v>
      </c>
      <c r="AL365" s="9">
        <f>IFERROR(VLOOKUP($A365,pivot!$A:$I,計算式2026!AL$1,FALSE),0)</f>
        <v>0</v>
      </c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</row>
    <row r="366" spans="1:59" s="9" customFormat="1">
      <c r="A366" s="8" t="s">
        <v>1938</v>
      </c>
      <c r="B366" s="8" t="s">
        <v>1937</v>
      </c>
      <c r="C366" s="9">
        <v>6</v>
      </c>
      <c r="D366" s="9">
        <v>3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R366" s="9">
        <v>3</v>
      </c>
      <c r="S366" s="9">
        <v>3</v>
      </c>
      <c r="T366" s="9">
        <v>1</v>
      </c>
      <c r="U366" s="9">
        <v>3</v>
      </c>
      <c r="V366" s="9">
        <v>3</v>
      </c>
      <c r="W366" s="9">
        <v>0</v>
      </c>
      <c r="X366" s="9">
        <v>3</v>
      </c>
      <c r="AE366" s="9">
        <f>IFERROR(VLOOKUP($A366,pivot!$A:$G,計算式2026!AE$1,FALSE),0)</f>
        <v>0</v>
      </c>
      <c r="AF366" s="9">
        <f>IFERROR(VLOOKUP($A366,pivot!$A:$I,計算式2026!AF$1,FALSE),0)</f>
        <v>0</v>
      </c>
      <c r="AI366" s="9">
        <f>IFERROR(VLOOKUP($A366,pivot!$A:$I,計算式2026!AI$1,FALSE),0)</f>
        <v>0</v>
      </c>
      <c r="AJ366" s="9">
        <f>IFERROR(VLOOKUP($A366,pivot!$A:$I,計算式2026!AJ$1,FALSE),0)</f>
        <v>0</v>
      </c>
      <c r="AK366" s="9">
        <f>IFERROR(VLOOKUP($A366,pivot!$A:$I,計算式2026!AK$1,FALSE),0)</f>
        <v>0</v>
      </c>
      <c r="AL366" s="9">
        <f>IFERROR(VLOOKUP($A366,pivot!$A:$I,計算式2026!AL$1,FALSE),0)</f>
        <v>0</v>
      </c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</row>
    <row r="367" spans="1:59" s="9" customFormat="1">
      <c r="A367" s="8" t="s">
        <v>1939</v>
      </c>
      <c r="B367" s="8" t="s">
        <v>1937</v>
      </c>
      <c r="C367" s="9">
        <v>8</v>
      </c>
      <c r="D367" s="9">
        <v>28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R367" s="9">
        <v>3</v>
      </c>
      <c r="S367" s="9">
        <v>3</v>
      </c>
      <c r="T367" s="9">
        <v>3</v>
      </c>
      <c r="U367" s="9">
        <v>3</v>
      </c>
      <c r="V367" s="9">
        <v>3</v>
      </c>
      <c r="W367" s="9">
        <v>1</v>
      </c>
      <c r="X367" s="9">
        <v>4</v>
      </c>
      <c r="AE367" s="9">
        <f>IFERROR(VLOOKUP($A367,pivot!$A:$G,計算式2026!AE$1,FALSE),0)</f>
        <v>0</v>
      </c>
      <c r="AF367" s="9">
        <f>IFERROR(VLOOKUP($A367,pivot!$A:$I,計算式2026!AF$1,FALSE),0)</f>
        <v>0</v>
      </c>
      <c r="AI367" s="9">
        <f>IFERROR(VLOOKUP($A367,pivot!$A:$I,計算式2026!AI$1,FALSE),0)</f>
        <v>0</v>
      </c>
      <c r="AJ367" s="9">
        <f>IFERROR(VLOOKUP($A367,pivot!$A:$I,計算式2026!AJ$1,FALSE),0)</f>
        <v>0</v>
      </c>
      <c r="AK367" s="9">
        <f>IFERROR(VLOOKUP($A367,pivot!$A:$I,計算式2026!AK$1,FALSE),0)</f>
        <v>0</v>
      </c>
      <c r="AL367" s="9">
        <f>IFERROR(VLOOKUP($A367,pivot!$A:$I,計算式2026!AL$1,FALSE),0)</f>
        <v>0</v>
      </c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</row>
    <row r="368" spans="1:59" s="9" customFormat="1">
      <c r="A368" s="8" t="s">
        <v>1940</v>
      </c>
      <c r="B368" s="8" t="s">
        <v>1937</v>
      </c>
      <c r="C368" s="9">
        <v>16</v>
      </c>
      <c r="D368" s="9">
        <v>21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R368" s="9">
        <v>3</v>
      </c>
      <c r="S368" s="9">
        <v>4</v>
      </c>
      <c r="T368" s="9">
        <v>1</v>
      </c>
      <c r="U368" s="9">
        <v>3</v>
      </c>
      <c r="V368" s="9">
        <v>3</v>
      </c>
      <c r="W368" s="9">
        <v>1</v>
      </c>
      <c r="X368" s="9">
        <v>3</v>
      </c>
      <c r="AE368" s="9">
        <f>IFERROR(VLOOKUP($A368,pivot!$A:$G,計算式2026!AE$1,FALSE),0)</f>
        <v>0</v>
      </c>
      <c r="AF368" s="9">
        <f>IFERROR(VLOOKUP($A368,pivot!$A:$I,計算式2026!AF$1,FALSE),0)</f>
        <v>0</v>
      </c>
      <c r="AI368" s="9">
        <f>IFERROR(VLOOKUP($A368,pivot!$A:$I,計算式2026!AI$1,FALSE),0)</f>
        <v>0</v>
      </c>
      <c r="AJ368" s="9">
        <f>IFERROR(VLOOKUP($A368,pivot!$A:$I,計算式2026!AJ$1,FALSE),0)</f>
        <v>0</v>
      </c>
      <c r="AK368" s="9">
        <f>IFERROR(VLOOKUP($A368,pivot!$A:$I,計算式2026!AK$1,FALSE),0)</f>
        <v>0</v>
      </c>
      <c r="AL368" s="9">
        <f>IFERROR(VLOOKUP($A368,pivot!$A:$I,計算式2026!AL$1,FALSE),0)</f>
        <v>0</v>
      </c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</row>
    <row r="369" spans="1:59" s="9" customFormat="1">
      <c r="A369" s="8" t="s">
        <v>1941</v>
      </c>
      <c r="B369" s="8" t="s">
        <v>1942</v>
      </c>
      <c r="C369" s="9">
        <v>0</v>
      </c>
      <c r="D369" s="9">
        <v>33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R369" s="9">
        <v>2</v>
      </c>
      <c r="S369" s="9">
        <v>3</v>
      </c>
      <c r="T369" s="9">
        <v>2</v>
      </c>
      <c r="U369" s="9">
        <v>2</v>
      </c>
      <c r="V369" s="9">
        <v>3</v>
      </c>
      <c r="W369" s="9">
        <v>0</v>
      </c>
      <c r="X369" s="9">
        <v>3</v>
      </c>
      <c r="AE369" s="9">
        <f>IFERROR(VLOOKUP($A369,pivot!$A:$G,計算式2026!AE$1,FALSE),0)</f>
        <v>0</v>
      </c>
      <c r="AF369" s="9">
        <f>IFERROR(VLOOKUP($A369,pivot!$A:$I,計算式2026!AF$1,FALSE),0)</f>
        <v>0</v>
      </c>
      <c r="AI369" s="9">
        <f>IFERROR(VLOOKUP($A369,pivot!$A:$I,計算式2026!AI$1,FALSE),0)</f>
        <v>0</v>
      </c>
      <c r="AJ369" s="9">
        <f>IFERROR(VLOOKUP($A369,pivot!$A:$I,計算式2026!AJ$1,FALSE),0)</f>
        <v>0</v>
      </c>
      <c r="AK369" s="9">
        <f>IFERROR(VLOOKUP($A369,pivot!$A:$I,計算式2026!AK$1,FALSE),0)</f>
        <v>0</v>
      </c>
      <c r="AL369" s="9">
        <f>IFERROR(VLOOKUP($A369,pivot!$A:$I,計算式2026!AL$1,FALSE),0)</f>
        <v>0</v>
      </c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</row>
    <row r="370" spans="1:59" s="9" customFormat="1">
      <c r="A370" s="8" t="s">
        <v>1943</v>
      </c>
      <c r="B370" s="8" t="s">
        <v>1942</v>
      </c>
      <c r="C370" s="9">
        <v>1</v>
      </c>
      <c r="D370" s="9">
        <v>18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R370" s="9">
        <v>2</v>
      </c>
      <c r="S370" s="9">
        <v>3</v>
      </c>
      <c r="T370" s="9">
        <v>2</v>
      </c>
      <c r="U370" s="9">
        <v>2</v>
      </c>
      <c r="V370" s="9">
        <v>3</v>
      </c>
      <c r="W370" s="9">
        <v>0</v>
      </c>
      <c r="X370" s="9">
        <v>4</v>
      </c>
      <c r="AE370" s="9">
        <f>IFERROR(VLOOKUP($A370,pivot!$A:$G,計算式2026!AE$1,FALSE),0)</f>
        <v>0</v>
      </c>
      <c r="AF370" s="9">
        <f>IFERROR(VLOOKUP($A370,pivot!$A:$I,計算式2026!AF$1,FALSE),0)</f>
        <v>0</v>
      </c>
      <c r="AI370" s="9">
        <f>IFERROR(VLOOKUP($A370,pivot!$A:$I,計算式2026!AI$1,FALSE),0)</f>
        <v>0</v>
      </c>
      <c r="AJ370" s="9">
        <f>IFERROR(VLOOKUP($A370,pivot!$A:$I,計算式2026!AJ$1,FALSE),0)</f>
        <v>0</v>
      </c>
      <c r="AK370" s="9">
        <f>IFERROR(VLOOKUP($A370,pivot!$A:$I,計算式2026!AK$1,FALSE),0)</f>
        <v>0</v>
      </c>
      <c r="AL370" s="9">
        <f>IFERROR(VLOOKUP($A370,pivot!$A:$I,計算式2026!AL$1,FALSE),0)</f>
        <v>0</v>
      </c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</row>
    <row r="371" spans="1:59" s="9" customFormat="1">
      <c r="A371" s="8" t="s">
        <v>1944</v>
      </c>
      <c r="B371" s="8" t="s">
        <v>1942</v>
      </c>
      <c r="C371" s="9">
        <v>0</v>
      </c>
      <c r="D371" s="9">
        <v>8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R371" s="9">
        <v>2</v>
      </c>
      <c r="S371" s="9">
        <v>3</v>
      </c>
      <c r="T371" s="9">
        <v>1</v>
      </c>
      <c r="U371" s="9">
        <v>2</v>
      </c>
      <c r="V371" s="9">
        <v>3</v>
      </c>
      <c r="W371" s="9">
        <v>0</v>
      </c>
      <c r="X371" s="9">
        <v>3</v>
      </c>
      <c r="AE371" s="9">
        <f>IFERROR(VLOOKUP($A371,pivot!$A:$G,計算式2026!AE$1,FALSE),0)</f>
        <v>0</v>
      </c>
      <c r="AF371" s="9">
        <f>IFERROR(VLOOKUP($A371,pivot!$A:$I,計算式2026!AF$1,FALSE),0)</f>
        <v>0</v>
      </c>
      <c r="AI371" s="9">
        <f>IFERROR(VLOOKUP($A371,pivot!$A:$I,計算式2026!AI$1,FALSE),0)</f>
        <v>0</v>
      </c>
      <c r="AJ371" s="9">
        <f>IFERROR(VLOOKUP($A371,pivot!$A:$I,計算式2026!AJ$1,FALSE),0)</f>
        <v>0</v>
      </c>
      <c r="AK371" s="9">
        <f>IFERROR(VLOOKUP($A371,pivot!$A:$I,計算式2026!AK$1,FALSE),0)</f>
        <v>0</v>
      </c>
      <c r="AL371" s="9">
        <f>IFERROR(VLOOKUP($A371,pivot!$A:$I,計算式2026!AL$1,FALSE),0)</f>
        <v>0</v>
      </c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</row>
    <row r="372" spans="1:59" s="9" customFormat="1">
      <c r="A372" s="8" t="s">
        <v>1945</v>
      </c>
      <c r="B372" s="8" t="s">
        <v>1942</v>
      </c>
      <c r="C372" s="9">
        <v>3</v>
      </c>
      <c r="D372" s="9">
        <v>6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R372" s="9">
        <v>2</v>
      </c>
      <c r="S372" s="9">
        <v>2</v>
      </c>
      <c r="T372" s="9">
        <v>1</v>
      </c>
      <c r="U372" s="9">
        <v>2</v>
      </c>
      <c r="V372" s="9">
        <v>3</v>
      </c>
      <c r="W372" s="9">
        <v>0</v>
      </c>
      <c r="X372" s="9">
        <v>3</v>
      </c>
      <c r="AE372" s="9">
        <f>IFERROR(VLOOKUP($A372,pivot!$A:$G,計算式2026!AE$1,FALSE),0)</f>
        <v>0</v>
      </c>
      <c r="AF372" s="9">
        <f>IFERROR(VLOOKUP($A372,pivot!$A:$I,計算式2026!AF$1,FALSE),0)</f>
        <v>0</v>
      </c>
      <c r="AI372" s="9">
        <f>IFERROR(VLOOKUP($A372,pivot!$A:$I,計算式2026!AI$1,FALSE),0)</f>
        <v>0</v>
      </c>
      <c r="AJ372" s="9">
        <f>IFERROR(VLOOKUP($A372,pivot!$A:$I,計算式2026!AJ$1,FALSE),0)</f>
        <v>0</v>
      </c>
      <c r="AK372" s="9">
        <f>IFERROR(VLOOKUP($A372,pivot!$A:$I,計算式2026!AK$1,FALSE),0)</f>
        <v>0</v>
      </c>
      <c r="AL372" s="9">
        <f>IFERROR(VLOOKUP($A372,pivot!$A:$I,計算式2026!AL$1,FALSE),0)</f>
        <v>0</v>
      </c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</row>
    <row r="373" spans="1:59" s="9" customFormat="1">
      <c r="A373" s="8" t="s">
        <v>1946</v>
      </c>
      <c r="B373" s="8" t="s">
        <v>1947</v>
      </c>
      <c r="C373" s="9">
        <v>2</v>
      </c>
      <c r="D373" s="9">
        <v>46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R373" s="9">
        <v>3</v>
      </c>
      <c r="S373" s="9">
        <v>4</v>
      </c>
      <c r="T373" s="9">
        <v>2</v>
      </c>
      <c r="U373" s="9">
        <v>3</v>
      </c>
      <c r="V373" s="9">
        <v>3</v>
      </c>
      <c r="W373" s="9">
        <v>1</v>
      </c>
      <c r="X373" s="9">
        <v>3</v>
      </c>
      <c r="AE373" s="9">
        <f>IFERROR(VLOOKUP($A373,pivot!$A:$G,計算式2026!AE$1,FALSE),0)</f>
        <v>0</v>
      </c>
      <c r="AF373" s="9">
        <f>IFERROR(VLOOKUP($A373,pivot!$A:$I,計算式2026!AF$1,FALSE),0)</f>
        <v>0</v>
      </c>
      <c r="AI373" s="9">
        <f>IFERROR(VLOOKUP($A373,pivot!$A:$I,計算式2026!AI$1,FALSE),0)</f>
        <v>0</v>
      </c>
      <c r="AJ373" s="9">
        <f>IFERROR(VLOOKUP($A373,pivot!$A:$I,計算式2026!AJ$1,FALSE),0)</f>
        <v>0</v>
      </c>
      <c r="AK373" s="9">
        <f>IFERROR(VLOOKUP($A373,pivot!$A:$I,計算式2026!AK$1,FALSE),0)</f>
        <v>0</v>
      </c>
      <c r="AL373" s="9">
        <f>IFERROR(VLOOKUP($A373,pivot!$A:$I,計算式2026!AL$1,FALSE),0)</f>
        <v>0</v>
      </c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</row>
    <row r="374" spans="1:59" s="9" customFormat="1">
      <c r="A374" s="8" t="s">
        <v>1948</v>
      </c>
      <c r="B374" s="8" t="s">
        <v>1947</v>
      </c>
      <c r="C374" s="9">
        <v>3</v>
      </c>
      <c r="D374" s="9">
        <v>44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R374" s="9">
        <v>3</v>
      </c>
      <c r="S374" s="9">
        <v>4</v>
      </c>
      <c r="T374" s="9">
        <v>1</v>
      </c>
      <c r="U374" s="9">
        <v>3</v>
      </c>
      <c r="V374" s="9">
        <v>3</v>
      </c>
      <c r="W374" s="9">
        <v>1</v>
      </c>
      <c r="X374" s="9">
        <v>3</v>
      </c>
      <c r="AE374" s="9">
        <f>IFERROR(VLOOKUP($A374,pivot!$A:$G,計算式2026!AE$1,FALSE),0)</f>
        <v>0</v>
      </c>
      <c r="AF374" s="9">
        <f>IFERROR(VLOOKUP($A374,pivot!$A:$I,計算式2026!AF$1,FALSE),0)</f>
        <v>0</v>
      </c>
      <c r="AI374" s="9">
        <f>IFERROR(VLOOKUP($A374,pivot!$A:$I,計算式2026!AI$1,FALSE),0)</f>
        <v>0</v>
      </c>
      <c r="AJ374" s="9">
        <f>IFERROR(VLOOKUP($A374,pivot!$A:$I,計算式2026!AJ$1,FALSE),0)</f>
        <v>0</v>
      </c>
      <c r="AK374" s="9">
        <f>IFERROR(VLOOKUP($A374,pivot!$A:$I,計算式2026!AK$1,FALSE),0)</f>
        <v>0</v>
      </c>
      <c r="AL374" s="9">
        <f>IFERROR(VLOOKUP($A374,pivot!$A:$I,計算式2026!AL$1,FALSE),0)</f>
        <v>0</v>
      </c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</row>
    <row r="375" spans="1:59" s="9" customFormat="1">
      <c r="A375" s="8" t="s">
        <v>1949</v>
      </c>
      <c r="B375" s="8" t="s">
        <v>1947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R375" s="9">
        <v>1</v>
      </c>
      <c r="S375" s="9">
        <v>3</v>
      </c>
      <c r="T375" s="9">
        <v>1</v>
      </c>
      <c r="U375" s="9">
        <v>3</v>
      </c>
      <c r="V375" s="9">
        <v>3</v>
      </c>
      <c r="W375" s="9">
        <v>1</v>
      </c>
      <c r="X375" s="9">
        <v>4</v>
      </c>
      <c r="AE375" s="9">
        <f>IFERROR(VLOOKUP($A375,pivot!$A:$G,計算式2026!AE$1,FALSE),0)</f>
        <v>0</v>
      </c>
      <c r="AF375" s="9">
        <f>IFERROR(VLOOKUP($A375,pivot!$A:$I,計算式2026!AF$1,FALSE),0)</f>
        <v>0</v>
      </c>
      <c r="AI375" s="9">
        <f>IFERROR(VLOOKUP($A375,pivot!$A:$I,計算式2026!AI$1,FALSE),0)</f>
        <v>0</v>
      </c>
      <c r="AJ375" s="9">
        <f>IFERROR(VLOOKUP($A375,pivot!$A:$I,計算式2026!AJ$1,FALSE),0)</f>
        <v>0</v>
      </c>
      <c r="AK375" s="9">
        <f>IFERROR(VLOOKUP($A375,pivot!$A:$I,計算式2026!AK$1,FALSE),0)</f>
        <v>0</v>
      </c>
      <c r="AL375" s="9">
        <f>IFERROR(VLOOKUP($A375,pivot!$A:$I,計算式2026!AL$1,FALSE),0)</f>
        <v>0</v>
      </c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</row>
    <row r="376" spans="1:59" s="9" customFormat="1">
      <c r="A376" s="8" t="s">
        <v>1950</v>
      </c>
      <c r="B376" s="8" t="s">
        <v>1947</v>
      </c>
      <c r="C376" s="9">
        <v>1</v>
      </c>
      <c r="D376" s="9">
        <v>13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R376" s="9">
        <v>3</v>
      </c>
      <c r="S376" s="9">
        <v>3</v>
      </c>
      <c r="T376" s="9">
        <v>1</v>
      </c>
      <c r="U376" s="9">
        <v>3</v>
      </c>
      <c r="V376" s="9">
        <v>3</v>
      </c>
      <c r="W376" s="9">
        <v>1</v>
      </c>
      <c r="X376" s="9">
        <v>3</v>
      </c>
      <c r="AE376" s="9">
        <f>IFERROR(VLOOKUP($A376,pivot!$A:$G,計算式2026!AE$1,FALSE),0)</f>
        <v>0</v>
      </c>
      <c r="AF376" s="9">
        <f>IFERROR(VLOOKUP($A376,pivot!$A:$I,計算式2026!AF$1,FALSE),0)</f>
        <v>0</v>
      </c>
      <c r="AI376" s="9">
        <f>IFERROR(VLOOKUP($A376,pivot!$A:$I,計算式2026!AI$1,FALSE),0)</f>
        <v>0</v>
      </c>
      <c r="AJ376" s="9">
        <f>IFERROR(VLOOKUP($A376,pivot!$A:$I,計算式2026!AJ$1,FALSE),0)</f>
        <v>0</v>
      </c>
      <c r="AK376" s="9">
        <f>IFERROR(VLOOKUP($A376,pivot!$A:$I,計算式2026!AK$1,FALSE),0)</f>
        <v>0</v>
      </c>
      <c r="AL376" s="9">
        <f>IFERROR(VLOOKUP($A376,pivot!$A:$I,計算式2026!AL$1,FALSE),0)</f>
        <v>0</v>
      </c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</row>
    <row r="377" spans="1:59" s="9" customFormat="1">
      <c r="A377" s="8" t="s">
        <v>1951</v>
      </c>
      <c r="B377" s="8" t="s">
        <v>1952</v>
      </c>
      <c r="C377" s="9">
        <v>0</v>
      </c>
      <c r="D377" s="9">
        <v>44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R377" s="9">
        <v>3</v>
      </c>
      <c r="S377" s="9">
        <v>3</v>
      </c>
      <c r="T377" s="9">
        <v>1</v>
      </c>
      <c r="U377" s="9">
        <v>2</v>
      </c>
      <c r="V377" s="9">
        <v>3</v>
      </c>
      <c r="W377" s="9">
        <v>0</v>
      </c>
      <c r="X377" s="9">
        <v>3</v>
      </c>
      <c r="AE377" s="9">
        <f>IFERROR(VLOOKUP($A377,pivot!$A:$G,計算式2026!AE$1,FALSE),0)</f>
        <v>0</v>
      </c>
      <c r="AF377" s="9">
        <f>IFERROR(VLOOKUP($A377,pivot!$A:$I,計算式2026!AF$1,FALSE),0)</f>
        <v>0</v>
      </c>
      <c r="AI377" s="9">
        <f>IFERROR(VLOOKUP($A377,pivot!$A:$I,計算式2026!AI$1,FALSE),0)</f>
        <v>0</v>
      </c>
      <c r="AJ377" s="9">
        <f>IFERROR(VLOOKUP($A377,pivot!$A:$I,計算式2026!AJ$1,FALSE),0)</f>
        <v>0</v>
      </c>
      <c r="AK377" s="9">
        <f>IFERROR(VLOOKUP($A377,pivot!$A:$I,計算式2026!AK$1,FALSE),0)</f>
        <v>0</v>
      </c>
      <c r="AL377" s="9">
        <f>IFERROR(VLOOKUP($A377,pivot!$A:$I,計算式2026!AL$1,FALSE),0)</f>
        <v>0</v>
      </c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</row>
    <row r="378" spans="1:59" s="9" customFormat="1">
      <c r="A378" s="8" t="s">
        <v>1953</v>
      </c>
      <c r="B378" s="8" t="s">
        <v>1952</v>
      </c>
      <c r="C378" s="9">
        <v>0</v>
      </c>
      <c r="D378" s="9">
        <v>41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R378" s="9">
        <v>2</v>
      </c>
      <c r="S378" s="9">
        <v>3</v>
      </c>
      <c r="T378" s="9">
        <v>1</v>
      </c>
      <c r="U378" s="9">
        <v>3</v>
      </c>
      <c r="V378" s="9">
        <v>2</v>
      </c>
      <c r="W378" s="9">
        <v>0</v>
      </c>
      <c r="X378" s="9">
        <v>3</v>
      </c>
      <c r="AE378" s="9">
        <f>IFERROR(VLOOKUP($A378,pivot!$A:$G,計算式2026!AE$1,FALSE),0)</f>
        <v>0</v>
      </c>
      <c r="AF378" s="9">
        <f>IFERROR(VLOOKUP($A378,pivot!$A:$I,計算式2026!AF$1,FALSE),0)</f>
        <v>0</v>
      </c>
      <c r="AI378" s="9">
        <f>IFERROR(VLOOKUP($A378,pivot!$A:$I,計算式2026!AI$1,FALSE),0)</f>
        <v>0</v>
      </c>
      <c r="AJ378" s="9">
        <f>IFERROR(VLOOKUP($A378,pivot!$A:$I,計算式2026!AJ$1,FALSE),0)</f>
        <v>0</v>
      </c>
      <c r="AK378" s="9">
        <f>IFERROR(VLOOKUP($A378,pivot!$A:$I,計算式2026!AK$1,FALSE),0)</f>
        <v>0</v>
      </c>
      <c r="AL378" s="9">
        <f>IFERROR(VLOOKUP($A378,pivot!$A:$I,計算式2026!AL$1,FALSE),0)</f>
        <v>0</v>
      </c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</row>
    <row r="379" spans="1:59" s="9" customFormat="1">
      <c r="A379" s="8" t="s">
        <v>1954</v>
      </c>
      <c r="B379" s="8" t="s">
        <v>1952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R379" s="9">
        <v>0</v>
      </c>
      <c r="S379" s="9">
        <v>3</v>
      </c>
      <c r="T379" s="9">
        <v>1</v>
      </c>
      <c r="U379" s="9">
        <v>3</v>
      </c>
      <c r="V379" s="9">
        <v>3</v>
      </c>
      <c r="W379" s="9">
        <v>0</v>
      </c>
      <c r="X379" s="9">
        <v>3</v>
      </c>
      <c r="AE379" s="9">
        <f>IFERROR(VLOOKUP($A379,pivot!$A:$G,計算式2026!AE$1,FALSE),0)</f>
        <v>0</v>
      </c>
      <c r="AF379" s="9">
        <f>IFERROR(VLOOKUP($A379,pivot!$A:$I,計算式2026!AF$1,FALSE),0)</f>
        <v>0</v>
      </c>
      <c r="AI379" s="9">
        <f>IFERROR(VLOOKUP($A379,pivot!$A:$I,計算式2026!AI$1,FALSE),0)</f>
        <v>0</v>
      </c>
      <c r="AJ379" s="9">
        <f>IFERROR(VLOOKUP($A379,pivot!$A:$I,計算式2026!AJ$1,FALSE),0)</f>
        <v>0</v>
      </c>
      <c r="AK379" s="9">
        <f>IFERROR(VLOOKUP($A379,pivot!$A:$I,計算式2026!AK$1,FALSE),0)</f>
        <v>0</v>
      </c>
      <c r="AL379" s="9">
        <f>IFERROR(VLOOKUP($A379,pivot!$A:$I,計算式2026!AL$1,FALSE),0)</f>
        <v>0</v>
      </c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</row>
    <row r="380" spans="1:59" s="9" customFormat="1">
      <c r="A380" s="8" t="s">
        <v>1955</v>
      </c>
      <c r="B380" s="8" t="s">
        <v>1952</v>
      </c>
      <c r="C380" s="9">
        <v>4</v>
      </c>
      <c r="D380" s="9">
        <v>6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R380" s="9">
        <v>1</v>
      </c>
      <c r="S380" s="9">
        <v>3</v>
      </c>
      <c r="T380" s="9">
        <v>1</v>
      </c>
      <c r="U380" s="9">
        <v>3</v>
      </c>
      <c r="V380" s="9">
        <v>3</v>
      </c>
      <c r="W380" s="9">
        <v>0</v>
      </c>
      <c r="X380" s="9">
        <v>3</v>
      </c>
      <c r="AE380" s="9">
        <f>IFERROR(VLOOKUP($A380,pivot!$A:$G,計算式2026!AE$1,FALSE),0)</f>
        <v>0</v>
      </c>
      <c r="AF380" s="9">
        <f>IFERROR(VLOOKUP($A380,pivot!$A:$I,計算式2026!AF$1,FALSE),0)</f>
        <v>0</v>
      </c>
      <c r="AI380" s="9">
        <f>IFERROR(VLOOKUP($A380,pivot!$A:$I,計算式2026!AI$1,FALSE),0)</f>
        <v>0</v>
      </c>
      <c r="AJ380" s="9">
        <f>IFERROR(VLOOKUP($A380,pivot!$A:$I,計算式2026!AJ$1,FALSE),0)</f>
        <v>0</v>
      </c>
      <c r="AK380" s="9">
        <f>IFERROR(VLOOKUP($A380,pivot!$A:$I,計算式2026!AK$1,FALSE),0)</f>
        <v>0</v>
      </c>
      <c r="AL380" s="9">
        <f>IFERROR(VLOOKUP($A380,pivot!$A:$I,計算式2026!AL$1,FALSE),0)</f>
        <v>0</v>
      </c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</row>
    <row r="381" spans="1:59" s="9" customFormat="1">
      <c r="A381" s="8" t="s">
        <v>1956</v>
      </c>
      <c r="B381" s="8" t="s">
        <v>1857</v>
      </c>
      <c r="C381" s="9">
        <v>8</v>
      </c>
      <c r="D381" s="9">
        <v>126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R381" s="9">
        <v>3</v>
      </c>
      <c r="S381" s="9">
        <v>4</v>
      </c>
      <c r="T381" s="9">
        <v>1</v>
      </c>
      <c r="U381" s="9">
        <v>2</v>
      </c>
      <c r="V381" s="9">
        <v>4</v>
      </c>
      <c r="W381" s="9">
        <v>2</v>
      </c>
      <c r="X381" s="9">
        <v>3</v>
      </c>
      <c r="AE381" s="9">
        <f>IFERROR(VLOOKUP($A381,pivot!$A:$G,計算式2026!AE$1,FALSE),0)</f>
        <v>0</v>
      </c>
      <c r="AF381" s="9">
        <f>IFERROR(VLOOKUP($A381,pivot!$A:$I,計算式2026!AF$1,FALSE),0)</f>
        <v>0</v>
      </c>
      <c r="AI381" s="9">
        <f>IFERROR(VLOOKUP($A381,pivot!$A:$I,計算式2026!AI$1,FALSE),0)</f>
        <v>0</v>
      </c>
      <c r="AJ381" s="9">
        <f>IFERROR(VLOOKUP($A381,pivot!$A:$I,計算式2026!AJ$1,FALSE),0)</f>
        <v>0</v>
      </c>
      <c r="AK381" s="9">
        <f>IFERROR(VLOOKUP($A381,pivot!$A:$I,計算式2026!AK$1,FALSE),0)</f>
        <v>0</v>
      </c>
      <c r="AL381" s="9">
        <f>IFERROR(VLOOKUP($A381,pivot!$A:$I,計算式2026!AL$1,FALSE),0)</f>
        <v>0</v>
      </c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</row>
    <row r="382" spans="1:59" s="9" customFormat="1">
      <c r="A382" s="8" t="s">
        <v>1957</v>
      </c>
      <c r="B382" s="8" t="s">
        <v>1857</v>
      </c>
      <c r="C382" s="9">
        <v>11</v>
      </c>
      <c r="D382" s="9">
        <v>23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R382" s="9">
        <v>3</v>
      </c>
      <c r="S382" s="9">
        <v>4</v>
      </c>
      <c r="T382" s="9">
        <v>2</v>
      </c>
      <c r="U382" s="9">
        <v>3</v>
      </c>
      <c r="V382" s="9">
        <v>4</v>
      </c>
      <c r="W382" s="9">
        <v>1</v>
      </c>
      <c r="X382" s="9">
        <v>3</v>
      </c>
      <c r="AE382" s="9">
        <f>IFERROR(VLOOKUP($A382,pivot!$A:$G,計算式2026!AE$1,FALSE),0)</f>
        <v>0</v>
      </c>
      <c r="AF382" s="9">
        <f>IFERROR(VLOOKUP($A382,pivot!$A:$I,計算式2026!AF$1,FALSE),0)</f>
        <v>0</v>
      </c>
      <c r="AI382" s="9">
        <f>IFERROR(VLOOKUP($A382,pivot!$A:$I,計算式2026!AI$1,FALSE),0)</f>
        <v>0</v>
      </c>
      <c r="AJ382" s="9">
        <f>IFERROR(VLOOKUP($A382,pivot!$A:$I,計算式2026!AJ$1,FALSE),0)</f>
        <v>0</v>
      </c>
      <c r="AK382" s="9">
        <f>IFERROR(VLOOKUP($A382,pivot!$A:$I,計算式2026!AK$1,FALSE),0)</f>
        <v>0</v>
      </c>
      <c r="AL382" s="9">
        <f>IFERROR(VLOOKUP($A382,pivot!$A:$I,計算式2026!AL$1,FALSE),0)</f>
        <v>0</v>
      </c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</row>
    <row r="383" spans="1:59" s="9" customFormat="1">
      <c r="A383" s="8" t="s">
        <v>1958</v>
      </c>
      <c r="B383" s="8" t="s">
        <v>1860</v>
      </c>
      <c r="C383" s="9">
        <v>13</v>
      </c>
      <c r="D383" s="9">
        <v>83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R383" s="9">
        <v>3</v>
      </c>
      <c r="S383" s="9">
        <v>4</v>
      </c>
      <c r="T383" s="9">
        <v>1</v>
      </c>
      <c r="U383" s="9">
        <v>3</v>
      </c>
      <c r="V383" s="9">
        <v>3</v>
      </c>
      <c r="W383" s="9">
        <v>1</v>
      </c>
      <c r="X383" s="9">
        <v>3</v>
      </c>
      <c r="AE383" s="9">
        <f>IFERROR(VLOOKUP($A383,pivot!$A:$G,計算式2026!AE$1,FALSE),0)</f>
        <v>0</v>
      </c>
      <c r="AF383" s="9">
        <f>IFERROR(VLOOKUP($A383,pivot!$A:$I,計算式2026!AF$1,FALSE),0)</f>
        <v>0</v>
      </c>
      <c r="AI383" s="9">
        <f>IFERROR(VLOOKUP($A383,pivot!$A:$I,計算式2026!AI$1,FALSE),0)</f>
        <v>0</v>
      </c>
      <c r="AJ383" s="9">
        <f>IFERROR(VLOOKUP($A383,pivot!$A:$I,計算式2026!AJ$1,FALSE),0)</f>
        <v>0</v>
      </c>
      <c r="AK383" s="9">
        <f>IFERROR(VLOOKUP($A383,pivot!$A:$I,計算式2026!AK$1,FALSE),0)</f>
        <v>0</v>
      </c>
      <c r="AL383" s="9">
        <f>IFERROR(VLOOKUP($A383,pivot!$A:$I,計算式2026!AL$1,FALSE),0)</f>
        <v>0</v>
      </c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</row>
    <row r="384" spans="1:59" s="9" customFormat="1">
      <c r="A384" s="8" t="s">
        <v>1959</v>
      </c>
      <c r="B384" s="8" t="s">
        <v>1860</v>
      </c>
      <c r="C384" s="9">
        <v>3</v>
      </c>
      <c r="D384" s="9">
        <v>6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R384" s="9">
        <v>2</v>
      </c>
      <c r="S384" s="9">
        <v>4</v>
      </c>
      <c r="T384" s="9">
        <v>2</v>
      </c>
      <c r="U384" s="9">
        <v>3</v>
      </c>
      <c r="V384" s="9">
        <v>2</v>
      </c>
      <c r="W384" s="9">
        <v>1</v>
      </c>
      <c r="X384" s="9">
        <v>3</v>
      </c>
      <c r="AE384" s="9">
        <f>IFERROR(VLOOKUP($A384,pivot!$A:$G,計算式2026!AE$1,FALSE),0)</f>
        <v>0</v>
      </c>
      <c r="AF384" s="9">
        <f>IFERROR(VLOOKUP($A384,pivot!$A:$I,計算式2026!AF$1,FALSE),0)</f>
        <v>0</v>
      </c>
      <c r="AI384" s="9">
        <f>IFERROR(VLOOKUP($A384,pivot!$A:$I,計算式2026!AI$1,FALSE),0)</f>
        <v>0</v>
      </c>
      <c r="AJ384" s="9">
        <f>IFERROR(VLOOKUP($A384,pivot!$A:$I,計算式2026!AJ$1,FALSE),0)</f>
        <v>0</v>
      </c>
      <c r="AK384" s="9">
        <f>IFERROR(VLOOKUP($A384,pivot!$A:$I,計算式2026!AK$1,FALSE),0)</f>
        <v>0</v>
      </c>
      <c r="AL384" s="9">
        <f>IFERROR(VLOOKUP($A384,pivot!$A:$I,計算式2026!AL$1,FALSE),0)</f>
        <v>0</v>
      </c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</row>
    <row r="385" spans="1:59" s="9" customFormat="1">
      <c r="A385" s="8" t="s">
        <v>2614</v>
      </c>
      <c r="B385" s="8" t="s">
        <v>2615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R385" s="9">
        <v>8</v>
      </c>
      <c r="S385" s="9">
        <v>10</v>
      </c>
      <c r="T385" s="9">
        <v>0</v>
      </c>
      <c r="U385" s="9">
        <v>7</v>
      </c>
      <c r="V385" s="9">
        <v>9</v>
      </c>
      <c r="W385" s="9">
        <v>0</v>
      </c>
      <c r="X385" s="9">
        <v>3</v>
      </c>
      <c r="AE385" s="9">
        <f>IFERROR(VLOOKUP($A385,pivot!$A:$G,計算式2026!AE$1,FALSE),0)</f>
        <v>0</v>
      </c>
      <c r="AF385" s="9">
        <f>IFERROR(VLOOKUP($A385,pivot!$A:$I,計算式2026!AF$1,FALSE),0)</f>
        <v>0</v>
      </c>
      <c r="AI385" s="9">
        <f>IFERROR(VLOOKUP($A385,pivot!$A:$I,計算式2026!AI$1,FALSE),0)</f>
        <v>0</v>
      </c>
      <c r="AJ385" s="9">
        <f>IFERROR(VLOOKUP($A385,pivot!$A:$I,計算式2026!AJ$1,FALSE),0)</f>
        <v>2</v>
      </c>
      <c r="AK385" s="9">
        <f>IFERROR(VLOOKUP($A385,pivot!$A:$I,計算式2026!AK$1,FALSE),0)</f>
        <v>0</v>
      </c>
      <c r="AL385" s="9">
        <f>IFERROR(VLOOKUP($A385,pivot!$A:$I,計算式2026!AL$1,FALSE),0)</f>
        <v>0</v>
      </c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</row>
    <row r="386" spans="1:59" s="9" customFormat="1">
      <c r="A386" s="8" t="s">
        <v>2728</v>
      </c>
      <c r="B386" s="8" t="s">
        <v>2613</v>
      </c>
      <c r="C386" s="9">
        <v>2</v>
      </c>
      <c r="D386" s="9">
        <v>30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R386" s="9">
        <v>3</v>
      </c>
      <c r="S386" s="9">
        <v>2</v>
      </c>
      <c r="T386" s="9">
        <v>1</v>
      </c>
      <c r="U386" s="9">
        <v>3</v>
      </c>
      <c r="V386" s="9">
        <v>3</v>
      </c>
      <c r="W386" s="9">
        <v>1</v>
      </c>
      <c r="X386" s="9">
        <v>2</v>
      </c>
      <c r="AE386" s="9">
        <f>IFERROR(VLOOKUP($A386,pivot!$A:$G,計算式2026!AE$1,FALSE),0)</f>
        <v>0</v>
      </c>
      <c r="AF386" s="9">
        <f>IFERROR(VLOOKUP($A386,pivot!$A:$I,計算式2026!AF$1,FALSE),0)</f>
        <v>0</v>
      </c>
      <c r="AI386" s="9">
        <f>IFERROR(VLOOKUP($A386,pivot!$A:$I,計算式2026!AI$1,FALSE),0)</f>
        <v>0</v>
      </c>
      <c r="AJ386" s="9">
        <f>IFERROR(VLOOKUP($A386,pivot!$A:$I,計算式2026!AJ$1,FALSE),0)</f>
        <v>0</v>
      </c>
      <c r="AK386" s="9">
        <f>IFERROR(VLOOKUP($A386,pivot!$A:$I,計算式2026!AK$1,FALSE),0)</f>
        <v>0</v>
      </c>
      <c r="AL386" s="9">
        <f>IFERROR(VLOOKUP($A386,pivot!$A:$I,計算式2026!AL$1,FALSE),0)</f>
        <v>0</v>
      </c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</row>
    <row r="387" spans="1:59" s="9" customFormat="1">
      <c r="A387" s="8" t="s">
        <v>2729</v>
      </c>
      <c r="B387" s="8" t="s">
        <v>2613</v>
      </c>
      <c r="C387" s="9">
        <v>2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R387" s="9">
        <v>2</v>
      </c>
      <c r="S387" s="9">
        <v>3</v>
      </c>
      <c r="T387" s="9">
        <v>1</v>
      </c>
      <c r="U387" s="9">
        <v>3</v>
      </c>
      <c r="V387" s="9">
        <v>2</v>
      </c>
      <c r="W387" s="9">
        <v>1</v>
      </c>
      <c r="X387" s="9">
        <v>2</v>
      </c>
      <c r="AE387" s="9">
        <f>IFERROR(VLOOKUP($A387,pivot!$A:$G,計算式2026!AE$1,FALSE),0)</f>
        <v>0</v>
      </c>
      <c r="AF387" s="9">
        <f>IFERROR(VLOOKUP($A387,pivot!$A:$I,計算式2026!AF$1,FALSE),0)</f>
        <v>0</v>
      </c>
      <c r="AI387" s="9">
        <f>IFERROR(VLOOKUP($A387,pivot!$A:$I,計算式2026!AI$1,FALSE),0)</f>
        <v>0</v>
      </c>
      <c r="AJ387" s="9">
        <f>IFERROR(VLOOKUP($A387,pivot!$A:$I,計算式2026!AJ$1,FALSE),0)</f>
        <v>0</v>
      </c>
      <c r="AK387" s="9">
        <f>IFERROR(VLOOKUP($A387,pivot!$A:$I,計算式2026!AK$1,FALSE),0)</f>
        <v>0</v>
      </c>
      <c r="AL387" s="9">
        <f>IFERROR(VLOOKUP($A387,pivot!$A:$I,計算式2026!AL$1,FALSE),0)</f>
        <v>0</v>
      </c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</row>
    <row r="388" spans="1:59" s="9" customFormat="1">
      <c r="A388" s="8" t="s">
        <v>2730</v>
      </c>
      <c r="B388" s="8" t="s">
        <v>2641</v>
      </c>
      <c r="C388" s="9">
        <v>2</v>
      </c>
      <c r="D388" s="9">
        <v>60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R388" s="9">
        <v>2</v>
      </c>
      <c r="S388" s="9">
        <v>3</v>
      </c>
      <c r="T388" s="9">
        <v>2</v>
      </c>
      <c r="U388" s="9">
        <v>3</v>
      </c>
      <c r="V388" s="9">
        <v>4</v>
      </c>
      <c r="W388" s="9">
        <v>0</v>
      </c>
      <c r="X388" s="9">
        <v>2</v>
      </c>
      <c r="AE388" s="9">
        <f>IFERROR(VLOOKUP($A388,pivot!$A:$G,計算式2026!AE$1,FALSE),0)</f>
        <v>0</v>
      </c>
      <c r="AF388" s="9">
        <f>IFERROR(VLOOKUP($A388,pivot!$A:$I,計算式2026!AF$1,FALSE),0)</f>
        <v>0</v>
      </c>
      <c r="AI388" s="9">
        <f>IFERROR(VLOOKUP($A388,pivot!$A:$I,計算式2026!AI$1,FALSE),0)</f>
        <v>0</v>
      </c>
      <c r="AJ388" s="9">
        <f>IFERROR(VLOOKUP($A388,pivot!$A:$I,計算式2026!AJ$1,FALSE),0)</f>
        <v>0</v>
      </c>
      <c r="AK388" s="9">
        <f>IFERROR(VLOOKUP($A388,pivot!$A:$I,計算式2026!AK$1,FALSE),0)</f>
        <v>0</v>
      </c>
      <c r="AL388" s="9">
        <f>IFERROR(VLOOKUP($A388,pivot!$A:$I,計算式2026!AL$1,FALSE),0)</f>
        <v>0</v>
      </c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</row>
    <row r="389" spans="1:59" s="9" customFormat="1">
      <c r="A389" s="8" t="s">
        <v>2731</v>
      </c>
      <c r="B389" s="8" t="s">
        <v>2641</v>
      </c>
      <c r="C389" s="9">
        <v>2</v>
      </c>
      <c r="D389" s="9">
        <v>7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R389" s="9">
        <v>2</v>
      </c>
      <c r="S389" s="9">
        <v>3</v>
      </c>
      <c r="T389" s="9">
        <v>2</v>
      </c>
      <c r="U389" s="9">
        <v>3</v>
      </c>
      <c r="V389" s="9">
        <v>3</v>
      </c>
      <c r="W389" s="9">
        <v>1</v>
      </c>
      <c r="X389" s="9">
        <v>2</v>
      </c>
      <c r="AE389" s="9">
        <f>IFERROR(VLOOKUP($A389,pivot!$A:$G,計算式2026!AE$1,FALSE),0)</f>
        <v>0</v>
      </c>
      <c r="AF389" s="9">
        <f>IFERROR(VLOOKUP($A389,pivot!$A:$I,計算式2026!AF$1,FALSE),0)</f>
        <v>0</v>
      </c>
      <c r="AI389" s="9">
        <f>IFERROR(VLOOKUP($A389,pivot!$A:$I,計算式2026!AI$1,FALSE),0)</f>
        <v>0</v>
      </c>
      <c r="AJ389" s="9">
        <f>IFERROR(VLOOKUP($A389,pivot!$A:$I,計算式2026!AJ$1,FALSE),0)</f>
        <v>0</v>
      </c>
      <c r="AK389" s="9">
        <f>IFERROR(VLOOKUP($A389,pivot!$A:$I,計算式2026!AK$1,FALSE),0)</f>
        <v>0</v>
      </c>
      <c r="AL389" s="9">
        <f>IFERROR(VLOOKUP($A389,pivot!$A:$I,計算式2026!AL$1,FALSE),0)</f>
        <v>0</v>
      </c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</row>
    <row r="390" spans="1:59" s="9" customFormat="1">
      <c r="A390" s="8" t="s">
        <v>2695</v>
      </c>
      <c r="B390" s="8" t="s">
        <v>2640</v>
      </c>
      <c r="C390" s="9">
        <v>3</v>
      </c>
      <c r="D390" s="9">
        <v>1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R390" s="9">
        <v>2</v>
      </c>
      <c r="S390" s="9">
        <v>3</v>
      </c>
      <c r="T390" s="9">
        <v>1</v>
      </c>
      <c r="U390" s="9">
        <v>3</v>
      </c>
      <c r="V390" s="9">
        <v>2</v>
      </c>
      <c r="W390" s="9">
        <v>1</v>
      </c>
      <c r="X390" s="9">
        <v>2</v>
      </c>
      <c r="AE390" s="9">
        <f>IFERROR(VLOOKUP($A390,pivot!$A:$G,計算式2026!AE$1,FALSE),0)</f>
        <v>0</v>
      </c>
      <c r="AF390" s="9">
        <f>IFERROR(VLOOKUP($A390,pivot!$A:$I,計算式2026!AF$1,FALSE),0)</f>
        <v>0</v>
      </c>
      <c r="AI390" s="9">
        <f>IFERROR(VLOOKUP($A390,pivot!$A:$I,計算式2026!AI$1,FALSE),0)</f>
        <v>0</v>
      </c>
      <c r="AJ390" s="9">
        <f>IFERROR(VLOOKUP($A390,pivot!$A:$I,計算式2026!AJ$1,FALSE),0)</f>
        <v>0</v>
      </c>
      <c r="AK390" s="9">
        <f>IFERROR(VLOOKUP($A390,pivot!$A:$I,計算式2026!AK$1,FALSE),0)</f>
        <v>0</v>
      </c>
      <c r="AL390" s="9">
        <f>IFERROR(VLOOKUP($A390,pivot!$A:$I,計算式2026!AL$1,FALSE),0)</f>
        <v>0</v>
      </c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</row>
    <row r="391" spans="1:59" s="9" customFormat="1">
      <c r="A391" s="8" t="s">
        <v>2732</v>
      </c>
      <c r="B391" s="8" t="s">
        <v>2640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1</v>
      </c>
      <c r="X391" s="9">
        <v>2</v>
      </c>
      <c r="AE391" s="9">
        <f>IFERROR(VLOOKUP($A391,pivot!$A:$G,計算式2026!AE$1,FALSE),0)</f>
        <v>0</v>
      </c>
      <c r="AF391" s="9">
        <f>IFERROR(VLOOKUP($A391,pivot!$A:$I,計算式2026!AF$1,FALSE),0)</f>
        <v>0</v>
      </c>
      <c r="AI391" s="9">
        <f>IFERROR(VLOOKUP($A391,pivot!$A:$I,計算式2026!AI$1,FALSE),0)</f>
        <v>0</v>
      </c>
      <c r="AJ391" s="9">
        <f>IFERROR(VLOOKUP($A391,pivot!$A:$I,計算式2026!AJ$1,FALSE),0)</f>
        <v>0</v>
      </c>
      <c r="AK391" s="9">
        <f>IFERROR(VLOOKUP($A391,pivot!$A:$I,計算式2026!AK$1,FALSE),0)</f>
        <v>0</v>
      </c>
      <c r="AL391" s="9">
        <f>IFERROR(VLOOKUP($A391,pivot!$A:$I,計算式2026!AL$1,FALSE),0)</f>
        <v>0</v>
      </c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</row>
    <row r="392" spans="1:59" s="9" customFormat="1">
      <c r="A392" s="8" t="s">
        <v>2733</v>
      </c>
      <c r="B392" s="8" t="s">
        <v>2612</v>
      </c>
      <c r="C392" s="9">
        <v>2</v>
      </c>
      <c r="D392" s="9">
        <v>31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R392" s="9">
        <v>2</v>
      </c>
      <c r="S392" s="9">
        <v>3</v>
      </c>
      <c r="T392" s="9">
        <v>2</v>
      </c>
      <c r="U392" s="9">
        <v>2</v>
      </c>
      <c r="V392" s="9">
        <v>3</v>
      </c>
      <c r="W392" s="9">
        <v>1</v>
      </c>
      <c r="X392" s="9">
        <v>2</v>
      </c>
      <c r="AE392" s="9">
        <f>IFERROR(VLOOKUP($A392,pivot!$A:$G,計算式2026!AE$1,FALSE),0)</f>
        <v>0</v>
      </c>
      <c r="AF392" s="9">
        <f>IFERROR(VLOOKUP($A392,pivot!$A:$I,計算式2026!AF$1,FALSE),0)</f>
        <v>0</v>
      </c>
      <c r="AI392" s="9">
        <f>IFERROR(VLOOKUP($A392,pivot!$A:$I,計算式2026!AI$1,FALSE),0)</f>
        <v>0</v>
      </c>
      <c r="AJ392" s="9">
        <f>IFERROR(VLOOKUP($A392,pivot!$A:$I,計算式2026!AJ$1,FALSE),0)</f>
        <v>0</v>
      </c>
      <c r="AK392" s="9">
        <f>IFERROR(VLOOKUP($A392,pivot!$A:$I,計算式2026!AK$1,FALSE),0)</f>
        <v>0</v>
      </c>
      <c r="AL392" s="9">
        <f>IFERROR(VLOOKUP($A392,pivot!$A:$I,計算式2026!AL$1,FALSE),0)</f>
        <v>0</v>
      </c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</row>
    <row r="393" spans="1:59" s="9" customFormat="1">
      <c r="A393" s="8" t="s">
        <v>2734</v>
      </c>
      <c r="B393" s="8" t="s">
        <v>2612</v>
      </c>
      <c r="C393" s="9">
        <v>2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R393" s="9">
        <v>2</v>
      </c>
      <c r="S393" s="9">
        <v>3</v>
      </c>
      <c r="T393" s="9">
        <v>1</v>
      </c>
      <c r="U393" s="9">
        <v>2</v>
      </c>
      <c r="V393" s="9">
        <v>2</v>
      </c>
      <c r="W393" s="9">
        <v>0</v>
      </c>
      <c r="X393" s="9">
        <v>2</v>
      </c>
      <c r="AE393" s="9">
        <f>IFERROR(VLOOKUP($A393,pivot!$A:$G,計算式2026!AE$1,FALSE),0)</f>
        <v>0</v>
      </c>
      <c r="AF393" s="9">
        <f>IFERROR(VLOOKUP($A393,pivot!$A:$I,計算式2026!AF$1,FALSE),0)</f>
        <v>0</v>
      </c>
      <c r="AI393" s="9">
        <f>IFERROR(VLOOKUP($A393,pivot!$A:$I,計算式2026!AI$1,FALSE),0)</f>
        <v>0</v>
      </c>
      <c r="AJ393" s="9">
        <f>IFERROR(VLOOKUP($A393,pivot!$A:$I,計算式2026!AJ$1,FALSE),0)</f>
        <v>0</v>
      </c>
      <c r="AK393" s="9">
        <f>IFERROR(VLOOKUP($A393,pivot!$A:$I,計算式2026!AK$1,FALSE),0)</f>
        <v>0</v>
      </c>
      <c r="AL393" s="9">
        <f>IFERROR(VLOOKUP($A393,pivot!$A:$I,計算式2026!AL$1,FALSE),0)</f>
        <v>0</v>
      </c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</row>
    <row r="394" spans="1:59" s="9" customFormat="1">
      <c r="A394" s="8" t="s">
        <v>1567</v>
      </c>
      <c r="B394" s="8" t="s">
        <v>1960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R394" s="9">
        <v>0</v>
      </c>
      <c r="S394" s="9">
        <v>2</v>
      </c>
      <c r="T394" s="9">
        <v>1</v>
      </c>
      <c r="U394" s="9">
        <v>1</v>
      </c>
      <c r="V394" s="9">
        <v>2</v>
      </c>
      <c r="W394" s="9">
        <v>0</v>
      </c>
      <c r="X394" s="9">
        <v>3</v>
      </c>
      <c r="AE394" s="9">
        <f>IFERROR(VLOOKUP($A394,pivot!$A:$G,計算式2026!AE$1,FALSE),0)</f>
        <v>0</v>
      </c>
      <c r="AF394" s="9">
        <f>IFERROR(VLOOKUP($A394,pivot!$A:$I,計算式2026!AF$1,FALSE),0)</f>
        <v>0</v>
      </c>
      <c r="AI394" s="9">
        <f>IFERROR(VLOOKUP($A394,pivot!$A:$I,計算式2026!AI$1,FALSE),0)</f>
        <v>0</v>
      </c>
      <c r="AJ394" s="9">
        <f>IFERROR(VLOOKUP($A394,pivot!$A:$I,計算式2026!AJ$1,FALSE),0)</f>
        <v>0</v>
      </c>
      <c r="AK394" s="9">
        <f>IFERROR(VLOOKUP($A394,pivot!$A:$I,計算式2026!AK$1,FALSE),0)</f>
        <v>0</v>
      </c>
      <c r="AL394" s="9">
        <f>IFERROR(VLOOKUP($A394,pivot!$A:$I,計算式2026!AL$1,FALSE),0)</f>
        <v>0</v>
      </c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</row>
    <row r="395" spans="1:59" s="9" customFormat="1">
      <c r="A395" s="8" t="s">
        <v>1568</v>
      </c>
      <c r="B395" s="8" t="s">
        <v>1960</v>
      </c>
      <c r="C395" s="9">
        <v>47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R395" s="9">
        <v>0</v>
      </c>
      <c r="S395" s="9">
        <v>4</v>
      </c>
      <c r="T395" s="9">
        <v>2</v>
      </c>
      <c r="U395" s="9">
        <v>2</v>
      </c>
      <c r="V395" s="9">
        <v>2</v>
      </c>
      <c r="W395" s="9">
        <v>1</v>
      </c>
      <c r="X395" s="9">
        <v>2</v>
      </c>
      <c r="AE395" s="9">
        <f>IFERROR(VLOOKUP($A395,pivot!$A:$G,計算式2026!AE$1,FALSE),0)</f>
        <v>0</v>
      </c>
      <c r="AF395" s="9">
        <f>IFERROR(VLOOKUP($A395,pivot!$A:$I,計算式2026!AF$1,FALSE),0)</f>
        <v>0</v>
      </c>
      <c r="AI395" s="9">
        <f>IFERROR(VLOOKUP($A395,pivot!$A:$I,計算式2026!AI$1,FALSE),0)</f>
        <v>0</v>
      </c>
      <c r="AJ395" s="9">
        <f>IFERROR(VLOOKUP($A395,pivot!$A:$I,計算式2026!AJ$1,FALSE),0)</f>
        <v>0</v>
      </c>
      <c r="AK395" s="9">
        <f>IFERROR(VLOOKUP($A395,pivot!$A:$I,計算式2026!AK$1,FALSE),0)</f>
        <v>0</v>
      </c>
      <c r="AL395" s="9">
        <f>IFERROR(VLOOKUP($A395,pivot!$A:$I,計算式2026!AL$1,FALSE),0)</f>
        <v>0</v>
      </c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</row>
    <row r="396" spans="1:59" s="9" customFormat="1">
      <c r="A396" s="8" t="s">
        <v>1569</v>
      </c>
      <c r="B396" s="8" t="s">
        <v>1960</v>
      </c>
      <c r="C396" s="9">
        <v>94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R396" s="9">
        <v>0</v>
      </c>
      <c r="S396" s="9">
        <v>3</v>
      </c>
      <c r="T396" s="9">
        <v>2</v>
      </c>
      <c r="U396" s="9">
        <v>2</v>
      </c>
      <c r="V396" s="9">
        <v>2</v>
      </c>
      <c r="W396" s="9">
        <v>1</v>
      </c>
      <c r="X396" s="9">
        <v>2</v>
      </c>
      <c r="AE396" s="9">
        <f>IFERROR(VLOOKUP($A396,pivot!$A:$G,計算式2026!AE$1,FALSE),0)</f>
        <v>0</v>
      </c>
      <c r="AF396" s="9">
        <f>IFERROR(VLOOKUP($A396,pivot!$A:$I,計算式2026!AF$1,FALSE),0)</f>
        <v>0</v>
      </c>
      <c r="AI396" s="9">
        <f>IFERROR(VLOOKUP($A396,pivot!$A:$I,計算式2026!AI$1,FALSE),0)</f>
        <v>0</v>
      </c>
      <c r="AJ396" s="9">
        <f>IFERROR(VLOOKUP($A396,pivot!$A:$I,計算式2026!AJ$1,FALSE),0)</f>
        <v>0</v>
      </c>
      <c r="AK396" s="9">
        <f>IFERROR(VLOOKUP($A396,pivot!$A:$I,計算式2026!AK$1,FALSE),0)</f>
        <v>0</v>
      </c>
      <c r="AL396" s="9">
        <f>IFERROR(VLOOKUP($A396,pivot!$A:$I,計算式2026!AL$1,FALSE),0)</f>
        <v>0</v>
      </c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</row>
    <row r="397" spans="1:59" s="9" customFormat="1">
      <c r="A397" s="8" t="s">
        <v>1961</v>
      </c>
      <c r="B397" s="8" t="s">
        <v>1960</v>
      </c>
      <c r="C397" s="9">
        <v>12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R397" s="9">
        <v>0</v>
      </c>
      <c r="S397" s="9">
        <v>3</v>
      </c>
      <c r="T397" s="9">
        <v>1</v>
      </c>
      <c r="U397" s="9">
        <v>3</v>
      </c>
      <c r="V397" s="9">
        <v>3</v>
      </c>
      <c r="W397" s="9">
        <v>0</v>
      </c>
      <c r="X397" s="9">
        <v>2</v>
      </c>
      <c r="AE397" s="9">
        <f>IFERROR(VLOOKUP($A397,pivot!$A:$G,計算式2026!AE$1,FALSE),0)</f>
        <v>0</v>
      </c>
      <c r="AF397" s="9">
        <f>IFERROR(VLOOKUP($A397,pivot!$A:$I,計算式2026!AF$1,FALSE),0)</f>
        <v>0</v>
      </c>
      <c r="AI397" s="9">
        <f>IFERROR(VLOOKUP($A397,pivot!$A:$I,計算式2026!AI$1,FALSE),0)</f>
        <v>0</v>
      </c>
      <c r="AJ397" s="9">
        <f>IFERROR(VLOOKUP($A397,pivot!$A:$I,計算式2026!AJ$1,FALSE),0)</f>
        <v>0</v>
      </c>
      <c r="AK397" s="9">
        <f>IFERROR(VLOOKUP($A397,pivot!$A:$I,計算式2026!AK$1,FALSE),0)</f>
        <v>0</v>
      </c>
      <c r="AL397" s="9">
        <f>IFERROR(VLOOKUP($A397,pivot!$A:$I,計算式2026!AL$1,FALSE),0)</f>
        <v>0</v>
      </c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</row>
    <row r="398" spans="1:59" s="9" customFormat="1">
      <c r="A398" s="8" t="s">
        <v>1962</v>
      </c>
      <c r="B398" s="8" t="s">
        <v>1960</v>
      </c>
      <c r="C398" s="9">
        <v>6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R398" s="9">
        <v>0</v>
      </c>
      <c r="S398" s="9">
        <v>3</v>
      </c>
      <c r="T398" s="9">
        <v>2</v>
      </c>
      <c r="U398" s="9">
        <v>3</v>
      </c>
      <c r="V398" s="9">
        <v>2</v>
      </c>
      <c r="W398" s="9">
        <v>1</v>
      </c>
      <c r="X398" s="9">
        <v>2</v>
      </c>
      <c r="AE398" s="9">
        <f>IFERROR(VLOOKUP($A398,pivot!$A:$G,計算式2026!AE$1,FALSE),0)</f>
        <v>0</v>
      </c>
      <c r="AF398" s="9">
        <f>IFERROR(VLOOKUP($A398,pivot!$A:$I,計算式2026!AF$1,FALSE),0)</f>
        <v>0</v>
      </c>
      <c r="AI398" s="9">
        <f>IFERROR(VLOOKUP($A398,pivot!$A:$I,計算式2026!AI$1,FALSE),0)</f>
        <v>0</v>
      </c>
      <c r="AJ398" s="9">
        <f>IFERROR(VLOOKUP($A398,pivot!$A:$I,計算式2026!AJ$1,FALSE),0)</f>
        <v>0</v>
      </c>
      <c r="AK398" s="9">
        <f>IFERROR(VLOOKUP($A398,pivot!$A:$I,計算式2026!AK$1,FALSE),0)</f>
        <v>0</v>
      </c>
      <c r="AL398" s="9">
        <f>IFERROR(VLOOKUP($A398,pivot!$A:$I,計算式2026!AL$1,FALSE),0)</f>
        <v>0</v>
      </c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</row>
    <row r="399" spans="1:59" s="9" customFormat="1">
      <c r="A399" s="8" t="s">
        <v>1963</v>
      </c>
      <c r="B399" s="8" t="s">
        <v>1964</v>
      </c>
      <c r="C399" s="9">
        <v>0</v>
      </c>
      <c r="D399" s="9">
        <v>8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R399" s="9">
        <v>2</v>
      </c>
      <c r="S399" s="9">
        <v>3</v>
      </c>
      <c r="T399" s="9">
        <v>1</v>
      </c>
      <c r="U399" s="9">
        <v>3</v>
      </c>
      <c r="V399" s="9">
        <v>3</v>
      </c>
      <c r="W399" s="9">
        <v>0</v>
      </c>
      <c r="X399" s="9">
        <v>2</v>
      </c>
      <c r="AE399" s="9">
        <f>IFERROR(VLOOKUP($A399,pivot!$A:$G,計算式2026!AE$1,FALSE),0)</f>
        <v>0</v>
      </c>
      <c r="AF399" s="9">
        <f>IFERROR(VLOOKUP($A399,pivot!$A:$I,計算式2026!AF$1,FALSE),0)</f>
        <v>0</v>
      </c>
      <c r="AI399" s="9">
        <f>IFERROR(VLOOKUP($A399,pivot!$A:$I,計算式2026!AI$1,FALSE),0)</f>
        <v>0</v>
      </c>
      <c r="AJ399" s="9">
        <f>IFERROR(VLOOKUP($A399,pivot!$A:$I,計算式2026!AJ$1,FALSE),0)</f>
        <v>0</v>
      </c>
      <c r="AK399" s="9">
        <f>IFERROR(VLOOKUP($A399,pivot!$A:$I,計算式2026!AK$1,FALSE),0)</f>
        <v>0</v>
      </c>
      <c r="AL399" s="9">
        <f>IFERROR(VLOOKUP($A399,pivot!$A:$I,計算式2026!AL$1,FALSE),0)</f>
        <v>0</v>
      </c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</row>
    <row r="400" spans="1:59" s="9" customFormat="1">
      <c r="A400" s="8" t="s">
        <v>1965</v>
      </c>
      <c r="B400" s="8" t="s">
        <v>1964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R400" s="9">
        <v>1</v>
      </c>
      <c r="S400" s="9">
        <v>3</v>
      </c>
      <c r="T400" s="9">
        <v>0</v>
      </c>
      <c r="U400" s="9">
        <v>2</v>
      </c>
      <c r="V400" s="9">
        <v>3</v>
      </c>
      <c r="W400" s="9">
        <v>0</v>
      </c>
      <c r="X400" s="9">
        <v>2</v>
      </c>
      <c r="AE400" s="9">
        <f>IFERROR(VLOOKUP($A400,pivot!$A:$G,計算式2026!AE$1,FALSE),0)</f>
        <v>0</v>
      </c>
      <c r="AF400" s="9">
        <f>IFERROR(VLOOKUP($A400,pivot!$A:$I,計算式2026!AF$1,FALSE),0)</f>
        <v>0</v>
      </c>
      <c r="AI400" s="9">
        <f>IFERROR(VLOOKUP($A400,pivot!$A:$I,計算式2026!AI$1,FALSE),0)</f>
        <v>0</v>
      </c>
      <c r="AJ400" s="9">
        <f>IFERROR(VLOOKUP($A400,pivot!$A:$I,計算式2026!AJ$1,FALSE),0)</f>
        <v>0</v>
      </c>
      <c r="AK400" s="9">
        <f>IFERROR(VLOOKUP($A400,pivot!$A:$I,計算式2026!AK$1,FALSE),0)</f>
        <v>0</v>
      </c>
      <c r="AL400" s="9">
        <f>IFERROR(VLOOKUP($A400,pivot!$A:$I,計算式2026!AL$1,FALSE),0)</f>
        <v>0</v>
      </c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</row>
    <row r="401" spans="1:59" s="9" customFormat="1">
      <c r="A401" s="8" t="s">
        <v>1966</v>
      </c>
      <c r="B401" s="8" t="s">
        <v>1964</v>
      </c>
      <c r="C401" s="9">
        <v>0</v>
      </c>
      <c r="D401" s="9">
        <v>7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R401" s="9">
        <v>2</v>
      </c>
      <c r="S401" s="9">
        <v>3</v>
      </c>
      <c r="T401" s="9">
        <v>1</v>
      </c>
      <c r="U401" s="9">
        <v>2</v>
      </c>
      <c r="V401" s="9">
        <v>2</v>
      </c>
      <c r="W401" s="9">
        <v>0</v>
      </c>
      <c r="X401" s="9">
        <v>2</v>
      </c>
      <c r="AE401" s="9">
        <f>IFERROR(VLOOKUP($A401,pivot!$A:$G,計算式2026!AE$1,FALSE),0)</f>
        <v>0</v>
      </c>
      <c r="AF401" s="9">
        <f>IFERROR(VLOOKUP($A401,pivot!$A:$I,計算式2026!AF$1,FALSE),0)</f>
        <v>0</v>
      </c>
      <c r="AI401" s="9">
        <f>IFERROR(VLOOKUP($A401,pivot!$A:$I,計算式2026!AI$1,FALSE),0)</f>
        <v>0</v>
      </c>
      <c r="AJ401" s="9">
        <f>IFERROR(VLOOKUP($A401,pivot!$A:$I,計算式2026!AJ$1,FALSE),0)</f>
        <v>0</v>
      </c>
      <c r="AK401" s="9">
        <f>IFERROR(VLOOKUP($A401,pivot!$A:$I,計算式2026!AK$1,FALSE),0)</f>
        <v>0</v>
      </c>
      <c r="AL401" s="9">
        <f>IFERROR(VLOOKUP($A401,pivot!$A:$I,計算式2026!AL$1,FALSE),0)</f>
        <v>0</v>
      </c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</row>
    <row r="402" spans="1:59" s="9" customFormat="1">
      <c r="A402" s="8" t="s">
        <v>1967</v>
      </c>
      <c r="B402" s="8" t="s">
        <v>1964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R402" s="9">
        <v>2</v>
      </c>
      <c r="S402" s="9">
        <v>3</v>
      </c>
      <c r="T402" s="9">
        <v>1</v>
      </c>
      <c r="U402" s="9">
        <v>2</v>
      </c>
      <c r="V402" s="9">
        <v>3</v>
      </c>
      <c r="W402" s="9">
        <v>0</v>
      </c>
      <c r="X402" s="9">
        <v>2</v>
      </c>
      <c r="AE402" s="9">
        <f>IFERROR(VLOOKUP($A402,pivot!$A:$G,計算式2026!AE$1,FALSE),0)</f>
        <v>0</v>
      </c>
      <c r="AF402" s="9">
        <f>IFERROR(VLOOKUP($A402,pivot!$A:$I,計算式2026!AF$1,FALSE),0)</f>
        <v>0</v>
      </c>
      <c r="AI402" s="9">
        <f>IFERROR(VLOOKUP($A402,pivot!$A:$I,計算式2026!AI$1,FALSE),0)</f>
        <v>0</v>
      </c>
      <c r="AJ402" s="9">
        <f>IFERROR(VLOOKUP($A402,pivot!$A:$I,計算式2026!AJ$1,FALSE),0)</f>
        <v>0</v>
      </c>
      <c r="AK402" s="9">
        <f>IFERROR(VLOOKUP($A402,pivot!$A:$I,計算式2026!AK$1,FALSE),0)</f>
        <v>0</v>
      </c>
      <c r="AL402" s="9">
        <f>IFERROR(VLOOKUP($A402,pivot!$A:$I,計算式2026!AL$1,FALSE),0)</f>
        <v>0</v>
      </c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</row>
    <row r="403" spans="1:59" s="9" customFormat="1">
      <c r="A403" s="8" t="s">
        <v>1968</v>
      </c>
      <c r="B403" s="8" t="s">
        <v>1964</v>
      </c>
      <c r="C403" s="9">
        <v>2</v>
      </c>
      <c r="D403" s="9">
        <v>25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R403" s="9">
        <v>2</v>
      </c>
      <c r="S403" s="9">
        <v>3</v>
      </c>
      <c r="T403" s="9">
        <v>1</v>
      </c>
      <c r="U403" s="9">
        <v>2</v>
      </c>
      <c r="V403" s="9">
        <v>3</v>
      </c>
      <c r="W403" s="9">
        <v>0</v>
      </c>
      <c r="X403" s="9">
        <v>2</v>
      </c>
      <c r="AE403" s="9">
        <f>IFERROR(VLOOKUP($A403,pivot!$A:$G,計算式2026!AE$1,FALSE),0)</f>
        <v>0</v>
      </c>
      <c r="AF403" s="9">
        <f>IFERROR(VLOOKUP($A403,pivot!$A:$I,計算式2026!AF$1,FALSE),0)</f>
        <v>0</v>
      </c>
      <c r="AI403" s="9">
        <f>IFERROR(VLOOKUP($A403,pivot!$A:$I,計算式2026!AI$1,FALSE),0)</f>
        <v>0</v>
      </c>
      <c r="AJ403" s="9">
        <f>IFERROR(VLOOKUP($A403,pivot!$A:$I,計算式2026!AJ$1,FALSE),0)</f>
        <v>0</v>
      </c>
      <c r="AK403" s="9">
        <f>IFERROR(VLOOKUP($A403,pivot!$A:$I,計算式2026!AK$1,FALSE),0)</f>
        <v>0</v>
      </c>
      <c r="AL403" s="9">
        <f>IFERROR(VLOOKUP($A403,pivot!$A:$I,計算式2026!AL$1,FALSE),0)</f>
        <v>0</v>
      </c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</row>
    <row r="404" spans="1:59" s="9" customFormat="1">
      <c r="A404" s="8" t="s">
        <v>1969</v>
      </c>
      <c r="B404" s="8" t="s">
        <v>1964</v>
      </c>
      <c r="C404" s="9">
        <v>3</v>
      </c>
      <c r="D404" s="9">
        <v>2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R404" s="9">
        <v>2</v>
      </c>
      <c r="S404" s="9">
        <v>3</v>
      </c>
      <c r="T404" s="9">
        <v>1</v>
      </c>
      <c r="U404" s="9">
        <v>2</v>
      </c>
      <c r="V404" s="9">
        <v>3</v>
      </c>
      <c r="W404" s="9">
        <v>0</v>
      </c>
      <c r="X404" s="9">
        <v>2</v>
      </c>
      <c r="AE404" s="9">
        <f>IFERROR(VLOOKUP($A404,pivot!$A:$G,計算式2026!AE$1,FALSE),0)</f>
        <v>0</v>
      </c>
      <c r="AF404" s="9">
        <f>IFERROR(VLOOKUP($A404,pivot!$A:$I,計算式2026!AF$1,FALSE),0)</f>
        <v>0</v>
      </c>
      <c r="AI404" s="9">
        <f>IFERROR(VLOOKUP($A404,pivot!$A:$I,計算式2026!AI$1,FALSE),0)</f>
        <v>0</v>
      </c>
      <c r="AJ404" s="9">
        <f>IFERROR(VLOOKUP($A404,pivot!$A:$I,計算式2026!AJ$1,FALSE),0)</f>
        <v>0</v>
      </c>
      <c r="AK404" s="9">
        <f>IFERROR(VLOOKUP($A404,pivot!$A:$I,計算式2026!AK$1,FALSE),0)</f>
        <v>0</v>
      </c>
      <c r="AL404" s="9">
        <f>IFERROR(VLOOKUP($A404,pivot!$A:$I,計算式2026!AL$1,FALSE),0)</f>
        <v>0</v>
      </c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</row>
    <row r="405" spans="1:59" s="9" customFormat="1">
      <c r="A405" s="8" t="s">
        <v>1970</v>
      </c>
      <c r="B405" s="8" t="s">
        <v>1964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R405" s="9">
        <v>2</v>
      </c>
      <c r="S405" s="9">
        <v>3</v>
      </c>
      <c r="T405" s="9">
        <v>0</v>
      </c>
      <c r="U405" s="9">
        <v>2</v>
      </c>
      <c r="V405" s="9">
        <v>2</v>
      </c>
      <c r="W405" s="9">
        <v>0</v>
      </c>
      <c r="X405" s="9">
        <v>2</v>
      </c>
      <c r="AE405" s="9">
        <f>IFERROR(VLOOKUP($A405,pivot!$A:$G,計算式2026!AE$1,FALSE),0)</f>
        <v>0</v>
      </c>
      <c r="AF405" s="9">
        <f>IFERROR(VLOOKUP($A405,pivot!$A:$I,計算式2026!AF$1,FALSE),0)</f>
        <v>0</v>
      </c>
      <c r="AI405" s="9">
        <f>IFERROR(VLOOKUP($A405,pivot!$A:$I,計算式2026!AI$1,FALSE),0)</f>
        <v>0</v>
      </c>
      <c r="AJ405" s="9">
        <f>IFERROR(VLOOKUP($A405,pivot!$A:$I,計算式2026!AJ$1,FALSE),0)</f>
        <v>0</v>
      </c>
      <c r="AK405" s="9">
        <f>IFERROR(VLOOKUP($A405,pivot!$A:$I,計算式2026!AK$1,FALSE),0)</f>
        <v>0</v>
      </c>
      <c r="AL405" s="9">
        <f>IFERROR(VLOOKUP($A405,pivot!$A:$I,計算式2026!AL$1,FALSE),0)</f>
        <v>0</v>
      </c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</row>
    <row r="406" spans="1:59" s="9" customFormat="1">
      <c r="A406" s="8" t="s">
        <v>1971</v>
      </c>
      <c r="B406" s="8" t="s">
        <v>1964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R406" s="9">
        <v>0</v>
      </c>
      <c r="S406" s="9">
        <v>2</v>
      </c>
      <c r="T406" s="9">
        <v>1</v>
      </c>
      <c r="U406" s="9">
        <v>2</v>
      </c>
      <c r="V406" s="9">
        <v>2</v>
      </c>
      <c r="W406" s="9">
        <v>0</v>
      </c>
      <c r="X406" s="9">
        <v>2</v>
      </c>
      <c r="AE406" s="9">
        <f>IFERROR(VLOOKUP($A406,pivot!$A:$G,計算式2026!AE$1,FALSE),0)</f>
        <v>0</v>
      </c>
      <c r="AF406" s="9">
        <f>IFERROR(VLOOKUP($A406,pivot!$A:$I,計算式2026!AF$1,FALSE),0)</f>
        <v>0</v>
      </c>
      <c r="AI406" s="9">
        <f>IFERROR(VLOOKUP($A406,pivot!$A:$I,計算式2026!AI$1,FALSE),0)</f>
        <v>0</v>
      </c>
      <c r="AJ406" s="9">
        <f>IFERROR(VLOOKUP($A406,pivot!$A:$I,計算式2026!AJ$1,FALSE),0)</f>
        <v>0</v>
      </c>
      <c r="AK406" s="9">
        <f>IFERROR(VLOOKUP($A406,pivot!$A:$I,計算式2026!AK$1,FALSE),0)</f>
        <v>0</v>
      </c>
      <c r="AL406" s="9">
        <f>IFERROR(VLOOKUP($A406,pivot!$A:$I,計算式2026!AL$1,FALSE),0)</f>
        <v>0</v>
      </c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</row>
    <row r="407" spans="1:59" s="9" customFormat="1">
      <c r="A407" s="8" t="s">
        <v>1972</v>
      </c>
      <c r="B407" s="8" t="s">
        <v>1964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R407" s="9">
        <v>0</v>
      </c>
      <c r="S407" s="9">
        <v>0</v>
      </c>
      <c r="T407" s="9">
        <v>0</v>
      </c>
      <c r="U407" s="9">
        <v>2</v>
      </c>
      <c r="V407" s="9">
        <v>3</v>
      </c>
      <c r="W407" s="9">
        <v>0</v>
      </c>
      <c r="X407" s="9">
        <v>2</v>
      </c>
      <c r="AE407" s="9">
        <f>IFERROR(VLOOKUP($A407,pivot!$A:$G,計算式2026!AE$1,FALSE),0)</f>
        <v>0</v>
      </c>
      <c r="AF407" s="9">
        <f>IFERROR(VLOOKUP($A407,pivot!$A:$I,計算式2026!AF$1,FALSE),0)</f>
        <v>1</v>
      </c>
      <c r="AI407" s="9">
        <f>IFERROR(VLOOKUP($A407,pivot!$A:$I,計算式2026!AI$1,FALSE),0)</f>
        <v>1</v>
      </c>
      <c r="AJ407" s="9">
        <f>IFERROR(VLOOKUP($A407,pivot!$A:$I,計算式2026!AJ$1,FALSE),0)</f>
        <v>0</v>
      </c>
      <c r="AK407" s="9">
        <f>IFERROR(VLOOKUP($A407,pivot!$A:$I,計算式2026!AK$1,FALSE),0)</f>
        <v>0</v>
      </c>
      <c r="AL407" s="9">
        <f>IFERROR(VLOOKUP($A407,pivot!$A:$I,計算式2026!AL$1,FALSE),0)</f>
        <v>0</v>
      </c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</row>
    <row r="408" spans="1:59" s="9" customFormat="1">
      <c r="A408" s="8" t="s">
        <v>1973</v>
      </c>
      <c r="B408" s="8" t="s">
        <v>1974</v>
      </c>
      <c r="C408" s="9">
        <v>1</v>
      </c>
      <c r="D408" s="9">
        <v>3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R408" s="9">
        <v>2</v>
      </c>
      <c r="S408" s="9">
        <v>3</v>
      </c>
      <c r="T408" s="9">
        <v>1</v>
      </c>
      <c r="U408" s="9">
        <v>2</v>
      </c>
      <c r="V408" s="9">
        <v>3</v>
      </c>
      <c r="W408" s="9">
        <v>0</v>
      </c>
      <c r="X408" s="9">
        <v>2</v>
      </c>
      <c r="AE408" s="9">
        <f>IFERROR(VLOOKUP($A408,pivot!$A:$G,計算式2026!AE$1,FALSE),0)</f>
        <v>0</v>
      </c>
      <c r="AF408" s="9">
        <f>IFERROR(VLOOKUP($A408,pivot!$A:$I,計算式2026!AF$1,FALSE),0)</f>
        <v>0</v>
      </c>
      <c r="AI408" s="9">
        <f>IFERROR(VLOOKUP($A408,pivot!$A:$I,計算式2026!AI$1,FALSE),0)</f>
        <v>0</v>
      </c>
      <c r="AJ408" s="9">
        <f>IFERROR(VLOOKUP($A408,pivot!$A:$I,計算式2026!AJ$1,FALSE),0)</f>
        <v>0</v>
      </c>
      <c r="AK408" s="9">
        <f>IFERROR(VLOOKUP($A408,pivot!$A:$I,計算式2026!AK$1,FALSE),0)</f>
        <v>0</v>
      </c>
      <c r="AL408" s="9">
        <f>IFERROR(VLOOKUP($A408,pivot!$A:$I,計算式2026!AL$1,FALSE),0)</f>
        <v>0</v>
      </c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</row>
    <row r="409" spans="1:59" s="9" customFormat="1">
      <c r="A409" s="8" t="s">
        <v>1975</v>
      </c>
      <c r="B409" s="8" t="s">
        <v>1974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R409" s="9">
        <v>2</v>
      </c>
      <c r="S409" s="9">
        <v>2</v>
      </c>
      <c r="T409" s="9">
        <v>1</v>
      </c>
      <c r="U409" s="9">
        <v>2</v>
      </c>
      <c r="V409" s="9">
        <v>3</v>
      </c>
      <c r="W409" s="9">
        <v>0</v>
      </c>
      <c r="X409" s="9">
        <v>2</v>
      </c>
      <c r="AE409" s="9">
        <f>IFERROR(VLOOKUP($A409,pivot!$A:$G,計算式2026!AE$1,FALSE),0)</f>
        <v>0</v>
      </c>
      <c r="AF409" s="9">
        <f>IFERROR(VLOOKUP($A409,pivot!$A:$I,計算式2026!AF$1,FALSE),0)</f>
        <v>0</v>
      </c>
      <c r="AI409" s="9">
        <f>IFERROR(VLOOKUP($A409,pivot!$A:$I,計算式2026!AI$1,FALSE),0)</f>
        <v>0</v>
      </c>
      <c r="AJ409" s="9">
        <f>IFERROR(VLOOKUP($A409,pivot!$A:$I,計算式2026!AJ$1,FALSE),0)</f>
        <v>0</v>
      </c>
      <c r="AK409" s="9">
        <f>IFERROR(VLOOKUP($A409,pivot!$A:$I,計算式2026!AK$1,FALSE),0)</f>
        <v>0</v>
      </c>
      <c r="AL409" s="9">
        <f>IFERROR(VLOOKUP($A409,pivot!$A:$I,計算式2026!AL$1,FALSE),0)</f>
        <v>0</v>
      </c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</row>
    <row r="410" spans="1:59" s="9" customFormat="1">
      <c r="A410" s="8" t="s">
        <v>1976</v>
      </c>
      <c r="B410" s="8" t="s">
        <v>1974</v>
      </c>
      <c r="C410" s="9">
        <v>1</v>
      </c>
      <c r="D410" s="9">
        <v>9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R410" s="9">
        <v>2</v>
      </c>
      <c r="S410" s="9">
        <v>3</v>
      </c>
      <c r="T410" s="9">
        <v>1</v>
      </c>
      <c r="U410" s="9">
        <v>2</v>
      </c>
      <c r="V410" s="9">
        <v>3</v>
      </c>
      <c r="W410" s="9">
        <v>0</v>
      </c>
      <c r="X410" s="9">
        <v>2</v>
      </c>
      <c r="AE410" s="9">
        <f>IFERROR(VLOOKUP($A410,pivot!$A:$G,計算式2026!AE$1,FALSE),0)</f>
        <v>0</v>
      </c>
      <c r="AF410" s="9">
        <f>IFERROR(VLOOKUP($A410,pivot!$A:$I,計算式2026!AF$1,FALSE),0)</f>
        <v>0</v>
      </c>
      <c r="AI410" s="9">
        <f>IFERROR(VLOOKUP($A410,pivot!$A:$I,計算式2026!AI$1,FALSE),0)</f>
        <v>0</v>
      </c>
      <c r="AJ410" s="9">
        <f>IFERROR(VLOOKUP($A410,pivot!$A:$I,計算式2026!AJ$1,FALSE),0)</f>
        <v>0</v>
      </c>
      <c r="AK410" s="9">
        <f>IFERROR(VLOOKUP($A410,pivot!$A:$I,計算式2026!AK$1,FALSE),0)</f>
        <v>0</v>
      </c>
      <c r="AL410" s="9">
        <f>IFERROR(VLOOKUP($A410,pivot!$A:$I,計算式2026!AL$1,FALSE),0)</f>
        <v>0</v>
      </c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</row>
    <row r="411" spans="1:59" s="9" customFormat="1">
      <c r="A411" s="8" t="s">
        <v>1977</v>
      </c>
      <c r="B411" s="8" t="s">
        <v>1974</v>
      </c>
      <c r="C411" s="9">
        <v>0</v>
      </c>
      <c r="D411" s="9">
        <v>1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R411" s="9">
        <v>2</v>
      </c>
      <c r="S411" s="9">
        <v>3</v>
      </c>
      <c r="T411" s="9">
        <v>1</v>
      </c>
      <c r="U411" s="9">
        <v>2</v>
      </c>
      <c r="V411" s="9">
        <v>3</v>
      </c>
      <c r="W411" s="9">
        <v>0</v>
      </c>
      <c r="X411" s="9">
        <v>2</v>
      </c>
      <c r="AE411" s="9">
        <f>IFERROR(VLOOKUP($A411,pivot!$A:$G,計算式2026!AE$1,FALSE),0)</f>
        <v>0</v>
      </c>
      <c r="AF411" s="9">
        <f>IFERROR(VLOOKUP($A411,pivot!$A:$I,計算式2026!AF$1,FALSE),0)</f>
        <v>0</v>
      </c>
      <c r="AI411" s="9">
        <f>IFERROR(VLOOKUP($A411,pivot!$A:$I,計算式2026!AI$1,FALSE),0)</f>
        <v>0</v>
      </c>
      <c r="AJ411" s="9">
        <f>IFERROR(VLOOKUP($A411,pivot!$A:$I,計算式2026!AJ$1,FALSE),0)</f>
        <v>0</v>
      </c>
      <c r="AK411" s="9">
        <f>IFERROR(VLOOKUP($A411,pivot!$A:$I,計算式2026!AK$1,FALSE),0)</f>
        <v>0</v>
      </c>
      <c r="AL411" s="9">
        <f>IFERROR(VLOOKUP($A411,pivot!$A:$I,計算式2026!AL$1,FALSE),0)</f>
        <v>0</v>
      </c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</row>
    <row r="412" spans="1:59" s="9" customFormat="1">
      <c r="A412" s="8" t="s">
        <v>1978</v>
      </c>
      <c r="B412" s="8" t="s">
        <v>1974</v>
      </c>
      <c r="C412" s="9">
        <v>9</v>
      </c>
      <c r="D412" s="9">
        <v>15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R412" s="9">
        <v>2</v>
      </c>
      <c r="S412" s="9">
        <v>3</v>
      </c>
      <c r="T412" s="9">
        <v>1</v>
      </c>
      <c r="U412" s="9">
        <v>2</v>
      </c>
      <c r="V412" s="9">
        <v>3</v>
      </c>
      <c r="W412" s="9">
        <v>0</v>
      </c>
      <c r="X412" s="9">
        <v>2</v>
      </c>
      <c r="AE412" s="9">
        <f>IFERROR(VLOOKUP($A412,pivot!$A:$G,計算式2026!AE$1,FALSE),0)</f>
        <v>0</v>
      </c>
      <c r="AF412" s="9">
        <f>IFERROR(VLOOKUP($A412,pivot!$A:$I,計算式2026!AF$1,FALSE),0)</f>
        <v>0</v>
      </c>
      <c r="AI412" s="9">
        <f>IFERROR(VLOOKUP($A412,pivot!$A:$I,計算式2026!AI$1,FALSE),0)</f>
        <v>0</v>
      </c>
      <c r="AJ412" s="9">
        <f>IFERROR(VLOOKUP($A412,pivot!$A:$I,計算式2026!AJ$1,FALSE),0)</f>
        <v>0</v>
      </c>
      <c r="AK412" s="9">
        <f>IFERROR(VLOOKUP($A412,pivot!$A:$I,計算式2026!AK$1,FALSE),0)</f>
        <v>0</v>
      </c>
      <c r="AL412" s="9">
        <f>IFERROR(VLOOKUP($A412,pivot!$A:$I,計算式2026!AL$1,FALSE),0)</f>
        <v>0</v>
      </c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</row>
    <row r="413" spans="1:59" s="9" customFormat="1">
      <c r="A413" s="8" t="s">
        <v>1979</v>
      </c>
      <c r="B413" s="8" t="s">
        <v>1974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R413" s="9">
        <v>2</v>
      </c>
      <c r="S413" s="9">
        <v>3</v>
      </c>
      <c r="T413" s="9">
        <v>1</v>
      </c>
      <c r="U413" s="9">
        <v>2</v>
      </c>
      <c r="V413" s="9">
        <v>3</v>
      </c>
      <c r="W413" s="9">
        <v>0</v>
      </c>
      <c r="X413" s="9">
        <v>3</v>
      </c>
      <c r="AE413" s="9">
        <f>IFERROR(VLOOKUP($A413,pivot!$A:$G,計算式2026!AE$1,FALSE),0)</f>
        <v>0</v>
      </c>
      <c r="AF413" s="9">
        <f>IFERROR(VLOOKUP($A413,pivot!$A:$I,計算式2026!AF$1,FALSE),0)</f>
        <v>0</v>
      </c>
      <c r="AI413" s="9">
        <f>IFERROR(VLOOKUP($A413,pivot!$A:$I,計算式2026!AI$1,FALSE),0)</f>
        <v>0</v>
      </c>
      <c r="AJ413" s="9">
        <f>IFERROR(VLOOKUP($A413,pivot!$A:$I,計算式2026!AJ$1,FALSE),0)</f>
        <v>0</v>
      </c>
      <c r="AK413" s="9">
        <f>IFERROR(VLOOKUP($A413,pivot!$A:$I,計算式2026!AK$1,FALSE),0)</f>
        <v>0</v>
      </c>
      <c r="AL413" s="9">
        <f>IFERROR(VLOOKUP($A413,pivot!$A:$I,計算式2026!AL$1,FALSE),0)</f>
        <v>0</v>
      </c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</row>
    <row r="414" spans="1:59" s="9" customFormat="1">
      <c r="A414" s="8" t="s">
        <v>1980</v>
      </c>
      <c r="B414" s="8" t="s">
        <v>1974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R414" s="9">
        <v>2</v>
      </c>
      <c r="S414" s="9">
        <v>3</v>
      </c>
      <c r="T414" s="9">
        <v>1</v>
      </c>
      <c r="U414" s="9">
        <v>2</v>
      </c>
      <c r="V414" s="9">
        <v>3</v>
      </c>
      <c r="W414" s="9">
        <v>0</v>
      </c>
      <c r="X414" s="9">
        <v>2</v>
      </c>
      <c r="AE414" s="9">
        <f>IFERROR(VLOOKUP($A414,pivot!$A:$G,計算式2026!AE$1,FALSE),0)</f>
        <v>0</v>
      </c>
      <c r="AF414" s="9">
        <f>IFERROR(VLOOKUP($A414,pivot!$A:$I,計算式2026!AF$1,FALSE),0)</f>
        <v>0</v>
      </c>
      <c r="AI414" s="9">
        <f>IFERROR(VLOOKUP($A414,pivot!$A:$I,計算式2026!AI$1,FALSE),0)</f>
        <v>0</v>
      </c>
      <c r="AJ414" s="9">
        <f>IFERROR(VLOOKUP($A414,pivot!$A:$I,計算式2026!AJ$1,FALSE),0)</f>
        <v>0</v>
      </c>
      <c r="AK414" s="9">
        <f>IFERROR(VLOOKUP($A414,pivot!$A:$I,計算式2026!AK$1,FALSE),0)</f>
        <v>0</v>
      </c>
      <c r="AL414" s="9">
        <f>IFERROR(VLOOKUP($A414,pivot!$A:$I,計算式2026!AL$1,FALSE),0)</f>
        <v>0</v>
      </c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</row>
    <row r="415" spans="1:59" s="9" customFormat="1">
      <c r="A415" s="8" t="s">
        <v>1981</v>
      </c>
      <c r="B415" s="8" t="s">
        <v>1974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R415" s="9">
        <v>0</v>
      </c>
      <c r="S415" s="9">
        <v>1</v>
      </c>
      <c r="T415" s="9">
        <v>0</v>
      </c>
      <c r="U415" s="9">
        <v>2</v>
      </c>
      <c r="V415" s="9">
        <v>0</v>
      </c>
      <c r="W415" s="9">
        <v>0</v>
      </c>
      <c r="X415" s="9">
        <v>0</v>
      </c>
      <c r="AE415" s="9">
        <f>IFERROR(VLOOKUP($A415,pivot!$A:$G,計算式2026!AE$1,FALSE),0)</f>
        <v>0</v>
      </c>
      <c r="AF415" s="9">
        <f>IFERROR(VLOOKUP($A415,pivot!$A:$I,計算式2026!AF$1,FALSE),0)</f>
        <v>0</v>
      </c>
      <c r="AI415" s="9">
        <f>IFERROR(VLOOKUP($A415,pivot!$A:$I,計算式2026!AI$1,FALSE),0)</f>
        <v>0</v>
      </c>
      <c r="AJ415" s="9">
        <f>IFERROR(VLOOKUP($A415,pivot!$A:$I,計算式2026!AJ$1,FALSE),0)</f>
        <v>0</v>
      </c>
      <c r="AK415" s="9">
        <f>IFERROR(VLOOKUP($A415,pivot!$A:$I,計算式2026!AK$1,FALSE),0)</f>
        <v>0</v>
      </c>
      <c r="AL415" s="9">
        <f>IFERROR(VLOOKUP($A415,pivot!$A:$I,計算式2026!AL$1,FALSE),0)</f>
        <v>0</v>
      </c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</row>
    <row r="416" spans="1:59" s="9" customFormat="1">
      <c r="A416" s="8" t="s">
        <v>1982</v>
      </c>
      <c r="B416" s="8" t="s">
        <v>1974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R416" s="9">
        <v>2</v>
      </c>
      <c r="S416" s="9">
        <v>2</v>
      </c>
      <c r="T416" s="9">
        <v>0</v>
      </c>
      <c r="U416" s="9">
        <v>2</v>
      </c>
      <c r="V416" s="9">
        <v>1</v>
      </c>
      <c r="W416" s="9">
        <v>0</v>
      </c>
      <c r="X416" s="9">
        <v>2</v>
      </c>
      <c r="AE416" s="9">
        <f>IFERROR(VLOOKUP($A416,pivot!$A:$G,計算式2026!AE$1,FALSE),0)</f>
        <v>0</v>
      </c>
      <c r="AF416" s="9">
        <f>IFERROR(VLOOKUP($A416,pivot!$A:$I,計算式2026!AF$1,FALSE),0)</f>
        <v>0</v>
      </c>
      <c r="AI416" s="9">
        <f>IFERROR(VLOOKUP($A416,pivot!$A:$I,計算式2026!AI$1,FALSE),0)</f>
        <v>0</v>
      </c>
      <c r="AJ416" s="9">
        <f>IFERROR(VLOOKUP($A416,pivot!$A:$I,計算式2026!AJ$1,FALSE),0)</f>
        <v>0</v>
      </c>
      <c r="AK416" s="9">
        <f>IFERROR(VLOOKUP($A416,pivot!$A:$I,計算式2026!AK$1,FALSE),0)</f>
        <v>0</v>
      </c>
      <c r="AL416" s="9">
        <f>IFERROR(VLOOKUP($A416,pivot!$A:$I,計算式2026!AL$1,FALSE),0)</f>
        <v>0</v>
      </c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</row>
    <row r="417" spans="1:59" s="9" customFormat="1">
      <c r="A417" s="8" t="s">
        <v>1983</v>
      </c>
      <c r="B417" s="8" t="s">
        <v>1984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R417" s="9">
        <v>0</v>
      </c>
      <c r="S417" s="9">
        <v>1</v>
      </c>
      <c r="T417" s="9">
        <v>1</v>
      </c>
      <c r="U417" s="9">
        <v>2</v>
      </c>
      <c r="V417" s="9">
        <v>2</v>
      </c>
      <c r="W417" s="9">
        <v>0</v>
      </c>
      <c r="X417" s="9">
        <v>2</v>
      </c>
      <c r="AE417" s="9">
        <f>IFERROR(VLOOKUP($A417,pivot!$A:$G,計算式2026!AE$1,FALSE),0)</f>
        <v>0</v>
      </c>
      <c r="AF417" s="9">
        <f>IFERROR(VLOOKUP($A417,pivot!$A:$I,計算式2026!AF$1,FALSE),0)</f>
        <v>0</v>
      </c>
      <c r="AI417" s="9">
        <f>IFERROR(VLOOKUP($A417,pivot!$A:$I,計算式2026!AI$1,FALSE),0)</f>
        <v>0</v>
      </c>
      <c r="AJ417" s="9">
        <f>IFERROR(VLOOKUP($A417,pivot!$A:$I,計算式2026!AJ$1,FALSE),0)</f>
        <v>0</v>
      </c>
      <c r="AK417" s="9">
        <f>IFERROR(VLOOKUP($A417,pivot!$A:$I,計算式2026!AK$1,FALSE),0)</f>
        <v>0</v>
      </c>
      <c r="AL417" s="9">
        <f>IFERROR(VLOOKUP($A417,pivot!$A:$I,計算式2026!AL$1,FALSE),0)</f>
        <v>0</v>
      </c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</row>
    <row r="418" spans="1:59" s="9" customFormat="1">
      <c r="A418" s="8" t="s">
        <v>1985</v>
      </c>
      <c r="B418" s="8" t="s">
        <v>1984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R418" s="9">
        <v>0</v>
      </c>
      <c r="S418" s="9">
        <v>0</v>
      </c>
      <c r="T418" s="9">
        <v>1</v>
      </c>
      <c r="U418" s="9">
        <v>1</v>
      </c>
      <c r="V418" s="9">
        <v>2</v>
      </c>
      <c r="W418" s="9">
        <v>0</v>
      </c>
      <c r="X418" s="9">
        <v>0</v>
      </c>
      <c r="AE418" s="9">
        <f>IFERROR(VLOOKUP($A418,pivot!$A:$G,計算式2026!AE$1,FALSE),0)</f>
        <v>0</v>
      </c>
      <c r="AF418" s="9">
        <f>IFERROR(VLOOKUP($A418,pivot!$A:$I,計算式2026!AF$1,FALSE),0)</f>
        <v>0</v>
      </c>
      <c r="AI418" s="9">
        <f>IFERROR(VLOOKUP($A418,pivot!$A:$I,計算式2026!AI$1,FALSE),0)</f>
        <v>0</v>
      </c>
      <c r="AJ418" s="9">
        <f>IFERROR(VLOOKUP($A418,pivot!$A:$I,計算式2026!AJ$1,FALSE),0)</f>
        <v>0</v>
      </c>
      <c r="AK418" s="9">
        <f>IFERROR(VLOOKUP($A418,pivot!$A:$I,計算式2026!AK$1,FALSE),0)</f>
        <v>0</v>
      </c>
      <c r="AL418" s="9">
        <f>IFERROR(VLOOKUP($A418,pivot!$A:$I,計算式2026!AL$1,FALSE),0)</f>
        <v>0</v>
      </c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</row>
    <row r="419" spans="1:59" s="9" customFormat="1">
      <c r="A419" s="8" t="s">
        <v>1986</v>
      </c>
      <c r="B419" s="8" t="s">
        <v>1984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R419" s="9">
        <v>0</v>
      </c>
      <c r="S419" s="9">
        <v>0</v>
      </c>
      <c r="T419" s="9">
        <v>0</v>
      </c>
      <c r="U419" s="9">
        <v>1</v>
      </c>
      <c r="V419" s="9">
        <v>1</v>
      </c>
      <c r="W419" s="9">
        <v>0</v>
      </c>
      <c r="X419" s="9">
        <v>2</v>
      </c>
      <c r="AE419" s="9">
        <f>IFERROR(VLOOKUP($A419,pivot!$A:$G,計算式2026!AE$1,FALSE),0)</f>
        <v>0</v>
      </c>
      <c r="AF419" s="9">
        <f>IFERROR(VLOOKUP($A419,pivot!$A:$I,計算式2026!AF$1,FALSE),0)</f>
        <v>0</v>
      </c>
      <c r="AI419" s="9">
        <f>IFERROR(VLOOKUP($A419,pivot!$A:$I,計算式2026!AI$1,FALSE),0)</f>
        <v>0</v>
      </c>
      <c r="AJ419" s="9">
        <f>IFERROR(VLOOKUP($A419,pivot!$A:$I,計算式2026!AJ$1,FALSE),0)</f>
        <v>0</v>
      </c>
      <c r="AK419" s="9">
        <f>IFERROR(VLOOKUP($A419,pivot!$A:$I,計算式2026!AK$1,FALSE),0)</f>
        <v>0</v>
      </c>
      <c r="AL419" s="9">
        <f>IFERROR(VLOOKUP($A419,pivot!$A:$I,計算式2026!AL$1,FALSE),0)</f>
        <v>0</v>
      </c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</row>
    <row r="420" spans="1:59" s="9" customFormat="1">
      <c r="A420" s="8" t="s">
        <v>1987</v>
      </c>
      <c r="B420" s="8" t="s">
        <v>1984</v>
      </c>
      <c r="C420" s="9">
        <v>1</v>
      </c>
      <c r="D420" s="9">
        <v>1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R420" s="9">
        <v>2</v>
      </c>
      <c r="S420" s="9">
        <v>3</v>
      </c>
      <c r="T420" s="9">
        <v>1</v>
      </c>
      <c r="U420" s="9">
        <v>2</v>
      </c>
      <c r="V420" s="9">
        <v>3</v>
      </c>
      <c r="W420" s="9">
        <v>0</v>
      </c>
      <c r="X420" s="9">
        <v>2</v>
      </c>
      <c r="AE420" s="9">
        <f>IFERROR(VLOOKUP($A420,pivot!$A:$G,計算式2026!AE$1,FALSE),0)</f>
        <v>0</v>
      </c>
      <c r="AF420" s="9">
        <f>IFERROR(VLOOKUP($A420,pivot!$A:$I,計算式2026!AF$1,FALSE),0)</f>
        <v>0</v>
      </c>
      <c r="AI420" s="9">
        <f>IFERROR(VLOOKUP($A420,pivot!$A:$I,計算式2026!AI$1,FALSE),0)</f>
        <v>0</v>
      </c>
      <c r="AJ420" s="9">
        <f>IFERROR(VLOOKUP($A420,pivot!$A:$I,計算式2026!AJ$1,FALSE),0)</f>
        <v>0</v>
      </c>
      <c r="AK420" s="9">
        <f>IFERROR(VLOOKUP($A420,pivot!$A:$I,計算式2026!AK$1,FALSE),0)</f>
        <v>0</v>
      </c>
      <c r="AL420" s="9">
        <f>IFERROR(VLOOKUP($A420,pivot!$A:$I,計算式2026!AL$1,FALSE),0)</f>
        <v>0</v>
      </c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</row>
    <row r="421" spans="1:59" s="9" customFormat="1">
      <c r="A421" s="8" t="s">
        <v>1988</v>
      </c>
      <c r="B421" s="8" t="s">
        <v>1984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R421" s="9">
        <v>2</v>
      </c>
      <c r="S421" s="9">
        <v>2</v>
      </c>
      <c r="T421" s="9">
        <v>2</v>
      </c>
      <c r="U421" s="9">
        <v>2</v>
      </c>
      <c r="V421" s="9">
        <v>3</v>
      </c>
      <c r="W421" s="9">
        <v>0</v>
      </c>
      <c r="X421" s="9">
        <v>2</v>
      </c>
      <c r="AE421" s="9">
        <f>IFERROR(VLOOKUP($A421,pivot!$A:$G,計算式2026!AE$1,FALSE),0)</f>
        <v>0</v>
      </c>
      <c r="AF421" s="9">
        <f>IFERROR(VLOOKUP($A421,pivot!$A:$I,計算式2026!AF$1,FALSE),0)</f>
        <v>0</v>
      </c>
      <c r="AI421" s="9">
        <f>IFERROR(VLOOKUP($A421,pivot!$A:$I,計算式2026!AI$1,FALSE),0)</f>
        <v>0</v>
      </c>
      <c r="AJ421" s="9">
        <f>IFERROR(VLOOKUP($A421,pivot!$A:$I,計算式2026!AJ$1,FALSE),0)</f>
        <v>0</v>
      </c>
      <c r="AK421" s="9">
        <f>IFERROR(VLOOKUP($A421,pivot!$A:$I,計算式2026!AK$1,FALSE),0)</f>
        <v>0</v>
      </c>
      <c r="AL421" s="9">
        <f>IFERROR(VLOOKUP($A421,pivot!$A:$I,計算式2026!AL$1,FALSE),0)</f>
        <v>0</v>
      </c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</row>
    <row r="422" spans="1:59" s="9" customFormat="1">
      <c r="A422" s="8" t="s">
        <v>1989</v>
      </c>
      <c r="B422" s="8" t="s">
        <v>1984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R422" s="9">
        <v>0</v>
      </c>
      <c r="S422" s="9">
        <v>0</v>
      </c>
      <c r="T422" s="9">
        <v>0</v>
      </c>
      <c r="U422" s="9">
        <v>1</v>
      </c>
      <c r="V422" s="9">
        <v>0</v>
      </c>
      <c r="W422" s="9">
        <v>0</v>
      </c>
      <c r="X422" s="9">
        <v>2</v>
      </c>
      <c r="AE422" s="9">
        <f>IFERROR(VLOOKUP($A422,pivot!$A:$G,計算式2026!AE$1,FALSE),0)</f>
        <v>0</v>
      </c>
      <c r="AF422" s="9">
        <f>IFERROR(VLOOKUP($A422,pivot!$A:$I,計算式2026!AF$1,FALSE),0)</f>
        <v>0</v>
      </c>
      <c r="AI422" s="9">
        <f>IFERROR(VLOOKUP($A422,pivot!$A:$I,計算式2026!AI$1,FALSE),0)</f>
        <v>0</v>
      </c>
      <c r="AJ422" s="9">
        <f>IFERROR(VLOOKUP($A422,pivot!$A:$I,計算式2026!AJ$1,FALSE),0)</f>
        <v>0</v>
      </c>
      <c r="AK422" s="9">
        <f>IFERROR(VLOOKUP($A422,pivot!$A:$I,計算式2026!AK$1,FALSE),0)</f>
        <v>0</v>
      </c>
      <c r="AL422" s="9">
        <f>IFERROR(VLOOKUP($A422,pivot!$A:$I,計算式2026!AL$1,FALSE),0)</f>
        <v>0</v>
      </c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</row>
    <row r="423" spans="1:59" s="9" customFormat="1">
      <c r="A423" s="8" t="s">
        <v>1990</v>
      </c>
      <c r="B423" s="8" t="s">
        <v>1991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R423" s="9">
        <v>1</v>
      </c>
      <c r="S423" s="9">
        <v>1</v>
      </c>
      <c r="T423" s="9">
        <v>0</v>
      </c>
      <c r="U423" s="9">
        <v>2</v>
      </c>
      <c r="V423" s="9">
        <v>3</v>
      </c>
      <c r="W423" s="9">
        <v>0</v>
      </c>
      <c r="X423" s="9">
        <v>2</v>
      </c>
      <c r="AE423" s="9">
        <f>IFERROR(VLOOKUP($A423,pivot!$A:$G,計算式2026!AE$1,FALSE),0)</f>
        <v>0</v>
      </c>
      <c r="AF423" s="9">
        <f>IFERROR(VLOOKUP($A423,pivot!$A:$I,計算式2026!AF$1,FALSE),0)</f>
        <v>0</v>
      </c>
      <c r="AI423" s="9">
        <f>IFERROR(VLOOKUP($A423,pivot!$A:$I,計算式2026!AI$1,FALSE),0)</f>
        <v>0</v>
      </c>
      <c r="AJ423" s="9">
        <f>IFERROR(VLOOKUP($A423,pivot!$A:$I,計算式2026!AJ$1,FALSE),0)</f>
        <v>0</v>
      </c>
      <c r="AK423" s="9">
        <f>IFERROR(VLOOKUP($A423,pivot!$A:$I,計算式2026!AK$1,FALSE),0)</f>
        <v>0</v>
      </c>
      <c r="AL423" s="9">
        <f>IFERROR(VLOOKUP($A423,pivot!$A:$I,計算式2026!AL$1,FALSE),0)</f>
        <v>0</v>
      </c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</row>
    <row r="424" spans="1:59" s="9" customFormat="1">
      <c r="A424" s="8" t="s">
        <v>1992</v>
      </c>
      <c r="B424" s="8" t="s">
        <v>1991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R424" s="9">
        <v>0</v>
      </c>
      <c r="S424" s="9">
        <v>1</v>
      </c>
      <c r="T424" s="9">
        <v>0</v>
      </c>
      <c r="U424" s="9">
        <v>0</v>
      </c>
      <c r="V424" s="9">
        <v>2</v>
      </c>
      <c r="W424" s="9">
        <v>0</v>
      </c>
      <c r="X424" s="9">
        <v>1</v>
      </c>
      <c r="AE424" s="9">
        <f>IFERROR(VLOOKUP($A424,pivot!$A:$G,計算式2026!AE$1,FALSE),0)</f>
        <v>0</v>
      </c>
      <c r="AF424" s="9">
        <f>IFERROR(VLOOKUP($A424,pivot!$A:$I,計算式2026!AF$1,FALSE),0)</f>
        <v>0</v>
      </c>
      <c r="AI424" s="9">
        <f>IFERROR(VLOOKUP($A424,pivot!$A:$I,計算式2026!AI$1,FALSE),0)</f>
        <v>0</v>
      </c>
      <c r="AJ424" s="9">
        <f>IFERROR(VLOOKUP($A424,pivot!$A:$I,計算式2026!AJ$1,FALSE),0)</f>
        <v>0</v>
      </c>
      <c r="AK424" s="9">
        <f>IFERROR(VLOOKUP($A424,pivot!$A:$I,計算式2026!AK$1,FALSE),0)</f>
        <v>0</v>
      </c>
      <c r="AL424" s="9">
        <f>IFERROR(VLOOKUP($A424,pivot!$A:$I,計算式2026!AL$1,FALSE),0)</f>
        <v>0</v>
      </c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</row>
    <row r="425" spans="1:59" s="9" customFormat="1">
      <c r="A425" s="8" t="s">
        <v>1993</v>
      </c>
      <c r="B425" s="8" t="s">
        <v>1991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R425" s="9">
        <v>1</v>
      </c>
      <c r="S425" s="9">
        <v>4</v>
      </c>
      <c r="T425" s="9">
        <v>1</v>
      </c>
      <c r="U425" s="9">
        <v>3</v>
      </c>
      <c r="V425" s="9">
        <v>4</v>
      </c>
      <c r="W425" s="9">
        <v>0</v>
      </c>
      <c r="X425" s="9">
        <v>3</v>
      </c>
      <c r="AE425" s="9">
        <f>IFERROR(VLOOKUP($A425,pivot!$A:$G,計算式2026!AE$1,FALSE),0)</f>
        <v>0</v>
      </c>
      <c r="AF425" s="9">
        <f>IFERROR(VLOOKUP($A425,pivot!$A:$I,計算式2026!AF$1,FALSE),0)</f>
        <v>0</v>
      </c>
      <c r="AI425" s="9">
        <f>IFERROR(VLOOKUP($A425,pivot!$A:$I,計算式2026!AI$1,FALSE),0)</f>
        <v>0</v>
      </c>
      <c r="AJ425" s="9">
        <f>IFERROR(VLOOKUP($A425,pivot!$A:$I,計算式2026!AJ$1,FALSE),0)</f>
        <v>0</v>
      </c>
      <c r="AK425" s="9">
        <f>IFERROR(VLOOKUP($A425,pivot!$A:$I,計算式2026!AK$1,FALSE),0)</f>
        <v>0</v>
      </c>
      <c r="AL425" s="9">
        <f>IFERROR(VLOOKUP($A425,pivot!$A:$I,計算式2026!AL$1,FALSE),0)</f>
        <v>0</v>
      </c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</row>
    <row r="426" spans="1:59" s="9" customFormat="1">
      <c r="A426" s="8" t="s">
        <v>1994</v>
      </c>
      <c r="B426" s="8" t="s">
        <v>1991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R426" s="9">
        <v>0</v>
      </c>
      <c r="S426" s="9">
        <v>0</v>
      </c>
      <c r="T426" s="9">
        <v>0</v>
      </c>
      <c r="U426" s="9">
        <v>1</v>
      </c>
      <c r="V426" s="9">
        <v>1</v>
      </c>
      <c r="W426" s="9">
        <v>0</v>
      </c>
      <c r="X426" s="9">
        <v>1</v>
      </c>
      <c r="AE426" s="9">
        <f>IFERROR(VLOOKUP($A426,pivot!$A:$G,計算式2026!AE$1,FALSE),0)</f>
        <v>0</v>
      </c>
      <c r="AF426" s="9">
        <f>IFERROR(VLOOKUP($A426,pivot!$A:$I,計算式2026!AF$1,FALSE),0)</f>
        <v>0</v>
      </c>
      <c r="AI426" s="9">
        <f>IFERROR(VLOOKUP($A426,pivot!$A:$I,計算式2026!AI$1,FALSE),0)</f>
        <v>0</v>
      </c>
      <c r="AJ426" s="9">
        <f>IFERROR(VLOOKUP($A426,pivot!$A:$I,計算式2026!AJ$1,FALSE),0)</f>
        <v>0</v>
      </c>
      <c r="AK426" s="9">
        <f>IFERROR(VLOOKUP($A426,pivot!$A:$I,計算式2026!AK$1,FALSE),0)</f>
        <v>0</v>
      </c>
      <c r="AL426" s="9">
        <f>IFERROR(VLOOKUP($A426,pivot!$A:$I,計算式2026!AL$1,FALSE),0)</f>
        <v>0</v>
      </c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</row>
    <row r="427" spans="1:59" s="9" customFormat="1">
      <c r="A427" s="8" t="s">
        <v>1995</v>
      </c>
      <c r="B427" s="8" t="s">
        <v>1991</v>
      </c>
      <c r="C427" s="9">
        <v>0</v>
      </c>
      <c r="D427" s="9">
        <v>1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R427" s="9">
        <v>2</v>
      </c>
      <c r="S427" s="9">
        <v>4</v>
      </c>
      <c r="T427" s="9">
        <v>1</v>
      </c>
      <c r="U427" s="9">
        <v>3</v>
      </c>
      <c r="V427" s="9">
        <v>4</v>
      </c>
      <c r="W427" s="9">
        <v>0</v>
      </c>
      <c r="X427" s="9">
        <v>3</v>
      </c>
      <c r="AE427" s="9">
        <f>IFERROR(VLOOKUP($A427,pivot!$A:$G,計算式2026!AE$1,FALSE),0)</f>
        <v>0</v>
      </c>
      <c r="AF427" s="9">
        <f>IFERROR(VLOOKUP($A427,pivot!$A:$I,計算式2026!AF$1,FALSE),0)</f>
        <v>0</v>
      </c>
      <c r="AI427" s="9">
        <f>IFERROR(VLOOKUP($A427,pivot!$A:$I,計算式2026!AI$1,FALSE),0)</f>
        <v>0</v>
      </c>
      <c r="AJ427" s="9">
        <f>IFERROR(VLOOKUP($A427,pivot!$A:$I,計算式2026!AJ$1,FALSE),0)</f>
        <v>0</v>
      </c>
      <c r="AK427" s="9">
        <f>IFERROR(VLOOKUP($A427,pivot!$A:$I,計算式2026!AK$1,FALSE),0)</f>
        <v>0</v>
      </c>
      <c r="AL427" s="9">
        <f>IFERROR(VLOOKUP($A427,pivot!$A:$I,計算式2026!AL$1,FALSE),0)</f>
        <v>0</v>
      </c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</row>
    <row r="428" spans="1:59" s="9" customFormat="1">
      <c r="A428" s="8" t="s">
        <v>1996</v>
      </c>
      <c r="B428" s="8" t="s">
        <v>1991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R428" s="9">
        <v>1</v>
      </c>
      <c r="S428" s="9">
        <v>3</v>
      </c>
      <c r="T428" s="9">
        <v>0</v>
      </c>
      <c r="U428" s="9">
        <v>1</v>
      </c>
      <c r="V428" s="9">
        <v>1</v>
      </c>
      <c r="W428" s="9">
        <v>0</v>
      </c>
      <c r="X428" s="9">
        <v>2</v>
      </c>
      <c r="AE428" s="9">
        <f>IFERROR(VLOOKUP($A428,pivot!$A:$G,計算式2026!AE$1,FALSE),0)</f>
        <v>0</v>
      </c>
      <c r="AF428" s="9">
        <f>IFERROR(VLOOKUP($A428,pivot!$A:$I,計算式2026!AF$1,FALSE),0)</f>
        <v>0</v>
      </c>
      <c r="AI428" s="9">
        <f>IFERROR(VLOOKUP($A428,pivot!$A:$I,計算式2026!AI$1,FALSE),0)</f>
        <v>0</v>
      </c>
      <c r="AJ428" s="9">
        <f>IFERROR(VLOOKUP($A428,pivot!$A:$I,計算式2026!AJ$1,FALSE),0)</f>
        <v>0</v>
      </c>
      <c r="AK428" s="9">
        <f>IFERROR(VLOOKUP($A428,pivot!$A:$I,計算式2026!AK$1,FALSE),0)</f>
        <v>0</v>
      </c>
      <c r="AL428" s="9">
        <f>IFERROR(VLOOKUP($A428,pivot!$A:$I,計算式2026!AL$1,FALSE),0)</f>
        <v>0</v>
      </c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</row>
    <row r="429" spans="1:59" s="9" customFormat="1">
      <c r="A429" s="8" t="s">
        <v>1997</v>
      </c>
      <c r="B429" s="8" t="s">
        <v>1991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R429" s="9">
        <v>1</v>
      </c>
      <c r="S429" s="9">
        <v>4</v>
      </c>
      <c r="T429" s="9">
        <v>1</v>
      </c>
      <c r="U429" s="9">
        <v>3</v>
      </c>
      <c r="V429" s="9">
        <v>4</v>
      </c>
      <c r="W429" s="9">
        <v>0</v>
      </c>
      <c r="X429" s="9">
        <v>3</v>
      </c>
      <c r="AE429" s="9">
        <f>IFERROR(VLOOKUP($A429,pivot!$A:$G,計算式2026!AE$1,FALSE),0)</f>
        <v>0</v>
      </c>
      <c r="AF429" s="9">
        <f>IFERROR(VLOOKUP($A429,pivot!$A:$I,計算式2026!AF$1,FALSE),0)</f>
        <v>0</v>
      </c>
      <c r="AI429" s="9">
        <f>IFERROR(VLOOKUP($A429,pivot!$A:$I,計算式2026!AI$1,FALSE),0)</f>
        <v>0</v>
      </c>
      <c r="AJ429" s="9">
        <f>IFERROR(VLOOKUP($A429,pivot!$A:$I,計算式2026!AJ$1,FALSE),0)</f>
        <v>0</v>
      </c>
      <c r="AK429" s="9">
        <f>IFERROR(VLOOKUP($A429,pivot!$A:$I,計算式2026!AK$1,FALSE),0)</f>
        <v>0</v>
      </c>
      <c r="AL429" s="9">
        <f>IFERROR(VLOOKUP($A429,pivot!$A:$I,計算式2026!AL$1,FALSE),0)</f>
        <v>0</v>
      </c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</row>
    <row r="430" spans="1:59" s="9" customFormat="1">
      <c r="A430" s="8" t="s">
        <v>1998</v>
      </c>
      <c r="B430" s="8" t="s">
        <v>1991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R430" s="9">
        <v>1</v>
      </c>
      <c r="S430" s="9">
        <v>0</v>
      </c>
      <c r="T430" s="9">
        <v>1</v>
      </c>
      <c r="U430" s="9">
        <v>1</v>
      </c>
      <c r="V430" s="9">
        <v>1</v>
      </c>
      <c r="W430" s="9">
        <v>0</v>
      </c>
      <c r="X430" s="9">
        <v>2</v>
      </c>
      <c r="AE430" s="9">
        <f>IFERROR(VLOOKUP($A430,pivot!$A:$G,計算式2026!AE$1,FALSE),0)</f>
        <v>0</v>
      </c>
      <c r="AF430" s="9">
        <f>IFERROR(VLOOKUP($A430,pivot!$A:$I,計算式2026!AF$1,FALSE),0)</f>
        <v>0</v>
      </c>
      <c r="AI430" s="9">
        <f>IFERROR(VLOOKUP($A430,pivot!$A:$I,計算式2026!AI$1,FALSE),0)</f>
        <v>0</v>
      </c>
      <c r="AJ430" s="9">
        <f>IFERROR(VLOOKUP($A430,pivot!$A:$I,計算式2026!AJ$1,FALSE),0)</f>
        <v>0</v>
      </c>
      <c r="AK430" s="9">
        <f>IFERROR(VLOOKUP($A430,pivot!$A:$I,計算式2026!AK$1,FALSE),0)</f>
        <v>0</v>
      </c>
      <c r="AL430" s="9">
        <f>IFERROR(VLOOKUP($A430,pivot!$A:$I,計算式2026!AL$1,FALSE),0)</f>
        <v>0</v>
      </c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</row>
    <row r="431" spans="1:59" s="9" customFormat="1">
      <c r="A431" s="8" t="s">
        <v>1999</v>
      </c>
      <c r="B431" s="8" t="s">
        <v>1991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R431" s="9">
        <v>2</v>
      </c>
      <c r="S431" s="9">
        <v>0</v>
      </c>
      <c r="T431" s="9">
        <v>0</v>
      </c>
      <c r="U431" s="9">
        <v>0</v>
      </c>
      <c r="V431" s="9">
        <v>1</v>
      </c>
      <c r="W431" s="9">
        <v>0</v>
      </c>
      <c r="X431" s="9">
        <v>0</v>
      </c>
      <c r="AE431" s="9">
        <f>IFERROR(VLOOKUP($A431,pivot!$A:$G,計算式2026!AE$1,FALSE),0)</f>
        <v>0</v>
      </c>
      <c r="AF431" s="9">
        <f>IFERROR(VLOOKUP($A431,pivot!$A:$I,計算式2026!AF$1,FALSE),0)</f>
        <v>0</v>
      </c>
      <c r="AI431" s="9">
        <f>IFERROR(VLOOKUP($A431,pivot!$A:$I,計算式2026!AI$1,FALSE),0)</f>
        <v>0</v>
      </c>
      <c r="AJ431" s="9">
        <f>IFERROR(VLOOKUP($A431,pivot!$A:$I,計算式2026!AJ$1,FALSE),0)</f>
        <v>0</v>
      </c>
      <c r="AK431" s="9">
        <f>IFERROR(VLOOKUP($A431,pivot!$A:$I,計算式2026!AK$1,FALSE),0)</f>
        <v>0</v>
      </c>
      <c r="AL431" s="9">
        <f>IFERROR(VLOOKUP($A431,pivot!$A:$I,計算式2026!AL$1,FALSE),0)</f>
        <v>0</v>
      </c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</row>
    <row r="432" spans="1:59" s="9" customFormat="1">
      <c r="A432" s="8" t="s">
        <v>2000</v>
      </c>
      <c r="B432" s="8" t="s">
        <v>2001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R432" s="9">
        <v>0</v>
      </c>
      <c r="S432" s="9">
        <v>0</v>
      </c>
      <c r="T432" s="9">
        <v>0</v>
      </c>
      <c r="U432" s="9">
        <v>1</v>
      </c>
      <c r="V432" s="9">
        <v>0</v>
      </c>
      <c r="W432" s="9">
        <v>0</v>
      </c>
      <c r="X432" s="9">
        <v>0</v>
      </c>
      <c r="AE432" s="9">
        <f>IFERROR(VLOOKUP($A432,pivot!$A:$G,計算式2026!AE$1,FALSE),0)</f>
        <v>0</v>
      </c>
      <c r="AF432" s="9">
        <f>IFERROR(VLOOKUP($A432,pivot!$A:$I,計算式2026!AF$1,FALSE),0)</f>
        <v>0</v>
      </c>
      <c r="AI432" s="9">
        <f>IFERROR(VLOOKUP($A432,pivot!$A:$I,計算式2026!AI$1,FALSE),0)</f>
        <v>0</v>
      </c>
      <c r="AJ432" s="9">
        <f>IFERROR(VLOOKUP($A432,pivot!$A:$I,計算式2026!AJ$1,FALSE),0)</f>
        <v>0</v>
      </c>
      <c r="AK432" s="9">
        <f>IFERROR(VLOOKUP($A432,pivot!$A:$I,計算式2026!AK$1,FALSE),0)</f>
        <v>0</v>
      </c>
      <c r="AL432" s="9">
        <f>IFERROR(VLOOKUP($A432,pivot!$A:$I,計算式2026!AL$1,FALSE),0)</f>
        <v>0</v>
      </c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</row>
    <row r="433" spans="1:59" s="9" customFormat="1">
      <c r="A433" s="8" t="s">
        <v>2002</v>
      </c>
      <c r="B433" s="8" t="s">
        <v>2001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R433" s="9">
        <v>0</v>
      </c>
      <c r="S433" s="9">
        <v>0</v>
      </c>
      <c r="T433" s="9">
        <v>0</v>
      </c>
      <c r="U433" s="9">
        <v>1</v>
      </c>
      <c r="V433" s="9">
        <v>0</v>
      </c>
      <c r="W433" s="9">
        <v>0</v>
      </c>
      <c r="X433" s="9">
        <v>1</v>
      </c>
      <c r="AE433" s="9">
        <f>IFERROR(VLOOKUP($A433,pivot!$A:$G,計算式2026!AE$1,FALSE),0)</f>
        <v>0</v>
      </c>
      <c r="AF433" s="9">
        <f>IFERROR(VLOOKUP($A433,pivot!$A:$I,計算式2026!AF$1,FALSE),0)</f>
        <v>0</v>
      </c>
      <c r="AI433" s="9">
        <f>IFERROR(VLOOKUP($A433,pivot!$A:$I,計算式2026!AI$1,FALSE),0)</f>
        <v>0</v>
      </c>
      <c r="AJ433" s="9">
        <f>IFERROR(VLOOKUP($A433,pivot!$A:$I,計算式2026!AJ$1,FALSE),0)</f>
        <v>0</v>
      </c>
      <c r="AK433" s="9">
        <f>IFERROR(VLOOKUP($A433,pivot!$A:$I,計算式2026!AK$1,FALSE),0)</f>
        <v>0</v>
      </c>
      <c r="AL433" s="9">
        <f>IFERROR(VLOOKUP($A433,pivot!$A:$I,計算式2026!AL$1,FALSE),0)</f>
        <v>0</v>
      </c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</row>
    <row r="434" spans="1:59" s="9" customFormat="1">
      <c r="A434" s="8" t="s">
        <v>2003</v>
      </c>
      <c r="B434" s="8" t="s">
        <v>2001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R434" s="9">
        <v>0</v>
      </c>
      <c r="S434" s="9">
        <v>0</v>
      </c>
      <c r="T434" s="9">
        <v>0</v>
      </c>
      <c r="U434" s="9">
        <v>1</v>
      </c>
      <c r="V434" s="9">
        <v>1</v>
      </c>
      <c r="W434" s="9">
        <v>0</v>
      </c>
      <c r="X434" s="9">
        <v>1</v>
      </c>
      <c r="AE434" s="9">
        <f>IFERROR(VLOOKUP($A434,pivot!$A:$G,計算式2026!AE$1,FALSE),0)</f>
        <v>0</v>
      </c>
      <c r="AF434" s="9">
        <f>IFERROR(VLOOKUP($A434,pivot!$A:$I,計算式2026!AF$1,FALSE),0)</f>
        <v>0</v>
      </c>
      <c r="AI434" s="9">
        <f>IFERROR(VLOOKUP($A434,pivot!$A:$I,計算式2026!AI$1,FALSE),0)</f>
        <v>0</v>
      </c>
      <c r="AJ434" s="9">
        <f>IFERROR(VLOOKUP($A434,pivot!$A:$I,計算式2026!AJ$1,FALSE),0)</f>
        <v>0</v>
      </c>
      <c r="AK434" s="9">
        <f>IFERROR(VLOOKUP($A434,pivot!$A:$I,計算式2026!AK$1,FALSE),0)</f>
        <v>0</v>
      </c>
      <c r="AL434" s="9">
        <f>IFERROR(VLOOKUP($A434,pivot!$A:$I,計算式2026!AL$1,FALSE),0)</f>
        <v>0</v>
      </c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</row>
    <row r="435" spans="1:59" s="9" customFormat="1">
      <c r="A435" s="8" t="s">
        <v>2004</v>
      </c>
      <c r="B435" s="8" t="s">
        <v>2001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R435" s="9">
        <v>0</v>
      </c>
      <c r="S435" s="9">
        <v>0</v>
      </c>
      <c r="T435" s="9">
        <v>0</v>
      </c>
      <c r="U435" s="9">
        <v>1</v>
      </c>
      <c r="V435" s="9">
        <v>0</v>
      </c>
      <c r="W435" s="9">
        <v>0</v>
      </c>
      <c r="X435" s="9">
        <v>0</v>
      </c>
      <c r="AE435" s="9">
        <f>IFERROR(VLOOKUP($A435,pivot!$A:$G,計算式2026!AE$1,FALSE),0)</f>
        <v>0</v>
      </c>
      <c r="AF435" s="9">
        <f>IFERROR(VLOOKUP($A435,pivot!$A:$I,計算式2026!AF$1,FALSE),0)</f>
        <v>0</v>
      </c>
      <c r="AI435" s="9">
        <f>IFERROR(VLOOKUP($A435,pivot!$A:$I,計算式2026!AI$1,FALSE),0)</f>
        <v>0</v>
      </c>
      <c r="AJ435" s="9">
        <f>IFERROR(VLOOKUP($A435,pivot!$A:$I,計算式2026!AJ$1,FALSE),0)</f>
        <v>0</v>
      </c>
      <c r="AK435" s="9">
        <f>IFERROR(VLOOKUP($A435,pivot!$A:$I,計算式2026!AK$1,FALSE),0)</f>
        <v>0</v>
      </c>
      <c r="AL435" s="9">
        <f>IFERROR(VLOOKUP($A435,pivot!$A:$I,計算式2026!AL$1,FALSE),0)</f>
        <v>0</v>
      </c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</row>
    <row r="436" spans="1:59" s="9" customFormat="1">
      <c r="A436" s="8" t="s">
        <v>2005</v>
      </c>
      <c r="B436" s="8" t="s">
        <v>2001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R436" s="9">
        <v>0</v>
      </c>
      <c r="S436" s="9">
        <v>0</v>
      </c>
      <c r="T436" s="9">
        <v>0</v>
      </c>
      <c r="U436" s="9">
        <v>1</v>
      </c>
      <c r="V436" s="9">
        <v>0</v>
      </c>
      <c r="W436" s="9">
        <v>0</v>
      </c>
      <c r="X436" s="9">
        <v>0</v>
      </c>
      <c r="AE436" s="9">
        <f>IFERROR(VLOOKUP($A436,pivot!$A:$G,計算式2026!AE$1,FALSE),0)</f>
        <v>0</v>
      </c>
      <c r="AF436" s="9">
        <f>IFERROR(VLOOKUP($A436,pivot!$A:$I,計算式2026!AF$1,FALSE),0)</f>
        <v>0</v>
      </c>
      <c r="AI436" s="9">
        <f>IFERROR(VLOOKUP($A436,pivot!$A:$I,計算式2026!AI$1,FALSE),0)</f>
        <v>0</v>
      </c>
      <c r="AJ436" s="9">
        <f>IFERROR(VLOOKUP($A436,pivot!$A:$I,計算式2026!AJ$1,FALSE),0)</f>
        <v>0</v>
      </c>
      <c r="AK436" s="9">
        <f>IFERROR(VLOOKUP($A436,pivot!$A:$I,計算式2026!AK$1,FALSE),0)</f>
        <v>0</v>
      </c>
      <c r="AL436" s="9">
        <f>IFERROR(VLOOKUP($A436,pivot!$A:$I,計算式2026!AL$1,FALSE),0)</f>
        <v>0</v>
      </c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</row>
    <row r="437" spans="1:59" s="9" customFormat="1">
      <c r="A437" s="8" t="s">
        <v>2006</v>
      </c>
      <c r="B437" s="8" t="s">
        <v>2007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R437" s="9">
        <v>9</v>
      </c>
      <c r="S437" s="9">
        <v>10</v>
      </c>
      <c r="T437" s="9">
        <v>1</v>
      </c>
      <c r="U437" s="9">
        <v>9</v>
      </c>
      <c r="V437" s="9">
        <v>11</v>
      </c>
      <c r="W437" s="9">
        <v>0</v>
      </c>
      <c r="X437" s="9">
        <v>3</v>
      </c>
      <c r="AE437" s="9">
        <f>IFERROR(VLOOKUP($A437,pivot!$A:$G,計算式2026!AE$1,FALSE),0)</f>
        <v>0</v>
      </c>
      <c r="AF437" s="9">
        <f>IFERROR(VLOOKUP($A437,pivot!$A:$I,計算式2026!AF$1,FALSE),0)</f>
        <v>0</v>
      </c>
      <c r="AI437" s="9">
        <f>IFERROR(VLOOKUP($A437,pivot!$A:$I,計算式2026!AI$1,FALSE),0)</f>
        <v>0</v>
      </c>
      <c r="AJ437" s="9">
        <f>IFERROR(VLOOKUP($A437,pivot!$A:$I,計算式2026!AJ$1,FALSE),0)</f>
        <v>0</v>
      </c>
      <c r="AK437" s="9">
        <f>IFERROR(VLOOKUP($A437,pivot!$A:$I,計算式2026!AK$1,FALSE),0)</f>
        <v>0</v>
      </c>
      <c r="AL437" s="9">
        <f>IFERROR(VLOOKUP($A437,pivot!$A:$I,計算式2026!AL$1,FALSE),0)</f>
        <v>0</v>
      </c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</row>
    <row r="438" spans="1:59" s="9" customFormat="1">
      <c r="A438" s="8" t="s">
        <v>2008</v>
      </c>
      <c r="B438" s="8" t="s">
        <v>2007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R438" s="9">
        <v>0</v>
      </c>
      <c r="S438" s="9">
        <v>0</v>
      </c>
      <c r="T438" s="9">
        <v>0</v>
      </c>
      <c r="U438" s="9">
        <v>3</v>
      </c>
      <c r="V438" s="9">
        <v>3</v>
      </c>
      <c r="W438" s="9">
        <v>1</v>
      </c>
      <c r="X438" s="9">
        <v>0</v>
      </c>
      <c r="AE438" s="9">
        <f>IFERROR(VLOOKUP($A438,pivot!$A:$G,計算式2026!AE$1,FALSE),0)</f>
        <v>0</v>
      </c>
      <c r="AF438" s="9">
        <f>IFERROR(VLOOKUP($A438,pivot!$A:$I,計算式2026!AF$1,FALSE),0)</f>
        <v>0</v>
      </c>
      <c r="AI438" s="9">
        <f>IFERROR(VLOOKUP($A438,pivot!$A:$I,計算式2026!AI$1,FALSE),0)</f>
        <v>0</v>
      </c>
      <c r="AJ438" s="9">
        <f>IFERROR(VLOOKUP($A438,pivot!$A:$I,計算式2026!AJ$1,FALSE),0)</f>
        <v>1</v>
      </c>
      <c r="AK438" s="9">
        <f>IFERROR(VLOOKUP($A438,pivot!$A:$I,計算式2026!AK$1,FALSE),0)</f>
        <v>0</v>
      </c>
      <c r="AL438" s="9">
        <f>IFERROR(VLOOKUP($A438,pivot!$A:$I,計算式2026!AL$1,FALSE),0)</f>
        <v>0</v>
      </c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</row>
    <row r="439" spans="1:59" s="9" customFormat="1">
      <c r="A439" s="8" t="s">
        <v>2009</v>
      </c>
      <c r="B439" s="8" t="s">
        <v>2007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R439" s="9">
        <v>0</v>
      </c>
      <c r="S439" s="9">
        <v>6</v>
      </c>
      <c r="T439" s="9">
        <v>0</v>
      </c>
      <c r="U439" s="9">
        <v>9</v>
      </c>
      <c r="V439" s="9">
        <v>6</v>
      </c>
      <c r="W439" s="9">
        <v>2</v>
      </c>
      <c r="X439" s="9">
        <v>1</v>
      </c>
      <c r="AE439" s="9">
        <f>IFERROR(VLOOKUP($A439,pivot!$A:$G,計算式2026!AE$1,FALSE),0)</f>
        <v>0</v>
      </c>
      <c r="AF439" s="9">
        <f>IFERROR(VLOOKUP($A439,pivot!$A:$I,計算式2026!AF$1,FALSE),0)</f>
        <v>0</v>
      </c>
      <c r="AI439" s="9">
        <f>IFERROR(VLOOKUP($A439,pivot!$A:$I,計算式2026!AI$1,FALSE),0)</f>
        <v>0</v>
      </c>
      <c r="AJ439" s="9">
        <f>IFERROR(VLOOKUP($A439,pivot!$A:$I,計算式2026!AJ$1,FALSE),0)</f>
        <v>0</v>
      </c>
      <c r="AK439" s="9">
        <f>IFERROR(VLOOKUP($A439,pivot!$A:$I,計算式2026!AK$1,FALSE),0)</f>
        <v>0</v>
      </c>
      <c r="AL439" s="9">
        <f>IFERROR(VLOOKUP($A439,pivot!$A:$I,計算式2026!AL$1,FALSE),0)</f>
        <v>0</v>
      </c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</row>
    <row r="440" spans="1:59" s="9" customFormat="1">
      <c r="A440" s="8" t="s">
        <v>2010</v>
      </c>
      <c r="B440" s="8" t="s">
        <v>2007</v>
      </c>
      <c r="C440" s="9">
        <v>6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R440" s="9">
        <v>8</v>
      </c>
      <c r="S440" s="9">
        <v>9</v>
      </c>
      <c r="T440" s="9">
        <v>2</v>
      </c>
      <c r="U440" s="9">
        <v>11</v>
      </c>
      <c r="V440" s="9">
        <v>10</v>
      </c>
      <c r="W440" s="9">
        <v>1</v>
      </c>
      <c r="X440" s="9">
        <v>5</v>
      </c>
      <c r="AE440" s="9">
        <f>IFERROR(VLOOKUP($A440,pivot!$A:$G,計算式2026!AE$1,FALSE),0)</f>
        <v>0</v>
      </c>
      <c r="AF440" s="9">
        <f>IFERROR(VLOOKUP($A440,pivot!$A:$I,計算式2026!AF$1,FALSE),0)</f>
        <v>0</v>
      </c>
      <c r="AI440" s="9">
        <f>IFERROR(VLOOKUP($A440,pivot!$A:$I,計算式2026!AI$1,FALSE),0)</f>
        <v>0</v>
      </c>
      <c r="AJ440" s="9">
        <f>IFERROR(VLOOKUP($A440,pivot!$A:$I,計算式2026!AJ$1,FALSE),0)</f>
        <v>0</v>
      </c>
      <c r="AK440" s="9">
        <f>IFERROR(VLOOKUP($A440,pivot!$A:$I,計算式2026!AK$1,FALSE),0)</f>
        <v>0</v>
      </c>
      <c r="AL440" s="9">
        <f>IFERROR(VLOOKUP($A440,pivot!$A:$I,計算式2026!AL$1,FALSE),0)</f>
        <v>0</v>
      </c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</row>
    <row r="441" spans="1:59" s="9" customFormat="1">
      <c r="A441" s="8" t="s">
        <v>2011</v>
      </c>
      <c r="B441" s="8" t="s">
        <v>2007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R441" s="9">
        <v>0</v>
      </c>
      <c r="S441" s="9">
        <v>0</v>
      </c>
      <c r="T441" s="9">
        <v>0</v>
      </c>
      <c r="U441" s="9">
        <v>5</v>
      </c>
      <c r="V441" s="9">
        <v>0</v>
      </c>
      <c r="W441" s="9">
        <v>0</v>
      </c>
      <c r="X441" s="9">
        <v>0</v>
      </c>
      <c r="AE441" s="9">
        <f>IFERROR(VLOOKUP($A441,pivot!$A:$G,計算式2026!AE$1,FALSE),0)</f>
        <v>0</v>
      </c>
      <c r="AF441" s="9">
        <f>IFERROR(VLOOKUP($A441,pivot!$A:$I,計算式2026!AF$1,FALSE),0)</f>
        <v>0</v>
      </c>
      <c r="AI441" s="9">
        <f>IFERROR(VLOOKUP($A441,pivot!$A:$I,計算式2026!AI$1,FALSE),0)</f>
        <v>0</v>
      </c>
      <c r="AJ441" s="9">
        <f>IFERROR(VLOOKUP($A441,pivot!$A:$I,計算式2026!AJ$1,FALSE),0)</f>
        <v>0</v>
      </c>
      <c r="AK441" s="9">
        <f>IFERROR(VLOOKUP($A441,pivot!$A:$I,計算式2026!AK$1,FALSE),0)</f>
        <v>1</v>
      </c>
      <c r="AL441" s="9">
        <f>IFERROR(VLOOKUP($A441,pivot!$A:$I,計算式2026!AL$1,FALSE),0)</f>
        <v>0</v>
      </c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</row>
    <row r="442" spans="1:59" s="9" customFormat="1">
      <c r="A442" s="8" t="s">
        <v>2012</v>
      </c>
      <c r="B442" s="8" t="s">
        <v>2007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R442" s="9">
        <v>0</v>
      </c>
      <c r="S442" s="9">
        <v>0</v>
      </c>
      <c r="T442" s="9">
        <v>0</v>
      </c>
      <c r="U442" s="9">
        <v>5</v>
      </c>
      <c r="V442" s="9">
        <v>1</v>
      </c>
      <c r="W442" s="9">
        <v>1</v>
      </c>
      <c r="X442" s="9">
        <v>3</v>
      </c>
      <c r="AE442" s="9">
        <f>IFERROR(VLOOKUP($A442,pivot!$A:$G,計算式2026!AE$1,FALSE),0)</f>
        <v>0</v>
      </c>
      <c r="AF442" s="9">
        <f>IFERROR(VLOOKUP($A442,pivot!$A:$I,計算式2026!AF$1,FALSE),0)</f>
        <v>0</v>
      </c>
      <c r="AI442" s="9">
        <f>IFERROR(VLOOKUP($A442,pivot!$A:$I,計算式2026!AI$1,FALSE),0)</f>
        <v>0</v>
      </c>
      <c r="AJ442" s="9">
        <f>IFERROR(VLOOKUP($A442,pivot!$A:$I,計算式2026!AJ$1,FALSE),0)</f>
        <v>0</v>
      </c>
      <c r="AK442" s="9">
        <f>IFERROR(VLOOKUP($A442,pivot!$A:$I,計算式2026!AK$1,FALSE),0)</f>
        <v>0</v>
      </c>
      <c r="AL442" s="9">
        <f>IFERROR(VLOOKUP($A442,pivot!$A:$I,計算式2026!AL$1,FALSE),0)</f>
        <v>0</v>
      </c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</row>
    <row r="443" spans="1:59" s="9" customFormat="1">
      <c r="A443" s="8" t="s">
        <v>2013</v>
      </c>
      <c r="B443" s="8" t="s">
        <v>2007</v>
      </c>
      <c r="C443" s="9">
        <v>180</v>
      </c>
      <c r="D443" s="9">
        <v>27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R443" s="9">
        <v>11</v>
      </c>
      <c r="S443" s="9">
        <v>10</v>
      </c>
      <c r="T443" s="9">
        <v>3</v>
      </c>
      <c r="U443" s="9">
        <v>10</v>
      </c>
      <c r="V443" s="9">
        <v>12</v>
      </c>
      <c r="W443" s="9">
        <v>3</v>
      </c>
      <c r="X443" s="9">
        <v>6</v>
      </c>
      <c r="AE443" s="9">
        <f>IFERROR(VLOOKUP($A443,pivot!$A:$G,計算式2026!AE$1,FALSE),0)</f>
        <v>0</v>
      </c>
      <c r="AF443" s="9">
        <f>IFERROR(VLOOKUP($A443,pivot!$A:$I,計算式2026!AF$1,FALSE),0)</f>
        <v>0</v>
      </c>
      <c r="AI443" s="9">
        <f>IFERROR(VLOOKUP($A443,pivot!$A:$I,計算式2026!AI$1,FALSE),0)</f>
        <v>0</v>
      </c>
      <c r="AJ443" s="9">
        <f>IFERROR(VLOOKUP($A443,pivot!$A:$I,計算式2026!AJ$1,FALSE),0)</f>
        <v>0</v>
      </c>
      <c r="AK443" s="9">
        <f>IFERROR(VLOOKUP($A443,pivot!$A:$I,計算式2026!AK$1,FALSE),0)</f>
        <v>0</v>
      </c>
      <c r="AL443" s="9">
        <f>IFERROR(VLOOKUP($A443,pivot!$A:$I,計算式2026!AL$1,FALSE),0)</f>
        <v>0</v>
      </c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</row>
    <row r="444" spans="1:59" s="9" customFormat="1">
      <c r="A444" s="8" t="s">
        <v>2014</v>
      </c>
      <c r="B444" s="8" t="s">
        <v>2007</v>
      </c>
      <c r="C444" s="9">
        <v>171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R444" s="9">
        <v>10</v>
      </c>
      <c r="S444" s="9">
        <v>9</v>
      </c>
      <c r="T444" s="9">
        <v>5</v>
      </c>
      <c r="U444" s="9">
        <v>11</v>
      </c>
      <c r="V444" s="9">
        <v>11</v>
      </c>
      <c r="W444" s="9">
        <v>2</v>
      </c>
      <c r="X444" s="9">
        <v>4</v>
      </c>
      <c r="AE444" s="9">
        <f>IFERROR(VLOOKUP($A444,pivot!$A:$G,計算式2026!AE$1,FALSE),0)</f>
        <v>0</v>
      </c>
      <c r="AF444" s="9">
        <f>IFERROR(VLOOKUP($A444,pivot!$A:$I,計算式2026!AF$1,FALSE),0)</f>
        <v>0</v>
      </c>
      <c r="AI444" s="9">
        <f>IFERROR(VLOOKUP($A444,pivot!$A:$I,計算式2026!AI$1,FALSE),0)</f>
        <v>1</v>
      </c>
      <c r="AJ444" s="9">
        <f>IFERROR(VLOOKUP($A444,pivot!$A:$I,計算式2026!AJ$1,FALSE),0)</f>
        <v>0</v>
      </c>
      <c r="AK444" s="9">
        <f>IFERROR(VLOOKUP($A444,pivot!$A:$I,計算式2026!AK$1,FALSE),0)</f>
        <v>0</v>
      </c>
      <c r="AL444" s="9">
        <f>IFERROR(VLOOKUP($A444,pivot!$A:$I,計算式2026!AL$1,FALSE),0)</f>
        <v>0</v>
      </c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</row>
    <row r="445" spans="1:59" s="9" customFormat="1">
      <c r="A445" s="8" t="s">
        <v>2015</v>
      </c>
      <c r="B445" s="8" t="s">
        <v>2007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R445" s="9">
        <v>8</v>
      </c>
      <c r="S445" s="9">
        <v>10</v>
      </c>
      <c r="T445" s="9">
        <v>1</v>
      </c>
      <c r="U445" s="9">
        <v>5</v>
      </c>
      <c r="V445" s="9">
        <v>8</v>
      </c>
      <c r="W445" s="9">
        <v>0</v>
      </c>
      <c r="X445" s="9">
        <v>3</v>
      </c>
      <c r="AE445" s="9">
        <f>IFERROR(VLOOKUP($A445,pivot!$A:$G,計算式2026!AE$1,FALSE),0)</f>
        <v>0</v>
      </c>
      <c r="AF445" s="9">
        <f>IFERROR(VLOOKUP($A445,pivot!$A:$I,計算式2026!AF$1,FALSE),0)</f>
        <v>0</v>
      </c>
      <c r="AI445" s="9">
        <f>IFERROR(VLOOKUP($A445,pivot!$A:$I,計算式2026!AI$1,FALSE),0)</f>
        <v>0</v>
      </c>
      <c r="AJ445" s="9">
        <f>IFERROR(VLOOKUP($A445,pivot!$A:$I,計算式2026!AJ$1,FALSE),0)</f>
        <v>0</v>
      </c>
      <c r="AK445" s="9">
        <f>IFERROR(VLOOKUP($A445,pivot!$A:$I,計算式2026!AK$1,FALSE),0)</f>
        <v>0</v>
      </c>
      <c r="AL445" s="9">
        <f>IFERROR(VLOOKUP($A445,pivot!$A:$I,計算式2026!AL$1,FALSE),0)</f>
        <v>0</v>
      </c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</row>
    <row r="446" spans="1:59" s="9" customFormat="1">
      <c r="A446" s="8" t="s">
        <v>2016</v>
      </c>
      <c r="B446" s="8" t="s">
        <v>2007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R446" s="9">
        <v>2</v>
      </c>
      <c r="S446" s="9">
        <v>0</v>
      </c>
      <c r="T446" s="9">
        <v>0</v>
      </c>
      <c r="U446" s="9">
        <v>4</v>
      </c>
      <c r="V446" s="9">
        <v>0</v>
      </c>
      <c r="W446" s="9">
        <v>0</v>
      </c>
      <c r="X446" s="9">
        <v>0</v>
      </c>
      <c r="AE446" s="9">
        <f>IFERROR(VLOOKUP($A446,pivot!$A:$G,計算式2026!AE$1,FALSE),0)</f>
        <v>0</v>
      </c>
      <c r="AF446" s="9">
        <f>IFERROR(VLOOKUP($A446,pivot!$A:$I,計算式2026!AF$1,FALSE),0)</f>
        <v>0</v>
      </c>
      <c r="AI446" s="9">
        <f>IFERROR(VLOOKUP($A446,pivot!$A:$I,計算式2026!AI$1,FALSE),0)</f>
        <v>0</v>
      </c>
      <c r="AJ446" s="9">
        <f>IFERROR(VLOOKUP($A446,pivot!$A:$I,計算式2026!AJ$1,FALSE),0)</f>
        <v>1</v>
      </c>
      <c r="AK446" s="9">
        <f>IFERROR(VLOOKUP($A446,pivot!$A:$I,計算式2026!AK$1,FALSE),0)</f>
        <v>0</v>
      </c>
      <c r="AL446" s="9">
        <f>IFERROR(VLOOKUP($A446,pivot!$A:$I,計算式2026!AL$1,FALSE),0)</f>
        <v>0</v>
      </c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</row>
    <row r="447" spans="1:59" s="9" customFormat="1">
      <c r="A447" s="8" t="s">
        <v>2017</v>
      </c>
      <c r="B447" s="8" t="s">
        <v>2007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R447" s="9">
        <v>3</v>
      </c>
      <c r="S447" s="9">
        <v>7</v>
      </c>
      <c r="T447" s="9">
        <v>0</v>
      </c>
      <c r="U447" s="9">
        <v>2</v>
      </c>
      <c r="V447" s="9">
        <v>3</v>
      </c>
      <c r="W447" s="9">
        <v>0</v>
      </c>
      <c r="X447" s="9">
        <v>2</v>
      </c>
      <c r="AE447" s="9">
        <f>IFERROR(VLOOKUP($A447,pivot!$A:$G,計算式2026!AE$1,FALSE),0)</f>
        <v>0</v>
      </c>
      <c r="AF447" s="9">
        <f>IFERROR(VLOOKUP($A447,pivot!$A:$I,計算式2026!AF$1,FALSE),0)</f>
        <v>0</v>
      </c>
      <c r="AI447" s="9">
        <f>IFERROR(VLOOKUP($A447,pivot!$A:$I,計算式2026!AI$1,FALSE),0)</f>
        <v>0</v>
      </c>
      <c r="AJ447" s="9">
        <f>IFERROR(VLOOKUP($A447,pivot!$A:$I,計算式2026!AJ$1,FALSE),0)</f>
        <v>0</v>
      </c>
      <c r="AK447" s="9">
        <f>IFERROR(VLOOKUP($A447,pivot!$A:$I,計算式2026!AK$1,FALSE),0)</f>
        <v>1</v>
      </c>
      <c r="AL447" s="9">
        <f>IFERROR(VLOOKUP($A447,pivot!$A:$I,計算式2026!AL$1,FALSE),0)</f>
        <v>0</v>
      </c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</row>
    <row r="448" spans="1:59" s="9" customFormat="1">
      <c r="A448" s="8" t="s">
        <v>2018</v>
      </c>
      <c r="B448" s="8" t="s">
        <v>2019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R448" s="9">
        <v>0</v>
      </c>
      <c r="S448" s="9">
        <v>0</v>
      </c>
      <c r="T448" s="9">
        <v>0</v>
      </c>
      <c r="U448" s="9">
        <v>1</v>
      </c>
      <c r="V448" s="9">
        <v>1</v>
      </c>
      <c r="W448" s="9">
        <v>0</v>
      </c>
      <c r="X448" s="9">
        <v>1</v>
      </c>
      <c r="AE448" s="9">
        <f>IFERROR(VLOOKUP($A448,pivot!$A:$G,計算式2026!AE$1,FALSE),0)</f>
        <v>0</v>
      </c>
      <c r="AF448" s="9">
        <f>IFERROR(VLOOKUP($A448,pivot!$A:$I,計算式2026!AF$1,FALSE),0)</f>
        <v>0</v>
      </c>
      <c r="AI448" s="9">
        <f>IFERROR(VLOOKUP($A448,pivot!$A:$I,計算式2026!AI$1,FALSE),0)</f>
        <v>0</v>
      </c>
      <c r="AJ448" s="9">
        <f>IFERROR(VLOOKUP($A448,pivot!$A:$I,計算式2026!AJ$1,FALSE),0)</f>
        <v>0</v>
      </c>
      <c r="AK448" s="9">
        <f>IFERROR(VLOOKUP($A448,pivot!$A:$I,計算式2026!AK$1,FALSE),0)</f>
        <v>0</v>
      </c>
      <c r="AL448" s="9">
        <f>IFERROR(VLOOKUP($A448,pivot!$A:$I,計算式2026!AL$1,FALSE),0)</f>
        <v>0</v>
      </c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</row>
    <row r="449" spans="1:59" s="9" customFormat="1">
      <c r="A449" s="8" t="s">
        <v>2020</v>
      </c>
      <c r="B449" s="8" t="s">
        <v>2019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R449" s="9">
        <v>0</v>
      </c>
      <c r="S449" s="9">
        <v>2</v>
      </c>
      <c r="T449" s="9">
        <v>1</v>
      </c>
      <c r="U449" s="9">
        <v>1</v>
      </c>
      <c r="V449" s="9">
        <v>2</v>
      </c>
      <c r="W449" s="9">
        <v>0</v>
      </c>
      <c r="X449" s="9">
        <v>1</v>
      </c>
      <c r="AE449" s="9">
        <f>IFERROR(VLOOKUP($A449,pivot!$A:$G,計算式2026!AE$1,FALSE),0)</f>
        <v>0</v>
      </c>
      <c r="AF449" s="9">
        <f>IFERROR(VLOOKUP($A449,pivot!$A:$I,計算式2026!AF$1,FALSE),0)</f>
        <v>0</v>
      </c>
      <c r="AI449" s="9">
        <f>IFERROR(VLOOKUP($A449,pivot!$A:$I,計算式2026!AI$1,FALSE),0)</f>
        <v>0</v>
      </c>
      <c r="AJ449" s="9">
        <f>IFERROR(VLOOKUP($A449,pivot!$A:$I,計算式2026!AJ$1,FALSE),0)</f>
        <v>0</v>
      </c>
      <c r="AK449" s="9">
        <f>IFERROR(VLOOKUP($A449,pivot!$A:$I,計算式2026!AK$1,FALSE),0)</f>
        <v>0</v>
      </c>
      <c r="AL449" s="9">
        <f>IFERROR(VLOOKUP($A449,pivot!$A:$I,計算式2026!AL$1,FALSE),0)</f>
        <v>0</v>
      </c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</row>
    <row r="450" spans="1:59" s="9" customFormat="1">
      <c r="A450" s="8" t="s">
        <v>2021</v>
      </c>
      <c r="B450" s="8" t="s">
        <v>2019</v>
      </c>
      <c r="C450" s="9">
        <v>0</v>
      </c>
      <c r="D450" s="9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R450" s="9">
        <v>1</v>
      </c>
      <c r="S450" s="9">
        <v>2</v>
      </c>
      <c r="T450" s="9">
        <v>0</v>
      </c>
      <c r="U450" s="9">
        <v>1</v>
      </c>
      <c r="V450" s="9">
        <v>2</v>
      </c>
      <c r="W450" s="9">
        <v>0</v>
      </c>
      <c r="X450" s="9">
        <v>2</v>
      </c>
      <c r="AE450" s="9">
        <f>IFERROR(VLOOKUP($A450,pivot!$A:$G,計算式2026!AE$1,FALSE),0)</f>
        <v>0</v>
      </c>
      <c r="AF450" s="9">
        <f>IFERROR(VLOOKUP($A450,pivot!$A:$I,計算式2026!AF$1,FALSE),0)</f>
        <v>0</v>
      </c>
      <c r="AI450" s="9">
        <f>IFERROR(VLOOKUP($A450,pivot!$A:$I,計算式2026!AI$1,FALSE),0)</f>
        <v>0</v>
      </c>
      <c r="AJ450" s="9">
        <f>IFERROR(VLOOKUP($A450,pivot!$A:$I,計算式2026!AJ$1,FALSE),0)</f>
        <v>0</v>
      </c>
      <c r="AK450" s="9">
        <f>IFERROR(VLOOKUP($A450,pivot!$A:$I,計算式2026!AK$1,FALSE),0)</f>
        <v>0</v>
      </c>
      <c r="AL450" s="9">
        <f>IFERROR(VLOOKUP($A450,pivot!$A:$I,計算式2026!AL$1,FALSE),0)</f>
        <v>0</v>
      </c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</row>
    <row r="451" spans="1:59" s="9" customFormat="1">
      <c r="A451" s="8" t="s">
        <v>2022</v>
      </c>
      <c r="B451" s="8" t="s">
        <v>2023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R451" s="9">
        <v>0</v>
      </c>
      <c r="S451" s="9">
        <v>0</v>
      </c>
      <c r="T451" s="9">
        <v>0</v>
      </c>
      <c r="U451" s="9">
        <v>1</v>
      </c>
      <c r="V451" s="9">
        <v>0</v>
      </c>
      <c r="W451" s="9">
        <v>0</v>
      </c>
      <c r="X451" s="9">
        <v>0</v>
      </c>
      <c r="AE451" s="9">
        <f>IFERROR(VLOOKUP($A451,pivot!$A:$G,計算式2026!AE$1,FALSE),0)</f>
        <v>0</v>
      </c>
      <c r="AF451" s="9">
        <f>IFERROR(VLOOKUP($A451,pivot!$A:$I,計算式2026!AF$1,FALSE),0)</f>
        <v>0</v>
      </c>
      <c r="AI451" s="9">
        <f>IFERROR(VLOOKUP($A451,pivot!$A:$I,計算式2026!AI$1,FALSE),0)</f>
        <v>0</v>
      </c>
      <c r="AJ451" s="9">
        <f>IFERROR(VLOOKUP($A451,pivot!$A:$I,計算式2026!AJ$1,FALSE),0)</f>
        <v>0</v>
      </c>
      <c r="AK451" s="9">
        <f>IFERROR(VLOOKUP($A451,pivot!$A:$I,計算式2026!AK$1,FALSE),0)</f>
        <v>0</v>
      </c>
      <c r="AL451" s="9">
        <f>IFERROR(VLOOKUP($A451,pivot!$A:$I,計算式2026!AL$1,FALSE),0)</f>
        <v>0</v>
      </c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</row>
    <row r="452" spans="1:59" s="9" customFormat="1">
      <c r="A452" s="8" t="s">
        <v>2024</v>
      </c>
      <c r="B452" s="8" t="s">
        <v>2023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R452" s="9">
        <v>2</v>
      </c>
      <c r="S452" s="9">
        <v>0</v>
      </c>
      <c r="T452" s="9">
        <v>0</v>
      </c>
      <c r="U452" s="9">
        <v>1</v>
      </c>
      <c r="V452" s="9">
        <v>2</v>
      </c>
      <c r="W452" s="9">
        <v>0</v>
      </c>
      <c r="X452" s="9">
        <v>2</v>
      </c>
      <c r="AE452" s="9">
        <f>IFERROR(VLOOKUP($A452,pivot!$A:$G,計算式2026!AE$1,FALSE),0)</f>
        <v>0</v>
      </c>
      <c r="AF452" s="9">
        <f>IFERROR(VLOOKUP($A452,pivot!$A:$I,計算式2026!AF$1,FALSE),0)</f>
        <v>0</v>
      </c>
      <c r="AI452" s="9">
        <f>IFERROR(VLOOKUP($A452,pivot!$A:$I,計算式2026!AI$1,FALSE),0)</f>
        <v>0</v>
      </c>
      <c r="AJ452" s="9">
        <f>IFERROR(VLOOKUP($A452,pivot!$A:$I,計算式2026!AJ$1,FALSE),0)</f>
        <v>0</v>
      </c>
      <c r="AK452" s="9">
        <f>IFERROR(VLOOKUP($A452,pivot!$A:$I,計算式2026!AK$1,FALSE),0)</f>
        <v>0</v>
      </c>
      <c r="AL452" s="9">
        <f>IFERROR(VLOOKUP($A452,pivot!$A:$I,計算式2026!AL$1,FALSE),0)</f>
        <v>0</v>
      </c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</row>
    <row r="453" spans="1:59" s="9" customFormat="1">
      <c r="A453" s="8" t="s">
        <v>2025</v>
      </c>
      <c r="B453" s="8" t="s">
        <v>2023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R453" s="9">
        <v>1</v>
      </c>
      <c r="S453" s="9">
        <v>2</v>
      </c>
      <c r="T453" s="9">
        <v>0</v>
      </c>
      <c r="U453" s="9">
        <v>1</v>
      </c>
      <c r="V453" s="9">
        <v>2</v>
      </c>
      <c r="W453" s="9">
        <v>0</v>
      </c>
      <c r="X453" s="9">
        <v>2</v>
      </c>
      <c r="AE453" s="9">
        <f>IFERROR(VLOOKUP($A453,pivot!$A:$G,計算式2026!AE$1,FALSE),0)</f>
        <v>0</v>
      </c>
      <c r="AF453" s="9">
        <f>IFERROR(VLOOKUP($A453,pivot!$A:$I,計算式2026!AF$1,FALSE),0)</f>
        <v>0</v>
      </c>
      <c r="AI453" s="9">
        <f>IFERROR(VLOOKUP($A453,pivot!$A:$I,計算式2026!AI$1,FALSE),0)</f>
        <v>0</v>
      </c>
      <c r="AJ453" s="9">
        <f>IFERROR(VLOOKUP($A453,pivot!$A:$I,計算式2026!AJ$1,FALSE),0)</f>
        <v>0</v>
      </c>
      <c r="AK453" s="9">
        <f>IFERROR(VLOOKUP($A453,pivot!$A:$I,計算式2026!AK$1,FALSE),0)</f>
        <v>0</v>
      </c>
      <c r="AL453" s="9">
        <f>IFERROR(VLOOKUP($A453,pivot!$A:$I,計算式2026!AL$1,FALSE),0)</f>
        <v>0</v>
      </c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</row>
    <row r="454" spans="1:59" s="9" customFormat="1">
      <c r="A454" s="8" t="s">
        <v>2026</v>
      </c>
      <c r="B454" s="8" t="s">
        <v>72</v>
      </c>
      <c r="C454" s="9">
        <v>2</v>
      </c>
      <c r="D454" s="9">
        <v>14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R454" s="9">
        <v>2</v>
      </c>
      <c r="S454" s="9">
        <v>3</v>
      </c>
      <c r="T454" s="9">
        <v>1</v>
      </c>
      <c r="U454" s="9">
        <v>2</v>
      </c>
      <c r="V454" s="9">
        <v>2</v>
      </c>
      <c r="W454" s="9">
        <v>0</v>
      </c>
      <c r="X454" s="9">
        <v>2</v>
      </c>
      <c r="AE454" s="9">
        <f>IFERROR(VLOOKUP($A454,pivot!$A:$G,計算式2026!AE$1,FALSE),0)</f>
        <v>0</v>
      </c>
      <c r="AF454" s="9">
        <f>IFERROR(VLOOKUP($A454,pivot!$A:$I,計算式2026!AF$1,FALSE),0)</f>
        <v>0</v>
      </c>
      <c r="AI454" s="9">
        <f>IFERROR(VLOOKUP($A454,pivot!$A:$I,計算式2026!AI$1,FALSE),0)</f>
        <v>0</v>
      </c>
      <c r="AJ454" s="9">
        <f>IFERROR(VLOOKUP($A454,pivot!$A:$I,計算式2026!AJ$1,FALSE),0)</f>
        <v>0</v>
      </c>
      <c r="AK454" s="9">
        <f>IFERROR(VLOOKUP($A454,pivot!$A:$I,計算式2026!AK$1,FALSE),0)</f>
        <v>0</v>
      </c>
      <c r="AL454" s="9">
        <f>IFERROR(VLOOKUP($A454,pivot!$A:$I,計算式2026!AL$1,FALSE),0)</f>
        <v>0</v>
      </c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</row>
    <row r="455" spans="1:59" s="9" customFormat="1">
      <c r="A455" s="8" t="s">
        <v>2027</v>
      </c>
      <c r="B455" s="8" t="s">
        <v>72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R455" s="9">
        <v>1</v>
      </c>
      <c r="S455" s="9">
        <v>1</v>
      </c>
      <c r="T455" s="9">
        <v>0</v>
      </c>
      <c r="U455" s="9">
        <v>1</v>
      </c>
      <c r="V455" s="9">
        <v>1</v>
      </c>
      <c r="W455" s="9">
        <v>0</v>
      </c>
      <c r="X455" s="9">
        <v>2</v>
      </c>
      <c r="AE455" s="9">
        <f>IFERROR(VLOOKUP($A455,pivot!$A:$G,計算式2026!AE$1,FALSE),0)</f>
        <v>0</v>
      </c>
      <c r="AF455" s="9">
        <f>IFERROR(VLOOKUP($A455,pivot!$A:$I,計算式2026!AF$1,FALSE),0)</f>
        <v>0</v>
      </c>
      <c r="AI455" s="9">
        <f>IFERROR(VLOOKUP($A455,pivot!$A:$I,計算式2026!AI$1,FALSE),0)</f>
        <v>0</v>
      </c>
      <c r="AJ455" s="9">
        <f>IFERROR(VLOOKUP($A455,pivot!$A:$I,計算式2026!AJ$1,FALSE),0)</f>
        <v>0</v>
      </c>
      <c r="AK455" s="9">
        <f>IFERROR(VLOOKUP($A455,pivot!$A:$I,計算式2026!AK$1,FALSE),0)</f>
        <v>0</v>
      </c>
      <c r="AL455" s="9">
        <f>IFERROR(VLOOKUP($A455,pivot!$A:$I,計算式2026!AL$1,FALSE),0)</f>
        <v>0</v>
      </c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</row>
    <row r="456" spans="1:59" s="9" customFormat="1">
      <c r="A456" s="8" t="s">
        <v>2028</v>
      </c>
      <c r="B456" s="8" t="s">
        <v>2029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R456" s="9">
        <v>1</v>
      </c>
      <c r="S456" s="9">
        <v>1</v>
      </c>
      <c r="T456" s="9">
        <v>0</v>
      </c>
      <c r="U456" s="9">
        <v>2</v>
      </c>
      <c r="V456" s="9">
        <v>1</v>
      </c>
      <c r="W456" s="9">
        <v>0</v>
      </c>
      <c r="X456" s="9">
        <v>2</v>
      </c>
      <c r="AE456" s="9">
        <f>IFERROR(VLOOKUP($A456,pivot!$A:$G,計算式2026!AE$1,FALSE),0)</f>
        <v>0</v>
      </c>
      <c r="AF456" s="9">
        <f>IFERROR(VLOOKUP($A456,pivot!$A:$I,計算式2026!AF$1,FALSE),0)</f>
        <v>0</v>
      </c>
      <c r="AI456" s="9">
        <f>IFERROR(VLOOKUP($A456,pivot!$A:$I,計算式2026!AI$1,FALSE),0)</f>
        <v>0</v>
      </c>
      <c r="AJ456" s="9">
        <f>IFERROR(VLOOKUP($A456,pivot!$A:$I,計算式2026!AJ$1,FALSE),0)</f>
        <v>0</v>
      </c>
      <c r="AK456" s="9">
        <f>IFERROR(VLOOKUP($A456,pivot!$A:$I,計算式2026!AK$1,FALSE),0)</f>
        <v>0</v>
      </c>
      <c r="AL456" s="9">
        <f>IFERROR(VLOOKUP($A456,pivot!$A:$I,計算式2026!AL$1,FALSE),0)</f>
        <v>0</v>
      </c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</row>
    <row r="457" spans="1:59" s="9" customFormat="1">
      <c r="A457" s="8" t="s">
        <v>2030</v>
      </c>
      <c r="B457" s="8" t="s">
        <v>2029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R457" s="9">
        <v>0</v>
      </c>
      <c r="S457" s="9">
        <v>1</v>
      </c>
      <c r="T457" s="9">
        <v>0</v>
      </c>
      <c r="U457" s="9">
        <v>0</v>
      </c>
      <c r="V457" s="9">
        <v>0</v>
      </c>
      <c r="W457" s="9">
        <v>0</v>
      </c>
      <c r="X457" s="9">
        <v>1</v>
      </c>
      <c r="AE457" s="9">
        <f>IFERROR(VLOOKUP($A457,pivot!$A:$G,計算式2026!AE$1,FALSE),0)</f>
        <v>0</v>
      </c>
      <c r="AF457" s="9">
        <f>IFERROR(VLOOKUP($A457,pivot!$A:$I,計算式2026!AF$1,FALSE),0)</f>
        <v>0</v>
      </c>
      <c r="AI457" s="9">
        <f>IFERROR(VLOOKUP($A457,pivot!$A:$I,計算式2026!AI$1,FALSE),0)</f>
        <v>0</v>
      </c>
      <c r="AJ457" s="9">
        <f>IFERROR(VLOOKUP($A457,pivot!$A:$I,計算式2026!AJ$1,FALSE),0)</f>
        <v>0</v>
      </c>
      <c r="AK457" s="9">
        <f>IFERROR(VLOOKUP($A457,pivot!$A:$I,計算式2026!AK$1,FALSE),0)</f>
        <v>0</v>
      </c>
      <c r="AL457" s="9">
        <f>IFERROR(VLOOKUP($A457,pivot!$A:$I,計算式2026!AL$1,FALSE),0)</f>
        <v>0</v>
      </c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</row>
    <row r="458" spans="1:59" s="9" customFormat="1">
      <c r="A458" s="8" t="s">
        <v>2031</v>
      </c>
      <c r="B458" s="8" t="s">
        <v>2032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R458" s="9">
        <v>4</v>
      </c>
      <c r="S458" s="9">
        <v>2</v>
      </c>
      <c r="T458" s="9">
        <v>1</v>
      </c>
      <c r="U458" s="9">
        <v>3</v>
      </c>
      <c r="V458" s="9">
        <v>1</v>
      </c>
      <c r="W458" s="9">
        <v>1</v>
      </c>
      <c r="X458" s="9">
        <v>0</v>
      </c>
      <c r="AE458" s="9">
        <f>IFERROR(VLOOKUP($A458,pivot!$A:$G,計算式2026!AE$1,FALSE),0)</f>
        <v>0</v>
      </c>
      <c r="AF458" s="9">
        <f>IFERROR(VLOOKUP($A458,pivot!$A:$I,計算式2026!AF$1,FALSE),0)</f>
        <v>0</v>
      </c>
      <c r="AI458" s="9">
        <f>IFERROR(VLOOKUP($A458,pivot!$A:$I,計算式2026!AI$1,FALSE),0)</f>
        <v>0</v>
      </c>
      <c r="AJ458" s="9">
        <f>IFERROR(VLOOKUP($A458,pivot!$A:$I,計算式2026!AJ$1,FALSE),0)</f>
        <v>0</v>
      </c>
      <c r="AK458" s="9">
        <f>IFERROR(VLOOKUP($A458,pivot!$A:$I,計算式2026!AK$1,FALSE),0)</f>
        <v>0</v>
      </c>
      <c r="AL458" s="9">
        <f>IFERROR(VLOOKUP($A458,pivot!$A:$I,計算式2026!AL$1,FALSE),0)</f>
        <v>0</v>
      </c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</row>
    <row r="459" spans="1:59" s="9" customFormat="1">
      <c r="A459" s="8" t="s">
        <v>2033</v>
      </c>
      <c r="B459" s="8" t="s">
        <v>2032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R459" s="9">
        <v>0</v>
      </c>
      <c r="S459" s="9">
        <v>0</v>
      </c>
      <c r="T459" s="9">
        <v>0</v>
      </c>
      <c r="U459" s="9">
        <v>1</v>
      </c>
      <c r="V459" s="9">
        <v>0</v>
      </c>
      <c r="W459" s="9">
        <v>0</v>
      </c>
      <c r="X459" s="9">
        <v>0</v>
      </c>
      <c r="AE459" s="9">
        <f>IFERROR(VLOOKUP($A459,pivot!$A:$G,計算式2026!AE$1,FALSE),0)</f>
        <v>0</v>
      </c>
      <c r="AF459" s="9">
        <f>IFERROR(VLOOKUP($A459,pivot!$A:$I,計算式2026!AF$1,FALSE),0)</f>
        <v>0</v>
      </c>
      <c r="AI459" s="9">
        <f>IFERROR(VLOOKUP($A459,pivot!$A:$I,計算式2026!AI$1,FALSE),0)</f>
        <v>1</v>
      </c>
      <c r="AJ459" s="9">
        <f>IFERROR(VLOOKUP($A459,pivot!$A:$I,計算式2026!AJ$1,FALSE),0)</f>
        <v>0</v>
      </c>
      <c r="AK459" s="9">
        <f>IFERROR(VLOOKUP($A459,pivot!$A:$I,計算式2026!AK$1,FALSE),0)</f>
        <v>0</v>
      </c>
      <c r="AL459" s="9">
        <f>IFERROR(VLOOKUP($A459,pivot!$A:$I,計算式2026!AL$1,FALSE),0)</f>
        <v>1</v>
      </c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</row>
    <row r="460" spans="1:59" s="9" customFormat="1">
      <c r="A460" s="8" t="s">
        <v>2034</v>
      </c>
      <c r="B460" s="8" t="s">
        <v>2035</v>
      </c>
      <c r="C460" s="9">
        <v>6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R460" s="9">
        <v>3</v>
      </c>
      <c r="S460" s="9">
        <v>4</v>
      </c>
      <c r="T460" s="9">
        <v>1</v>
      </c>
      <c r="U460" s="9">
        <v>4</v>
      </c>
      <c r="V460" s="9">
        <v>4</v>
      </c>
      <c r="W460" s="9">
        <v>1</v>
      </c>
      <c r="X460" s="9">
        <v>2</v>
      </c>
      <c r="AE460" s="9">
        <f>IFERROR(VLOOKUP($A460,pivot!$A:$G,計算式2026!AE$1,FALSE),0)</f>
        <v>0</v>
      </c>
      <c r="AF460" s="9">
        <f>IFERROR(VLOOKUP($A460,pivot!$A:$I,計算式2026!AF$1,FALSE),0)</f>
        <v>0</v>
      </c>
      <c r="AI460" s="9">
        <f>IFERROR(VLOOKUP($A460,pivot!$A:$I,計算式2026!AI$1,FALSE),0)</f>
        <v>0</v>
      </c>
      <c r="AJ460" s="9">
        <f>IFERROR(VLOOKUP($A460,pivot!$A:$I,計算式2026!AJ$1,FALSE),0)</f>
        <v>0</v>
      </c>
      <c r="AK460" s="9">
        <f>IFERROR(VLOOKUP($A460,pivot!$A:$I,計算式2026!AK$1,FALSE),0)</f>
        <v>0</v>
      </c>
      <c r="AL460" s="9">
        <f>IFERROR(VLOOKUP($A460,pivot!$A:$I,計算式2026!AL$1,FALSE),0)</f>
        <v>0</v>
      </c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</row>
    <row r="461" spans="1:59" s="9" customFormat="1">
      <c r="A461" s="8" t="s">
        <v>2036</v>
      </c>
      <c r="B461" s="8" t="s">
        <v>2035</v>
      </c>
      <c r="C461" s="9">
        <v>5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R461" s="9">
        <v>4</v>
      </c>
      <c r="S461" s="9">
        <v>4</v>
      </c>
      <c r="T461" s="9">
        <v>1</v>
      </c>
      <c r="U461" s="9">
        <v>4</v>
      </c>
      <c r="V461" s="9">
        <v>5</v>
      </c>
      <c r="W461" s="9">
        <v>1</v>
      </c>
      <c r="X461" s="9">
        <v>3</v>
      </c>
      <c r="AE461" s="9">
        <f>IFERROR(VLOOKUP($A461,pivot!$A:$G,計算式2026!AE$1,FALSE),0)</f>
        <v>0</v>
      </c>
      <c r="AF461" s="9">
        <f>IFERROR(VLOOKUP($A461,pivot!$A:$I,計算式2026!AF$1,FALSE),0)</f>
        <v>0</v>
      </c>
      <c r="AI461" s="9">
        <f>IFERROR(VLOOKUP($A461,pivot!$A:$I,計算式2026!AI$1,FALSE),0)</f>
        <v>0</v>
      </c>
      <c r="AJ461" s="9">
        <f>IFERROR(VLOOKUP($A461,pivot!$A:$I,計算式2026!AJ$1,FALSE),0)</f>
        <v>0</v>
      </c>
      <c r="AK461" s="9">
        <f>IFERROR(VLOOKUP($A461,pivot!$A:$I,計算式2026!AK$1,FALSE),0)</f>
        <v>0</v>
      </c>
      <c r="AL461" s="9">
        <f>IFERROR(VLOOKUP($A461,pivot!$A:$I,計算式2026!AL$1,FALSE),0)</f>
        <v>0</v>
      </c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</row>
    <row r="462" spans="1:59" s="9" customFormat="1">
      <c r="A462" s="8" t="s">
        <v>2037</v>
      </c>
      <c r="B462" s="8" t="s">
        <v>2035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R462" s="9">
        <v>4</v>
      </c>
      <c r="S462" s="9">
        <v>2</v>
      </c>
      <c r="T462" s="9">
        <v>1</v>
      </c>
      <c r="U462" s="9">
        <v>3</v>
      </c>
      <c r="V462" s="9">
        <v>2</v>
      </c>
      <c r="W462" s="9">
        <v>1</v>
      </c>
      <c r="X462" s="9">
        <v>2</v>
      </c>
      <c r="AE462" s="9">
        <f>IFERROR(VLOOKUP($A462,pivot!$A:$G,計算式2026!AE$1,FALSE),0)</f>
        <v>0</v>
      </c>
      <c r="AF462" s="9">
        <f>IFERROR(VLOOKUP($A462,pivot!$A:$I,計算式2026!AF$1,FALSE),0)</f>
        <v>0</v>
      </c>
      <c r="AI462" s="9">
        <f>IFERROR(VLOOKUP($A462,pivot!$A:$I,計算式2026!AI$1,FALSE),0)</f>
        <v>0</v>
      </c>
      <c r="AJ462" s="9">
        <f>IFERROR(VLOOKUP($A462,pivot!$A:$I,計算式2026!AJ$1,FALSE),0)</f>
        <v>0</v>
      </c>
      <c r="AK462" s="9">
        <f>IFERROR(VLOOKUP($A462,pivot!$A:$I,計算式2026!AK$1,FALSE),0)</f>
        <v>0</v>
      </c>
      <c r="AL462" s="9">
        <f>IFERROR(VLOOKUP($A462,pivot!$A:$I,計算式2026!AL$1,FALSE),0)</f>
        <v>-1</v>
      </c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</row>
    <row r="463" spans="1:59" s="9" customFormat="1">
      <c r="A463" s="8" t="s">
        <v>2648</v>
      </c>
      <c r="B463" s="8" t="s">
        <v>2735</v>
      </c>
      <c r="C463" s="9">
        <v>0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R463" s="9">
        <v>1</v>
      </c>
      <c r="S463" s="9">
        <v>0</v>
      </c>
      <c r="T463" s="9">
        <v>0</v>
      </c>
      <c r="U463" s="9">
        <v>4</v>
      </c>
      <c r="V463" s="9">
        <v>0</v>
      </c>
      <c r="W463" s="9">
        <v>0</v>
      </c>
      <c r="X463" s="9">
        <v>0</v>
      </c>
      <c r="AE463" s="9">
        <f>IFERROR(VLOOKUP($A463,pivot!$A:$G,計算式2026!AE$1,FALSE),0)</f>
        <v>0</v>
      </c>
      <c r="AF463" s="9">
        <f>IFERROR(VLOOKUP($A463,pivot!$A:$I,計算式2026!AF$1,FALSE),0)</f>
        <v>0</v>
      </c>
      <c r="AI463" s="9">
        <f>IFERROR(VLOOKUP($A463,pivot!$A:$I,計算式2026!AI$1,FALSE),0)</f>
        <v>0</v>
      </c>
      <c r="AJ463" s="9">
        <f>IFERROR(VLOOKUP($A463,pivot!$A:$I,計算式2026!AJ$1,FALSE),0)</f>
        <v>1</v>
      </c>
      <c r="AK463" s="9">
        <f>IFERROR(VLOOKUP($A463,pivot!$A:$I,計算式2026!AK$1,FALSE),0)</f>
        <v>0</v>
      </c>
      <c r="AL463" s="9">
        <f>IFERROR(VLOOKUP($A463,pivot!$A:$I,計算式2026!AL$1,FALSE),0)</f>
        <v>0</v>
      </c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</row>
    <row r="464" spans="1:59" s="9" customFormat="1">
      <c r="A464" s="8" t="s">
        <v>2666</v>
      </c>
      <c r="B464" s="8" t="s">
        <v>2735</v>
      </c>
      <c r="C464" s="9">
        <v>0</v>
      </c>
      <c r="D464" s="9">
        <v>97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R464" s="9">
        <v>7</v>
      </c>
      <c r="S464" s="9">
        <v>9</v>
      </c>
      <c r="T464" s="9">
        <v>5</v>
      </c>
      <c r="U464" s="9">
        <v>5</v>
      </c>
      <c r="V464" s="9">
        <v>8</v>
      </c>
      <c r="W464" s="9">
        <v>3</v>
      </c>
      <c r="X464" s="9">
        <v>9</v>
      </c>
      <c r="AE464" s="9">
        <f>IFERROR(VLOOKUP($A464,pivot!$A:$G,計算式2026!AE$1,FALSE),0)</f>
        <v>0</v>
      </c>
      <c r="AF464" s="9">
        <f>IFERROR(VLOOKUP($A464,pivot!$A:$I,計算式2026!AF$1,FALSE),0)</f>
        <v>0</v>
      </c>
      <c r="AI464" s="9">
        <f>IFERROR(VLOOKUP($A464,pivot!$A:$I,計算式2026!AI$1,FALSE),0)</f>
        <v>0</v>
      </c>
      <c r="AJ464" s="9">
        <f>IFERROR(VLOOKUP($A464,pivot!$A:$I,計算式2026!AJ$1,FALSE),0)</f>
        <v>0</v>
      </c>
      <c r="AK464" s="9">
        <f>IFERROR(VLOOKUP($A464,pivot!$A:$I,計算式2026!AK$1,FALSE),0)</f>
        <v>0</v>
      </c>
      <c r="AL464" s="9">
        <f>IFERROR(VLOOKUP($A464,pivot!$A:$I,計算式2026!AL$1,FALSE),0)</f>
        <v>0</v>
      </c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</row>
    <row r="465" spans="1:59" s="9" customFormat="1">
      <c r="A465" s="8" t="s">
        <v>2646</v>
      </c>
      <c r="B465" s="8" t="s">
        <v>2735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R465" s="9">
        <v>1</v>
      </c>
      <c r="S465" s="9">
        <v>6</v>
      </c>
      <c r="T465" s="9">
        <v>2</v>
      </c>
      <c r="U465" s="9">
        <v>5</v>
      </c>
      <c r="V465" s="9">
        <v>5</v>
      </c>
      <c r="W465" s="9">
        <v>1</v>
      </c>
      <c r="X465" s="9">
        <v>7</v>
      </c>
      <c r="AE465" s="9">
        <f>IFERROR(VLOOKUP($A465,pivot!$A:$G,計算式2026!AE$1,FALSE),0)</f>
        <v>0</v>
      </c>
      <c r="AF465" s="9">
        <f>IFERROR(VLOOKUP($A465,pivot!$A:$I,計算式2026!AF$1,FALSE),0)</f>
        <v>0</v>
      </c>
      <c r="AI465" s="9">
        <f>IFERROR(VLOOKUP($A465,pivot!$A:$I,計算式2026!AI$1,FALSE),0)</f>
        <v>0</v>
      </c>
      <c r="AJ465" s="9">
        <f>IFERROR(VLOOKUP($A465,pivot!$A:$I,計算式2026!AJ$1,FALSE),0)</f>
        <v>0</v>
      </c>
      <c r="AK465" s="9">
        <f>IFERROR(VLOOKUP($A465,pivot!$A:$I,計算式2026!AK$1,FALSE),0)</f>
        <v>0</v>
      </c>
      <c r="AL465" s="9">
        <f>IFERROR(VLOOKUP($A465,pivot!$A:$I,計算式2026!AL$1,FALSE),0)</f>
        <v>0</v>
      </c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</row>
    <row r="466" spans="1:59" s="9" customFormat="1">
      <c r="A466" s="8" t="s">
        <v>2736</v>
      </c>
      <c r="B466" s="8" t="s">
        <v>2735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R466" s="9">
        <v>3</v>
      </c>
      <c r="S466" s="9">
        <v>4</v>
      </c>
      <c r="T466" s="9">
        <v>2</v>
      </c>
      <c r="U466" s="9">
        <v>4</v>
      </c>
      <c r="V466" s="9">
        <v>3</v>
      </c>
      <c r="W466" s="9">
        <v>0</v>
      </c>
      <c r="X466" s="9">
        <v>3</v>
      </c>
      <c r="AE466" s="9">
        <f>IFERROR(VLOOKUP($A466,pivot!$A:$G,計算式2026!AE$1,FALSE),0)</f>
        <v>0</v>
      </c>
      <c r="AF466" s="9">
        <f>IFERROR(VLOOKUP($A466,pivot!$A:$I,計算式2026!AF$1,FALSE),0)</f>
        <v>0</v>
      </c>
      <c r="AI466" s="9">
        <f>IFERROR(VLOOKUP($A466,pivot!$A:$I,計算式2026!AI$1,FALSE),0)</f>
        <v>0</v>
      </c>
      <c r="AJ466" s="9">
        <f>IFERROR(VLOOKUP($A466,pivot!$A:$I,計算式2026!AJ$1,FALSE),0)</f>
        <v>0</v>
      </c>
      <c r="AK466" s="9">
        <f>IFERROR(VLOOKUP($A466,pivot!$A:$I,計算式2026!AK$1,FALSE),0)</f>
        <v>0</v>
      </c>
      <c r="AL466" s="9">
        <f>IFERROR(VLOOKUP($A466,pivot!$A:$I,計算式2026!AL$1,FALSE),0)</f>
        <v>0</v>
      </c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</row>
    <row r="467" spans="1:59" s="9" customFormat="1">
      <c r="A467" s="8" t="s">
        <v>2651</v>
      </c>
      <c r="B467" s="8" t="s">
        <v>2735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R467" s="9">
        <v>3</v>
      </c>
      <c r="S467" s="9">
        <v>0</v>
      </c>
      <c r="T467" s="9">
        <v>2</v>
      </c>
      <c r="U467" s="9">
        <v>2</v>
      </c>
      <c r="V467" s="9">
        <v>3</v>
      </c>
      <c r="W467" s="9">
        <v>0</v>
      </c>
      <c r="X467" s="9">
        <v>4</v>
      </c>
      <c r="AE467" s="9">
        <f>IFERROR(VLOOKUP($A467,pivot!$A:$G,計算式2026!AE$1,FALSE),0)</f>
        <v>0</v>
      </c>
      <c r="AF467" s="9">
        <f>IFERROR(VLOOKUP($A467,pivot!$A:$I,計算式2026!AF$1,FALSE),0)</f>
        <v>0</v>
      </c>
      <c r="AI467" s="9">
        <f>IFERROR(VLOOKUP($A467,pivot!$A:$I,計算式2026!AI$1,FALSE),0)</f>
        <v>0</v>
      </c>
      <c r="AJ467" s="9">
        <f>IFERROR(VLOOKUP($A467,pivot!$A:$I,計算式2026!AJ$1,FALSE),0)</f>
        <v>0</v>
      </c>
      <c r="AK467" s="9">
        <f>IFERROR(VLOOKUP($A467,pivot!$A:$I,計算式2026!AK$1,FALSE),0)</f>
        <v>0</v>
      </c>
      <c r="AL467" s="9">
        <f>IFERROR(VLOOKUP($A467,pivot!$A:$I,計算式2026!AL$1,FALSE),0)</f>
        <v>0</v>
      </c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</row>
    <row r="468" spans="1:59" s="9" customFormat="1">
      <c r="A468" s="8" t="s">
        <v>2657</v>
      </c>
      <c r="B468" s="8" t="s">
        <v>2735</v>
      </c>
      <c r="C468" s="9">
        <v>1</v>
      </c>
      <c r="D468" s="9">
        <v>80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R468" s="9">
        <v>6</v>
      </c>
      <c r="S468" s="9">
        <v>10</v>
      </c>
      <c r="T468" s="9">
        <v>3</v>
      </c>
      <c r="U468" s="9">
        <v>1</v>
      </c>
      <c r="V468" s="9">
        <v>8</v>
      </c>
      <c r="W468" s="9">
        <v>3</v>
      </c>
      <c r="X468" s="9">
        <v>9</v>
      </c>
      <c r="AE468" s="9">
        <f>IFERROR(VLOOKUP($A468,pivot!$A:$G,計算式2026!AE$1,FALSE),0)</f>
        <v>0</v>
      </c>
      <c r="AF468" s="9">
        <f>IFERROR(VLOOKUP($A468,pivot!$A:$I,計算式2026!AF$1,FALSE),0)</f>
        <v>0</v>
      </c>
      <c r="AI468" s="9">
        <f>IFERROR(VLOOKUP($A468,pivot!$A:$I,計算式2026!AI$1,FALSE),0)</f>
        <v>0</v>
      </c>
      <c r="AJ468" s="9">
        <f>IFERROR(VLOOKUP($A468,pivot!$A:$I,計算式2026!AJ$1,FALSE),0)</f>
        <v>1</v>
      </c>
      <c r="AK468" s="9">
        <f>IFERROR(VLOOKUP($A468,pivot!$A:$I,計算式2026!AK$1,FALSE),0)</f>
        <v>0</v>
      </c>
      <c r="AL468" s="9">
        <f>IFERROR(VLOOKUP($A468,pivot!$A:$I,計算式2026!AL$1,FALSE),0)</f>
        <v>1</v>
      </c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</row>
    <row r="469" spans="1:59" s="9" customFormat="1">
      <c r="A469" s="8" t="s">
        <v>2649</v>
      </c>
      <c r="B469" s="8" t="s">
        <v>2735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R469" s="9">
        <v>4</v>
      </c>
      <c r="S469" s="9">
        <v>5</v>
      </c>
      <c r="T469" s="9">
        <v>1</v>
      </c>
      <c r="U469" s="9">
        <v>3</v>
      </c>
      <c r="V469" s="9">
        <v>6</v>
      </c>
      <c r="W469" s="9">
        <v>2</v>
      </c>
      <c r="X469" s="9">
        <v>4</v>
      </c>
      <c r="AE469" s="9">
        <f>IFERROR(VLOOKUP($A469,pivot!$A:$G,計算式2026!AE$1,FALSE),0)</f>
        <v>0</v>
      </c>
      <c r="AF469" s="9">
        <f>IFERROR(VLOOKUP($A469,pivot!$A:$I,計算式2026!AF$1,FALSE),0)</f>
        <v>0</v>
      </c>
      <c r="AI469" s="9">
        <f>IFERROR(VLOOKUP($A469,pivot!$A:$I,計算式2026!AI$1,FALSE),0)</f>
        <v>2</v>
      </c>
      <c r="AJ469" s="9">
        <f>IFERROR(VLOOKUP($A469,pivot!$A:$I,計算式2026!AJ$1,FALSE),0)</f>
        <v>0</v>
      </c>
      <c r="AK469" s="9">
        <f>IFERROR(VLOOKUP($A469,pivot!$A:$I,計算式2026!AK$1,FALSE),0)</f>
        <v>0</v>
      </c>
      <c r="AL469" s="9">
        <f>IFERROR(VLOOKUP($A469,pivot!$A:$I,計算式2026!AL$1,FALSE),0)</f>
        <v>0</v>
      </c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</row>
    <row r="470" spans="1:59" s="9" customFormat="1">
      <c r="A470" s="8" t="s">
        <v>2652</v>
      </c>
      <c r="B470" s="8" t="s">
        <v>2735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R470" s="9">
        <v>3</v>
      </c>
      <c r="S470" s="9">
        <v>2</v>
      </c>
      <c r="T470" s="9">
        <v>0</v>
      </c>
      <c r="U470" s="9">
        <v>0</v>
      </c>
      <c r="V470" s="9">
        <v>1</v>
      </c>
      <c r="W470" s="9">
        <v>2</v>
      </c>
      <c r="X470" s="9">
        <v>2</v>
      </c>
      <c r="AE470" s="9">
        <f>IFERROR(VLOOKUP($A470,pivot!$A:$G,計算式2026!AE$1,FALSE),0)</f>
        <v>0</v>
      </c>
      <c r="AF470" s="9">
        <f>IFERROR(VLOOKUP($A470,pivot!$A:$I,計算式2026!AF$1,FALSE),0)</f>
        <v>0</v>
      </c>
      <c r="AI470" s="9">
        <f>IFERROR(VLOOKUP($A470,pivot!$A:$I,計算式2026!AI$1,FALSE),0)</f>
        <v>0</v>
      </c>
      <c r="AJ470" s="9">
        <f>IFERROR(VLOOKUP($A470,pivot!$A:$I,計算式2026!AJ$1,FALSE),0)</f>
        <v>1</v>
      </c>
      <c r="AK470" s="9">
        <f>IFERROR(VLOOKUP($A470,pivot!$A:$I,計算式2026!AK$1,FALSE),0)</f>
        <v>0</v>
      </c>
      <c r="AL470" s="9">
        <f>IFERROR(VLOOKUP($A470,pivot!$A:$I,計算式2026!AL$1,FALSE),0)</f>
        <v>0</v>
      </c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</row>
    <row r="471" spans="1:59" s="9" customFormat="1">
      <c r="A471" s="8" t="s">
        <v>1477</v>
      </c>
      <c r="B471" s="8" t="s">
        <v>244</v>
      </c>
      <c r="C471" s="9">
        <v>0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1</v>
      </c>
      <c r="AE471" s="9">
        <f>IFERROR(VLOOKUP($A471,pivot!$A:$G,計算式2026!AE$1,FALSE),0)</f>
        <v>0</v>
      </c>
      <c r="AF471" s="9">
        <f>IFERROR(VLOOKUP($A471,pivot!$A:$I,計算式2026!AF$1,FALSE),0)</f>
        <v>0</v>
      </c>
      <c r="AI471" s="9">
        <f>IFERROR(VLOOKUP($A471,pivot!$A:$I,計算式2026!AI$1,FALSE),0)</f>
        <v>0</v>
      </c>
      <c r="AJ471" s="9">
        <f>IFERROR(VLOOKUP($A471,pivot!$A:$I,計算式2026!AJ$1,FALSE),0)</f>
        <v>0</v>
      </c>
      <c r="AK471" s="9">
        <f>IFERROR(VLOOKUP($A471,pivot!$A:$I,計算式2026!AK$1,FALSE),0)</f>
        <v>0</v>
      </c>
      <c r="AL471" s="9">
        <f>IFERROR(VLOOKUP($A471,pivot!$A:$I,計算式2026!AL$1,FALSE),0)</f>
        <v>0</v>
      </c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</row>
    <row r="472" spans="1:59" s="9" customFormat="1">
      <c r="A472" s="8" t="s">
        <v>1570</v>
      </c>
      <c r="B472" s="8" t="s">
        <v>244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1</v>
      </c>
      <c r="AE472" s="9">
        <f>IFERROR(VLOOKUP($A472,pivot!$A:$G,計算式2026!AE$1,FALSE),0)</f>
        <v>0</v>
      </c>
      <c r="AF472" s="9">
        <f>IFERROR(VLOOKUP($A472,pivot!$A:$I,計算式2026!AF$1,FALSE),0)</f>
        <v>0</v>
      </c>
      <c r="AI472" s="9">
        <f>IFERROR(VLOOKUP($A472,pivot!$A:$I,計算式2026!AI$1,FALSE),0)</f>
        <v>0</v>
      </c>
      <c r="AJ472" s="9">
        <f>IFERROR(VLOOKUP($A472,pivot!$A:$I,計算式2026!AJ$1,FALSE),0)</f>
        <v>0</v>
      </c>
      <c r="AK472" s="9">
        <f>IFERROR(VLOOKUP($A472,pivot!$A:$I,計算式2026!AK$1,FALSE),0)</f>
        <v>0</v>
      </c>
      <c r="AL472" s="9">
        <f>IFERROR(VLOOKUP($A472,pivot!$A:$I,計算式2026!AL$1,FALSE),0)</f>
        <v>0</v>
      </c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</row>
    <row r="473" spans="1:59" s="9" customFormat="1">
      <c r="A473" s="8" t="s">
        <v>1571</v>
      </c>
      <c r="B473" s="8" t="s">
        <v>244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1</v>
      </c>
      <c r="AE473" s="9">
        <f>IFERROR(VLOOKUP($A473,pivot!$A:$G,計算式2026!AE$1,FALSE),0)</f>
        <v>0</v>
      </c>
      <c r="AF473" s="9">
        <f>IFERROR(VLOOKUP($A473,pivot!$A:$I,計算式2026!AF$1,FALSE),0)</f>
        <v>0</v>
      </c>
      <c r="AI473" s="9">
        <f>IFERROR(VLOOKUP($A473,pivot!$A:$I,計算式2026!AI$1,FALSE),0)</f>
        <v>0</v>
      </c>
      <c r="AJ473" s="9">
        <f>IFERROR(VLOOKUP($A473,pivot!$A:$I,計算式2026!AJ$1,FALSE),0)</f>
        <v>0</v>
      </c>
      <c r="AK473" s="9">
        <f>IFERROR(VLOOKUP($A473,pivot!$A:$I,計算式2026!AK$1,FALSE),0)</f>
        <v>0</v>
      </c>
      <c r="AL473" s="9">
        <f>IFERROR(VLOOKUP($A473,pivot!$A:$I,計算式2026!AL$1,FALSE),0)</f>
        <v>0</v>
      </c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</row>
    <row r="474" spans="1:59" s="9" customFormat="1">
      <c r="A474" s="8" t="s">
        <v>245</v>
      </c>
      <c r="B474" s="8" t="s">
        <v>244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1</v>
      </c>
      <c r="X474" s="9">
        <v>1</v>
      </c>
      <c r="AE474" s="9">
        <f>IFERROR(VLOOKUP($A474,pivot!$A:$G,計算式2026!AE$1,FALSE),0)</f>
        <v>0</v>
      </c>
      <c r="AF474" s="9">
        <f>IFERROR(VLOOKUP($A474,pivot!$A:$I,計算式2026!AF$1,FALSE),0)</f>
        <v>0</v>
      </c>
      <c r="AI474" s="9">
        <f>IFERROR(VLOOKUP($A474,pivot!$A:$I,計算式2026!AI$1,FALSE),0)</f>
        <v>0</v>
      </c>
      <c r="AJ474" s="9">
        <f>IFERROR(VLOOKUP($A474,pivot!$A:$I,計算式2026!AJ$1,FALSE),0)</f>
        <v>0</v>
      </c>
      <c r="AK474" s="9">
        <f>IFERROR(VLOOKUP($A474,pivot!$A:$I,計算式2026!AK$1,FALSE),0)</f>
        <v>0</v>
      </c>
      <c r="AL474" s="9">
        <f>IFERROR(VLOOKUP($A474,pivot!$A:$I,計算式2026!AL$1,FALSE),0)</f>
        <v>0</v>
      </c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</row>
    <row r="475" spans="1:59" s="9" customFormat="1">
      <c r="A475" s="8" t="s">
        <v>246</v>
      </c>
      <c r="B475" s="8" t="s">
        <v>247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R475" s="9">
        <v>0</v>
      </c>
      <c r="S475" s="9">
        <v>0</v>
      </c>
      <c r="T475" s="9">
        <v>1</v>
      </c>
      <c r="U475" s="9">
        <v>1</v>
      </c>
      <c r="V475" s="9">
        <v>0</v>
      </c>
      <c r="W475" s="9">
        <v>0</v>
      </c>
      <c r="X475" s="9">
        <v>3</v>
      </c>
      <c r="AE475" s="9">
        <f>IFERROR(VLOOKUP($A475,pivot!$A:$G,計算式2026!AE$1,FALSE),0)</f>
        <v>0</v>
      </c>
      <c r="AF475" s="9">
        <f>IFERROR(VLOOKUP($A475,pivot!$A:$I,計算式2026!AF$1,FALSE),0)</f>
        <v>0</v>
      </c>
      <c r="AI475" s="9">
        <f>IFERROR(VLOOKUP($A475,pivot!$A:$I,計算式2026!AI$1,FALSE),0)</f>
        <v>0</v>
      </c>
      <c r="AJ475" s="9">
        <f>IFERROR(VLOOKUP($A475,pivot!$A:$I,計算式2026!AJ$1,FALSE),0)</f>
        <v>0</v>
      </c>
      <c r="AK475" s="9">
        <f>IFERROR(VLOOKUP($A475,pivot!$A:$I,計算式2026!AK$1,FALSE),0)</f>
        <v>0</v>
      </c>
      <c r="AL475" s="9">
        <f>IFERROR(VLOOKUP($A475,pivot!$A:$I,計算式2026!AL$1,FALSE),0)</f>
        <v>0</v>
      </c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</row>
    <row r="476" spans="1:59" s="9" customFormat="1">
      <c r="A476" s="8" t="s">
        <v>1572</v>
      </c>
      <c r="B476" s="8" t="s">
        <v>247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1</v>
      </c>
      <c r="AE476" s="9">
        <f>IFERROR(VLOOKUP($A476,pivot!$A:$G,計算式2026!AE$1,FALSE),0)</f>
        <v>0</v>
      </c>
      <c r="AF476" s="9">
        <f>IFERROR(VLOOKUP($A476,pivot!$A:$I,計算式2026!AF$1,FALSE),0)</f>
        <v>0</v>
      </c>
      <c r="AI476" s="9">
        <f>IFERROR(VLOOKUP($A476,pivot!$A:$I,計算式2026!AI$1,FALSE),0)</f>
        <v>0</v>
      </c>
      <c r="AJ476" s="9">
        <f>IFERROR(VLOOKUP($A476,pivot!$A:$I,計算式2026!AJ$1,FALSE),0)</f>
        <v>0</v>
      </c>
      <c r="AK476" s="9">
        <f>IFERROR(VLOOKUP($A476,pivot!$A:$I,計算式2026!AK$1,FALSE),0)</f>
        <v>0</v>
      </c>
      <c r="AL476" s="9">
        <f>IFERROR(VLOOKUP($A476,pivot!$A:$I,計算式2026!AL$1,FALSE),0)</f>
        <v>0</v>
      </c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</row>
    <row r="477" spans="1:59" s="9" customFormat="1">
      <c r="A477" s="8" t="s">
        <v>1573</v>
      </c>
      <c r="B477" s="8" t="s">
        <v>247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R477" s="9">
        <v>0</v>
      </c>
      <c r="S477" s="9">
        <v>1</v>
      </c>
      <c r="T477" s="9">
        <v>0</v>
      </c>
      <c r="U477" s="9">
        <v>0</v>
      </c>
      <c r="V477" s="9">
        <v>0</v>
      </c>
      <c r="W477" s="9">
        <v>0</v>
      </c>
      <c r="X477" s="9">
        <v>1</v>
      </c>
      <c r="AE477" s="9">
        <f>IFERROR(VLOOKUP($A477,pivot!$A:$G,計算式2026!AE$1,FALSE),0)</f>
        <v>0</v>
      </c>
      <c r="AF477" s="9">
        <f>IFERROR(VLOOKUP($A477,pivot!$A:$I,計算式2026!AF$1,FALSE),0)</f>
        <v>0</v>
      </c>
      <c r="AI477" s="9">
        <f>IFERROR(VLOOKUP($A477,pivot!$A:$I,計算式2026!AI$1,FALSE),0)</f>
        <v>0</v>
      </c>
      <c r="AJ477" s="9">
        <f>IFERROR(VLOOKUP($A477,pivot!$A:$I,計算式2026!AJ$1,FALSE),0)</f>
        <v>0</v>
      </c>
      <c r="AK477" s="9">
        <f>IFERROR(VLOOKUP($A477,pivot!$A:$I,計算式2026!AK$1,FALSE),0)</f>
        <v>0</v>
      </c>
      <c r="AL477" s="9">
        <f>IFERROR(VLOOKUP($A477,pivot!$A:$I,計算式2026!AL$1,FALSE),0)</f>
        <v>0</v>
      </c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</row>
    <row r="478" spans="1:59" s="9" customFormat="1">
      <c r="A478" s="8" t="s">
        <v>248</v>
      </c>
      <c r="B478" s="8" t="s">
        <v>247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2</v>
      </c>
      <c r="AE478" s="9">
        <f>IFERROR(VLOOKUP($A478,pivot!$A:$G,計算式2026!AE$1,FALSE),0)</f>
        <v>0</v>
      </c>
      <c r="AF478" s="9">
        <f>IFERROR(VLOOKUP($A478,pivot!$A:$I,計算式2026!AF$1,FALSE),0)</f>
        <v>0</v>
      </c>
      <c r="AI478" s="9">
        <f>IFERROR(VLOOKUP($A478,pivot!$A:$I,計算式2026!AI$1,FALSE),0)</f>
        <v>0</v>
      </c>
      <c r="AJ478" s="9">
        <f>IFERROR(VLOOKUP($A478,pivot!$A:$I,計算式2026!AJ$1,FALSE),0)</f>
        <v>0</v>
      </c>
      <c r="AK478" s="9">
        <f>IFERROR(VLOOKUP($A478,pivot!$A:$I,計算式2026!AK$1,FALSE),0)</f>
        <v>0</v>
      </c>
      <c r="AL478" s="9">
        <f>IFERROR(VLOOKUP($A478,pivot!$A:$I,計算式2026!AL$1,FALSE),0)</f>
        <v>0</v>
      </c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</row>
    <row r="479" spans="1:59" s="9" customFormat="1">
      <c r="A479" s="8" t="s">
        <v>249</v>
      </c>
      <c r="B479" s="8" t="s">
        <v>247</v>
      </c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2</v>
      </c>
      <c r="AE479" s="9">
        <f>IFERROR(VLOOKUP($A479,pivot!$A:$G,計算式2026!AE$1,FALSE),0)</f>
        <v>0</v>
      </c>
      <c r="AF479" s="9">
        <f>IFERROR(VLOOKUP($A479,pivot!$A:$I,計算式2026!AF$1,FALSE),0)</f>
        <v>0</v>
      </c>
      <c r="AI479" s="9">
        <f>IFERROR(VLOOKUP($A479,pivot!$A:$I,計算式2026!AI$1,FALSE),0)</f>
        <v>0</v>
      </c>
      <c r="AJ479" s="9">
        <f>IFERROR(VLOOKUP($A479,pivot!$A:$I,計算式2026!AJ$1,FALSE),0)</f>
        <v>0</v>
      </c>
      <c r="AK479" s="9">
        <f>IFERROR(VLOOKUP($A479,pivot!$A:$I,計算式2026!AK$1,FALSE),0)</f>
        <v>0</v>
      </c>
      <c r="AL479" s="9">
        <f>IFERROR(VLOOKUP($A479,pivot!$A:$I,計算式2026!AL$1,FALSE),0)</f>
        <v>0</v>
      </c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</row>
    <row r="480" spans="1:59" s="9" customFormat="1">
      <c r="A480" s="8" t="s">
        <v>1574</v>
      </c>
      <c r="B480" s="8" t="s">
        <v>247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1</v>
      </c>
      <c r="W480" s="9">
        <v>0</v>
      </c>
      <c r="X480" s="9">
        <v>1</v>
      </c>
      <c r="AE480" s="9">
        <f>IFERROR(VLOOKUP($A480,pivot!$A:$G,計算式2026!AE$1,FALSE),0)</f>
        <v>0</v>
      </c>
      <c r="AF480" s="9">
        <f>IFERROR(VLOOKUP($A480,pivot!$A:$I,計算式2026!AF$1,FALSE),0)</f>
        <v>0</v>
      </c>
      <c r="AI480" s="9">
        <f>IFERROR(VLOOKUP($A480,pivot!$A:$I,計算式2026!AI$1,FALSE),0)</f>
        <v>0</v>
      </c>
      <c r="AJ480" s="9">
        <f>IFERROR(VLOOKUP($A480,pivot!$A:$I,計算式2026!AJ$1,FALSE),0)</f>
        <v>0</v>
      </c>
      <c r="AK480" s="9">
        <f>IFERROR(VLOOKUP($A480,pivot!$A:$I,計算式2026!AK$1,FALSE),0)</f>
        <v>0</v>
      </c>
      <c r="AL480" s="9">
        <f>IFERROR(VLOOKUP($A480,pivot!$A:$I,計算式2026!AL$1,FALSE),0)</f>
        <v>0</v>
      </c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</row>
    <row r="481" spans="1:59" s="9" customFormat="1">
      <c r="A481" s="8" t="s">
        <v>250</v>
      </c>
      <c r="B481" s="8" t="s">
        <v>247</v>
      </c>
      <c r="C481" s="9">
        <v>0</v>
      </c>
      <c r="D481" s="9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R481" s="9">
        <v>0</v>
      </c>
      <c r="S481" s="9">
        <v>2</v>
      </c>
      <c r="T481" s="9">
        <v>1</v>
      </c>
      <c r="U481" s="9">
        <v>2</v>
      </c>
      <c r="V481" s="9">
        <v>1</v>
      </c>
      <c r="W481" s="9">
        <v>0</v>
      </c>
      <c r="X481" s="9">
        <v>3</v>
      </c>
      <c r="AE481" s="9">
        <f>IFERROR(VLOOKUP($A481,pivot!$A:$G,計算式2026!AE$1,FALSE),0)</f>
        <v>0</v>
      </c>
      <c r="AF481" s="9">
        <f>IFERROR(VLOOKUP($A481,pivot!$A:$I,計算式2026!AF$1,FALSE),0)</f>
        <v>0</v>
      </c>
      <c r="AI481" s="9">
        <f>IFERROR(VLOOKUP($A481,pivot!$A:$I,計算式2026!AI$1,FALSE),0)</f>
        <v>0</v>
      </c>
      <c r="AJ481" s="9">
        <f>IFERROR(VLOOKUP($A481,pivot!$A:$I,計算式2026!AJ$1,FALSE),0)</f>
        <v>0</v>
      </c>
      <c r="AK481" s="9">
        <f>IFERROR(VLOOKUP($A481,pivot!$A:$I,計算式2026!AK$1,FALSE),0)</f>
        <v>0</v>
      </c>
      <c r="AL481" s="9">
        <f>IFERROR(VLOOKUP($A481,pivot!$A:$I,計算式2026!AL$1,FALSE),0)</f>
        <v>0</v>
      </c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</row>
    <row r="482" spans="1:59" s="9" customFormat="1">
      <c r="A482" s="8" t="s">
        <v>1575</v>
      </c>
      <c r="B482" s="8" t="s">
        <v>247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1</v>
      </c>
      <c r="AE482" s="9">
        <f>IFERROR(VLOOKUP($A482,pivot!$A:$G,計算式2026!AE$1,FALSE),0)</f>
        <v>0</v>
      </c>
      <c r="AF482" s="9">
        <f>IFERROR(VLOOKUP($A482,pivot!$A:$I,計算式2026!AF$1,FALSE),0)</f>
        <v>0</v>
      </c>
      <c r="AI482" s="9">
        <f>IFERROR(VLOOKUP($A482,pivot!$A:$I,計算式2026!AI$1,FALSE),0)</f>
        <v>0</v>
      </c>
      <c r="AJ482" s="9">
        <f>IFERROR(VLOOKUP($A482,pivot!$A:$I,計算式2026!AJ$1,FALSE),0)</f>
        <v>0</v>
      </c>
      <c r="AK482" s="9">
        <f>IFERROR(VLOOKUP($A482,pivot!$A:$I,計算式2026!AK$1,FALSE),0)</f>
        <v>0</v>
      </c>
      <c r="AL482" s="9">
        <f>IFERROR(VLOOKUP($A482,pivot!$A:$I,計算式2026!AL$1,FALSE),0)</f>
        <v>0</v>
      </c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</row>
    <row r="483" spans="1:59" s="9" customFormat="1">
      <c r="A483" s="8" t="s">
        <v>1576</v>
      </c>
      <c r="B483" s="8" t="s">
        <v>2038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1</v>
      </c>
      <c r="AE483" s="9">
        <f>IFERROR(VLOOKUP($A483,pivot!$A:$G,計算式2026!AE$1,FALSE),0)</f>
        <v>0</v>
      </c>
      <c r="AF483" s="9">
        <f>IFERROR(VLOOKUP($A483,pivot!$A:$I,計算式2026!AF$1,FALSE),0)</f>
        <v>0</v>
      </c>
      <c r="AI483" s="9">
        <f>IFERROR(VLOOKUP($A483,pivot!$A:$I,計算式2026!AI$1,FALSE),0)</f>
        <v>0</v>
      </c>
      <c r="AJ483" s="9">
        <f>IFERROR(VLOOKUP($A483,pivot!$A:$I,計算式2026!AJ$1,FALSE),0)</f>
        <v>0</v>
      </c>
      <c r="AK483" s="9">
        <f>IFERROR(VLOOKUP($A483,pivot!$A:$I,計算式2026!AK$1,FALSE),0)</f>
        <v>0</v>
      </c>
      <c r="AL483" s="9">
        <f>IFERROR(VLOOKUP($A483,pivot!$A:$I,計算式2026!AL$1,FALSE),0)</f>
        <v>0</v>
      </c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</row>
    <row r="484" spans="1:59" s="9" customFormat="1">
      <c r="A484" s="8" t="s">
        <v>1577</v>
      </c>
      <c r="B484" s="8" t="s">
        <v>2038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1</v>
      </c>
      <c r="AE484" s="9">
        <f>IFERROR(VLOOKUP($A484,pivot!$A:$G,計算式2026!AE$1,FALSE),0)</f>
        <v>0</v>
      </c>
      <c r="AF484" s="9">
        <f>IFERROR(VLOOKUP($A484,pivot!$A:$I,計算式2026!AF$1,FALSE),0)</f>
        <v>0</v>
      </c>
      <c r="AI484" s="9">
        <f>IFERROR(VLOOKUP($A484,pivot!$A:$I,計算式2026!AI$1,FALSE),0)</f>
        <v>0</v>
      </c>
      <c r="AJ484" s="9">
        <f>IFERROR(VLOOKUP($A484,pivot!$A:$I,計算式2026!AJ$1,FALSE),0)</f>
        <v>0</v>
      </c>
      <c r="AK484" s="9">
        <f>IFERROR(VLOOKUP($A484,pivot!$A:$I,計算式2026!AK$1,FALSE),0)</f>
        <v>0</v>
      </c>
      <c r="AL484" s="9">
        <f>IFERROR(VLOOKUP($A484,pivot!$A:$I,計算式2026!AL$1,FALSE),0)</f>
        <v>0</v>
      </c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</row>
    <row r="485" spans="1:59" s="9" customFormat="1">
      <c r="A485" s="8" t="s">
        <v>252</v>
      </c>
      <c r="B485" s="8" t="s">
        <v>251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1</v>
      </c>
      <c r="AE485" s="9">
        <f>IFERROR(VLOOKUP($A485,pivot!$A:$G,計算式2026!AE$1,FALSE),0)</f>
        <v>0</v>
      </c>
      <c r="AF485" s="9">
        <f>IFERROR(VLOOKUP($A485,pivot!$A:$I,計算式2026!AF$1,FALSE),0)</f>
        <v>0</v>
      </c>
      <c r="AI485" s="9">
        <f>IFERROR(VLOOKUP($A485,pivot!$A:$I,計算式2026!AI$1,FALSE),0)</f>
        <v>0</v>
      </c>
      <c r="AJ485" s="9">
        <f>IFERROR(VLOOKUP($A485,pivot!$A:$I,計算式2026!AJ$1,FALSE),0)</f>
        <v>0</v>
      </c>
      <c r="AK485" s="9">
        <f>IFERROR(VLOOKUP($A485,pivot!$A:$I,計算式2026!AK$1,FALSE),0)</f>
        <v>0</v>
      </c>
      <c r="AL485" s="9">
        <f>IFERROR(VLOOKUP($A485,pivot!$A:$I,計算式2026!AL$1,FALSE),0)</f>
        <v>0</v>
      </c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</row>
    <row r="486" spans="1:59" s="9" customFormat="1">
      <c r="A486" s="8" t="s">
        <v>2039</v>
      </c>
      <c r="B486" s="8" t="s">
        <v>251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1</v>
      </c>
      <c r="AE486" s="9">
        <f>IFERROR(VLOOKUP($A486,pivot!$A:$G,計算式2026!AE$1,FALSE),0)</f>
        <v>0</v>
      </c>
      <c r="AF486" s="9">
        <f>IFERROR(VLOOKUP($A486,pivot!$A:$I,計算式2026!AF$1,FALSE),0)</f>
        <v>0</v>
      </c>
      <c r="AI486" s="9">
        <f>IFERROR(VLOOKUP($A486,pivot!$A:$I,計算式2026!AI$1,FALSE),0)</f>
        <v>0</v>
      </c>
      <c r="AJ486" s="9">
        <f>IFERROR(VLOOKUP($A486,pivot!$A:$I,計算式2026!AJ$1,FALSE),0)</f>
        <v>0</v>
      </c>
      <c r="AK486" s="9">
        <f>IFERROR(VLOOKUP($A486,pivot!$A:$I,計算式2026!AK$1,FALSE),0)</f>
        <v>0</v>
      </c>
      <c r="AL486" s="9">
        <f>IFERROR(VLOOKUP($A486,pivot!$A:$I,計算式2026!AL$1,FALSE),0)</f>
        <v>0</v>
      </c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</row>
    <row r="487" spans="1:59" s="9" customFormat="1">
      <c r="A487" s="8" t="s">
        <v>2737</v>
      </c>
      <c r="B487" s="8" t="s">
        <v>251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1</v>
      </c>
      <c r="AE487" s="9">
        <f>IFERROR(VLOOKUP($A487,pivot!$A:$G,計算式2026!AE$1,FALSE),0)</f>
        <v>0</v>
      </c>
      <c r="AF487" s="9">
        <f>IFERROR(VLOOKUP($A487,pivot!$A:$I,計算式2026!AF$1,FALSE),0)</f>
        <v>0</v>
      </c>
      <c r="AI487" s="9">
        <f>IFERROR(VLOOKUP($A487,pivot!$A:$I,計算式2026!AI$1,FALSE),0)</f>
        <v>0</v>
      </c>
      <c r="AJ487" s="9">
        <f>IFERROR(VLOOKUP($A487,pivot!$A:$I,計算式2026!AJ$1,FALSE),0)</f>
        <v>0</v>
      </c>
      <c r="AK487" s="9">
        <f>IFERROR(VLOOKUP($A487,pivot!$A:$I,計算式2026!AK$1,FALSE),0)</f>
        <v>0</v>
      </c>
      <c r="AL487" s="9">
        <f>IFERROR(VLOOKUP($A487,pivot!$A:$I,計算式2026!AL$1,FALSE),0)</f>
        <v>0</v>
      </c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</row>
    <row r="488" spans="1:59" s="9" customFormat="1">
      <c r="A488" s="8" t="s">
        <v>253</v>
      </c>
      <c r="B488" s="8" t="s">
        <v>251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1</v>
      </c>
      <c r="AE488" s="9">
        <f>IFERROR(VLOOKUP($A488,pivot!$A:$G,計算式2026!AE$1,FALSE),0)</f>
        <v>0</v>
      </c>
      <c r="AF488" s="9">
        <f>IFERROR(VLOOKUP($A488,pivot!$A:$I,計算式2026!AF$1,FALSE),0)</f>
        <v>0</v>
      </c>
      <c r="AI488" s="9">
        <f>IFERROR(VLOOKUP($A488,pivot!$A:$I,計算式2026!AI$1,FALSE),0)</f>
        <v>0</v>
      </c>
      <c r="AJ488" s="9">
        <f>IFERROR(VLOOKUP($A488,pivot!$A:$I,計算式2026!AJ$1,FALSE),0)</f>
        <v>0</v>
      </c>
      <c r="AK488" s="9">
        <f>IFERROR(VLOOKUP($A488,pivot!$A:$I,計算式2026!AK$1,FALSE),0)</f>
        <v>0</v>
      </c>
      <c r="AL488" s="9">
        <f>IFERROR(VLOOKUP($A488,pivot!$A:$I,計算式2026!AL$1,FALSE),0)</f>
        <v>0</v>
      </c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</row>
    <row r="489" spans="1:59" s="9" customFormat="1">
      <c r="A489" s="8" t="s">
        <v>254</v>
      </c>
      <c r="B489" s="8" t="s">
        <v>251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1</v>
      </c>
      <c r="W489" s="9">
        <v>0</v>
      </c>
      <c r="X489" s="9">
        <v>1</v>
      </c>
      <c r="AE489" s="9">
        <f>IFERROR(VLOOKUP($A489,pivot!$A:$G,計算式2026!AE$1,FALSE),0)</f>
        <v>0</v>
      </c>
      <c r="AF489" s="9">
        <f>IFERROR(VLOOKUP($A489,pivot!$A:$I,計算式2026!AF$1,FALSE),0)</f>
        <v>0</v>
      </c>
      <c r="AI489" s="9">
        <f>IFERROR(VLOOKUP($A489,pivot!$A:$I,計算式2026!AI$1,FALSE),0)</f>
        <v>0</v>
      </c>
      <c r="AJ489" s="9">
        <f>IFERROR(VLOOKUP($A489,pivot!$A:$I,計算式2026!AJ$1,FALSE),0)</f>
        <v>0</v>
      </c>
      <c r="AK489" s="9">
        <f>IFERROR(VLOOKUP($A489,pivot!$A:$I,計算式2026!AK$1,FALSE),0)</f>
        <v>0</v>
      </c>
      <c r="AL489" s="9">
        <f>IFERROR(VLOOKUP($A489,pivot!$A:$I,計算式2026!AL$1,FALSE),0)</f>
        <v>0</v>
      </c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</row>
    <row r="490" spans="1:59" s="9" customFormat="1">
      <c r="A490" s="8" t="s">
        <v>255</v>
      </c>
      <c r="B490" s="8" t="s">
        <v>251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R490" s="9">
        <v>0</v>
      </c>
      <c r="S490" s="9">
        <v>0</v>
      </c>
      <c r="T490" s="9">
        <v>1</v>
      </c>
      <c r="U490" s="9">
        <v>0</v>
      </c>
      <c r="V490" s="9">
        <v>0</v>
      </c>
      <c r="W490" s="9">
        <v>0</v>
      </c>
      <c r="X490" s="9">
        <v>1</v>
      </c>
      <c r="AE490" s="9">
        <f>IFERROR(VLOOKUP($A490,pivot!$A:$G,計算式2026!AE$1,FALSE),0)</f>
        <v>0</v>
      </c>
      <c r="AF490" s="9">
        <f>IFERROR(VLOOKUP($A490,pivot!$A:$I,計算式2026!AF$1,FALSE),0)</f>
        <v>0</v>
      </c>
      <c r="AI490" s="9">
        <f>IFERROR(VLOOKUP($A490,pivot!$A:$I,計算式2026!AI$1,FALSE),0)</f>
        <v>0</v>
      </c>
      <c r="AJ490" s="9">
        <f>IFERROR(VLOOKUP($A490,pivot!$A:$I,計算式2026!AJ$1,FALSE),0)</f>
        <v>0</v>
      </c>
      <c r="AK490" s="9">
        <f>IFERROR(VLOOKUP($A490,pivot!$A:$I,計算式2026!AK$1,FALSE),0)</f>
        <v>0</v>
      </c>
      <c r="AL490" s="9">
        <f>IFERROR(VLOOKUP($A490,pivot!$A:$I,計算式2026!AL$1,FALSE),0)</f>
        <v>0</v>
      </c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</row>
    <row r="491" spans="1:59" s="9" customFormat="1">
      <c r="A491" s="8" t="s">
        <v>256</v>
      </c>
      <c r="B491" s="8" t="s">
        <v>251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1</v>
      </c>
      <c r="AE491" s="9">
        <f>IFERROR(VLOOKUP($A491,pivot!$A:$G,計算式2026!AE$1,FALSE),0)</f>
        <v>0</v>
      </c>
      <c r="AF491" s="9">
        <f>IFERROR(VLOOKUP($A491,pivot!$A:$I,計算式2026!AF$1,FALSE),0)</f>
        <v>0</v>
      </c>
      <c r="AI491" s="9">
        <f>IFERROR(VLOOKUP($A491,pivot!$A:$I,計算式2026!AI$1,FALSE),0)</f>
        <v>0</v>
      </c>
      <c r="AJ491" s="9">
        <f>IFERROR(VLOOKUP($A491,pivot!$A:$I,計算式2026!AJ$1,FALSE),0)</f>
        <v>0</v>
      </c>
      <c r="AK491" s="9">
        <f>IFERROR(VLOOKUP($A491,pivot!$A:$I,計算式2026!AK$1,FALSE),0)</f>
        <v>0</v>
      </c>
      <c r="AL491" s="9">
        <f>IFERROR(VLOOKUP($A491,pivot!$A:$I,計算式2026!AL$1,FALSE),0)</f>
        <v>0</v>
      </c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</row>
    <row r="492" spans="1:59" s="9" customFormat="1">
      <c r="A492" s="8" t="s">
        <v>257</v>
      </c>
      <c r="B492" s="8" t="s">
        <v>251</v>
      </c>
      <c r="C492" s="9">
        <v>9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R492" s="9">
        <v>0</v>
      </c>
      <c r="S492" s="9">
        <v>0</v>
      </c>
      <c r="T492" s="9">
        <v>1</v>
      </c>
      <c r="U492" s="9">
        <v>0</v>
      </c>
      <c r="V492" s="9">
        <v>1</v>
      </c>
      <c r="W492" s="9">
        <v>1</v>
      </c>
      <c r="X492" s="9">
        <v>1</v>
      </c>
      <c r="AE492" s="9">
        <f>IFERROR(VLOOKUP($A492,pivot!$A:$G,計算式2026!AE$1,FALSE),0)</f>
        <v>0</v>
      </c>
      <c r="AF492" s="9">
        <f>IFERROR(VLOOKUP($A492,pivot!$A:$I,計算式2026!AF$1,FALSE),0)</f>
        <v>0</v>
      </c>
      <c r="AI492" s="9">
        <f>IFERROR(VLOOKUP($A492,pivot!$A:$I,計算式2026!AI$1,FALSE),0)</f>
        <v>0</v>
      </c>
      <c r="AJ492" s="9">
        <f>IFERROR(VLOOKUP($A492,pivot!$A:$I,計算式2026!AJ$1,FALSE),0)</f>
        <v>0</v>
      </c>
      <c r="AK492" s="9">
        <f>IFERROR(VLOOKUP($A492,pivot!$A:$I,計算式2026!AK$1,FALSE),0)</f>
        <v>0</v>
      </c>
      <c r="AL492" s="9">
        <f>IFERROR(VLOOKUP($A492,pivot!$A:$I,計算式2026!AL$1,FALSE),0)</f>
        <v>0</v>
      </c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</row>
    <row r="493" spans="1:59" s="9" customFormat="1">
      <c r="A493" s="8" t="s">
        <v>258</v>
      </c>
      <c r="B493" s="8" t="s">
        <v>251</v>
      </c>
      <c r="C493" s="9">
        <v>0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1</v>
      </c>
      <c r="W493" s="9">
        <v>0</v>
      </c>
      <c r="X493" s="9">
        <v>0</v>
      </c>
      <c r="AE493" s="9">
        <f>IFERROR(VLOOKUP($A493,pivot!$A:$G,計算式2026!AE$1,FALSE),0)</f>
        <v>0</v>
      </c>
      <c r="AF493" s="9">
        <f>IFERROR(VLOOKUP($A493,pivot!$A:$I,計算式2026!AF$1,FALSE),0)</f>
        <v>0</v>
      </c>
      <c r="AI493" s="9">
        <f>IFERROR(VLOOKUP($A493,pivot!$A:$I,計算式2026!AI$1,FALSE),0)</f>
        <v>0</v>
      </c>
      <c r="AJ493" s="9">
        <f>IFERROR(VLOOKUP($A493,pivot!$A:$I,計算式2026!AJ$1,FALSE),0)</f>
        <v>0</v>
      </c>
      <c r="AK493" s="9">
        <f>IFERROR(VLOOKUP($A493,pivot!$A:$I,計算式2026!AK$1,FALSE),0)</f>
        <v>0</v>
      </c>
      <c r="AL493" s="9">
        <f>IFERROR(VLOOKUP($A493,pivot!$A:$I,計算式2026!AL$1,FALSE),0)</f>
        <v>0</v>
      </c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</row>
    <row r="494" spans="1:59" s="9" customFormat="1">
      <c r="A494" s="8" t="s">
        <v>259</v>
      </c>
      <c r="B494" s="8" t="s">
        <v>251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R494" s="9">
        <v>0</v>
      </c>
      <c r="S494" s="9">
        <v>0</v>
      </c>
      <c r="T494" s="9">
        <v>1</v>
      </c>
      <c r="U494" s="9">
        <v>0</v>
      </c>
      <c r="V494" s="9">
        <v>0</v>
      </c>
      <c r="W494" s="9">
        <v>0</v>
      </c>
      <c r="X494" s="9">
        <v>1</v>
      </c>
      <c r="AE494" s="9">
        <f>IFERROR(VLOOKUP($A494,pivot!$A:$G,計算式2026!AE$1,FALSE),0)</f>
        <v>0</v>
      </c>
      <c r="AF494" s="9">
        <f>IFERROR(VLOOKUP($A494,pivot!$A:$I,計算式2026!AF$1,FALSE),0)</f>
        <v>0</v>
      </c>
      <c r="AI494" s="9">
        <f>IFERROR(VLOOKUP($A494,pivot!$A:$I,計算式2026!AI$1,FALSE),0)</f>
        <v>0</v>
      </c>
      <c r="AJ494" s="9">
        <f>IFERROR(VLOOKUP($A494,pivot!$A:$I,計算式2026!AJ$1,FALSE),0)</f>
        <v>0</v>
      </c>
      <c r="AK494" s="9">
        <f>IFERROR(VLOOKUP($A494,pivot!$A:$I,計算式2026!AK$1,FALSE),0)</f>
        <v>0</v>
      </c>
      <c r="AL494" s="9">
        <f>IFERROR(VLOOKUP($A494,pivot!$A:$I,計算式2026!AL$1,FALSE),0)</f>
        <v>0</v>
      </c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</row>
    <row r="495" spans="1:59" s="9" customFormat="1">
      <c r="A495" s="8" t="s">
        <v>260</v>
      </c>
      <c r="B495" s="8" t="s">
        <v>261</v>
      </c>
      <c r="C495" s="9">
        <v>1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R495" s="9">
        <v>0</v>
      </c>
      <c r="S495" s="9">
        <v>0</v>
      </c>
      <c r="T495" s="9">
        <v>1</v>
      </c>
      <c r="U495" s="9">
        <v>0</v>
      </c>
      <c r="V495" s="9">
        <v>0</v>
      </c>
      <c r="W495" s="9">
        <v>1</v>
      </c>
      <c r="X495" s="9">
        <v>2</v>
      </c>
      <c r="AE495" s="9">
        <f>IFERROR(VLOOKUP($A495,pivot!$A:$G,計算式2026!AE$1,FALSE),0)</f>
        <v>0</v>
      </c>
      <c r="AF495" s="9">
        <f>IFERROR(VLOOKUP($A495,pivot!$A:$I,計算式2026!AF$1,FALSE),0)</f>
        <v>0</v>
      </c>
      <c r="AI495" s="9">
        <f>IFERROR(VLOOKUP($A495,pivot!$A:$I,計算式2026!AI$1,FALSE),0)</f>
        <v>0</v>
      </c>
      <c r="AJ495" s="9">
        <f>IFERROR(VLOOKUP($A495,pivot!$A:$I,計算式2026!AJ$1,FALSE),0)</f>
        <v>0</v>
      </c>
      <c r="AK495" s="9">
        <f>IFERROR(VLOOKUP($A495,pivot!$A:$I,計算式2026!AK$1,FALSE),0)</f>
        <v>0</v>
      </c>
      <c r="AL495" s="9">
        <f>IFERROR(VLOOKUP($A495,pivot!$A:$I,計算式2026!AL$1,FALSE),0)</f>
        <v>0</v>
      </c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</row>
    <row r="496" spans="1:59" s="9" customFormat="1">
      <c r="A496" s="8" t="s">
        <v>262</v>
      </c>
      <c r="B496" s="8" t="s">
        <v>261</v>
      </c>
      <c r="C496" s="9">
        <v>16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R496" s="9">
        <v>0</v>
      </c>
      <c r="S496" s="9">
        <v>0</v>
      </c>
      <c r="T496" s="9">
        <v>1</v>
      </c>
      <c r="U496" s="9">
        <v>0</v>
      </c>
      <c r="V496" s="9">
        <v>0</v>
      </c>
      <c r="W496" s="9">
        <v>1</v>
      </c>
      <c r="X496" s="9">
        <v>2</v>
      </c>
      <c r="AE496" s="9">
        <f>IFERROR(VLOOKUP($A496,pivot!$A:$G,計算式2026!AE$1,FALSE),0)</f>
        <v>0</v>
      </c>
      <c r="AF496" s="9">
        <f>IFERROR(VLOOKUP($A496,pivot!$A:$I,計算式2026!AF$1,FALSE),0)</f>
        <v>0</v>
      </c>
      <c r="AI496" s="9">
        <f>IFERROR(VLOOKUP($A496,pivot!$A:$I,計算式2026!AI$1,FALSE),0)</f>
        <v>0</v>
      </c>
      <c r="AJ496" s="9">
        <f>IFERROR(VLOOKUP($A496,pivot!$A:$I,計算式2026!AJ$1,FALSE),0)</f>
        <v>0</v>
      </c>
      <c r="AK496" s="9">
        <f>IFERROR(VLOOKUP($A496,pivot!$A:$I,計算式2026!AK$1,FALSE),0)</f>
        <v>0</v>
      </c>
      <c r="AL496" s="9">
        <f>IFERROR(VLOOKUP($A496,pivot!$A:$I,計算式2026!AL$1,FALSE),0)</f>
        <v>0</v>
      </c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</row>
    <row r="497" spans="1:59" s="9" customFormat="1">
      <c r="A497" s="8" t="s">
        <v>263</v>
      </c>
      <c r="B497" s="8" t="s">
        <v>261</v>
      </c>
      <c r="C497" s="9">
        <v>39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R497" s="9">
        <v>0</v>
      </c>
      <c r="S497" s="9">
        <v>0</v>
      </c>
      <c r="T497" s="9">
        <v>1</v>
      </c>
      <c r="U497" s="9">
        <v>0</v>
      </c>
      <c r="V497" s="9">
        <v>0</v>
      </c>
      <c r="W497" s="9">
        <v>2</v>
      </c>
      <c r="X497" s="9">
        <v>2</v>
      </c>
      <c r="AE497" s="9">
        <f>IFERROR(VLOOKUP($A497,pivot!$A:$G,計算式2026!AE$1,FALSE),0)</f>
        <v>0</v>
      </c>
      <c r="AF497" s="9">
        <f>IFERROR(VLOOKUP($A497,pivot!$A:$I,計算式2026!AF$1,FALSE),0)</f>
        <v>0</v>
      </c>
      <c r="AI497" s="9">
        <f>IFERROR(VLOOKUP($A497,pivot!$A:$I,計算式2026!AI$1,FALSE),0)</f>
        <v>0</v>
      </c>
      <c r="AJ497" s="9">
        <f>IFERROR(VLOOKUP($A497,pivot!$A:$I,計算式2026!AJ$1,FALSE),0)</f>
        <v>0</v>
      </c>
      <c r="AK497" s="9">
        <f>IFERROR(VLOOKUP($A497,pivot!$A:$I,計算式2026!AK$1,FALSE),0)</f>
        <v>0</v>
      </c>
      <c r="AL497" s="9">
        <f>IFERROR(VLOOKUP($A497,pivot!$A:$I,計算式2026!AL$1,FALSE),0)</f>
        <v>0</v>
      </c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</row>
    <row r="498" spans="1:59" s="9" customFormat="1">
      <c r="A498" s="8" t="s">
        <v>264</v>
      </c>
      <c r="B498" s="8" t="s">
        <v>261</v>
      </c>
      <c r="C498" s="9">
        <v>16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R498" s="9">
        <v>0</v>
      </c>
      <c r="S498" s="9">
        <v>0</v>
      </c>
      <c r="T498" s="9">
        <v>1</v>
      </c>
      <c r="U498" s="9">
        <v>0</v>
      </c>
      <c r="V498" s="9">
        <v>0</v>
      </c>
      <c r="W498" s="9">
        <v>1</v>
      </c>
      <c r="X498" s="9">
        <v>2</v>
      </c>
      <c r="AE498" s="9">
        <f>IFERROR(VLOOKUP($A498,pivot!$A:$G,計算式2026!AE$1,FALSE),0)</f>
        <v>0</v>
      </c>
      <c r="AF498" s="9">
        <f>IFERROR(VLOOKUP($A498,pivot!$A:$I,計算式2026!AF$1,FALSE),0)</f>
        <v>0</v>
      </c>
      <c r="AI498" s="9">
        <f>IFERROR(VLOOKUP($A498,pivot!$A:$I,計算式2026!AI$1,FALSE),0)</f>
        <v>0</v>
      </c>
      <c r="AJ498" s="9">
        <f>IFERROR(VLOOKUP($A498,pivot!$A:$I,計算式2026!AJ$1,FALSE),0)</f>
        <v>0</v>
      </c>
      <c r="AK498" s="9">
        <f>IFERROR(VLOOKUP($A498,pivot!$A:$I,計算式2026!AK$1,FALSE),0)</f>
        <v>0</v>
      </c>
      <c r="AL498" s="9">
        <f>IFERROR(VLOOKUP($A498,pivot!$A:$I,計算式2026!AL$1,FALSE),0)</f>
        <v>0</v>
      </c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</row>
    <row r="499" spans="1:59" s="9" customFormat="1">
      <c r="A499" s="8" t="s">
        <v>265</v>
      </c>
      <c r="B499" s="8" t="s">
        <v>261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1</v>
      </c>
      <c r="AE499" s="9">
        <f>IFERROR(VLOOKUP($A499,pivot!$A:$G,計算式2026!AE$1,FALSE),0)</f>
        <v>0</v>
      </c>
      <c r="AF499" s="9">
        <f>IFERROR(VLOOKUP($A499,pivot!$A:$I,計算式2026!AF$1,FALSE),0)</f>
        <v>0</v>
      </c>
      <c r="AI499" s="9">
        <f>IFERROR(VLOOKUP($A499,pivot!$A:$I,計算式2026!AI$1,FALSE),0)</f>
        <v>0</v>
      </c>
      <c r="AJ499" s="9">
        <f>IFERROR(VLOOKUP($A499,pivot!$A:$I,計算式2026!AJ$1,FALSE),0)</f>
        <v>0</v>
      </c>
      <c r="AK499" s="9">
        <f>IFERROR(VLOOKUP($A499,pivot!$A:$I,計算式2026!AK$1,FALSE),0)</f>
        <v>0</v>
      </c>
      <c r="AL499" s="9">
        <f>IFERROR(VLOOKUP($A499,pivot!$A:$I,計算式2026!AL$1,FALSE),0)</f>
        <v>0</v>
      </c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</row>
    <row r="500" spans="1:59" s="9" customFormat="1">
      <c r="A500" s="8" t="s">
        <v>266</v>
      </c>
      <c r="B500" s="8" t="s">
        <v>261</v>
      </c>
      <c r="C500" s="9">
        <v>44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R500" s="9">
        <v>0</v>
      </c>
      <c r="S500" s="9">
        <v>0</v>
      </c>
      <c r="T500" s="9">
        <v>2</v>
      </c>
      <c r="U500" s="9">
        <v>0</v>
      </c>
      <c r="V500" s="9">
        <v>0</v>
      </c>
      <c r="W500" s="9">
        <v>1</v>
      </c>
      <c r="X500" s="9">
        <v>4</v>
      </c>
      <c r="AE500" s="9">
        <f>IFERROR(VLOOKUP($A500,pivot!$A:$G,計算式2026!AE$1,FALSE),0)</f>
        <v>0</v>
      </c>
      <c r="AF500" s="9">
        <f>IFERROR(VLOOKUP($A500,pivot!$A:$I,計算式2026!AF$1,FALSE),0)</f>
        <v>0</v>
      </c>
      <c r="AI500" s="9">
        <f>IFERROR(VLOOKUP($A500,pivot!$A:$I,計算式2026!AI$1,FALSE),0)</f>
        <v>0</v>
      </c>
      <c r="AJ500" s="9">
        <f>IFERROR(VLOOKUP($A500,pivot!$A:$I,計算式2026!AJ$1,FALSE),0)</f>
        <v>0</v>
      </c>
      <c r="AK500" s="9">
        <f>IFERROR(VLOOKUP($A500,pivot!$A:$I,計算式2026!AK$1,FALSE),0)</f>
        <v>0</v>
      </c>
      <c r="AL500" s="9">
        <f>IFERROR(VLOOKUP($A500,pivot!$A:$I,計算式2026!AL$1,FALSE),0)</f>
        <v>0</v>
      </c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</row>
    <row r="501" spans="1:59" s="9" customFormat="1">
      <c r="A501" s="8" t="s">
        <v>267</v>
      </c>
      <c r="B501" s="8" t="s">
        <v>261</v>
      </c>
      <c r="C501" s="9">
        <v>13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R501" s="9">
        <v>0</v>
      </c>
      <c r="S501" s="9">
        <v>0</v>
      </c>
      <c r="T501" s="9">
        <v>1</v>
      </c>
      <c r="U501" s="9">
        <v>0</v>
      </c>
      <c r="V501" s="9">
        <v>0</v>
      </c>
      <c r="W501" s="9">
        <v>1</v>
      </c>
      <c r="X501" s="9">
        <v>2</v>
      </c>
      <c r="AE501" s="9">
        <f>IFERROR(VLOOKUP($A501,pivot!$A:$G,計算式2026!AE$1,FALSE),0)</f>
        <v>0</v>
      </c>
      <c r="AF501" s="9">
        <f>IFERROR(VLOOKUP($A501,pivot!$A:$I,計算式2026!AF$1,FALSE),0)</f>
        <v>0</v>
      </c>
      <c r="AI501" s="9">
        <f>IFERROR(VLOOKUP($A501,pivot!$A:$I,計算式2026!AI$1,FALSE),0)</f>
        <v>0</v>
      </c>
      <c r="AJ501" s="9">
        <f>IFERROR(VLOOKUP($A501,pivot!$A:$I,計算式2026!AJ$1,FALSE),0)</f>
        <v>0</v>
      </c>
      <c r="AK501" s="9">
        <f>IFERROR(VLOOKUP($A501,pivot!$A:$I,計算式2026!AK$1,FALSE),0)</f>
        <v>0</v>
      </c>
      <c r="AL501" s="9">
        <f>IFERROR(VLOOKUP($A501,pivot!$A:$I,計算式2026!AL$1,FALSE),0)</f>
        <v>0</v>
      </c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</row>
    <row r="502" spans="1:59" s="9" customFormat="1">
      <c r="A502" s="8" t="s">
        <v>268</v>
      </c>
      <c r="B502" s="8" t="s">
        <v>261</v>
      </c>
      <c r="C502" s="9">
        <v>9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R502" s="9">
        <v>0</v>
      </c>
      <c r="S502" s="9">
        <v>0</v>
      </c>
      <c r="T502" s="9">
        <v>2</v>
      </c>
      <c r="U502" s="9">
        <v>0</v>
      </c>
      <c r="V502" s="9">
        <v>0</v>
      </c>
      <c r="W502" s="9">
        <v>1</v>
      </c>
      <c r="X502" s="9">
        <v>1</v>
      </c>
      <c r="AE502" s="9">
        <f>IFERROR(VLOOKUP($A502,pivot!$A:$G,計算式2026!AE$1,FALSE),0)</f>
        <v>0</v>
      </c>
      <c r="AF502" s="9">
        <f>IFERROR(VLOOKUP($A502,pivot!$A:$I,計算式2026!AF$1,FALSE),0)</f>
        <v>0</v>
      </c>
      <c r="AI502" s="9">
        <f>IFERROR(VLOOKUP($A502,pivot!$A:$I,計算式2026!AI$1,FALSE),0)</f>
        <v>0</v>
      </c>
      <c r="AJ502" s="9">
        <f>IFERROR(VLOOKUP($A502,pivot!$A:$I,計算式2026!AJ$1,FALSE),0)</f>
        <v>0</v>
      </c>
      <c r="AK502" s="9">
        <f>IFERROR(VLOOKUP($A502,pivot!$A:$I,計算式2026!AK$1,FALSE),0)</f>
        <v>0</v>
      </c>
      <c r="AL502" s="9">
        <f>IFERROR(VLOOKUP($A502,pivot!$A:$I,計算式2026!AL$1,FALSE),0)</f>
        <v>0</v>
      </c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</row>
    <row r="503" spans="1:59" s="9" customFormat="1">
      <c r="A503" s="8" t="s">
        <v>269</v>
      </c>
      <c r="B503" s="8" t="s">
        <v>261</v>
      </c>
      <c r="C503" s="9">
        <v>66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R503" s="9">
        <v>0</v>
      </c>
      <c r="S503" s="9">
        <v>0</v>
      </c>
      <c r="T503" s="9">
        <v>2</v>
      </c>
      <c r="U503" s="9">
        <v>0</v>
      </c>
      <c r="V503" s="9">
        <v>0</v>
      </c>
      <c r="W503" s="9">
        <v>1</v>
      </c>
      <c r="X503" s="9">
        <v>4</v>
      </c>
      <c r="AE503" s="9">
        <f>IFERROR(VLOOKUP($A503,pivot!$A:$G,計算式2026!AE$1,FALSE),0)</f>
        <v>0</v>
      </c>
      <c r="AF503" s="9">
        <f>IFERROR(VLOOKUP($A503,pivot!$A:$I,計算式2026!AF$1,FALSE),0)</f>
        <v>0</v>
      </c>
      <c r="AI503" s="9">
        <f>IFERROR(VLOOKUP($A503,pivot!$A:$I,計算式2026!AI$1,FALSE),0)</f>
        <v>0</v>
      </c>
      <c r="AJ503" s="9">
        <f>IFERROR(VLOOKUP($A503,pivot!$A:$I,計算式2026!AJ$1,FALSE),0)</f>
        <v>0</v>
      </c>
      <c r="AK503" s="9">
        <f>IFERROR(VLOOKUP($A503,pivot!$A:$I,計算式2026!AK$1,FALSE),0)</f>
        <v>0</v>
      </c>
      <c r="AL503" s="9">
        <f>IFERROR(VLOOKUP($A503,pivot!$A:$I,計算式2026!AL$1,FALSE),0)</f>
        <v>0</v>
      </c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</row>
    <row r="504" spans="1:59" s="9" customFormat="1">
      <c r="A504" s="8" t="s">
        <v>270</v>
      </c>
      <c r="B504" s="8" t="s">
        <v>261</v>
      </c>
      <c r="C504" s="9">
        <v>19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R504" s="9">
        <v>0</v>
      </c>
      <c r="S504" s="9">
        <v>0</v>
      </c>
      <c r="T504" s="9">
        <v>1</v>
      </c>
      <c r="U504" s="9">
        <v>0</v>
      </c>
      <c r="V504" s="9">
        <v>0</v>
      </c>
      <c r="W504" s="9">
        <v>1</v>
      </c>
      <c r="X504" s="9">
        <v>2</v>
      </c>
      <c r="AE504" s="9">
        <f>IFERROR(VLOOKUP($A504,pivot!$A:$G,計算式2026!AE$1,FALSE),0)</f>
        <v>0</v>
      </c>
      <c r="AF504" s="9">
        <f>IFERROR(VLOOKUP($A504,pivot!$A:$I,計算式2026!AF$1,FALSE),0)</f>
        <v>0</v>
      </c>
      <c r="AI504" s="9">
        <f>IFERROR(VLOOKUP($A504,pivot!$A:$I,計算式2026!AI$1,FALSE),0)</f>
        <v>0</v>
      </c>
      <c r="AJ504" s="9">
        <f>IFERROR(VLOOKUP($A504,pivot!$A:$I,計算式2026!AJ$1,FALSE),0)</f>
        <v>0</v>
      </c>
      <c r="AK504" s="9">
        <f>IFERROR(VLOOKUP($A504,pivot!$A:$I,計算式2026!AK$1,FALSE),0)</f>
        <v>0</v>
      </c>
      <c r="AL504" s="9">
        <f>IFERROR(VLOOKUP($A504,pivot!$A:$I,計算式2026!AL$1,FALSE),0)</f>
        <v>0</v>
      </c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</row>
    <row r="505" spans="1:59" s="9" customFormat="1">
      <c r="A505" s="8" t="s">
        <v>271</v>
      </c>
      <c r="B505" s="8" t="s">
        <v>261</v>
      </c>
      <c r="C505" s="9">
        <v>52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R505" s="9">
        <v>0</v>
      </c>
      <c r="S505" s="9">
        <v>0</v>
      </c>
      <c r="T505" s="9">
        <v>2</v>
      </c>
      <c r="U505" s="9">
        <v>0</v>
      </c>
      <c r="V505" s="9">
        <v>0</v>
      </c>
      <c r="W505" s="9">
        <v>1</v>
      </c>
      <c r="X505" s="9">
        <v>3</v>
      </c>
      <c r="AE505" s="9">
        <f>IFERROR(VLOOKUP($A505,pivot!$A:$G,計算式2026!AE$1,FALSE),0)</f>
        <v>0</v>
      </c>
      <c r="AF505" s="9">
        <f>IFERROR(VLOOKUP($A505,pivot!$A:$I,計算式2026!AF$1,FALSE),0)</f>
        <v>0</v>
      </c>
      <c r="AI505" s="9">
        <f>IFERROR(VLOOKUP($A505,pivot!$A:$I,計算式2026!AI$1,FALSE),0)</f>
        <v>0</v>
      </c>
      <c r="AJ505" s="9">
        <f>IFERROR(VLOOKUP($A505,pivot!$A:$I,計算式2026!AJ$1,FALSE),0)</f>
        <v>0</v>
      </c>
      <c r="AK505" s="9">
        <f>IFERROR(VLOOKUP($A505,pivot!$A:$I,計算式2026!AK$1,FALSE),0)</f>
        <v>0</v>
      </c>
      <c r="AL505" s="9">
        <f>IFERROR(VLOOKUP($A505,pivot!$A:$I,計算式2026!AL$1,FALSE),0)</f>
        <v>0</v>
      </c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</row>
    <row r="506" spans="1:59" s="9" customFormat="1">
      <c r="A506" s="8" t="s">
        <v>272</v>
      </c>
      <c r="B506" s="8" t="s">
        <v>261</v>
      </c>
      <c r="C506" s="9">
        <v>11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R506" s="9">
        <v>0</v>
      </c>
      <c r="S506" s="9">
        <v>0</v>
      </c>
      <c r="T506" s="9">
        <v>2</v>
      </c>
      <c r="U506" s="9">
        <v>0</v>
      </c>
      <c r="V506" s="9">
        <v>0</v>
      </c>
      <c r="W506" s="9">
        <v>1</v>
      </c>
      <c r="X506" s="9">
        <v>2</v>
      </c>
      <c r="AE506" s="9">
        <f>IFERROR(VLOOKUP($A506,pivot!$A:$G,計算式2026!AE$1,FALSE),0)</f>
        <v>0</v>
      </c>
      <c r="AF506" s="9">
        <f>IFERROR(VLOOKUP($A506,pivot!$A:$I,計算式2026!AF$1,FALSE),0)</f>
        <v>0</v>
      </c>
      <c r="AI506" s="9">
        <f>IFERROR(VLOOKUP($A506,pivot!$A:$I,計算式2026!AI$1,FALSE),0)</f>
        <v>0</v>
      </c>
      <c r="AJ506" s="9">
        <f>IFERROR(VLOOKUP($A506,pivot!$A:$I,計算式2026!AJ$1,FALSE),0)</f>
        <v>0</v>
      </c>
      <c r="AK506" s="9">
        <f>IFERROR(VLOOKUP($A506,pivot!$A:$I,計算式2026!AK$1,FALSE),0)</f>
        <v>0</v>
      </c>
      <c r="AL506" s="9">
        <f>IFERROR(VLOOKUP($A506,pivot!$A:$I,計算式2026!AL$1,FALSE),0)</f>
        <v>0</v>
      </c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</row>
    <row r="507" spans="1:59" s="9" customFormat="1">
      <c r="A507" s="8" t="s">
        <v>273</v>
      </c>
      <c r="B507" s="8" t="s">
        <v>261</v>
      </c>
      <c r="C507" s="9">
        <v>24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R507" s="9">
        <v>0</v>
      </c>
      <c r="S507" s="9">
        <v>0</v>
      </c>
      <c r="T507" s="9">
        <v>1</v>
      </c>
      <c r="U507" s="9">
        <v>0</v>
      </c>
      <c r="V507" s="9">
        <v>0</v>
      </c>
      <c r="W507" s="9">
        <v>1</v>
      </c>
      <c r="X507" s="9">
        <v>3</v>
      </c>
      <c r="AE507" s="9">
        <f>IFERROR(VLOOKUP($A507,pivot!$A:$G,計算式2026!AE$1,FALSE),0)</f>
        <v>0</v>
      </c>
      <c r="AF507" s="9">
        <f>IFERROR(VLOOKUP($A507,pivot!$A:$I,計算式2026!AF$1,FALSE),0)</f>
        <v>0</v>
      </c>
      <c r="AI507" s="9">
        <f>IFERROR(VLOOKUP($A507,pivot!$A:$I,計算式2026!AI$1,FALSE),0)</f>
        <v>0</v>
      </c>
      <c r="AJ507" s="9">
        <f>IFERROR(VLOOKUP($A507,pivot!$A:$I,計算式2026!AJ$1,FALSE),0)</f>
        <v>0</v>
      </c>
      <c r="AK507" s="9">
        <f>IFERROR(VLOOKUP($A507,pivot!$A:$I,計算式2026!AK$1,FALSE),0)</f>
        <v>0</v>
      </c>
      <c r="AL507" s="9">
        <f>IFERROR(VLOOKUP($A507,pivot!$A:$I,計算式2026!AL$1,FALSE),0)</f>
        <v>0</v>
      </c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</row>
    <row r="508" spans="1:59" s="9" customFormat="1">
      <c r="A508" s="8" t="s">
        <v>274</v>
      </c>
      <c r="B508" s="8" t="s">
        <v>275</v>
      </c>
      <c r="C508" s="9">
        <v>21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R508" s="9">
        <v>0</v>
      </c>
      <c r="S508" s="9">
        <v>0</v>
      </c>
      <c r="T508" s="9">
        <v>1</v>
      </c>
      <c r="U508" s="9">
        <v>0</v>
      </c>
      <c r="V508" s="9">
        <v>0</v>
      </c>
      <c r="W508" s="9">
        <v>1</v>
      </c>
      <c r="X508" s="9">
        <v>1</v>
      </c>
      <c r="AE508" s="9">
        <f>IFERROR(VLOOKUP($A508,pivot!$A:$G,計算式2026!AE$1,FALSE),0)</f>
        <v>0</v>
      </c>
      <c r="AF508" s="9">
        <f>IFERROR(VLOOKUP($A508,pivot!$A:$I,計算式2026!AF$1,FALSE),0)</f>
        <v>0</v>
      </c>
      <c r="AI508" s="9">
        <f>IFERROR(VLOOKUP($A508,pivot!$A:$I,計算式2026!AI$1,FALSE),0)</f>
        <v>0</v>
      </c>
      <c r="AJ508" s="9">
        <f>IFERROR(VLOOKUP($A508,pivot!$A:$I,計算式2026!AJ$1,FALSE),0)</f>
        <v>0</v>
      </c>
      <c r="AK508" s="9">
        <f>IFERROR(VLOOKUP($A508,pivot!$A:$I,計算式2026!AK$1,FALSE),0)</f>
        <v>0</v>
      </c>
      <c r="AL508" s="9">
        <f>IFERROR(VLOOKUP($A508,pivot!$A:$I,計算式2026!AL$1,FALSE),0)</f>
        <v>0</v>
      </c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</row>
    <row r="509" spans="1:59" s="9" customFormat="1">
      <c r="A509" s="8" t="s">
        <v>276</v>
      </c>
      <c r="B509" s="8" t="s">
        <v>275</v>
      </c>
      <c r="C509" s="9">
        <v>9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R509" s="9">
        <v>0</v>
      </c>
      <c r="S509" s="9">
        <v>0</v>
      </c>
      <c r="T509" s="9">
        <v>1</v>
      </c>
      <c r="U509" s="9">
        <v>0</v>
      </c>
      <c r="V509" s="9">
        <v>0</v>
      </c>
      <c r="W509" s="9">
        <v>1</v>
      </c>
      <c r="X509" s="9">
        <v>2</v>
      </c>
      <c r="AE509" s="9">
        <f>IFERROR(VLOOKUP($A509,pivot!$A:$G,計算式2026!AE$1,FALSE),0)</f>
        <v>0</v>
      </c>
      <c r="AF509" s="9">
        <f>IFERROR(VLOOKUP($A509,pivot!$A:$I,計算式2026!AF$1,FALSE),0)</f>
        <v>0</v>
      </c>
      <c r="AI509" s="9">
        <f>IFERROR(VLOOKUP($A509,pivot!$A:$I,計算式2026!AI$1,FALSE),0)</f>
        <v>0</v>
      </c>
      <c r="AJ509" s="9">
        <f>IFERROR(VLOOKUP($A509,pivot!$A:$I,計算式2026!AJ$1,FALSE),0)</f>
        <v>0</v>
      </c>
      <c r="AK509" s="9">
        <f>IFERROR(VLOOKUP($A509,pivot!$A:$I,計算式2026!AK$1,FALSE),0)</f>
        <v>0</v>
      </c>
      <c r="AL509" s="9">
        <f>IFERROR(VLOOKUP($A509,pivot!$A:$I,計算式2026!AL$1,FALSE),0)</f>
        <v>0</v>
      </c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</row>
    <row r="510" spans="1:59" s="9" customFormat="1">
      <c r="A510" s="8" t="s">
        <v>277</v>
      </c>
      <c r="B510" s="8" t="s">
        <v>275</v>
      </c>
      <c r="C510" s="9">
        <v>18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R510" s="9">
        <v>0</v>
      </c>
      <c r="S510" s="9">
        <v>0</v>
      </c>
      <c r="T510" s="9">
        <v>2</v>
      </c>
      <c r="U510" s="9">
        <v>0</v>
      </c>
      <c r="V510" s="9">
        <v>0</v>
      </c>
      <c r="W510" s="9">
        <v>0</v>
      </c>
      <c r="X510" s="9">
        <v>2</v>
      </c>
      <c r="AE510" s="9">
        <f>IFERROR(VLOOKUP($A510,pivot!$A:$G,計算式2026!AE$1,FALSE),0)</f>
        <v>0</v>
      </c>
      <c r="AF510" s="9">
        <f>IFERROR(VLOOKUP($A510,pivot!$A:$I,計算式2026!AF$1,FALSE),0)</f>
        <v>0</v>
      </c>
      <c r="AI510" s="9">
        <f>IFERROR(VLOOKUP($A510,pivot!$A:$I,計算式2026!AI$1,FALSE),0)</f>
        <v>0</v>
      </c>
      <c r="AJ510" s="9">
        <f>IFERROR(VLOOKUP($A510,pivot!$A:$I,計算式2026!AJ$1,FALSE),0)</f>
        <v>0</v>
      </c>
      <c r="AK510" s="9">
        <f>IFERROR(VLOOKUP($A510,pivot!$A:$I,計算式2026!AK$1,FALSE),0)</f>
        <v>0</v>
      </c>
      <c r="AL510" s="9">
        <f>IFERROR(VLOOKUP($A510,pivot!$A:$I,計算式2026!AL$1,FALSE),0)</f>
        <v>0</v>
      </c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</row>
    <row r="511" spans="1:59" s="9" customFormat="1">
      <c r="A511" s="8" t="s">
        <v>278</v>
      </c>
      <c r="B511" s="8" t="s">
        <v>275</v>
      </c>
      <c r="C511" s="9">
        <v>10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R511" s="9">
        <v>0</v>
      </c>
      <c r="S511" s="9">
        <v>0</v>
      </c>
      <c r="T511" s="9">
        <v>1</v>
      </c>
      <c r="U511" s="9">
        <v>0</v>
      </c>
      <c r="V511" s="9">
        <v>0</v>
      </c>
      <c r="W511" s="9">
        <v>0</v>
      </c>
      <c r="X511" s="9">
        <v>1</v>
      </c>
      <c r="AE511" s="9">
        <f>IFERROR(VLOOKUP($A511,pivot!$A:$G,計算式2026!AE$1,FALSE),0)</f>
        <v>0</v>
      </c>
      <c r="AF511" s="9">
        <f>IFERROR(VLOOKUP($A511,pivot!$A:$I,計算式2026!AF$1,FALSE),0)</f>
        <v>0</v>
      </c>
      <c r="AI511" s="9">
        <f>IFERROR(VLOOKUP($A511,pivot!$A:$I,計算式2026!AI$1,FALSE),0)</f>
        <v>0</v>
      </c>
      <c r="AJ511" s="9">
        <f>IFERROR(VLOOKUP($A511,pivot!$A:$I,計算式2026!AJ$1,FALSE),0)</f>
        <v>0</v>
      </c>
      <c r="AK511" s="9">
        <f>IFERROR(VLOOKUP($A511,pivot!$A:$I,計算式2026!AK$1,FALSE),0)</f>
        <v>0</v>
      </c>
      <c r="AL511" s="9">
        <f>IFERROR(VLOOKUP($A511,pivot!$A:$I,計算式2026!AL$1,FALSE),0)</f>
        <v>0</v>
      </c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</row>
    <row r="512" spans="1:59" s="9" customFormat="1">
      <c r="A512" s="8" t="s">
        <v>279</v>
      </c>
      <c r="B512" s="8" t="s">
        <v>275</v>
      </c>
      <c r="C512" s="9">
        <v>14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R512" s="9">
        <v>0</v>
      </c>
      <c r="S512" s="9">
        <v>0</v>
      </c>
      <c r="T512" s="9">
        <v>2</v>
      </c>
      <c r="U512" s="9">
        <v>0</v>
      </c>
      <c r="V512" s="9">
        <v>0</v>
      </c>
      <c r="W512" s="9">
        <v>0</v>
      </c>
      <c r="X512" s="9">
        <v>2</v>
      </c>
      <c r="AE512" s="9">
        <f>IFERROR(VLOOKUP($A512,pivot!$A:$G,計算式2026!AE$1,FALSE),0)</f>
        <v>0</v>
      </c>
      <c r="AF512" s="9">
        <f>IFERROR(VLOOKUP($A512,pivot!$A:$I,計算式2026!AF$1,FALSE),0)</f>
        <v>0</v>
      </c>
      <c r="AI512" s="9">
        <f>IFERROR(VLOOKUP($A512,pivot!$A:$I,計算式2026!AI$1,FALSE),0)</f>
        <v>0</v>
      </c>
      <c r="AJ512" s="9">
        <f>IFERROR(VLOOKUP($A512,pivot!$A:$I,計算式2026!AJ$1,FALSE),0)</f>
        <v>0</v>
      </c>
      <c r="AK512" s="9">
        <f>IFERROR(VLOOKUP($A512,pivot!$A:$I,計算式2026!AK$1,FALSE),0)</f>
        <v>0</v>
      </c>
      <c r="AL512" s="9">
        <f>IFERROR(VLOOKUP($A512,pivot!$A:$I,計算式2026!AL$1,FALSE),0)</f>
        <v>0</v>
      </c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</row>
    <row r="513" spans="1:59" s="9" customFormat="1">
      <c r="A513" s="8" t="s">
        <v>280</v>
      </c>
      <c r="B513" s="8" t="s">
        <v>275</v>
      </c>
      <c r="C513" s="9">
        <v>66</v>
      </c>
      <c r="D513" s="9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R513" s="9">
        <v>0</v>
      </c>
      <c r="S513" s="9">
        <v>0</v>
      </c>
      <c r="T513" s="9">
        <v>2</v>
      </c>
      <c r="U513" s="9">
        <v>0</v>
      </c>
      <c r="V513" s="9">
        <v>0</v>
      </c>
      <c r="W513" s="9">
        <v>1</v>
      </c>
      <c r="X513" s="9">
        <v>1</v>
      </c>
      <c r="AE513" s="9">
        <f>IFERROR(VLOOKUP($A513,pivot!$A:$G,計算式2026!AE$1,FALSE),0)</f>
        <v>0</v>
      </c>
      <c r="AF513" s="9">
        <f>IFERROR(VLOOKUP($A513,pivot!$A:$I,計算式2026!AF$1,FALSE),0)</f>
        <v>0</v>
      </c>
      <c r="AI513" s="9">
        <f>IFERROR(VLOOKUP($A513,pivot!$A:$I,計算式2026!AI$1,FALSE),0)</f>
        <v>0</v>
      </c>
      <c r="AJ513" s="9">
        <f>IFERROR(VLOOKUP($A513,pivot!$A:$I,計算式2026!AJ$1,FALSE),0)</f>
        <v>0</v>
      </c>
      <c r="AK513" s="9">
        <f>IFERROR(VLOOKUP($A513,pivot!$A:$I,計算式2026!AK$1,FALSE),0)</f>
        <v>0</v>
      </c>
      <c r="AL513" s="9">
        <f>IFERROR(VLOOKUP($A513,pivot!$A:$I,計算式2026!AL$1,FALSE),0)</f>
        <v>0</v>
      </c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</row>
    <row r="514" spans="1:59" s="9" customFormat="1">
      <c r="A514" s="8" t="s">
        <v>281</v>
      </c>
      <c r="B514" s="8" t="s">
        <v>275</v>
      </c>
      <c r="C514" s="9">
        <v>15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R514" s="9">
        <v>0</v>
      </c>
      <c r="S514" s="9">
        <v>0</v>
      </c>
      <c r="T514" s="9">
        <v>2</v>
      </c>
      <c r="U514" s="9">
        <v>0</v>
      </c>
      <c r="V514" s="9">
        <v>0</v>
      </c>
      <c r="W514" s="9">
        <v>1</v>
      </c>
      <c r="X514" s="9">
        <v>2</v>
      </c>
      <c r="AE514" s="9">
        <f>IFERROR(VLOOKUP($A514,pivot!$A:$G,計算式2026!AE$1,FALSE),0)</f>
        <v>0</v>
      </c>
      <c r="AF514" s="9">
        <f>IFERROR(VLOOKUP($A514,pivot!$A:$I,計算式2026!AF$1,FALSE),0)</f>
        <v>0</v>
      </c>
      <c r="AI514" s="9">
        <f>IFERROR(VLOOKUP($A514,pivot!$A:$I,計算式2026!AI$1,FALSE),0)</f>
        <v>0</v>
      </c>
      <c r="AJ514" s="9">
        <f>IFERROR(VLOOKUP($A514,pivot!$A:$I,計算式2026!AJ$1,FALSE),0)</f>
        <v>0</v>
      </c>
      <c r="AK514" s="9">
        <f>IFERROR(VLOOKUP($A514,pivot!$A:$I,計算式2026!AK$1,FALSE),0)</f>
        <v>0</v>
      </c>
      <c r="AL514" s="9">
        <f>IFERROR(VLOOKUP($A514,pivot!$A:$I,計算式2026!AL$1,FALSE),0)</f>
        <v>0</v>
      </c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</row>
    <row r="515" spans="1:59" s="9" customFormat="1">
      <c r="A515" s="8" t="s">
        <v>282</v>
      </c>
      <c r="B515" s="8" t="s">
        <v>275</v>
      </c>
      <c r="C515" s="9">
        <v>36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R515" s="9">
        <v>0</v>
      </c>
      <c r="S515" s="9">
        <v>0</v>
      </c>
      <c r="T515" s="9">
        <v>2</v>
      </c>
      <c r="U515" s="9">
        <v>0</v>
      </c>
      <c r="V515" s="9">
        <v>0</v>
      </c>
      <c r="W515" s="9">
        <v>1</v>
      </c>
      <c r="X515" s="9">
        <v>1</v>
      </c>
      <c r="AE515" s="9">
        <f>IFERROR(VLOOKUP($A515,pivot!$A:$G,計算式2026!AE$1,FALSE),0)</f>
        <v>0</v>
      </c>
      <c r="AF515" s="9">
        <f>IFERROR(VLOOKUP($A515,pivot!$A:$I,計算式2026!AF$1,FALSE),0)</f>
        <v>0</v>
      </c>
      <c r="AI515" s="9">
        <f>IFERROR(VLOOKUP($A515,pivot!$A:$I,計算式2026!AI$1,FALSE),0)</f>
        <v>0</v>
      </c>
      <c r="AJ515" s="9">
        <f>IFERROR(VLOOKUP($A515,pivot!$A:$I,計算式2026!AJ$1,FALSE),0)</f>
        <v>0</v>
      </c>
      <c r="AK515" s="9">
        <f>IFERROR(VLOOKUP($A515,pivot!$A:$I,計算式2026!AK$1,FALSE),0)</f>
        <v>0</v>
      </c>
      <c r="AL515" s="9">
        <f>IFERROR(VLOOKUP($A515,pivot!$A:$I,計算式2026!AL$1,FALSE),0)</f>
        <v>0</v>
      </c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</row>
    <row r="516" spans="1:59" s="9" customFormat="1">
      <c r="A516" s="8" t="s">
        <v>283</v>
      </c>
      <c r="B516" s="8" t="s">
        <v>275</v>
      </c>
      <c r="C516" s="9">
        <v>82</v>
      </c>
      <c r="D516" s="9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R516" s="9">
        <v>0</v>
      </c>
      <c r="S516" s="9">
        <v>0</v>
      </c>
      <c r="T516" s="9">
        <v>1</v>
      </c>
      <c r="U516" s="9">
        <v>0</v>
      </c>
      <c r="V516" s="9">
        <v>0</v>
      </c>
      <c r="W516" s="9">
        <v>1</v>
      </c>
      <c r="X516" s="9">
        <v>2</v>
      </c>
      <c r="AE516" s="9">
        <f>IFERROR(VLOOKUP($A516,pivot!$A:$G,計算式2026!AE$1,FALSE),0)</f>
        <v>0</v>
      </c>
      <c r="AF516" s="9">
        <f>IFERROR(VLOOKUP($A516,pivot!$A:$I,計算式2026!AF$1,FALSE),0)</f>
        <v>0</v>
      </c>
      <c r="AI516" s="9">
        <f>IFERROR(VLOOKUP($A516,pivot!$A:$I,計算式2026!AI$1,FALSE),0)</f>
        <v>0</v>
      </c>
      <c r="AJ516" s="9">
        <f>IFERROR(VLOOKUP($A516,pivot!$A:$I,計算式2026!AJ$1,FALSE),0)</f>
        <v>0</v>
      </c>
      <c r="AK516" s="9">
        <f>IFERROR(VLOOKUP($A516,pivot!$A:$I,計算式2026!AK$1,FALSE),0)</f>
        <v>0</v>
      </c>
      <c r="AL516" s="9">
        <f>IFERROR(VLOOKUP($A516,pivot!$A:$I,計算式2026!AL$1,FALSE),0)</f>
        <v>0</v>
      </c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</row>
    <row r="517" spans="1:59" s="9" customFormat="1">
      <c r="A517" s="8" t="s">
        <v>284</v>
      </c>
      <c r="B517" s="8" t="s">
        <v>275</v>
      </c>
      <c r="C517" s="9">
        <v>18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R517" s="9">
        <v>0</v>
      </c>
      <c r="S517" s="9">
        <v>0</v>
      </c>
      <c r="T517" s="9">
        <v>1</v>
      </c>
      <c r="U517" s="9">
        <v>0</v>
      </c>
      <c r="V517" s="9">
        <v>0</v>
      </c>
      <c r="W517" s="9">
        <v>1</v>
      </c>
      <c r="X517" s="9">
        <v>1</v>
      </c>
      <c r="AE517" s="9">
        <f>IFERROR(VLOOKUP($A517,pivot!$A:$G,計算式2026!AE$1,FALSE),0)</f>
        <v>0</v>
      </c>
      <c r="AF517" s="9">
        <f>IFERROR(VLOOKUP($A517,pivot!$A:$I,計算式2026!AF$1,FALSE),0)</f>
        <v>0</v>
      </c>
      <c r="AI517" s="9">
        <f>IFERROR(VLOOKUP($A517,pivot!$A:$I,計算式2026!AI$1,FALSE),0)</f>
        <v>0</v>
      </c>
      <c r="AJ517" s="9">
        <f>IFERROR(VLOOKUP($A517,pivot!$A:$I,計算式2026!AJ$1,FALSE),0)</f>
        <v>0</v>
      </c>
      <c r="AK517" s="9">
        <f>IFERROR(VLOOKUP($A517,pivot!$A:$I,計算式2026!AK$1,FALSE),0)</f>
        <v>0</v>
      </c>
      <c r="AL517" s="9">
        <f>IFERROR(VLOOKUP($A517,pivot!$A:$I,計算式2026!AL$1,FALSE),0)</f>
        <v>0</v>
      </c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</row>
    <row r="518" spans="1:59" s="9" customFormat="1">
      <c r="A518" s="8" t="s">
        <v>285</v>
      </c>
      <c r="B518" s="8" t="s">
        <v>275</v>
      </c>
      <c r="C518" s="9">
        <v>38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R518" s="9">
        <v>0</v>
      </c>
      <c r="S518" s="9">
        <v>0</v>
      </c>
      <c r="T518" s="9">
        <v>2</v>
      </c>
      <c r="U518" s="9">
        <v>0</v>
      </c>
      <c r="V518" s="9">
        <v>0</v>
      </c>
      <c r="W518" s="9">
        <v>1</v>
      </c>
      <c r="X518" s="9">
        <v>1</v>
      </c>
      <c r="AE518" s="9">
        <f>IFERROR(VLOOKUP($A518,pivot!$A:$G,計算式2026!AE$1,FALSE),0)</f>
        <v>0</v>
      </c>
      <c r="AF518" s="9">
        <f>IFERROR(VLOOKUP($A518,pivot!$A:$I,計算式2026!AF$1,FALSE),0)</f>
        <v>0</v>
      </c>
      <c r="AI518" s="9">
        <f>IFERROR(VLOOKUP($A518,pivot!$A:$I,計算式2026!AI$1,FALSE),0)</f>
        <v>0</v>
      </c>
      <c r="AJ518" s="9">
        <f>IFERROR(VLOOKUP($A518,pivot!$A:$I,計算式2026!AJ$1,FALSE),0)</f>
        <v>0</v>
      </c>
      <c r="AK518" s="9">
        <f>IFERROR(VLOOKUP($A518,pivot!$A:$I,計算式2026!AK$1,FALSE),0)</f>
        <v>0</v>
      </c>
      <c r="AL518" s="9">
        <f>IFERROR(VLOOKUP($A518,pivot!$A:$I,計算式2026!AL$1,FALSE),0)</f>
        <v>0</v>
      </c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</row>
    <row r="519" spans="1:59" s="9" customFormat="1">
      <c r="A519" s="8" t="s">
        <v>286</v>
      </c>
      <c r="B519" s="8" t="s">
        <v>275</v>
      </c>
      <c r="C519" s="9">
        <v>13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R519" s="9">
        <v>0</v>
      </c>
      <c r="S519" s="9">
        <v>0</v>
      </c>
      <c r="T519" s="9">
        <v>2</v>
      </c>
      <c r="U519" s="9">
        <v>0</v>
      </c>
      <c r="V519" s="9">
        <v>0</v>
      </c>
      <c r="W519" s="9">
        <v>0</v>
      </c>
      <c r="X519" s="9">
        <v>1</v>
      </c>
      <c r="AE519" s="9">
        <f>IFERROR(VLOOKUP($A519,pivot!$A:$G,計算式2026!AE$1,FALSE),0)</f>
        <v>0</v>
      </c>
      <c r="AF519" s="9">
        <f>IFERROR(VLOOKUP($A519,pivot!$A:$I,計算式2026!AF$1,FALSE),0)</f>
        <v>0</v>
      </c>
      <c r="AI519" s="9">
        <f>IFERROR(VLOOKUP($A519,pivot!$A:$I,計算式2026!AI$1,FALSE),0)</f>
        <v>0</v>
      </c>
      <c r="AJ519" s="9">
        <f>IFERROR(VLOOKUP($A519,pivot!$A:$I,計算式2026!AJ$1,FALSE),0)</f>
        <v>0</v>
      </c>
      <c r="AK519" s="9">
        <f>IFERROR(VLOOKUP($A519,pivot!$A:$I,計算式2026!AK$1,FALSE),0)</f>
        <v>0</v>
      </c>
      <c r="AL519" s="9">
        <f>IFERROR(VLOOKUP($A519,pivot!$A:$I,計算式2026!AL$1,FALSE),0)</f>
        <v>0</v>
      </c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</row>
    <row r="520" spans="1:59" s="9" customFormat="1">
      <c r="A520" s="8" t="s">
        <v>287</v>
      </c>
      <c r="B520" s="8" t="s">
        <v>275</v>
      </c>
      <c r="C520" s="9">
        <v>10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R520" s="9">
        <v>0</v>
      </c>
      <c r="S520" s="9">
        <v>0</v>
      </c>
      <c r="T520" s="9">
        <v>2</v>
      </c>
      <c r="U520" s="9">
        <v>0</v>
      </c>
      <c r="V520" s="9">
        <v>0</v>
      </c>
      <c r="W520" s="9">
        <v>0</v>
      </c>
      <c r="X520" s="9">
        <v>1</v>
      </c>
      <c r="AE520" s="9">
        <f>IFERROR(VLOOKUP($A520,pivot!$A:$G,計算式2026!AE$1,FALSE),0)</f>
        <v>0</v>
      </c>
      <c r="AF520" s="9">
        <f>IFERROR(VLOOKUP($A520,pivot!$A:$I,計算式2026!AF$1,FALSE),0)</f>
        <v>0</v>
      </c>
      <c r="AI520" s="9">
        <f>IFERROR(VLOOKUP($A520,pivot!$A:$I,計算式2026!AI$1,FALSE),0)</f>
        <v>0</v>
      </c>
      <c r="AJ520" s="9">
        <f>IFERROR(VLOOKUP($A520,pivot!$A:$I,計算式2026!AJ$1,FALSE),0)</f>
        <v>0</v>
      </c>
      <c r="AK520" s="9">
        <f>IFERROR(VLOOKUP($A520,pivot!$A:$I,計算式2026!AK$1,FALSE),0)</f>
        <v>0</v>
      </c>
      <c r="AL520" s="9">
        <f>IFERROR(VLOOKUP($A520,pivot!$A:$I,計算式2026!AL$1,FALSE),0)</f>
        <v>0</v>
      </c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</row>
    <row r="521" spans="1:59" s="9" customFormat="1">
      <c r="A521" s="8" t="s">
        <v>288</v>
      </c>
      <c r="B521" s="8" t="s">
        <v>275</v>
      </c>
      <c r="C521" s="9">
        <v>27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R521" s="9">
        <v>0</v>
      </c>
      <c r="S521" s="9">
        <v>0</v>
      </c>
      <c r="T521" s="9">
        <v>1</v>
      </c>
      <c r="U521" s="9">
        <v>0</v>
      </c>
      <c r="V521" s="9">
        <v>0</v>
      </c>
      <c r="W521" s="9">
        <v>1</v>
      </c>
      <c r="X521" s="9">
        <v>2</v>
      </c>
      <c r="AE521" s="9">
        <f>IFERROR(VLOOKUP($A521,pivot!$A:$G,計算式2026!AE$1,FALSE),0)</f>
        <v>0</v>
      </c>
      <c r="AF521" s="9">
        <f>IFERROR(VLOOKUP($A521,pivot!$A:$I,計算式2026!AF$1,FALSE),0)</f>
        <v>0</v>
      </c>
      <c r="AI521" s="9">
        <f>IFERROR(VLOOKUP($A521,pivot!$A:$I,計算式2026!AI$1,FALSE),0)</f>
        <v>0</v>
      </c>
      <c r="AJ521" s="9">
        <f>IFERROR(VLOOKUP($A521,pivot!$A:$I,計算式2026!AJ$1,FALSE),0)</f>
        <v>0</v>
      </c>
      <c r="AK521" s="9">
        <f>IFERROR(VLOOKUP($A521,pivot!$A:$I,計算式2026!AK$1,FALSE),0)</f>
        <v>0</v>
      </c>
      <c r="AL521" s="9">
        <f>IFERROR(VLOOKUP($A521,pivot!$A:$I,計算式2026!AL$1,FALSE),0)</f>
        <v>0</v>
      </c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</row>
    <row r="522" spans="1:59" s="9" customFormat="1">
      <c r="A522" s="8" t="s">
        <v>289</v>
      </c>
      <c r="B522" s="8" t="s">
        <v>290</v>
      </c>
      <c r="C522" s="9">
        <v>5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R522" s="9">
        <v>0</v>
      </c>
      <c r="S522" s="9">
        <v>0</v>
      </c>
      <c r="T522" s="9">
        <v>1</v>
      </c>
      <c r="U522" s="9">
        <v>0</v>
      </c>
      <c r="V522" s="9">
        <v>0</v>
      </c>
      <c r="W522" s="9">
        <v>1</v>
      </c>
      <c r="X522" s="9">
        <v>2</v>
      </c>
      <c r="AE522" s="9">
        <f>IFERROR(VLOOKUP($A522,pivot!$A:$G,計算式2026!AE$1,FALSE),0)</f>
        <v>0</v>
      </c>
      <c r="AF522" s="9">
        <f>IFERROR(VLOOKUP($A522,pivot!$A:$I,計算式2026!AF$1,FALSE),0)</f>
        <v>0</v>
      </c>
      <c r="AI522" s="9">
        <f>IFERROR(VLOOKUP($A522,pivot!$A:$I,計算式2026!AI$1,FALSE),0)</f>
        <v>0</v>
      </c>
      <c r="AJ522" s="9">
        <f>IFERROR(VLOOKUP($A522,pivot!$A:$I,計算式2026!AJ$1,FALSE),0)</f>
        <v>0</v>
      </c>
      <c r="AK522" s="9">
        <f>IFERROR(VLOOKUP($A522,pivot!$A:$I,計算式2026!AK$1,FALSE),0)</f>
        <v>0</v>
      </c>
      <c r="AL522" s="9">
        <f>IFERROR(VLOOKUP($A522,pivot!$A:$I,計算式2026!AL$1,FALSE),0)</f>
        <v>0</v>
      </c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</row>
    <row r="523" spans="1:59" s="9" customFormat="1">
      <c r="A523" s="8" t="s">
        <v>291</v>
      </c>
      <c r="B523" s="8" t="s">
        <v>290</v>
      </c>
      <c r="C523" s="9">
        <v>9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R523" s="9">
        <v>0</v>
      </c>
      <c r="S523" s="9">
        <v>0</v>
      </c>
      <c r="T523" s="9">
        <v>2</v>
      </c>
      <c r="U523" s="9">
        <v>0</v>
      </c>
      <c r="V523" s="9">
        <v>0</v>
      </c>
      <c r="W523" s="9">
        <v>1</v>
      </c>
      <c r="X523" s="9">
        <v>1</v>
      </c>
      <c r="AE523" s="9">
        <f>IFERROR(VLOOKUP($A523,pivot!$A:$G,計算式2026!AE$1,FALSE),0)</f>
        <v>0</v>
      </c>
      <c r="AF523" s="9">
        <f>IFERROR(VLOOKUP($A523,pivot!$A:$I,計算式2026!AF$1,FALSE),0)</f>
        <v>0</v>
      </c>
      <c r="AI523" s="9">
        <f>IFERROR(VLOOKUP($A523,pivot!$A:$I,計算式2026!AI$1,FALSE),0)</f>
        <v>0</v>
      </c>
      <c r="AJ523" s="9">
        <f>IFERROR(VLOOKUP($A523,pivot!$A:$I,計算式2026!AJ$1,FALSE),0)</f>
        <v>0</v>
      </c>
      <c r="AK523" s="9">
        <f>IFERROR(VLOOKUP($A523,pivot!$A:$I,計算式2026!AK$1,FALSE),0)</f>
        <v>0</v>
      </c>
      <c r="AL523" s="9">
        <f>IFERROR(VLOOKUP($A523,pivot!$A:$I,計算式2026!AL$1,FALSE),0)</f>
        <v>0</v>
      </c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</row>
    <row r="524" spans="1:59" s="9" customFormat="1">
      <c r="A524" s="8" t="s">
        <v>292</v>
      </c>
      <c r="B524" s="8" t="s">
        <v>290</v>
      </c>
      <c r="C524" s="9">
        <v>20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R524" s="9">
        <v>0</v>
      </c>
      <c r="S524" s="9">
        <v>0</v>
      </c>
      <c r="T524" s="9">
        <v>2</v>
      </c>
      <c r="U524" s="9">
        <v>0</v>
      </c>
      <c r="V524" s="9">
        <v>0</v>
      </c>
      <c r="W524" s="9">
        <v>1</v>
      </c>
      <c r="X524" s="9">
        <v>1</v>
      </c>
      <c r="AE524" s="9">
        <f>IFERROR(VLOOKUP($A524,pivot!$A:$G,計算式2026!AE$1,FALSE),0)</f>
        <v>0</v>
      </c>
      <c r="AF524" s="9">
        <f>IFERROR(VLOOKUP($A524,pivot!$A:$I,計算式2026!AF$1,FALSE),0)</f>
        <v>0</v>
      </c>
      <c r="AI524" s="9">
        <f>IFERROR(VLOOKUP($A524,pivot!$A:$I,計算式2026!AI$1,FALSE),0)</f>
        <v>0</v>
      </c>
      <c r="AJ524" s="9">
        <f>IFERROR(VLOOKUP($A524,pivot!$A:$I,計算式2026!AJ$1,FALSE),0)</f>
        <v>0</v>
      </c>
      <c r="AK524" s="9">
        <f>IFERROR(VLOOKUP($A524,pivot!$A:$I,計算式2026!AK$1,FALSE),0)</f>
        <v>0</v>
      </c>
      <c r="AL524" s="9">
        <f>IFERROR(VLOOKUP($A524,pivot!$A:$I,計算式2026!AL$1,FALSE),0)</f>
        <v>0</v>
      </c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</row>
    <row r="525" spans="1:59" s="9" customFormat="1">
      <c r="A525" s="8" t="s">
        <v>293</v>
      </c>
      <c r="B525" s="8" t="s">
        <v>290</v>
      </c>
      <c r="C525" s="9">
        <v>20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R525" s="9">
        <v>0</v>
      </c>
      <c r="S525" s="9">
        <v>0</v>
      </c>
      <c r="T525" s="9">
        <v>2</v>
      </c>
      <c r="U525" s="9">
        <v>0</v>
      </c>
      <c r="V525" s="9">
        <v>0</v>
      </c>
      <c r="W525" s="9">
        <v>1</v>
      </c>
      <c r="X525" s="9">
        <v>2</v>
      </c>
      <c r="AE525" s="9">
        <f>IFERROR(VLOOKUP($A525,pivot!$A:$G,計算式2026!AE$1,FALSE),0)</f>
        <v>0</v>
      </c>
      <c r="AF525" s="9">
        <f>IFERROR(VLOOKUP($A525,pivot!$A:$I,計算式2026!AF$1,FALSE),0)</f>
        <v>0</v>
      </c>
      <c r="AI525" s="9">
        <f>IFERROR(VLOOKUP($A525,pivot!$A:$I,計算式2026!AI$1,FALSE),0)</f>
        <v>0</v>
      </c>
      <c r="AJ525" s="9">
        <f>IFERROR(VLOOKUP($A525,pivot!$A:$I,計算式2026!AJ$1,FALSE),0)</f>
        <v>0</v>
      </c>
      <c r="AK525" s="9">
        <f>IFERROR(VLOOKUP($A525,pivot!$A:$I,計算式2026!AK$1,FALSE),0)</f>
        <v>0</v>
      </c>
      <c r="AL525" s="9">
        <f>IFERROR(VLOOKUP($A525,pivot!$A:$I,計算式2026!AL$1,FALSE),0)</f>
        <v>0</v>
      </c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</row>
    <row r="526" spans="1:59" s="9" customFormat="1">
      <c r="A526" s="8" t="s">
        <v>294</v>
      </c>
      <c r="B526" s="8" t="s">
        <v>290</v>
      </c>
      <c r="C526" s="9">
        <v>64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R526" s="9">
        <v>0</v>
      </c>
      <c r="S526" s="9">
        <v>0</v>
      </c>
      <c r="T526" s="9">
        <v>1</v>
      </c>
      <c r="U526" s="9">
        <v>0</v>
      </c>
      <c r="V526" s="9">
        <v>0</v>
      </c>
      <c r="W526" s="9">
        <v>1</v>
      </c>
      <c r="X526" s="9">
        <v>2</v>
      </c>
      <c r="AE526" s="9">
        <f>IFERROR(VLOOKUP($A526,pivot!$A:$G,計算式2026!AE$1,FALSE),0)</f>
        <v>0</v>
      </c>
      <c r="AF526" s="9">
        <f>IFERROR(VLOOKUP($A526,pivot!$A:$I,計算式2026!AF$1,FALSE),0)</f>
        <v>0</v>
      </c>
      <c r="AI526" s="9">
        <f>IFERROR(VLOOKUP($A526,pivot!$A:$I,計算式2026!AI$1,FALSE),0)</f>
        <v>0</v>
      </c>
      <c r="AJ526" s="9">
        <f>IFERROR(VLOOKUP($A526,pivot!$A:$I,計算式2026!AJ$1,FALSE),0)</f>
        <v>0</v>
      </c>
      <c r="AK526" s="9">
        <f>IFERROR(VLOOKUP($A526,pivot!$A:$I,計算式2026!AK$1,FALSE),0)</f>
        <v>0</v>
      </c>
      <c r="AL526" s="9">
        <f>IFERROR(VLOOKUP($A526,pivot!$A:$I,計算式2026!AL$1,FALSE),0)</f>
        <v>0</v>
      </c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</row>
    <row r="527" spans="1:59" s="9" customFormat="1">
      <c r="A527" s="8" t="s">
        <v>295</v>
      </c>
      <c r="B527" s="8" t="s">
        <v>290</v>
      </c>
      <c r="C527" s="9">
        <v>9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R527" s="9">
        <v>0</v>
      </c>
      <c r="S527" s="9">
        <v>0</v>
      </c>
      <c r="T527" s="9">
        <v>1</v>
      </c>
      <c r="U527" s="9">
        <v>0</v>
      </c>
      <c r="V527" s="9">
        <v>0</v>
      </c>
      <c r="W527" s="9">
        <v>1</v>
      </c>
      <c r="X527" s="9">
        <v>2</v>
      </c>
      <c r="AE527" s="9">
        <f>IFERROR(VLOOKUP($A527,pivot!$A:$G,計算式2026!AE$1,FALSE),0)</f>
        <v>0</v>
      </c>
      <c r="AF527" s="9">
        <f>IFERROR(VLOOKUP($A527,pivot!$A:$I,計算式2026!AF$1,FALSE),0)</f>
        <v>0</v>
      </c>
      <c r="AI527" s="9">
        <f>IFERROR(VLOOKUP($A527,pivot!$A:$I,計算式2026!AI$1,FALSE),0)</f>
        <v>0</v>
      </c>
      <c r="AJ527" s="9">
        <f>IFERROR(VLOOKUP($A527,pivot!$A:$I,計算式2026!AJ$1,FALSE),0)</f>
        <v>0</v>
      </c>
      <c r="AK527" s="9">
        <f>IFERROR(VLOOKUP($A527,pivot!$A:$I,計算式2026!AK$1,FALSE),0)</f>
        <v>0</v>
      </c>
      <c r="AL527" s="9">
        <f>IFERROR(VLOOKUP($A527,pivot!$A:$I,計算式2026!AL$1,FALSE),0)</f>
        <v>0</v>
      </c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</row>
    <row r="528" spans="1:59" s="9" customFormat="1">
      <c r="A528" s="8" t="s">
        <v>296</v>
      </c>
      <c r="B528" s="8" t="s">
        <v>290</v>
      </c>
      <c r="C528" s="9">
        <v>36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R528" s="9">
        <v>0</v>
      </c>
      <c r="S528" s="9">
        <v>0</v>
      </c>
      <c r="T528" s="9">
        <v>1</v>
      </c>
      <c r="U528" s="9">
        <v>0</v>
      </c>
      <c r="V528" s="9">
        <v>0</v>
      </c>
      <c r="W528" s="9">
        <v>1</v>
      </c>
      <c r="X528" s="9">
        <v>2</v>
      </c>
      <c r="AE528" s="9">
        <f>IFERROR(VLOOKUP($A528,pivot!$A:$G,計算式2026!AE$1,FALSE),0)</f>
        <v>0</v>
      </c>
      <c r="AF528" s="9">
        <f>IFERROR(VLOOKUP($A528,pivot!$A:$I,計算式2026!AF$1,FALSE),0)</f>
        <v>0</v>
      </c>
      <c r="AI528" s="9">
        <f>IFERROR(VLOOKUP($A528,pivot!$A:$I,計算式2026!AI$1,FALSE),0)</f>
        <v>0</v>
      </c>
      <c r="AJ528" s="9">
        <f>IFERROR(VLOOKUP($A528,pivot!$A:$I,計算式2026!AJ$1,FALSE),0)</f>
        <v>0</v>
      </c>
      <c r="AK528" s="9">
        <f>IFERROR(VLOOKUP($A528,pivot!$A:$I,計算式2026!AK$1,FALSE),0)</f>
        <v>0</v>
      </c>
      <c r="AL528" s="9">
        <f>IFERROR(VLOOKUP($A528,pivot!$A:$I,計算式2026!AL$1,FALSE),0)</f>
        <v>0</v>
      </c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</row>
    <row r="529" spans="1:59" s="9" customFormat="1">
      <c r="A529" s="8" t="s">
        <v>2040</v>
      </c>
      <c r="B529" s="8" t="s">
        <v>298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1</v>
      </c>
      <c r="AE529" s="9">
        <f>IFERROR(VLOOKUP($A529,pivot!$A:$G,計算式2026!AE$1,FALSE),0)</f>
        <v>0</v>
      </c>
      <c r="AF529" s="9">
        <f>IFERROR(VLOOKUP($A529,pivot!$A:$I,計算式2026!AF$1,FALSE),0)</f>
        <v>0</v>
      </c>
      <c r="AI529" s="9">
        <f>IFERROR(VLOOKUP($A529,pivot!$A:$I,計算式2026!AI$1,FALSE),0)</f>
        <v>0</v>
      </c>
      <c r="AJ529" s="9">
        <f>IFERROR(VLOOKUP($A529,pivot!$A:$I,計算式2026!AJ$1,FALSE),0)</f>
        <v>0</v>
      </c>
      <c r="AK529" s="9">
        <f>IFERROR(VLOOKUP($A529,pivot!$A:$I,計算式2026!AK$1,FALSE),0)</f>
        <v>0</v>
      </c>
      <c r="AL529" s="9">
        <f>IFERROR(VLOOKUP($A529,pivot!$A:$I,計算式2026!AL$1,FALSE),0)</f>
        <v>0</v>
      </c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</row>
    <row r="530" spans="1:59" s="9" customFormat="1">
      <c r="A530" s="8" t="s">
        <v>297</v>
      </c>
      <c r="B530" s="8" t="s">
        <v>298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R530" s="9">
        <v>0</v>
      </c>
      <c r="S530" s="9">
        <v>0</v>
      </c>
      <c r="T530" s="9">
        <v>2</v>
      </c>
      <c r="U530" s="9">
        <v>0</v>
      </c>
      <c r="V530" s="9">
        <v>0</v>
      </c>
      <c r="W530" s="9">
        <v>0</v>
      </c>
      <c r="X530" s="9">
        <v>1</v>
      </c>
      <c r="AE530" s="9">
        <f>IFERROR(VLOOKUP($A530,pivot!$A:$G,計算式2026!AE$1,FALSE),0)</f>
        <v>0</v>
      </c>
      <c r="AF530" s="9">
        <f>IFERROR(VLOOKUP($A530,pivot!$A:$I,計算式2026!AF$1,FALSE),0)</f>
        <v>0</v>
      </c>
      <c r="AI530" s="9">
        <f>IFERROR(VLOOKUP($A530,pivot!$A:$I,計算式2026!AI$1,FALSE),0)</f>
        <v>0</v>
      </c>
      <c r="AJ530" s="9">
        <f>IFERROR(VLOOKUP($A530,pivot!$A:$I,計算式2026!AJ$1,FALSE),0)</f>
        <v>0</v>
      </c>
      <c r="AK530" s="9">
        <f>IFERROR(VLOOKUP($A530,pivot!$A:$I,計算式2026!AK$1,FALSE),0)</f>
        <v>0</v>
      </c>
      <c r="AL530" s="9">
        <f>IFERROR(VLOOKUP($A530,pivot!$A:$I,計算式2026!AL$1,FALSE),0)</f>
        <v>0</v>
      </c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</row>
    <row r="531" spans="1:59" s="9" customFormat="1">
      <c r="A531" s="8" t="s">
        <v>299</v>
      </c>
      <c r="B531" s="8" t="s">
        <v>298</v>
      </c>
      <c r="C531" s="9">
        <v>9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R531" s="9">
        <v>0</v>
      </c>
      <c r="S531" s="9">
        <v>0</v>
      </c>
      <c r="T531" s="9">
        <v>2</v>
      </c>
      <c r="U531" s="9">
        <v>2</v>
      </c>
      <c r="V531" s="9">
        <v>0</v>
      </c>
      <c r="W531" s="9">
        <v>1</v>
      </c>
      <c r="X531" s="9">
        <v>1</v>
      </c>
      <c r="AE531" s="9">
        <f>IFERROR(VLOOKUP($A531,pivot!$A:$G,計算式2026!AE$1,FALSE),0)</f>
        <v>0</v>
      </c>
      <c r="AF531" s="9">
        <f>IFERROR(VLOOKUP($A531,pivot!$A:$I,計算式2026!AF$1,FALSE),0)</f>
        <v>0</v>
      </c>
      <c r="AI531" s="9">
        <f>IFERROR(VLOOKUP($A531,pivot!$A:$I,計算式2026!AI$1,FALSE),0)</f>
        <v>0</v>
      </c>
      <c r="AJ531" s="9">
        <f>IFERROR(VLOOKUP($A531,pivot!$A:$I,計算式2026!AJ$1,FALSE),0)</f>
        <v>0</v>
      </c>
      <c r="AK531" s="9">
        <f>IFERROR(VLOOKUP($A531,pivot!$A:$I,計算式2026!AK$1,FALSE),0)</f>
        <v>0</v>
      </c>
      <c r="AL531" s="9">
        <f>IFERROR(VLOOKUP($A531,pivot!$A:$I,計算式2026!AL$1,FALSE),0)</f>
        <v>0</v>
      </c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</row>
    <row r="532" spans="1:59" s="9" customFormat="1">
      <c r="A532" s="8" t="s">
        <v>300</v>
      </c>
      <c r="B532" s="8" t="s">
        <v>298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AE532" s="9">
        <f>IFERROR(VLOOKUP($A532,pivot!$A:$G,計算式2026!AE$1,FALSE),0)</f>
        <v>0</v>
      </c>
      <c r="AF532" s="9">
        <f>IFERROR(VLOOKUP($A532,pivot!$A:$I,計算式2026!AF$1,FALSE),0)</f>
        <v>0</v>
      </c>
      <c r="AI532" s="9">
        <f>IFERROR(VLOOKUP($A532,pivot!$A:$I,計算式2026!AI$1,FALSE),0)</f>
        <v>0</v>
      </c>
      <c r="AJ532" s="9">
        <f>IFERROR(VLOOKUP($A532,pivot!$A:$I,計算式2026!AJ$1,FALSE),0)</f>
        <v>0</v>
      </c>
      <c r="AK532" s="9">
        <f>IFERROR(VLOOKUP($A532,pivot!$A:$I,計算式2026!AK$1,FALSE),0)</f>
        <v>0</v>
      </c>
      <c r="AL532" s="9">
        <f>IFERROR(VLOOKUP($A532,pivot!$A:$I,計算式2026!AL$1,FALSE),0)</f>
        <v>0</v>
      </c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</row>
    <row r="533" spans="1:59" s="9" customFormat="1">
      <c r="A533" s="8" t="s">
        <v>301</v>
      </c>
      <c r="B533" s="8" t="s">
        <v>298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AE533" s="9">
        <f>IFERROR(VLOOKUP($A533,pivot!$A:$G,計算式2026!AE$1,FALSE),0)</f>
        <v>0</v>
      </c>
      <c r="AF533" s="9">
        <f>IFERROR(VLOOKUP($A533,pivot!$A:$I,計算式2026!AF$1,FALSE),0)</f>
        <v>0</v>
      </c>
      <c r="AI533" s="9">
        <f>IFERROR(VLOOKUP($A533,pivot!$A:$I,計算式2026!AI$1,FALSE),0)</f>
        <v>0</v>
      </c>
      <c r="AJ533" s="9">
        <f>IFERROR(VLOOKUP($A533,pivot!$A:$I,計算式2026!AJ$1,FALSE),0)</f>
        <v>0</v>
      </c>
      <c r="AK533" s="9">
        <f>IFERROR(VLOOKUP($A533,pivot!$A:$I,計算式2026!AK$1,FALSE),0)</f>
        <v>0</v>
      </c>
      <c r="AL533" s="9">
        <f>IFERROR(VLOOKUP($A533,pivot!$A:$I,計算式2026!AL$1,FALSE),0)</f>
        <v>0</v>
      </c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</row>
    <row r="534" spans="1:59" s="9" customFormat="1">
      <c r="A534" s="8" t="s">
        <v>2041</v>
      </c>
      <c r="B534" s="8" t="s">
        <v>298</v>
      </c>
      <c r="C534" s="9">
        <v>2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R534" s="9">
        <v>0</v>
      </c>
      <c r="S534" s="9">
        <v>0</v>
      </c>
      <c r="T534" s="9">
        <v>1</v>
      </c>
      <c r="U534" s="9">
        <v>2</v>
      </c>
      <c r="V534" s="9">
        <v>0</v>
      </c>
      <c r="W534" s="9">
        <v>1</v>
      </c>
      <c r="X534" s="9">
        <v>1</v>
      </c>
      <c r="AE534" s="9">
        <f>IFERROR(VLOOKUP($A534,pivot!$A:$G,計算式2026!AE$1,FALSE),0)</f>
        <v>0</v>
      </c>
      <c r="AF534" s="9">
        <f>IFERROR(VLOOKUP($A534,pivot!$A:$I,計算式2026!AF$1,FALSE),0)</f>
        <v>0</v>
      </c>
      <c r="AI534" s="9">
        <f>IFERROR(VLOOKUP($A534,pivot!$A:$I,計算式2026!AI$1,FALSE),0)</f>
        <v>0</v>
      </c>
      <c r="AJ534" s="9">
        <f>IFERROR(VLOOKUP($A534,pivot!$A:$I,計算式2026!AJ$1,FALSE),0)</f>
        <v>0</v>
      </c>
      <c r="AK534" s="9">
        <f>IFERROR(VLOOKUP($A534,pivot!$A:$I,計算式2026!AK$1,FALSE),0)</f>
        <v>0</v>
      </c>
      <c r="AL534" s="9">
        <f>IFERROR(VLOOKUP($A534,pivot!$A:$I,計算式2026!AL$1,FALSE),0)</f>
        <v>0</v>
      </c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</row>
    <row r="535" spans="1:59" s="9" customFormat="1">
      <c r="A535" s="8" t="s">
        <v>2042</v>
      </c>
      <c r="B535" s="8" t="s">
        <v>298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1</v>
      </c>
      <c r="AE535" s="9">
        <f>IFERROR(VLOOKUP($A535,pivot!$A:$G,計算式2026!AE$1,FALSE),0)</f>
        <v>0</v>
      </c>
      <c r="AF535" s="9">
        <f>IFERROR(VLOOKUP($A535,pivot!$A:$I,計算式2026!AF$1,FALSE),0)</f>
        <v>0</v>
      </c>
      <c r="AI535" s="9">
        <f>IFERROR(VLOOKUP($A535,pivot!$A:$I,計算式2026!AI$1,FALSE),0)</f>
        <v>0</v>
      </c>
      <c r="AJ535" s="9">
        <f>IFERROR(VLOOKUP($A535,pivot!$A:$I,計算式2026!AJ$1,FALSE),0)</f>
        <v>0</v>
      </c>
      <c r="AK535" s="9">
        <f>IFERROR(VLOOKUP($A535,pivot!$A:$I,計算式2026!AK$1,FALSE),0)</f>
        <v>0</v>
      </c>
      <c r="AL535" s="9">
        <f>IFERROR(VLOOKUP($A535,pivot!$A:$I,計算式2026!AL$1,FALSE),0)</f>
        <v>0</v>
      </c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</row>
    <row r="536" spans="1:59" s="9" customFormat="1">
      <c r="A536" s="8" t="s">
        <v>302</v>
      </c>
      <c r="B536" s="8" t="s">
        <v>298</v>
      </c>
      <c r="C536" s="9">
        <v>20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R536" s="9">
        <v>0</v>
      </c>
      <c r="S536" s="9">
        <v>0</v>
      </c>
      <c r="T536" s="9">
        <v>2</v>
      </c>
      <c r="U536" s="9">
        <v>2</v>
      </c>
      <c r="V536" s="9">
        <v>0</v>
      </c>
      <c r="W536" s="9">
        <v>1</v>
      </c>
      <c r="X536" s="9">
        <v>1</v>
      </c>
      <c r="AE536" s="9">
        <f>IFERROR(VLOOKUP($A536,pivot!$A:$G,計算式2026!AE$1,FALSE),0)</f>
        <v>0</v>
      </c>
      <c r="AF536" s="9">
        <f>IFERROR(VLOOKUP($A536,pivot!$A:$I,計算式2026!AF$1,FALSE),0)</f>
        <v>0</v>
      </c>
      <c r="AI536" s="9">
        <f>IFERROR(VLOOKUP($A536,pivot!$A:$I,計算式2026!AI$1,FALSE),0)</f>
        <v>0</v>
      </c>
      <c r="AJ536" s="9">
        <f>IFERROR(VLOOKUP($A536,pivot!$A:$I,計算式2026!AJ$1,FALSE),0)</f>
        <v>0</v>
      </c>
      <c r="AK536" s="9">
        <f>IFERROR(VLOOKUP($A536,pivot!$A:$I,計算式2026!AK$1,FALSE),0)</f>
        <v>0</v>
      </c>
      <c r="AL536" s="9">
        <f>IFERROR(VLOOKUP($A536,pivot!$A:$I,計算式2026!AL$1,FALSE),0)</f>
        <v>0</v>
      </c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</row>
    <row r="537" spans="1:59" s="9" customFormat="1">
      <c r="A537" s="8" t="s">
        <v>2043</v>
      </c>
      <c r="B537" s="8" t="s">
        <v>298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1</v>
      </c>
      <c r="AE537" s="9">
        <f>IFERROR(VLOOKUP($A537,pivot!$A:$G,計算式2026!AE$1,FALSE),0)</f>
        <v>0</v>
      </c>
      <c r="AF537" s="9">
        <f>IFERROR(VLOOKUP($A537,pivot!$A:$I,計算式2026!AF$1,FALSE),0)</f>
        <v>0</v>
      </c>
      <c r="AI537" s="9">
        <f>IFERROR(VLOOKUP($A537,pivot!$A:$I,計算式2026!AI$1,FALSE),0)</f>
        <v>0</v>
      </c>
      <c r="AJ537" s="9">
        <f>IFERROR(VLOOKUP($A537,pivot!$A:$I,計算式2026!AJ$1,FALSE),0)</f>
        <v>0</v>
      </c>
      <c r="AK537" s="9">
        <f>IFERROR(VLOOKUP($A537,pivot!$A:$I,計算式2026!AK$1,FALSE),0)</f>
        <v>0</v>
      </c>
      <c r="AL537" s="9">
        <f>IFERROR(VLOOKUP($A537,pivot!$A:$I,計算式2026!AL$1,FALSE),0)</f>
        <v>0</v>
      </c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</row>
    <row r="538" spans="1:59" s="9" customFormat="1">
      <c r="A538" s="8" t="s">
        <v>303</v>
      </c>
      <c r="B538" s="8" t="s">
        <v>298</v>
      </c>
      <c r="C538" s="9">
        <v>6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R538" s="9">
        <v>0</v>
      </c>
      <c r="S538" s="9">
        <v>0</v>
      </c>
      <c r="T538" s="9">
        <v>2</v>
      </c>
      <c r="U538" s="9">
        <v>1</v>
      </c>
      <c r="V538" s="9">
        <v>0</v>
      </c>
      <c r="W538" s="9">
        <v>0</v>
      </c>
      <c r="X538" s="9">
        <v>1</v>
      </c>
      <c r="AE538" s="9">
        <f>IFERROR(VLOOKUP($A538,pivot!$A:$G,計算式2026!AE$1,FALSE),0)</f>
        <v>0</v>
      </c>
      <c r="AF538" s="9">
        <f>IFERROR(VLOOKUP($A538,pivot!$A:$I,計算式2026!AF$1,FALSE),0)</f>
        <v>0</v>
      </c>
      <c r="AI538" s="9">
        <f>IFERROR(VLOOKUP($A538,pivot!$A:$I,計算式2026!AI$1,FALSE),0)</f>
        <v>0</v>
      </c>
      <c r="AJ538" s="9">
        <f>IFERROR(VLOOKUP($A538,pivot!$A:$I,計算式2026!AJ$1,FALSE),0)</f>
        <v>0</v>
      </c>
      <c r="AK538" s="9">
        <f>IFERROR(VLOOKUP($A538,pivot!$A:$I,計算式2026!AK$1,FALSE),0)</f>
        <v>0</v>
      </c>
      <c r="AL538" s="9">
        <f>IFERROR(VLOOKUP($A538,pivot!$A:$I,計算式2026!AL$1,FALSE),0)</f>
        <v>0</v>
      </c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</row>
    <row r="539" spans="1:59" s="9" customFormat="1">
      <c r="A539" s="8" t="s">
        <v>304</v>
      </c>
      <c r="B539" s="8" t="s">
        <v>298</v>
      </c>
      <c r="C539" s="9">
        <v>7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R539" s="9">
        <v>0</v>
      </c>
      <c r="S539" s="9">
        <v>0</v>
      </c>
      <c r="T539" s="9">
        <v>2</v>
      </c>
      <c r="U539" s="9">
        <v>2</v>
      </c>
      <c r="V539" s="9">
        <v>0</v>
      </c>
      <c r="W539" s="9">
        <v>1</v>
      </c>
      <c r="X539" s="9">
        <v>1</v>
      </c>
      <c r="AE539" s="9">
        <f>IFERROR(VLOOKUP($A539,pivot!$A:$G,計算式2026!AE$1,FALSE),0)</f>
        <v>0</v>
      </c>
      <c r="AF539" s="9">
        <f>IFERROR(VLOOKUP($A539,pivot!$A:$I,計算式2026!AF$1,FALSE),0)</f>
        <v>0</v>
      </c>
      <c r="AI539" s="9">
        <f>IFERROR(VLOOKUP($A539,pivot!$A:$I,計算式2026!AI$1,FALSE),0)</f>
        <v>0</v>
      </c>
      <c r="AJ539" s="9">
        <f>IFERROR(VLOOKUP($A539,pivot!$A:$I,計算式2026!AJ$1,FALSE),0)</f>
        <v>0</v>
      </c>
      <c r="AK539" s="9">
        <f>IFERROR(VLOOKUP($A539,pivot!$A:$I,計算式2026!AK$1,FALSE),0)</f>
        <v>0</v>
      </c>
      <c r="AL539" s="9">
        <f>IFERROR(VLOOKUP($A539,pivot!$A:$I,計算式2026!AL$1,FALSE),0)</f>
        <v>0</v>
      </c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</row>
    <row r="540" spans="1:59" s="9" customFormat="1">
      <c r="A540" s="8" t="s">
        <v>305</v>
      </c>
      <c r="B540" s="8" t="s">
        <v>298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R540" s="9">
        <v>0</v>
      </c>
      <c r="S540" s="9">
        <v>0</v>
      </c>
      <c r="T540" s="9">
        <v>1</v>
      </c>
      <c r="U540" s="9">
        <v>2</v>
      </c>
      <c r="V540" s="9">
        <v>0</v>
      </c>
      <c r="W540" s="9">
        <v>1</v>
      </c>
      <c r="X540" s="9">
        <v>1</v>
      </c>
      <c r="AE540" s="9">
        <f>IFERROR(VLOOKUP($A540,pivot!$A:$G,計算式2026!AE$1,FALSE),0)</f>
        <v>0</v>
      </c>
      <c r="AF540" s="9">
        <f>IFERROR(VLOOKUP($A540,pivot!$A:$I,計算式2026!AF$1,FALSE),0)</f>
        <v>0</v>
      </c>
      <c r="AI540" s="9">
        <f>IFERROR(VLOOKUP($A540,pivot!$A:$I,計算式2026!AI$1,FALSE),0)</f>
        <v>0</v>
      </c>
      <c r="AJ540" s="9">
        <f>IFERROR(VLOOKUP($A540,pivot!$A:$I,計算式2026!AJ$1,FALSE),0)</f>
        <v>0</v>
      </c>
      <c r="AK540" s="9">
        <f>IFERROR(VLOOKUP($A540,pivot!$A:$I,計算式2026!AK$1,FALSE),0)</f>
        <v>0</v>
      </c>
      <c r="AL540" s="9">
        <f>IFERROR(VLOOKUP($A540,pivot!$A:$I,計算式2026!AL$1,FALSE),0)</f>
        <v>0</v>
      </c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</row>
    <row r="541" spans="1:59" s="9" customFormat="1">
      <c r="A541" s="8" t="s">
        <v>306</v>
      </c>
      <c r="B541" s="8" t="s">
        <v>298</v>
      </c>
      <c r="C541" s="9">
        <v>18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R541" s="9">
        <v>0</v>
      </c>
      <c r="S541" s="9">
        <v>0</v>
      </c>
      <c r="T541" s="9">
        <v>1</v>
      </c>
      <c r="U541" s="9">
        <v>2</v>
      </c>
      <c r="V541" s="9">
        <v>0</v>
      </c>
      <c r="W541" s="9">
        <v>1</v>
      </c>
      <c r="X541" s="9">
        <v>1</v>
      </c>
      <c r="AE541" s="9">
        <f>IFERROR(VLOOKUP($A541,pivot!$A:$G,計算式2026!AE$1,FALSE),0)</f>
        <v>0</v>
      </c>
      <c r="AF541" s="9">
        <f>IFERROR(VLOOKUP($A541,pivot!$A:$I,計算式2026!AF$1,FALSE),0)</f>
        <v>0</v>
      </c>
      <c r="AI541" s="9">
        <f>IFERROR(VLOOKUP($A541,pivot!$A:$I,計算式2026!AI$1,FALSE),0)</f>
        <v>0</v>
      </c>
      <c r="AJ541" s="9">
        <f>IFERROR(VLOOKUP($A541,pivot!$A:$I,計算式2026!AJ$1,FALSE),0)</f>
        <v>0</v>
      </c>
      <c r="AK541" s="9">
        <f>IFERROR(VLOOKUP($A541,pivot!$A:$I,計算式2026!AK$1,FALSE),0)</f>
        <v>0</v>
      </c>
      <c r="AL541" s="9">
        <f>IFERROR(VLOOKUP($A541,pivot!$A:$I,計算式2026!AL$1,FALSE),0)</f>
        <v>0</v>
      </c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</row>
    <row r="542" spans="1:59" s="9" customFormat="1">
      <c r="A542" s="8" t="s">
        <v>307</v>
      </c>
      <c r="B542" s="8" t="s">
        <v>308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R542" s="9">
        <v>0</v>
      </c>
      <c r="S542" s="9">
        <v>0</v>
      </c>
      <c r="T542" s="9">
        <v>0</v>
      </c>
      <c r="U542" s="9">
        <v>1</v>
      </c>
      <c r="V542" s="9">
        <v>2</v>
      </c>
      <c r="W542" s="9">
        <v>0</v>
      </c>
      <c r="X542" s="9">
        <v>0</v>
      </c>
      <c r="AE542" s="9">
        <f>IFERROR(VLOOKUP($A542,pivot!$A:$G,計算式2026!AE$1,FALSE),0)</f>
        <v>0</v>
      </c>
      <c r="AF542" s="9">
        <f>IFERROR(VLOOKUP($A542,pivot!$A:$I,計算式2026!AF$1,FALSE),0)</f>
        <v>1</v>
      </c>
      <c r="AI542" s="9">
        <f>IFERROR(VLOOKUP($A542,pivot!$A:$I,計算式2026!AI$1,FALSE),0)</f>
        <v>0</v>
      </c>
      <c r="AJ542" s="9">
        <f>IFERROR(VLOOKUP($A542,pivot!$A:$I,計算式2026!AJ$1,FALSE),0)</f>
        <v>0</v>
      </c>
      <c r="AK542" s="9">
        <f>IFERROR(VLOOKUP($A542,pivot!$A:$I,計算式2026!AK$1,FALSE),0)</f>
        <v>1</v>
      </c>
      <c r="AL542" s="9">
        <f>IFERROR(VLOOKUP($A542,pivot!$A:$I,計算式2026!AL$1,FALSE),0)</f>
        <v>0</v>
      </c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</row>
    <row r="543" spans="1:59" s="9" customFormat="1">
      <c r="A543" s="8" t="s">
        <v>309</v>
      </c>
      <c r="B543" s="8" t="s">
        <v>308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R543" s="9">
        <v>1</v>
      </c>
      <c r="S543" s="9">
        <v>1</v>
      </c>
      <c r="T543" s="9">
        <v>0</v>
      </c>
      <c r="U543" s="9">
        <v>1</v>
      </c>
      <c r="V543" s="9">
        <v>2</v>
      </c>
      <c r="W543" s="9">
        <v>0</v>
      </c>
      <c r="X543" s="9">
        <v>1</v>
      </c>
      <c r="AE543" s="9">
        <f>IFERROR(VLOOKUP($A543,pivot!$A:$G,計算式2026!AE$1,FALSE),0)</f>
        <v>0</v>
      </c>
      <c r="AF543" s="9">
        <f>IFERROR(VLOOKUP($A543,pivot!$A:$I,計算式2026!AF$1,FALSE),0)</f>
        <v>0</v>
      </c>
      <c r="AI543" s="9">
        <f>IFERROR(VLOOKUP($A543,pivot!$A:$I,計算式2026!AI$1,FALSE),0)</f>
        <v>0</v>
      </c>
      <c r="AJ543" s="9">
        <f>IFERROR(VLOOKUP($A543,pivot!$A:$I,計算式2026!AJ$1,FALSE),0)</f>
        <v>0</v>
      </c>
      <c r="AK543" s="9">
        <f>IFERROR(VLOOKUP($A543,pivot!$A:$I,計算式2026!AK$1,FALSE),0)</f>
        <v>0</v>
      </c>
      <c r="AL543" s="9">
        <f>IFERROR(VLOOKUP($A543,pivot!$A:$I,計算式2026!AL$1,FALSE),0)</f>
        <v>0</v>
      </c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</row>
    <row r="544" spans="1:59" s="9" customFormat="1">
      <c r="A544" s="8" t="s">
        <v>310</v>
      </c>
      <c r="B544" s="8" t="s">
        <v>308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R544" s="9">
        <v>0</v>
      </c>
      <c r="S544" s="9">
        <v>1</v>
      </c>
      <c r="T544" s="9">
        <v>0</v>
      </c>
      <c r="U544" s="9">
        <v>1</v>
      </c>
      <c r="V544" s="9">
        <v>1</v>
      </c>
      <c r="W544" s="9">
        <v>1</v>
      </c>
      <c r="X544" s="9">
        <v>0</v>
      </c>
      <c r="AE544" s="9">
        <f>IFERROR(VLOOKUP($A544,pivot!$A:$G,計算式2026!AE$1,FALSE),0)</f>
        <v>0</v>
      </c>
      <c r="AF544" s="9">
        <f>IFERROR(VLOOKUP($A544,pivot!$A:$I,計算式2026!AF$1,FALSE),0)</f>
        <v>0</v>
      </c>
      <c r="AI544" s="9">
        <f>IFERROR(VLOOKUP($A544,pivot!$A:$I,計算式2026!AI$1,FALSE),0)</f>
        <v>0</v>
      </c>
      <c r="AJ544" s="9">
        <f>IFERROR(VLOOKUP($A544,pivot!$A:$I,計算式2026!AJ$1,FALSE),0)</f>
        <v>0</v>
      </c>
      <c r="AK544" s="9">
        <f>IFERROR(VLOOKUP($A544,pivot!$A:$I,計算式2026!AK$1,FALSE),0)</f>
        <v>0</v>
      </c>
      <c r="AL544" s="9">
        <f>IFERROR(VLOOKUP($A544,pivot!$A:$I,計算式2026!AL$1,FALSE),0)</f>
        <v>0</v>
      </c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</row>
    <row r="545" spans="1:59" s="9" customFormat="1">
      <c r="A545" s="8" t="s">
        <v>311</v>
      </c>
      <c r="B545" s="8" t="s">
        <v>308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AE545" s="9">
        <f>IFERROR(VLOOKUP($A545,pivot!$A:$G,計算式2026!AE$1,FALSE),0)</f>
        <v>0</v>
      </c>
      <c r="AF545" s="9">
        <f>IFERROR(VLOOKUP($A545,pivot!$A:$I,計算式2026!AF$1,FALSE),0)</f>
        <v>0</v>
      </c>
      <c r="AI545" s="9">
        <f>IFERROR(VLOOKUP($A545,pivot!$A:$I,計算式2026!AI$1,FALSE),0)</f>
        <v>0</v>
      </c>
      <c r="AJ545" s="9">
        <f>IFERROR(VLOOKUP($A545,pivot!$A:$I,計算式2026!AJ$1,FALSE),0)</f>
        <v>0</v>
      </c>
      <c r="AK545" s="9">
        <f>IFERROR(VLOOKUP($A545,pivot!$A:$I,計算式2026!AK$1,FALSE),0)</f>
        <v>0</v>
      </c>
      <c r="AL545" s="9">
        <f>IFERROR(VLOOKUP($A545,pivot!$A:$I,計算式2026!AL$1,FALSE),0)</f>
        <v>0</v>
      </c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</row>
    <row r="546" spans="1:59" s="9" customFormat="1">
      <c r="A546" s="8" t="s">
        <v>312</v>
      </c>
      <c r="B546" s="8" t="s">
        <v>308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R546" s="9">
        <v>0</v>
      </c>
      <c r="S546" s="9">
        <v>0</v>
      </c>
      <c r="T546" s="9">
        <v>0</v>
      </c>
      <c r="U546" s="9">
        <v>1</v>
      </c>
      <c r="V546" s="9">
        <v>0</v>
      </c>
      <c r="W546" s="9">
        <v>0</v>
      </c>
      <c r="X546" s="9">
        <v>0</v>
      </c>
      <c r="AE546" s="9">
        <f>IFERROR(VLOOKUP($A546,pivot!$A:$G,計算式2026!AE$1,FALSE),0)</f>
        <v>0</v>
      </c>
      <c r="AF546" s="9">
        <f>IFERROR(VLOOKUP($A546,pivot!$A:$I,計算式2026!AF$1,FALSE),0)</f>
        <v>0</v>
      </c>
      <c r="AI546" s="9">
        <f>IFERROR(VLOOKUP($A546,pivot!$A:$I,計算式2026!AI$1,FALSE),0)</f>
        <v>0</v>
      </c>
      <c r="AJ546" s="9">
        <f>IFERROR(VLOOKUP($A546,pivot!$A:$I,計算式2026!AJ$1,FALSE),0)</f>
        <v>0</v>
      </c>
      <c r="AK546" s="9">
        <f>IFERROR(VLOOKUP($A546,pivot!$A:$I,計算式2026!AK$1,FALSE),0)</f>
        <v>0</v>
      </c>
      <c r="AL546" s="9">
        <f>IFERROR(VLOOKUP($A546,pivot!$A:$I,計算式2026!AL$1,FALSE),0)</f>
        <v>0</v>
      </c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</row>
    <row r="547" spans="1:59" s="9" customFormat="1">
      <c r="A547" s="8" t="s">
        <v>313</v>
      </c>
      <c r="B547" s="8" t="s">
        <v>308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R547" s="9">
        <v>1</v>
      </c>
      <c r="S547" s="9">
        <v>1</v>
      </c>
      <c r="T547" s="9">
        <v>0</v>
      </c>
      <c r="U547" s="9">
        <v>0</v>
      </c>
      <c r="V547" s="9">
        <v>1</v>
      </c>
      <c r="W547" s="9">
        <v>0</v>
      </c>
      <c r="X547" s="9">
        <v>1</v>
      </c>
      <c r="AE547" s="9">
        <f>IFERROR(VLOOKUP($A547,pivot!$A:$G,計算式2026!AE$1,FALSE),0)</f>
        <v>0</v>
      </c>
      <c r="AF547" s="9">
        <f>IFERROR(VLOOKUP($A547,pivot!$A:$I,計算式2026!AF$1,FALSE),0)</f>
        <v>0</v>
      </c>
      <c r="AI547" s="9">
        <f>IFERROR(VLOOKUP($A547,pivot!$A:$I,計算式2026!AI$1,FALSE),0)</f>
        <v>0</v>
      </c>
      <c r="AJ547" s="9">
        <f>IFERROR(VLOOKUP($A547,pivot!$A:$I,計算式2026!AJ$1,FALSE),0)</f>
        <v>0</v>
      </c>
      <c r="AK547" s="9">
        <f>IFERROR(VLOOKUP($A547,pivot!$A:$I,計算式2026!AK$1,FALSE),0)</f>
        <v>0</v>
      </c>
      <c r="AL547" s="9">
        <f>IFERROR(VLOOKUP($A547,pivot!$A:$I,計算式2026!AL$1,FALSE),0)</f>
        <v>0</v>
      </c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</row>
    <row r="548" spans="1:59" s="9" customFormat="1">
      <c r="A548" s="8" t="s">
        <v>314</v>
      </c>
      <c r="B548" s="8" t="s">
        <v>308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R548" s="9">
        <v>1</v>
      </c>
      <c r="S548" s="9">
        <v>0</v>
      </c>
      <c r="T548" s="9">
        <v>0</v>
      </c>
      <c r="U548" s="9">
        <v>0</v>
      </c>
      <c r="V548" s="9">
        <v>1</v>
      </c>
      <c r="W548" s="9">
        <v>1</v>
      </c>
      <c r="X548" s="9">
        <v>0</v>
      </c>
      <c r="AE548" s="9">
        <f>IFERROR(VLOOKUP($A548,pivot!$A:$G,計算式2026!AE$1,FALSE),0)</f>
        <v>0</v>
      </c>
      <c r="AF548" s="9">
        <f>IFERROR(VLOOKUP($A548,pivot!$A:$I,計算式2026!AF$1,FALSE),0)</f>
        <v>0</v>
      </c>
      <c r="AI548" s="9">
        <f>IFERROR(VLOOKUP($A548,pivot!$A:$I,計算式2026!AI$1,FALSE),0)</f>
        <v>0</v>
      </c>
      <c r="AJ548" s="9">
        <f>IFERROR(VLOOKUP($A548,pivot!$A:$I,計算式2026!AJ$1,FALSE),0)</f>
        <v>0</v>
      </c>
      <c r="AK548" s="9">
        <f>IFERROR(VLOOKUP($A548,pivot!$A:$I,計算式2026!AK$1,FALSE),0)</f>
        <v>0</v>
      </c>
      <c r="AL548" s="9">
        <f>IFERROR(VLOOKUP($A548,pivot!$A:$I,計算式2026!AL$1,FALSE),0)</f>
        <v>0</v>
      </c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</row>
    <row r="549" spans="1:59" s="9" customFormat="1">
      <c r="A549" s="8" t="s">
        <v>315</v>
      </c>
      <c r="B549" s="8" t="s">
        <v>316</v>
      </c>
      <c r="C549" s="9">
        <v>57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R549" s="9">
        <v>2</v>
      </c>
      <c r="S549" s="9">
        <v>2</v>
      </c>
      <c r="T549" s="9">
        <v>1</v>
      </c>
      <c r="U549" s="9">
        <v>2</v>
      </c>
      <c r="V549" s="9">
        <v>2</v>
      </c>
      <c r="W549" s="9">
        <v>1</v>
      </c>
      <c r="X549" s="9">
        <v>1</v>
      </c>
      <c r="AE549" s="9">
        <f>IFERROR(VLOOKUP($A549,pivot!$A:$G,計算式2026!AE$1,FALSE),0)</f>
        <v>0</v>
      </c>
      <c r="AF549" s="9">
        <f>IFERROR(VLOOKUP($A549,pivot!$A:$I,計算式2026!AF$1,FALSE),0)</f>
        <v>0</v>
      </c>
      <c r="AI549" s="9">
        <f>IFERROR(VLOOKUP($A549,pivot!$A:$I,計算式2026!AI$1,FALSE),0)</f>
        <v>0</v>
      </c>
      <c r="AJ549" s="9">
        <f>IFERROR(VLOOKUP($A549,pivot!$A:$I,計算式2026!AJ$1,FALSE),0)</f>
        <v>0</v>
      </c>
      <c r="AK549" s="9">
        <f>IFERROR(VLOOKUP($A549,pivot!$A:$I,計算式2026!AK$1,FALSE),0)</f>
        <v>0</v>
      </c>
      <c r="AL549" s="9">
        <f>IFERROR(VLOOKUP($A549,pivot!$A:$I,計算式2026!AL$1,FALSE),0)</f>
        <v>0</v>
      </c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</row>
    <row r="550" spans="1:59" s="9" customFormat="1">
      <c r="A550" s="8" t="s">
        <v>317</v>
      </c>
      <c r="B550" s="8" t="s">
        <v>316</v>
      </c>
      <c r="C550" s="9">
        <v>1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1</v>
      </c>
      <c r="AE550" s="9">
        <f>IFERROR(VLOOKUP($A550,pivot!$A:$G,計算式2026!AE$1,FALSE),0)</f>
        <v>0</v>
      </c>
      <c r="AF550" s="9">
        <f>IFERROR(VLOOKUP($A550,pivot!$A:$I,計算式2026!AF$1,FALSE),0)</f>
        <v>0</v>
      </c>
      <c r="AI550" s="9">
        <f>IFERROR(VLOOKUP($A550,pivot!$A:$I,計算式2026!AI$1,FALSE),0)</f>
        <v>0</v>
      </c>
      <c r="AJ550" s="9">
        <f>IFERROR(VLOOKUP($A550,pivot!$A:$I,計算式2026!AJ$1,FALSE),0)</f>
        <v>0</v>
      </c>
      <c r="AK550" s="9">
        <f>IFERROR(VLOOKUP($A550,pivot!$A:$I,計算式2026!AK$1,FALSE),0)</f>
        <v>0</v>
      </c>
      <c r="AL550" s="9">
        <f>IFERROR(VLOOKUP($A550,pivot!$A:$I,計算式2026!AL$1,FALSE),0)</f>
        <v>0</v>
      </c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</row>
    <row r="551" spans="1:59" s="9" customFormat="1">
      <c r="A551" s="8" t="s">
        <v>318</v>
      </c>
      <c r="B551" s="8" t="s">
        <v>316</v>
      </c>
      <c r="C551" s="9">
        <v>8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R551" s="9">
        <v>2</v>
      </c>
      <c r="S551" s="9">
        <v>2</v>
      </c>
      <c r="T551" s="9">
        <v>2</v>
      </c>
      <c r="U551" s="9">
        <v>2</v>
      </c>
      <c r="V551" s="9">
        <v>2</v>
      </c>
      <c r="W551" s="9">
        <v>1</v>
      </c>
      <c r="X551" s="9">
        <v>1</v>
      </c>
      <c r="AE551" s="9">
        <f>IFERROR(VLOOKUP($A551,pivot!$A:$G,計算式2026!AE$1,FALSE),0)</f>
        <v>0</v>
      </c>
      <c r="AF551" s="9">
        <f>IFERROR(VLOOKUP($A551,pivot!$A:$I,計算式2026!AF$1,FALSE),0)</f>
        <v>0</v>
      </c>
      <c r="AI551" s="9">
        <f>IFERROR(VLOOKUP($A551,pivot!$A:$I,計算式2026!AI$1,FALSE),0)</f>
        <v>0</v>
      </c>
      <c r="AJ551" s="9">
        <f>IFERROR(VLOOKUP($A551,pivot!$A:$I,計算式2026!AJ$1,FALSE),0)</f>
        <v>0</v>
      </c>
      <c r="AK551" s="9">
        <f>IFERROR(VLOOKUP($A551,pivot!$A:$I,計算式2026!AK$1,FALSE),0)</f>
        <v>0</v>
      </c>
      <c r="AL551" s="9">
        <f>IFERROR(VLOOKUP($A551,pivot!$A:$I,計算式2026!AL$1,FALSE),0)</f>
        <v>0</v>
      </c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</row>
    <row r="552" spans="1:59" s="9" customFormat="1">
      <c r="A552" s="8" t="s">
        <v>319</v>
      </c>
      <c r="B552" s="8" t="s">
        <v>316</v>
      </c>
      <c r="C552" s="9">
        <v>34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R552" s="9">
        <v>2</v>
      </c>
      <c r="S552" s="9">
        <v>2</v>
      </c>
      <c r="T552" s="9">
        <v>2</v>
      </c>
      <c r="U552" s="9">
        <v>2</v>
      </c>
      <c r="V552" s="9">
        <v>3</v>
      </c>
      <c r="W552" s="9">
        <v>1</v>
      </c>
      <c r="X552" s="9">
        <v>1</v>
      </c>
      <c r="AE552" s="9">
        <f>IFERROR(VLOOKUP($A552,pivot!$A:$G,計算式2026!AE$1,FALSE),0)</f>
        <v>0</v>
      </c>
      <c r="AF552" s="9">
        <f>IFERROR(VLOOKUP($A552,pivot!$A:$I,計算式2026!AF$1,FALSE),0)</f>
        <v>0</v>
      </c>
      <c r="AI552" s="9">
        <f>IFERROR(VLOOKUP($A552,pivot!$A:$I,計算式2026!AI$1,FALSE),0)</f>
        <v>0</v>
      </c>
      <c r="AJ552" s="9">
        <f>IFERROR(VLOOKUP($A552,pivot!$A:$I,計算式2026!AJ$1,FALSE),0)</f>
        <v>0</v>
      </c>
      <c r="AK552" s="9">
        <f>IFERROR(VLOOKUP($A552,pivot!$A:$I,計算式2026!AK$1,FALSE),0)</f>
        <v>0</v>
      </c>
      <c r="AL552" s="9">
        <f>IFERROR(VLOOKUP($A552,pivot!$A:$I,計算式2026!AL$1,FALSE),0)</f>
        <v>0</v>
      </c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</row>
    <row r="553" spans="1:59" s="9" customFormat="1">
      <c r="A553" s="8" t="s">
        <v>320</v>
      </c>
      <c r="B553" s="8" t="s">
        <v>316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R553" s="9">
        <v>2</v>
      </c>
      <c r="S553" s="9">
        <v>2</v>
      </c>
      <c r="T553" s="9">
        <v>1</v>
      </c>
      <c r="U553" s="9">
        <v>2</v>
      </c>
      <c r="V553" s="9">
        <v>1</v>
      </c>
      <c r="W553" s="9">
        <v>0</v>
      </c>
      <c r="X553" s="9">
        <v>1</v>
      </c>
      <c r="AE553" s="9">
        <f>IFERROR(VLOOKUP($A553,pivot!$A:$G,計算式2026!AE$1,FALSE),0)</f>
        <v>0</v>
      </c>
      <c r="AF553" s="9">
        <f>IFERROR(VLOOKUP($A553,pivot!$A:$I,計算式2026!AF$1,FALSE),0)</f>
        <v>0</v>
      </c>
      <c r="AI553" s="9">
        <f>IFERROR(VLOOKUP($A553,pivot!$A:$I,計算式2026!AI$1,FALSE),0)</f>
        <v>0</v>
      </c>
      <c r="AJ553" s="9">
        <f>IFERROR(VLOOKUP($A553,pivot!$A:$I,計算式2026!AJ$1,FALSE),0)</f>
        <v>0</v>
      </c>
      <c r="AK553" s="9">
        <f>IFERROR(VLOOKUP($A553,pivot!$A:$I,計算式2026!AK$1,FALSE),0)</f>
        <v>0</v>
      </c>
      <c r="AL553" s="9">
        <f>IFERROR(VLOOKUP($A553,pivot!$A:$I,計算式2026!AL$1,FALSE),0)</f>
        <v>0</v>
      </c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</row>
    <row r="554" spans="1:59" s="9" customFormat="1">
      <c r="A554" s="8" t="s">
        <v>321</v>
      </c>
      <c r="B554" s="8" t="s">
        <v>316</v>
      </c>
      <c r="C554" s="9">
        <v>2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R554" s="9">
        <v>2</v>
      </c>
      <c r="S554" s="9">
        <v>2</v>
      </c>
      <c r="T554" s="9">
        <v>1</v>
      </c>
      <c r="U554" s="9">
        <v>2</v>
      </c>
      <c r="V554" s="9">
        <v>2</v>
      </c>
      <c r="W554" s="9">
        <v>1</v>
      </c>
      <c r="X554" s="9">
        <v>1</v>
      </c>
      <c r="AE554" s="9">
        <f>IFERROR(VLOOKUP($A554,pivot!$A:$G,計算式2026!AE$1,FALSE),0)</f>
        <v>0</v>
      </c>
      <c r="AF554" s="9">
        <f>IFERROR(VLOOKUP($A554,pivot!$A:$I,計算式2026!AF$1,FALSE),0)</f>
        <v>0</v>
      </c>
      <c r="AI554" s="9">
        <f>IFERROR(VLOOKUP($A554,pivot!$A:$I,計算式2026!AI$1,FALSE),0)</f>
        <v>0</v>
      </c>
      <c r="AJ554" s="9">
        <f>IFERROR(VLOOKUP($A554,pivot!$A:$I,計算式2026!AJ$1,FALSE),0)</f>
        <v>0</v>
      </c>
      <c r="AK554" s="9">
        <f>IFERROR(VLOOKUP($A554,pivot!$A:$I,計算式2026!AK$1,FALSE),0)</f>
        <v>0</v>
      </c>
      <c r="AL554" s="9">
        <f>IFERROR(VLOOKUP($A554,pivot!$A:$I,計算式2026!AL$1,FALSE),0)</f>
        <v>0</v>
      </c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</row>
    <row r="555" spans="1:59" s="9" customFormat="1">
      <c r="A555" s="8" t="s">
        <v>322</v>
      </c>
      <c r="B555" s="8" t="s">
        <v>316</v>
      </c>
      <c r="C555" s="9">
        <v>43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R555" s="9">
        <v>2</v>
      </c>
      <c r="S555" s="9">
        <v>2</v>
      </c>
      <c r="T555" s="9">
        <v>2</v>
      </c>
      <c r="U555" s="9">
        <v>2</v>
      </c>
      <c r="V555" s="9">
        <v>2</v>
      </c>
      <c r="W555" s="9">
        <v>2</v>
      </c>
      <c r="X555" s="9">
        <v>1</v>
      </c>
      <c r="AE555" s="9">
        <f>IFERROR(VLOOKUP($A555,pivot!$A:$G,計算式2026!AE$1,FALSE),0)</f>
        <v>0</v>
      </c>
      <c r="AF555" s="9">
        <f>IFERROR(VLOOKUP($A555,pivot!$A:$I,計算式2026!AF$1,FALSE),0)</f>
        <v>0</v>
      </c>
      <c r="AI555" s="9">
        <f>IFERROR(VLOOKUP($A555,pivot!$A:$I,計算式2026!AI$1,FALSE),0)</f>
        <v>0</v>
      </c>
      <c r="AJ555" s="9">
        <f>IFERROR(VLOOKUP($A555,pivot!$A:$I,計算式2026!AJ$1,FALSE),0)</f>
        <v>0</v>
      </c>
      <c r="AK555" s="9">
        <f>IFERROR(VLOOKUP($A555,pivot!$A:$I,計算式2026!AK$1,FALSE),0)</f>
        <v>0</v>
      </c>
      <c r="AL555" s="9">
        <f>IFERROR(VLOOKUP($A555,pivot!$A:$I,計算式2026!AL$1,FALSE),0)</f>
        <v>0</v>
      </c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</row>
    <row r="556" spans="1:59" s="9" customFormat="1">
      <c r="A556" s="8" t="s">
        <v>323</v>
      </c>
      <c r="B556" s="8" t="s">
        <v>316</v>
      </c>
      <c r="C556" s="9">
        <v>22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R556" s="9">
        <v>2</v>
      </c>
      <c r="S556" s="9">
        <v>3</v>
      </c>
      <c r="T556" s="9">
        <v>1</v>
      </c>
      <c r="U556" s="9">
        <v>2</v>
      </c>
      <c r="V556" s="9">
        <v>4</v>
      </c>
      <c r="W556" s="9">
        <v>1</v>
      </c>
      <c r="X556" s="9">
        <v>1</v>
      </c>
      <c r="AE556" s="9">
        <f>IFERROR(VLOOKUP($A556,pivot!$A:$G,計算式2026!AE$1,FALSE),0)</f>
        <v>0</v>
      </c>
      <c r="AF556" s="9">
        <f>IFERROR(VLOOKUP($A556,pivot!$A:$I,計算式2026!AF$1,FALSE),0)</f>
        <v>0</v>
      </c>
      <c r="AI556" s="9">
        <f>IFERROR(VLOOKUP($A556,pivot!$A:$I,計算式2026!AI$1,FALSE),0)</f>
        <v>0</v>
      </c>
      <c r="AJ556" s="9">
        <f>IFERROR(VLOOKUP($A556,pivot!$A:$I,計算式2026!AJ$1,FALSE),0)</f>
        <v>0</v>
      </c>
      <c r="AK556" s="9">
        <f>IFERROR(VLOOKUP($A556,pivot!$A:$I,計算式2026!AK$1,FALSE),0)</f>
        <v>0</v>
      </c>
      <c r="AL556" s="9">
        <f>IFERROR(VLOOKUP($A556,pivot!$A:$I,計算式2026!AL$1,FALSE),0)</f>
        <v>0</v>
      </c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</row>
    <row r="557" spans="1:59" s="9" customFormat="1">
      <c r="A557" s="8" t="s">
        <v>324</v>
      </c>
      <c r="B557" s="8" t="s">
        <v>316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R557" s="9">
        <v>0</v>
      </c>
      <c r="S557" s="9">
        <v>2</v>
      </c>
      <c r="T557" s="9">
        <v>0</v>
      </c>
      <c r="U557" s="9">
        <v>1</v>
      </c>
      <c r="V557" s="9">
        <v>3</v>
      </c>
      <c r="W557" s="9">
        <v>0</v>
      </c>
      <c r="X557" s="9">
        <v>0</v>
      </c>
      <c r="AE557" s="9">
        <f>IFERROR(VLOOKUP($A557,pivot!$A:$G,計算式2026!AE$1,FALSE),0)</f>
        <v>0</v>
      </c>
      <c r="AF557" s="9">
        <f>IFERROR(VLOOKUP($A557,pivot!$A:$I,計算式2026!AF$1,FALSE),0)</f>
        <v>0</v>
      </c>
      <c r="AI557" s="9">
        <f>IFERROR(VLOOKUP($A557,pivot!$A:$I,計算式2026!AI$1,FALSE),0)</f>
        <v>0</v>
      </c>
      <c r="AJ557" s="9">
        <f>IFERROR(VLOOKUP($A557,pivot!$A:$I,計算式2026!AJ$1,FALSE),0)</f>
        <v>0</v>
      </c>
      <c r="AK557" s="9">
        <f>IFERROR(VLOOKUP($A557,pivot!$A:$I,計算式2026!AK$1,FALSE),0)</f>
        <v>0</v>
      </c>
      <c r="AL557" s="9">
        <f>IFERROR(VLOOKUP($A557,pivot!$A:$I,計算式2026!AL$1,FALSE),0)</f>
        <v>0</v>
      </c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</row>
    <row r="558" spans="1:59" s="9" customFormat="1">
      <c r="A558" s="8" t="s">
        <v>325</v>
      </c>
      <c r="B558" s="8" t="s">
        <v>326</v>
      </c>
      <c r="C558" s="9">
        <v>2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R558" s="9">
        <v>1</v>
      </c>
      <c r="S558" s="9">
        <v>2</v>
      </c>
      <c r="T558" s="9">
        <v>1</v>
      </c>
      <c r="U558" s="9">
        <v>2</v>
      </c>
      <c r="V558" s="9">
        <v>2</v>
      </c>
      <c r="W558" s="9">
        <v>0</v>
      </c>
      <c r="X558" s="9">
        <v>0</v>
      </c>
      <c r="AE558" s="9">
        <f>IFERROR(VLOOKUP($A558,pivot!$A:$G,計算式2026!AE$1,FALSE),0)</f>
        <v>0</v>
      </c>
      <c r="AF558" s="9">
        <f>IFERROR(VLOOKUP($A558,pivot!$A:$I,計算式2026!AF$1,FALSE),0)</f>
        <v>0</v>
      </c>
      <c r="AI558" s="9">
        <f>IFERROR(VLOOKUP($A558,pivot!$A:$I,計算式2026!AI$1,FALSE),0)</f>
        <v>0</v>
      </c>
      <c r="AJ558" s="9">
        <f>IFERROR(VLOOKUP($A558,pivot!$A:$I,計算式2026!AJ$1,FALSE),0)</f>
        <v>0</v>
      </c>
      <c r="AK558" s="9">
        <f>IFERROR(VLOOKUP($A558,pivot!$A:$I,計算式2026!AK$1,FALSE),0)</f>
        <v>0</v>
      </c>
      <c r="AL558" s="9">
        <f>IFERROR(VLOOKUP($A558,pivot!$A:$I,計算式2026!AL$1,FALSE),0)</f>
        <v>0</v>
      </c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</row>
    <row r="559" spans="1:59" s="9" customFormat="1">
      <c r="A559" s="8" t="s">
        <v>2738</v>
      </c>
      <c r="B559" s="8" t="s">
        <v>326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R559" s="9">
        <v>1</v>
      </c>
      <c r="S559" s="9">
        <v>1</v>
      </c>
      <c r="T559" s="9">
        <v>0</v>
      </c>
      <c r="U559" s="9">
        <v>2</v>
      </c>
      <c r="V559" s="9">
        <v>2</v>
      </c>
      <c r="W559" s="9">
        <v>0</v>
      </c>
      <c r="X559" s="9">
        <v>0</v>
      </c>
      <c r="AE559" s="9">
        <f>IFERROR(VLOOKUP($A559,pivot!$A:$G,計算式2026!AE$1,FALSE),0)</f>
        <v>0</v>
      </c>
      <c r="AF559" s="9">
        <f>IFERROR(VLOOKUP($A559,pivot!$A:$I,計算式2026!AF$1,FALSE),0)</f>
        <v>0</v>
      </c>
      <c r="AI559" s="9">
        <f>IFERROR(VLOOKUP($A559,pivot!$A:$I,計算式2026!AI$1,FALSE),0)</f>
        <v>0</v>
      </c>
      <c r="AJ559" s="9">
        <f>IFERROR(VLOOKUP($A559,pivot!$A:$I,計算式2026!AJ$1,FALSE),0)</f>
        <v>0</v>
      </c>
      <c r="AK559" s="9">
        <f>IFERROR(VLOOKUP($A559,pivot!$A:$I,計算式2026!AK$1,FALSE),0)</f>
        <v>0</v>
      </c>
      <c r="AL559" s="9">
        <f>IFERROR(VLOOKUP($A559,pivot!$A:$I,計算式2026!AL$1,FALSE),0)</f>
        <v>0</v>
      </c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</row>
    <row r="560" spans="1:59" s="9" customFormat="1">
      <c r="A560" s="8" t="s">
        <v>327</v>
      </c>
      <c r="B560" s="8" t="s">
        <v>326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1</v>
      </c>
      <c r="AE560" s="9">
        <f>IFERROR(VLOOKUP($A560,pivot!$A:$G,計算式2026!AE$1,FALSE),0)</f>
        <v>0</v>
      </c>
      <c r="AF560" s="9">
        <f>IFERROR(VLOOKUP($A560,pivot!$A:$I,計算式2026!AF$1,FALSE),0)</f>
        <v>0</v>
      </c>
      <c r="AI560" s="9">
        <f>IFERROR(VLOOKUP($A560,pivot!$A:$I,計算式2026!AI$1,FALSE),0)</f>
        <v>0</v>
      </c>
      <c r="AJ560" s="9">
        <f>IFERROR(VLOOKUP($A560,pivot!$A:$I,計算式2026!AJ$1,FALSE),0)</f>
        <v>0</v>
      </c>
      <c r="AK560" s="9">
        <f>IFERROR(VLOOKUP($A560,pivot!$A:$I,計算式2026!AK$1,FALSE),0)</f>
        <v>0</v>
      </c>
      <c r="AL560" s="9">
        <f>IFERROR(VLOOKUP($A560,pivot!$A:$I,計算式2026!AL$1,FALSE),0)</f>
        <v>0</v>
      </c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</row>
    <row r="561" spans="1:59" s="9" customFormat="1">
      <c r="A561" s="8" t="s">
        <v>328</v>
      </c>
      <c r="B561" s="8" t="s">
        <v>326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R561" s="9">
        <v>1</v>
      </c>
      <c r="S561" s="9">
        <v>1</v>
      </c>
      <c r="T561" s="9">
        <v>0</v>
      </c>
      <c r="U561" s="9">
        <v>1</v>
      </c>
      <c r="V561" s="9">
        <v>0</v>
      </c>
      <c r="W561" s="9">
        <v>0</v>
      </c>
      <c r="X561" s="9">
        <v>0</v>
      </c>
      <c r="AE561" s="9">
        <f>IFERROR(VLOOKUP($A561,pivot!$A:$G,計算式2026!AE$1,FALSE),0)</f>
        <v>0</v>
      </c>
      <c r="AF561" s="9">
        <f>IFERROR(VLOOKUP($A561,pivot!$A:$I,計算式2026!AF$1,FALSE),0)</f>
        <v>0</v>
      </c>
      <c r="AI561" s="9">
        <f>IFERROR(VLOOKUP($A561,pivot!$A:$I,計算式2026!AI$1,FALSE),0)</f>
        <v>0</v>
      </c>
      <c r="AJ561" s="9">
        <f>IFERROR(VLOOKUP($A561,pivot!$A:$I,計算式2026!AJ$1,FALSE),0)</f>
        <v>0</v>
      </c>
      <c r="AK561" s="9">
        <f>IFERROR(VLOOKUP($A561,pivot!$A:$I,計算式2026!AK$1,FALSE),0)</f>
        <v>0</v>
      </c>
      <c r="AL561" s="9">
        <f>IFERROR(VLOOKUP($A561,pivot!$A:$I,計算式2026!AL$1,FALSE),0)</f>
        <v>0</v>
      </c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</row>
    <row r="562" spans="1:59" s="9" customFormat="1">
      <c r="A562" s="8" t="s">
        <v>2044</v>
      </c>
      <c r="B562" s="8" t="s">
        <v>326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R562" s="9">
        <v>0</v>
      </c>
      <c r="S562" s="9">
        <v>0</v>
      </c>
      <c r="T562" s="9">
        <v>0</v>
      </c>
      <c r="U562" s="9">
        <v>1</v>
      </c>
      <c r="V562" s="9">
        <v>0</v>
      </c>
      <c r="W562" s="9">
        <v>0</v>
      </c>
      <c r="X562" s="9">
        <v>1</v>
      </c>
      <c r="AE562" s="9">
        <f>IFERROR(VLOOKUP($A562,pivot!$A:$G,計算式2026!AE$1,FALSE),0)</f>
        <v>0</v>
      </c>
      <c r="AF562" s="9">
        <f>IFERROR(VLOOKUP($A562,pivot!$A:$I,計算式2026!AF$1,FALSE),0)</f>
        <v>0</v>
      </c>
      <c r="AI562" s="9">
        <f>IFERROR(VLOOKUP($A562,pivot!$A:$I,計算式2026!AI$1,FALSE),0)</f>
        <v>0</v>
      </c>
      <c r="AJ562" s="9">
        <f>IFERROR(VLOOKUP($A562,pivot!$A:$I,計算式2026!AJ$1,FALSE),0)</f>
        <v>0</v>
      </c>
      <c r="AK562" s="9">
        <f>IFERROR(VLOOKUP($A562,pivot!$A:$I,計算式2026!AK$1,FALSE),0)</f>
        <v>0</v>
      </c>
      <c r="AL562" s="9">
        <f>IFERROR(VLOOKUP($A562,pivot!$A:$I,計算式2026!AL$1,FALSE),0)</f>
        <v>0</v>
      </c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</row>
    <row r="563" spans="1:59" s="9" customFormat="1">
      <c r="A563" s="8" t="s">
        <v>329</v>
      </c>
      <c r="B563" s="8" t="s">
        <v>326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R563" s="9">
        <v>2</v>
      </c>
      <c r="S563" s="9">
        <v>1</v>
      </c>
      <c r="T563" s="9">
        <v>1</v>
      </c>
      <c r="U563" s="9">
        <v>2</v>
      </c>
      <c r="V563" s="9">
        <v>2</v>
      </c>
      <c r="W563" s="9">
        <v>0</v>
      </c>
      <c r="X563" s="9">
        <v>1</v>
      </c>
      <c r="AE563" s="9">
        <f>IFERROR(VLOOKUP($A563,pivot!$A:$G,計算式2026!AE$1,FALSE),0)</f>
        <v>0</v>
      </c>
      <c r="AF563" s="9">
        <f>IFERROR(VLOOKUP($A563,pivot!$A:$I,計算式2026!AF$1,FALSE),0)</f>
        <v>0</v>
      </c>
      <c r="AI563" s="9">
        <f>IFERROR(VLOOKUP($A563,pivot!$A:$I,計算式2026!AI$1,FALSE),0)</f>
        <v>0</v>
      </c>
      <c r="AJ563" s="9">
        <f>IFERROR(VLOOKUP($A563,pivot!$A:$I,計算式2026!AJ$1,FALSE),0)</f>
        <v>0</v>
      </c>
      <c r="AK563" s="9">
        <f>IFERROR(VLOOKUP($A563,pivot!$A:$I,計算式2026!AK$1,FALSE),0)</f>
        <v>0</v>
      </c>
      <c r="AL563" s="9">
        <f>IFERROR(VLOOKUP($A563,pivot!$A:$I,計算式2026!AL$1,FALSE),0)</f>
        <v>0</v>
      </c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</row>
    <row r="564" spans="1:59" s="9" customFormat="1">
      <c r="A564" s="8" t="s">
        <v>330</v>
      </c>
      <c r="B564" s="8" t="s">
        <v>326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1</v>
      </c>
      <c r="AE564" s="9">
        <f>IFERROR(VLOOKUP($A564,pivot!$A:$G,計算式2026!AE$1,FALSE),0)</f>
        <v>0</v>
      </c>
      <c r="AF564" s="9">
        <f>IFERROR(VLOOKUP($A564,pivot!$A:$I,計算式2026!AF$1,FALSE),0)</f>
        <v>0</v>
      </c>
      <c r="AI564" s="9">
        <f>IFERROR(VLOOKUP($A564,pivot!$A:$I,計算式2026!AI$1,FALSE),0)</f>
        <v>0</v>
      </c>
      <c r="AJ564" s="9">
        <f>IFERROR(VLOOKUP($A564,pivot!$A:$I,計算式2026!AJ$1,FALSE),0)</f>
        <v>0</v>
      </c>
      <c r="AK564" s="9">
        <f>IFERROR(VLOOKUP($A564,pivot!$A:$I,計算式2026!AK$1,FALSE),0)</f>
        <v>0</v>
      </c>
      <c r="AL564" s="9">
        <f>IFERROR(VLOOKUP($A564,pivot!$A:$I,計算式2026!AL$1,FALSE),0)</f>
        <v>0</v>
      </c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</row>
    <row r="565" spans="1:59" s="9" customFormat="1">
      <c r="A565" s="8" t="s">
        <v>331</v>
      </c>
      <c r="B565" s="8" t="s">
        <v>326</v>
      </c>
      <c r="C565" s="9">
        <v>5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R565" s="9">
        <v>2</v>
      </c>
      <c r="S565" s="9">
        <v>2</v>
      </c>
      <c r="T565" s="9">
        <v>1</v>
      </c>
      <c r="U565" s="9">
        <v>2</v>
      </c>
      <c r="V565" s="9">
        <v>2</v>
      </c>
      <c r="W565" s="9">
        <v>0</v>
      </c>
      <c r="X565" s="9">
        <v>1</v>
      </c>
      <c r="AE565" s="9">
        <f>IFERROR(VLOOKUP($A565,pivot!$A:$G,計算式2026!AE$1,FALSE),0)</f>
        <v>0</v>
      </c>
      <c r="AF565" s="9">
        <f>IFERROR(VLOOKUP($A565,pivot!$A:$I,計算式2026!AF$1,FALSE),0)</f>
        <v>0</v>
      </c>
      <c r="AI565" s="9">
        <f>IFERROR(VLOOKUP($A565,pivot!$A:$I,計算式2026!AI$1,FALSE),0)</f>
        <v>0</v>
      </c>
      <c r="AJ565" s="9">
        <f>IFERROR(VLOOKUP($A565,pivot!$A:$I,計算式2026!AJ$1,FALSE),0)</f>
        <v>1</v>
      </c>
      <c r="AK565" s="9">
        <f>IFERROR(VLOOKUP($A565,pivot!$A:$I,計算式2026!AK$1,FALSE),0)</f>
        <v>0</v>
      </c>
      <c r="AL565" s="9">
        <f>IFERROR(VLOOKUP($A565,pivot!$A:$I,計算式2026!AL$1,FALSE),0)</f>
        <v>0</v>
      </c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</row>
    <row r="566" spans="1:59" s="9" customFormat="1">
      <c r="A566" s="8" t="s">
        <v>332</v>
      </c>
      <c r="B566" s="8" t="s">
        <v>326</v>
      </c>
      <c r="C566" s="9">
        <v>0</v>
      </c>
      <c r="D566" s="9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R566" s="9">
        <v>0</v>
      </c>
      <c r="S566" s="9">
        <v>0</v>
      </c>
      <c r="T566" s="9">
        <v>1</v>
      </c>
      <c r="U566" s="9">
        <v>0</v>
      </c>
      <c r="V566" s="9">
        <v>0</v>
      </c>
      <c r="W566" s="9">
        <v>0</v>
      </c>
      <c r="X566" s="9">
        <v>0</v>
      </c>
      <c r="AE566" s="9">
        <f>IFERROR(VLOOKUP($A566,pivot!$A:$G,計算式2026!AE$1,FALSE),0)</f>
        <v>0</v>
      </c>
      <c r="AF566" s="9">
        <f>IFERROR(VLOOKUP($A566,pivot!$A:$I,計算式2026!AF$1,FALSE),0)</f>
        <v>0</v>
      </c>
      <c r="AI566" s="9">
        <f>IFERROR(VLOOKUP($A566,pivot!$A:$I,計算式2026!AI$1,FALSE),0)</f>
        <v>0</v>
      </c>
      <c r="AJ566" s="9">
        <f>IFERROR(VLOOKUP($A566,pivot!$A:$I,計算式2026!AJ$1,FALSE),0)</f>
        <v>0</v>
      </c>
      <c r="AK566" s="9">
        <f>IFERROR(VLOOKUP($A566,pivot!$A:$I,計算式2026!AK$1,FALSE),0)</f>
        <v>0</v>
      </c>
      <c r="AL566" s="9">
        <f>IFERROR(VLOOKUP($A566,pivot!$A:$I,計算式2026!AL$1,FALSE),0)</f>
        <v>0</v>
      </c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</row>
    <row r="567" spans="1:59" s="9" customFormat="1">
      <c r="A567" s="8" t="s">
        <v>333</v>
      </c>
      <c r="B567" s="8" t="s">
        <v>326</v>
      </c>
      <c r="C567" s="9">
        <v>0</v>
      </c>
      <c r="D567" s="9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1</v>
      </c>
      <c r="W567" s="9">
        <v>0</v>
      </c>
      <c r="X567" s="9">
        <v>0</v>
      </c>
      <c r="AE567" s="9">
        <f>IFERROR(VLOOKUP($A567,pivot!$A:$G,計算式2026!AE$1,FALSE),0)</f>
        <v>0</v>
      </c>
      <c r="AF567" s="9">
        <f>IFERROR(VLOOKUP($A567,pivot!$A:$I,計算式2026!AF$1,FALSE),0)</f>
        <v>0</v>
      </c>
      <c r="AI567" s="9">
        <f>IFERROR(VLOOKUP($A567,pivot!$A:$I,計算式2026!AI$1,FALSE),0)</f>
        <v>0</v>
      </c>
      <c r="AJ567" s="9">
        <f>IFERROR(VLOOKUP($A567,pivot!$A:$I,計算式2026!AJ$1,FALSE),0)</f>
        <v>1</v>
      </c>
      <c r="AK567" s="9">
        <f>IFERROR(VLOOKUP($A567,pivot!$A:$I,計算式2026!AK$1,FALSE),0)</f>
        <v>0</v>
      </c>
      <c r="AL567" s="9">
        <f>IFERROR(VLOOKUP($A567,pivot!$A:$I,計算式2026!AL$1,FALSE),0)</f>
        <v>0</v>
      </c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</row>
    <row r="568" spans="1:59" s="9" customFormat="1">
      <c r="A568" s="8" t="s">
        <v>2045</v>
      </c>
      <c r="B568" s="8" t="s">
        <v>334</v>
      </c>
      <c r="C568" s="9">
        <v>0</v>
      </c>
      <c r="D568" s="9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R568" s="9">
        <v>1</v>
      </c>
      <c r="S568" s="9">
        <v>3</v>
      </c>
      <c r="T568" s="9">
        <v>0</v>
      </c>
      <c r="U568" s="9">
        <v>2</v>
      </c>
      <c r="V568" s="9">
        <v>0</v>
      </c>
      <c r="W568" s="9">
        <v>0</v>
      </c>
      <c r="X568" s="9">
        <v>1</v>
      </c>
      <c r="AE568" s="9">
        <f>IFERROR(VLOOKUP($A568,pivot!$A:$G,計算式2026!AE$1,FALSE),0)</f>
        <v>0</v>
      </c>
      <c r="AF568" s="9">
        <f>IFERROR(VLOOKUP($A568,pivot!$A:$I,計算式2026!AF$1,FALSE),0)</f>
        <v>0</v>
      </c>
      <c r="AI568" s="9">
        <f>IFERROR(VLOOKUP($A568,pivot!$A:$I,計算式2026!AI$1,FALSE),0)</f>
        <v>0</v>
      </c>
      <c r="AJ568" s="9">
        <f>IFERROR(VLOOKUP($A568,pivot!$A:$I,計算式2026!AJ$1,FALSE),0)</f>
        <v>0</v>
      </c>
      <c r="AK568" s="9">
        <f>IFERROR(VLOOKUP($A568,pivot!$A:$I,計算式2026!AK$1,FALSE),0)</f>
        <v>0</v>
      </c>
      <c r="AL568" s="9">
        <f>IFERROR(VLOOKUP($A568,pivot!$A:$I,計算式2026!AL$1,FALSE),0)</f>
        <v>0</v>
      </c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</row>
    <row r="569" spans="1:59" s="9" customFormat="1">
      <c r="A569" s="8" t="s">
        <v>335</v>
      </c>
      <c r="B569" s="8" t="s">
        <v>334</v>
      </c>
      <c r="C569" s="9">
        <v>0</v>
      </c>
      <c r="D569" s="9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R569" s="9">
        <v>1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AE569" s="9">
        <f>IFERROR(VLOOKUP($A569,pivot!$A:$G,計算式2026!AE$1,FALSE),0)</f>
        <v>0</v>
      </c>
      <c r="AF569" s="9">
        <f>IFERROR(VLOOKUP($A569,pivot!$A:$I,計算式2026!AF$1,FALSE),0)</f>
        <v>0</v>
      </c>
      <c r="AI569" s="9">
        <f>IFERROR(VLOOKUP($A569,pivot!$A:$I,計算式2026!AI$1,FALSE),0)</f>
        <v>0</v>
      </c>
      <c r="AJ569" s="9">
        <f>IFERROR(VLOOKUP($A569,pivot!$A:$I,計算式2026!AJ$1,FALSE),0)</f>
        <v>0</v>
      </c>
      <c r="AK569" s="9">
        <f>IFERROR(VLOOKUP($A569,pivot!$A:$I,計算式2026!AK$1,FALSE),0)</f>
        <v>0</v>
      </c>
      <c r="AL569" s="9">
        <f>IFERROR(VLOOKUP($A569,pivot!$A:$I,計算式2026!AL$1,FALSE),0)</f>
        <v>0</v>
      </c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</row>
    <row r="570" spans="1:59" s="9" customFormat="1">
      <c r="A570" s="8" t="s">
        <v>336</v>
      </c>
      <c r="B570" s="8" t="s">
        <v>334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1</v>
      </c>
      <c r="X570" s="9">
        <v>1</v>
      </c>
      <c r="AE570" s="9">
        <f>IFERROR(VLOOKUP($A570,pivot!$A:$G,計算式2026!AE$1,FALSE),0)</f>
        <v>0</v>
      </c>
      <c r="AF570" s="9">
        <f>IFERROR(VLOOKUP($A570,pivot!$A:$I,計算式2026!AF$1,FALSE),0)</f>
        <v>0</v>
      </c>
      <c r="AI570" s="9">
        <f>IFERROR(VLOOKUP($A570,pivot!$A:$I,計算式2026!AI$1,FALSE),0)</f>
        <v>0</v>
      </c>
      <c r="AJ570" s="9">
        <f>IFERROR(VLOOKUP($A570,pivot!$A:$I,計算式2026!AJ$1,FALSE),0)</f>
        <v>0</v>
      </c>
      <c r="AK570" s="9">
        <f>IFERROR(VLOOKUP($A570,pivot!$A:$I,計算式2026!AK$1,FALSE),0)</f>
        <v>0</v>
      </c>
      <c r="AL570" s="9">
        <f>IFERROR(VLOOKUP($A570,pivot!$A:$I,計算式2026!AL$1,FALSE),0)</f>
        <v>0</v>
      </c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</row>
    <row r="571" spans="1:59" s="9" customFormat="1">
      <c r="A571" s="8" t="s">
        <v>1578</v>
      </c>
      <c r="B571" s="8" t="s">
        <v>334</v>
      </c>
      <c r="C571" s="9">
        <v>0</v>
      </c>
      <c r="D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AE571" s="9">
        <f>IFERROR(VLOOKUP($A571,pivot!$A:$G,計算式2026!AE$1,FALSE),0)</f>
        <v>0</v>
      </c>
      <c r="AF571" s="9">
        <f>IFERROR(VLOOKUP($A571,pivot!$A:$I,計算式2026!AF$1,FALSE),0)</f>
        <v>0</v>
      </c>
      <c r="AI571" s="9">
        <f>IFERROR(VLOOKUP($A571,pivot!$A:$I,計算式2026!AI$1,FALSE),0)</f>
        <v>0</v>
      </c>
      <c r="AJ571" s="9">
        <f>IFERROR(VLOOKUP($A571,pivot!$A:$I,計算式2026!AJ$1,FALSE),0)</f>
        <v>0</v>
      </c>
      <c r="AK571" s="9">
        <f>IFERROR(VLOOKUP($A571,pivot!$A:$I,計算式2026!AK$1,FALSE),0)</f>
        <v>0</v>
      </c>
      <c r="AL571" s="9">
        <f>IFERROR(VLOOKUP($A571,pivot!$A:$I,計算式2026!AL$1,FALSE),0)</f>
        <v>0</v>
      </c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</row>
    <row r="572" spans="1:59" s="9" customFormat="1">
      <c r="A572" s="8" t="s">
        <v>337</v>
      </c>
      <c r="B572" s="8" t="s">
        <v>334</v>
      </c>
      <c r="C572" s="9">
        <v>0</v>
      </c>
      <c r="D572" s="9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R572" s="9">
        <v>2</v>
      </c>
      <c r="S572" s="9">
        <v>2</v>
      </c>
      <c r="T572" s="9">
        <v>0</v>
      </c>
      <c r="U572" s="9">
        <v>1</v>
      </c>
      <c r="V572" s="9">
        <v>2</v>
      </c>
      <c r="W572" s="9">
        <v>0</v>
      </c>
      <c r="X572" s="9">
        <v>0</v>
      </c>
      <c r="AE572" s="9">
        <f>IFERROR(VLOOKUP($A572,pivot!$A:$G,計算式2026!AE$1,FALSE),0)</f>
        <v>0</v>
      </c>
      <c r="AF572" s="9">
        <f>IFERROR(VLOOKUP($A572,pivot!$A:$I,計算式2026!AF$1,FALSE),0)</f>
        <v>0</v>
      </c>
      <c r="AI572" s="9">
        <f>IFERROR(VLOOKUP($A572,pivot!$A:$I,計算式2026!AI$1,FALSE),0)</f>
        <v>0</v>
      </c>
      <c r="AJ572" s="9">
        <f>IFERROR(VLOOKUP($A572,pivot!$A:$I,計算式2026!AJ$1,FALSE),0)</f>
        <v>0</v>
      </c>
      <c r="AK572" s="9">
        <f>IFERROR(VLOOKUP($A572,pivot!$A:$I,計算式2026!AK$1,FALSE),0)</f>
        <v>0</v>
      </c>
      <c r="AL572" s="9">
        <f>IFERROR(VLOOKUP($A572,pivot!$A:$I,計算式2026!AL$1,FALSE),0)</f>
        <v>0</v>
      </c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</row>
    <row r="573" spans="1:59" s="9" customFormat="1">
      <c r="A573" s="8" t="s">
        <v>1579</v>
      </c>
      <c r="B573" s="8" t="s">
        <v>334</v>
      </c>
      <c r="C573" s="9">
        <v>0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1</v>
      </c>
      <c r="AE573" s="9">
        <f>IFERROR(VLOOKUP($A573,pivot!$A:$G,計算式2026!AE$1,FALSE),0)</f>
        <v>0</v>
      </c>
      <c r="AF573" s="9">
        <f>IFERROR(VLOOKUP($A573,pivot!$A:$I,計算式2026!AF$1,FALSE),0)</f>
        <v>0</v>
      </c>
      <c r="AI573" s="9">
        <f>IFERROR(VLOOKUP($A573,pivot!$A:$I,計算式2026!AI$1,FALSE),0)</f>
        <v>0</v>
      </c>
      <c r="AJ573" s="9">
        <f>IFERROR(VLOOKUP($A573,pivot!$A:$I,計算式2026!AJ$1,FALSE),0)</f>
        <v>0</v>
      </c>
      <c r="AK573" s="9">
        <f>IFERROR(VLOOKUP($A573,pivot!$A:$I,計算式2026!AK$1,FALSE),0)</f>
        <v>0</v>
      </c>
      <c r="AL573" s="9">
        <f>IFERROR(VLOOKUP($A573,pivot!$A:$I,計算式2026!AL$1,FALSE),0)</f>
        <v>0</v>
      </c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</row>
    <row r="574" spans="1:59" s="9" customFormat="1">
      <c r="A574" s="8" t="s">
        <v>338</v>
      </c>
      <c r="B574" s="8" t="s">
        <v>334</v>
      </c>
      <c r="C574" s="9">
        <v>0</v>
      </c>
      <c r="D574" s="9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R574" s="9">
        <v>1</v>
      </c>
      <c r="S574" s="9">
        <v>1</v>
      </c>
      <c r="T574" s="9">
        <v>0</v>
      </c>
      <c r="U574" s="9">
        <v>0</v>
      </c>
      <c r="V574" s="9">
        <v>1</v>
      </c>
      <c r="W574" s="9">
        <v>0</v>
      </c>
      <c r="X574" s="9">
        <v>1</v>
      </c>
      <c r="AE574" s="9">
        <f>IFERROR(VLOOKUP($A574,pivot!$A:$G,計算式2026!AE$1,FALSE),0)</f>
        <v>0</v>
      </c>
      <c r="AF574" s="9">
        <f>IFERROR(VLOOKUP($A574,pivot!$A:$I,計算式2026!AF$1,FALSE),0)</f>
        <v>0</v>
      </c>
      <c r="AI574" s="9">
        <f>IFERROR(VLOOKUP($A574,pivot!$A:$I,計算式2026!AI$1,FALSE),0)</f>
        <v>0</v>
      </c>
      <c r="AJ574" s="9">
        <f>IFERROR(VLOOKUP($A574,pivot!$A:$I,計算式2026!AJ$1,FALSE),0)</f>
        <v>0</v>
      </c>
      <c r="AK574" s="9">
        <f>IFERROR(VLOOKUP($A574,pivot!$A:$I,計算式2026!AK$1,FALSE),0)</f>
        <v>0</v>
      </c>
      <c r="AL574" s="9">
        <f>IFERROR(VLOOKUP($A574,pivot!$A:$I,計算式2026!AL$1,FALSE),0)</f>
        <v>0</v>
      </c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</row>
    <row r="575" spans="1:59" s="9" customFormat="1">
      <c r="A575" s="8" t="s">
        <v>339</v>
      </c>
      <c r="B575" s="8" t="s">
        <v>340</v>
      </c>
      <c r="C575" s="9">
        <v>0</v>
      </c>
      <c r="D575" s="9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R575" s="9">
        <v>0</v>
      </c>
      <c r="S575" s="9">
        <v>0</v>
      </c>
      <c r="T575" s="9">
        <v>0</v>
      </c>
      <c r="U575" s="9">
        <v>2</v>
      </c>
      <c r="V575" s="9">
        <v>2</v>
      </c>
      <c r="W575" s="9">
        <v>0</v>
      </c>
      <c r="X575" s="9">
        <v>1</v>
      </c>
      <c r="AE575" s="9">
        <f>IFERROR(VLOOKUP($A575,pivot!$A:$G,計算式2026!AE$1,FALSE),0)</f>
        <v>0</v>
      </c>
      <c r="AF575" s="9">
        <f>IFERROR(VLOOKUP($A575,pivot!$A:$I,計算式2026!AF$1,FALSE),0)</f>
        <v>0</v>
      </c>
      <c r="AI575" s="9">
        <f>IFERROR(VLOOKUP($A575,pivot!$A:$I,計算式2026!AI$1,FALSE),0)</f>
        <v>0</v>
      </c>
      <c r="AJ575" s="9">
        <f>IFERROR(VLOOKUP($A575,pivot!$A:$I,計算式2026!AJ$1,FALSE),0)</f>
        <v>0</v>
      </c>
      <c r="AK575" s="9">
        <f>IFERROR(VLOOKUP($A575,pivot!$A:$I,計算式2026!AK$1,FALSE),0)</f>
        <v>1</v>
      </c>
      <c r="AL575" s="9">
        <f>IFERROR(VLOOKUP($A575,pivot!$A:$I,計算式2026!AL$1,FALSE),0)</f>
        <v>0</v>
      </c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</row>
    <row r="576" spans="1:59" s="9" customFormat="1">
      <c r="A576" s="8" t="s">
        <v>2046</v>
      </c>
      <c r="B576" s="8" t="s">
        <v>340</v>
      </c>
      <c r="C576" s="9">
        <v>0</v>
      </c>
      <c r="D576" s="9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1</v>
      </c>
      <c r="AE576" s="9">
        <f>IFERROR(VLOOKUP($A576,pivot!$A:$G,計算式2026!AE$1,FALSE),0)</f>
        <v>0</v>
      </c>
      <c r="AF576" s="9">
        <f>IFERROR(VLOOKUP($A576,pivot!$A:$I,計算式2026!AF$1,FALSE),0)</f>
        <v>0</v>
      </c>
      <c r="AI576" s="9">
        <f>IFERROR(VLOOKUP($A576,pivot!$A:$I,計算式2026!AI$1,FALSE),0)</f>
        <v>0</v>
      </c>
      <c r="AJ576" s="9">
        <f>IFERROR(VLOOKUP($A576,pivot!$A:$I,計算式2026!AJ$1,FALSE),0)</f>
        <v>0</v>
      </c>
      <c r="AK576" s="9">
        <f>IFERROR(VLOOKUP($A576,pivot!$A:$I,計算式2026!AK$1,FALSE),0)</f>
        <v>0</v>
      </c>
      <c r="AL576" s="9">
        <f>IFERROR(VLOOKUP($A576,pivot!$A:$I,計算式2026!AL$1,FALSE),0)</f>
        <v>0</v>
      </c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</row>
    <row r="577" spans="1:59" s="9" customFormat="1">
      <c r="A577" s="8" t="s">
        <v>341</v>
      </c>
      <c r="B577" s="8" t="s">
        <v>340</v>
      </c>
      <c r="C577" s="9">
        <v>0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1</v>
      </c>
      <c r="AE577" s="9">
        <f>IFERROR(VLOOKUP($A577,pivot!$A:$G,計算式2026!AE$1,FALSE),0)</f>
        <v>0</v>
      </c>
      <c r="AF577" s="9">
        <f>IFERROR(VLOOKUP($A577,pivot!$A:$I,計算式2026!AF$1,FALSE),0)</f>
        <v>0</v>
      </c>
      <c r="AI577" s="9">
        <f>IFERROR(VLOOKUP($A577,pivot!$A:$I,計算式2026!AI$1,FALSE),0)</f>
        <v>0</v>
      </c>
      <c r="AJ577" s="9">
        <f>IFERROR(VLOOKUP($A577,pivot!$A:$I,計算式2026!AJ$1,FALSE),0)</f>
        <v>0</v>
      </c>
      <c r="AK577" s="9">
        <f>IFERROR(VLOOKUP($A577,pivot!$A:$I,計算式2026!AK$1,FALSE),0)</f>
        <v>0</v>
      </c>
      <c r="AL577" s="9">
        <f>IFERROR(VLOOKUP($A577,pivot!$A:$I,計算式2026!AL$1,FALSE),0)</f>
        <v>0</v>
      </c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</row>
    <row r="578" spans="1:59" s="9" customFormat="1">
      <c r="A578" s="8" t="s">
        <v>2047</v>
      </c>
      <c r="B578" s="8" t="s">
        <v>340</v>
      </c>
      <c r="C578" s="9">
        <v>0</v>
      </c>
      <c r="D578" s="9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1</v>
      </c>
      <c r="AE578" s="9">
        <f>IFERROR(VLOOKUP($A578,pivot!$A:$G,計算式2026!AE$1,FALSE),0)</f>
        <v>0</v>
      </c>
      <c r="AF578" s="9">
        <f>IFERROR(VLOOKUP($A578,pivot!$A:$I,計算式2026!AF$1,FALSE),0)</f>
        <v>0</v>
      </c>
      <c r="AI578" s="9">
        <f>IFERROR(VLOOKUP($A578,pivot!$A:$I,計算式2026!AI$1,FALSE),0)</f>
        <v>0</v>
      </c>
      <c r="AJ578" s="9">
        <f>IFERROR(VLOOKUP($A578,pivot!$A:$I,計算式2026!AJ$1,FALSE),0)</f>
        <v>0</v>
      </c>
      <c r="AK578" s="9">
        <f>IFERROR(VLOOKUP($A578,pivot!$A:$I,計算式2026!AK$1,FALSE),0)</f>
        <v>0</v>
      </c>
      <c r="AL578" s="9">
        <f>IFERROR(VLOOKUP($A578,pivot!$A:$I,計算式2026!AL$1,FALSE),0)</f>
        <v>0</v>
      </c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</row>
    <row r="579" spans="1:59" s="9" customFormat="1">
      <c r="A579" s="8" t="s">
        <v>342</v>
      </c>
      <c r="B579" s="8" t="s">
        <v>340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1</v>
      </c>
      <c r="AE579" s="9">
        <f>IFERROR(VLOOKUP($A579,pivot!$A:$G,計算式2026!AE$1,FALSE),0)</f>
        <v>0</v>
      </c>
      <c r="AF579" s="9">
        <f>IFERROR(VLOOKUP($A579,pivot!$A:$I,計算式2026!AF$1,FALSE),0)</f>
        <v>0</v>
      </c>
      <c r="AI579" s="9">
        <f>IFERROR(VLOOKUP($A579,pivot!$A:$I,計算式2026!AI$1,FALSE),0)</f>
        <v>0</v>
      </c>
      <c r="AJ579" s="9">
        <f>IFERROR(VLOOKUP($A579,pivot!$A:$I,計算式2026!AJ$1,FALSE),0)</f>
        <v>0</v>
      </c>
      <c r="AK579" s="9">
        <f>IFERROR(VLOOKUP($A579,pivot!$A:$I,計算式2026!AK$1,FALSE),0)</f>
        <v>0</v>
      </c>
      <c r="AL579" s="9">
        <f>IFERROR(VLOOKUP($A579,pivot!$A:$I,計算式2026!AL$1,FALSE),0)</f>
        <v>0</v>
      </c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</row>
    <row r="580" spans="1:59" s="9" customFormat="1">
      <c r="A580" s="8" t="s">
        <v>343</v>
      </c>
      <c r="B580" s="8" t="s">
        <v>340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R580" s="9">
        <v>2</v>
      </c>
      <c r="S580" s="9">
        <v>1</v>
      </c>
      <c r="T580" s="9">
        <v>0</v>
      </c>
      <c r="U580" s="9">
        <v>1</v>
      </c>
      <c r="V580" s="9">
        <v>2</v>
      </c>
      <c r="W580" s="9">
        <v>0</v>
      </c>
      <c r="X580" s="9">
        <v>0</v>
      </c>
      <c r="AE580" s="9">
        <f>IFERROR(VLOOKUP($A580,pivot!$A:$G,計算式2026!AE$1,FALSE),0)</f>
        <v>0</v>
      </c>
      <c r="AF580" s="9">
        <f>IFERROR(VLOOKUP($A580,pivot!$A:$I,計算式2026!AF$1,FALSE),0)</f>
        <v>0</v>
      </c>
      <c r="AI580" s="9">
        <f>IFERROR(VLOOKUP($A580,pivot!$A:$I,計算式2026!AI$1,FALSE),0)</f>
        <v>0</v>
      </c>
      <c r="AJ580" s="9">
        <f>IFERROR(VLOOKUP($A580,pivot!$A:$I,計算式2026!AJ$1,FALSE),0)</f>
        <v>0</v>
      </c>
      <c r="AK580" s="9">
        <f>IFERROR(VLOOKUP($A580,pivot!$A:$I,計算式2026!AK$1,FALSE),0)</f>
        <v>0</v>
      </c>
      <c r="AL580" s="9">
        <f>IFERROR(VLOOKUP($A580,pivot!$A:$I,計算式2026!AL$1,FALSE),0)</f>
        <v>0</v>
      </c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</row>
    <row r="581" spans="1:59" s="9" customFormat="1">
      <c r="A581" s="8" t="s">
        <v>344</v>
      </c>
      <c r="B581" s="8" t="s">
        <v>340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1</v>
      </c>
      <c r="W581" s="9">
        <v>0</v>
      </c>
      <c r="X581" s="9">
        <v>1</v>
      </c>
      <c r="AE581" s="9">
        <f>IFERROR(VLOOKUP($A581,pivot!$A:$G,計算式2026!AE$1,FALSE),0)</f>
        <v>0</v>
      </c>
      <c r="AF581" s="9">
        <f>IFERROR(VLOOKUP($A581,pivot!$A:$I,計算式2026!AF$1,FALSE),0)</f>
        <v>0</v>
      </c>
      <c r="AI581" s="9">
        <f>IFERROR(VLOOKUP($A581,pivot!$A:$I,計算式2026!AI$1,FALSE),0)</f>
        <v>0</v>
      </c>
      <c r="AJ581" s="9">
        <f>IFERROR(VLOOKUP($A581,pivot!$A:$I,計算式2026!AJ$1,FALSE),0)</f>
        <v>0</v>
      </c>
      <c r="AK581" s="9">
        <f>IFERROR(VLOOKUP($A581,pivot!$A:$I,計算式2026!AK$1,FALSE),0)</f>
        <v>0</v>
      </c>
      <c r="AL581" s="9">
        <f>IFERROR(VLOOKUP($A581,pivot!$A:$I,計算式2026!AL$1,FALSE),0)</f>
        <v>0</v>
      </c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</row>
    <row r="582" spans="1:59" s="9" customFormat="1">
      <c r="A582" s="8" t="s">
        <v>1580</v>
      </c>
      <c r="B582" s="8" t="s">
        <v>340</v>
      </c>
      <c r="C582" s="9">
        <v>0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1</v>
      </c>
      <c r="AE582" s="9">
        <f>IFERROR(VLOOKUP($A582,pivot!$A:$G,計算式2026!AE$1,FALSE),0)</f>
        <v>0</v>
      </c>
      <c r="AF582" s="9">
        <f>IFERROR(VLOOKUP($A582,pivot!$A:$I,計算式2026!AF$1,FALSE),0)</f>
        <v>0</v>
      </c>
      <c r="AI582" s="9">
        <f>IFERROR(VLOOKUP($A582,pivot!$A:$I,計算式2026!AI$1,FALSE),0)</f>
        <v>0</v>
      </c>
      <c r="AJ582" s="9">
        <f>IFERROR(VLOOKUP($A582,pivot!$A:$I,計算式2026!AJ$1,FALSE),0)</f>
        <v>0</v>
      </c>
      <c r="AK582" s="9">
        <f>IFERROR(VLOOKUP($A582,pivot!$A:$I,計算式2026!AK$1,FALSE),0)</f>
        <v>0</v>
      </c>
      <c r="AL582" s="9">
        <f>IFERROR(VLOOKUP($A582,pivot!$A:$I,計算式2026!AL$1,FALSE),0)</f>
        <v>0</v>
      </c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</row>
    <row r="583" spans="1:59" s="9" customFormat="1">
      <c r="A583" s="8" t="s">
        <v>345</v>
      </c>
      <c r="B583" s="8" t="s">
        <v>340</v>
      </c>
      <c r="C583" s="9">
        <v>0</v>
      </c>
      <c r="D583" s="9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AE583" s="9">
        <f>IFERROR(VLOOKUP($A583,pivot!$A:$G,計算式2026!AE$1,FALSE),0)</f>
        <v>0</v>
      </c>
      <c r="AF583" s="9">
        <f>IFERROR(VLOOKUP($A583,pivot!$A:$I,計算式2026!AF$1,FALSE),0)</f>
        <v>0</v>
      </c>
      <c r="AI583" s="9">
        <f>IFERROR(VLOOKUP($A583,pivot!$A:$I,計算式2026!AI$1,FALSE),0)</f>
        <v>0</v>
      </c>
      <c r="AJ583" s="9">
        <f>IFERROR(VLOOKUP($A583,pivot!$A:$I,計算式2026!AJ$1,FALSE),0)</f>
        <v>0</v>
      </c>
      <c r="AK583" s="9">
        <f>IFERROR(VLOOKUP($A583,pivot!$A:$I,計算式2026!AK$1,FALSE),0)</f>
        <v>0</v>
      </c>
      <c r="AL583" s="9">
        <f>IFERROR(VLOOKUP($A583,pivot!$A:$I,計算式2026!AL$1,FALSE),0)</f>
        <v>0</v>
      </c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</row>
    <row r="584" spans="1:59" s="9" customFormat="1">
      <c r="A584" s="8" t="s">
        <v>346</v>
      </c>
      <c r="B584" s="8" t="s">
        <v>340</v>
      </c>
      <c r="C584" s="9">
        <v>1</v>
      </c>
      <c r="D584" s="9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R584" s="9">
        <v>2</v>
      </c>
      <c r="S584" s="9">
        <v>4</v>
      </c>
      <c r="T584" s="9">
        <v>1</v>
      </c>
      <c r="U584" s="9">
        <v>4</v>
      </c>
      <c r="V584" s="9">
        <v>3</v>
      </c>
      <c r="W584" s="9">
        <v>0</v>
      </c>
      <c r="X584" s="9">
        <v>1</v>
      </c>
      <c r="AE584" s="9">
        <f>IFERROR(VLOOKUP($A584,pivot!$A:$G,計算式2026!AE$1,FALSE),0)</f>
        <v>0</v>
      </c>
      <c r="AF584" s="9">
        <f>IFERROR(VLOOKUP($A584,pivot!$A:$I,計算式2026!AF$1,FALSE),0)</f>
        <v>1</v>
      </c>
      <c r="AI584" s="9">
        <f>IFERROR(VLOOKUP($A584,pivot!$A:$I,計算式2026!AI$1,FALSE),0)</f>
        <v>0</v>
      </c>
      <c r="AJ584" s="9">
        <f>IFERROR(VLOOKUP($A584,pivot!$A:$I,計算式2026!AJ$1,FALSE),0)</f>
        <v>0</v>
      </c>
      <c r="AK584" s="9">
        <f>IFERROR(VLOOKUP($A584,pivot!$A:$I,計算式2026!AK$1,FALSE),0)</f>
        <v>0</v>
      </c>
      <c r="AL584" s="9">
        <f>IFERROR(VLOOKUP($A584,pivot!$A:$I,計算式2026!AL$1,FALSE),0)</f>
        <v>0</v>
      </c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</row>
    <row r="585" spans="1:59" s="9" customFormat="1">
      <c r="A585" s="8" t="s">
        <v>347</v>
      </c>
      <c r="B585" s="8" t="s">
        <v>340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R585" s="9">
        <v>2</v>
      </c>
      <c r="S585" s="9">
        <v>2</v>
      </c>
      <c r="T585" s="9">
        <v>0</v>
      </c>
      <c r="U585" s="9">
        <v>3</v>
      </c>
      <c r="V585" s="9">
        <v>0</v>
      </c>
      <c r="W585" s="9">
        <v>0</v>
      </c>
      <c r="X585" s="9">
        <v>0</v>
      </c>
      <c r="AE585" s="9">
        <f>IFERROR(VLOOKUP($A585,pivot!$A:$G,計算式2026!AE$1,FALSE),0)</f>
        <v>0</v>
      </c>
      <c r="AF585" s="9">
        <f>IFERROR(VLOOKUP($A585,pivot!$A:$I,計算式2026!AF$1,FALSE),0)</f>
        <v>0</v>
      </c>
      <c r="AI585" s="9">
        <f>IFERROR(VLOOKUP($A585,pivot!$A:$I,計算式2026!AI$1,FALSE),0)</f>
        <v>0</v>
      </c>
      <c r="AJ585" s="9">
        <f>IFERROR(VLOOKUP($A585,pivot!$A:$I,計算式2026!AJ$1,FALSE),0)</f>
        <v>0</v>
      </c>
      <c r="AK585" s="9">
        <f>IFERROR(VLOOKUP($A585,pivot!$A:$I,計算式2026!AK$1,FALSE),0)</f>
        <v>0</v>
      </c>
      <c r="AL585" s="9">
        <f>IFERROR(VLOOKUP($A585,pivot!$A:$I,計算式2026!AL$1,FALSE),0)</f>
        <v>0</v>
      </c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</row>
    <row r="586" spans="1:59" s="9" customFormat="1">
      <c r="A586" s="8" t="s">
        <v>348</v>
      </c>
      <c r="B586" s="8" t="s">
        <v>340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R586" s="9">
        <v>0</v>
      </c>
      <c r="S586" s="9">
        <v>1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AE586" s="9">
        <f>IFERROR(VLOOKUP($A586,pivot!$A:$G,計算式2026!AE$1,FALSE),0)</f>
        <v>0</v>
      </c>
      <c r="AF586" s="9">
        <f>IFERROR(VLOOKUP($A586,pivot!$A:$I,計算式2026!AF$1,FALSE),0)</f>
        <v>1</v>
      </c>
      <c r="AI586" s="9">
        <f>IFERROR(VLOOKUP($A586,pivot!$A:$I,計算式2026!AI$1,FALSE),0)</f>
        <v>0</v>
      </c>
      <c r="AJ586" s="9">
        <f>IFERROR(VLOOKUP($A586,pivot!$A:$I,計算式2026!AJ$1,FALSE),0)</f>
        <v>0</v>
      </c>
      <c r="AK586" s="9">
        <f>IFERROR(VLOOKUP($A586,pivot!$A:$I,計算式2026!AK$1,FALSE),0)</f>
        <v>0</v>
      </c>
      <c r="AL586" s="9">
        <f>IFERROR(VLOOKUP($A586,pivot!$A:$I,計算式2026!AL$1,FALSE),0)</f>
        <v>0</v>
      </c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</row>
    <row r="587" spans="1:59" s="9" customFormat="1">
      <c r="A587" s="8" t="s">
        <v>349</v>
      </c>
      <c r="B587" s="8" t="s">
        <v>350</v>
      </c>
      <c r="C587" s="9">
        <v>5</v>
      </c>
      <c r="D587" s="9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R587" s="9">
        <v>0</v>
      </c>
      <c r="S587" s="9">
        <v>0</v>
      </c>
      <c r="T587" s="9">
        <v>2</v>
      </c>
      <c r="U587" s="9">
        <v>0</v>
      </c>
      <c r="V587" s="9">
        <v>0</v>
      </c>
      <c r="W587" s="9">
        <v>1</v>
      </c>
      <c r="X587" s="9">
        <v>17</v>
      </c>
      <c r="AE587" s="9">
        <f>IFERROR(VLOOKUP($A587,pivot!$A:$G,計算式2026!AE$1,FALSE),0)</f>
        <v>0</v>
      </c>
      <c r="AF587" s="9">
        <f>IFERROR(VLOOKUP($A587,pivot!$A:$I,計算式2026!AF$1,FALSE),0)</f>
        <v>0</v>
      </c>
      <c r="AI587" s="9">
        <f>IFERROR(VLOOKUP($A587,pivot!$A:$I,計算式2026!AI$1,FALSE),0)</f>
        <v>0</v>
      </c>
      <c r="AJ587" s="9">
        <f>IFERROR(VLOOKUP($A587,pivot!$A:$I,計算式2026!AJ$1,FALSE),0)</f>
        <v>0</v>
      </c>
      <c r="AK587" s="9">
        <f>IFERROR(VLOOKUP($A587,pivot!$A:$I,計算式2026!AK$1,FALSE),0)</f>
        <v>0</v>
      </c>
      <c r="AL587" s="9">
        <f>IFERROR(VLOOKUP($A587,pivot!$A:$I,計算式2026!AL$1,FALSE),0)</f>
        <v>0</v>
      </c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</row>
    <row r="588" spans="1:59" s="9" customFormat="1">
      <c r="A588" s="8" t="s">
        <v>351</v>
      </c>
      <c r="B588" s="8" t="s">
        <v>350</v>
      </c>
      <c r="C588" s="9">
        <v>12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R588" s="9">
        <v>0</v>
      </c>
      <c r="S588" s="9">
        <v>0</v>
      </c>
      <c r="T588" s="9">
        <v>1</v>
      </c>
      <c r="U588" s="9">
        <v>0</v>
      </c>
      <c r="V588" s="9">
        <v>0</v>
      </c>
      <c r="W588" s="9">
        <v>1</v>
      </c>
      <c r="X588" s="9">
        <v>5</v>
      </c>
      <c r="AE588" s="9">
        <f>IFERROR(VLOOKUP($A588,pivot!$A:$G,計算式2026!AE$1,FALSE),0)</f>
        <v>0</v>
      </c>
      <c r="AF588" s="9">
        <f>IFERROR(VLOOKUP($A588,pivot!$A:$I,計算式2026!AF$1,FALSE),0)</f>
        <v>0</v>
      </c>
      <c r="AI588" s="9">
        <f>IFERROR(VLOOKUP($A588,pivot!$A:$I,計算式2026!AI$1,FALSE),0)</f>
        <v>0</v>
      </c>
      <c r="AJ588" s="9">
        <f>IFERROR(VLOOKUP($A588,pivot!$A:$I,計算式2026!AJ$1,FALSE),0)</f>
        <v>0</v>
      </c>
      <c r="AK588" s="9">
        <f>IFERROR(VLOOKUP($A588,pivot!$A:$I,計算式2026!AK$1,FALSE),0)</f>
        <v>0</v>
      </c>
      <c r="AL588" s="9">
        <f>IFERROR(VLOOKUP($A588,pivot!$A:$I,計算式2026!AL$1,FALSE),0)</f>
        <v>0</v>
      </c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</row>
    <row r="589" spans="1:59" s="9" customFormat="1">
      <c r="A589" s="8" t="s">
        <v>352</v>
      </c>
      <c r="B589" s="8" t="s">
        <v>350</v>
      </c>
      <c r="C589" s="9">
        <v>5</v>
      </c>
      <c r="D589" s="9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R589" s="9">
        <v>0</v>
      </c>
      <c r="S589" s="9">
        <v>0</v>
      </c>
      <c r="T589" s="9">
        <v>1</v>
      </c>
      <c r="U589" s="9">
        <v>0</v>
      </c>
      <c r="V589" s="9">
        <v>0</v>
      </c>
      <c r="W589" s="9">
        <v>2</v>
      </c>
      <c r="X589" s="9">
        <v>15</v>
      </c>
      <c r="AE589" s="9">
        <f>IFERROR(VLOOKUP($A589,pivot!$A:$G,計算式2026!AE$1,FALSE),0)</f>
        <v>0</v>
      </c>
      <c r="AF589" s="9">
        <f>IFERROR(VLOOKUP($A589,pivot!$A:$I,計算式2026!AF$1,FALSE),0)</f>
        <v>0</v>
      </c>
      <c r="AI589" s="9">
        <f>IFERROR(VLOOKUP($A589,pivot!$A:$I,計算式2026!AI$1,FALSE),0)</f>
        <v>0</v>
      </c>
      <c r="AJ589" s="9">
        <f>IFERROR(VLOOKUP($A589,pivot!$A:$I,計算式2026!AJ$1,FALSE),0)</f>
        <v>0</v>
      </c>
      <c r="AK589" s="9">
        <f>IFERROR(VLOOKUP($A589,pivot!$A:$I,計算式2026!AK$1,FALSE),0)</f>
        <v>0</v>
      </c>
      <c r="AL589" s="9">
        <f>IFERROR(VLOOKUP($A589,pivot!$A:$I,計算式2026!AL$1,FALSE),0)</f>
        <v>0</v>
      </c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</row>
    <row r="590" spans="1:59" s="9" customFormat="1">
      <c r="A590" s="8" t="s">
        <v>353</v>
      </c>
      <c r="B590" s="8" t="s">
        <v>350</v>
      </c>
      <c r="C590" s="9">
        <v>2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R590" s="9">
        <v>0</v>
      </c>
      <c r="S590" s="9">
        <v>0</v>
      </c>
      <c r="T590" s="9">
        <v>1</v>
      </c>
      <c r="U590" s="9">
        <v>0</v>
      </c>
      <c r="V590" s="9">
        <v>0</v>
      </c>
      <c r="W590" s="9">
        <v>0</v>
      </c>
      <c r="X590" s="9">
        <v>14</v>
      </c>
      <c r="AE590" s="9">
        <f>IFERROR(VLOOKUP($A590,pivot!$A:$G,計算式2026!AE$1,FALSE),0)</f>
        <v>0</v>
      </c>
      <c r="AF590" s="9">
        <f>IFERROR(VLOOKUP($A590,pivot!$A:$I,計算式2026!AF$1,FALSE),0)</f>
        <v>0</v>
      </c>
      <c r="AI590" s="9">
        <f>IFERROR(VLOOKUP($A590,pivot!$A:$I,計算式2026!AI$1,FALSE),0)</f>
        <v>0</v>
      </c>
      <c r="AJ590" s="9">
        <f>IFERROR(VLOOKUP($A590,pivot!$A:$I,計算式2026!AJ$1,FALSE),0)</f>
        <v>0</v>
      </c>
      <c r="AK590" s="9">
        <f>IFERROR(VLOOKUP($A590,pivot!$A:$I,計算式2026!AK$1,FALSE),0)</f>
        <v>0</v>
      </c>
      <c r="AL590" s="9">
        <f>IFERROR(VLOOKUP($A590,pivot!$A:$I,計算式2026!AL$1,FALSE),0)</f>
        <v>0</v>
      </c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</row>
    <row r="591" spans="1:59" s="9" customFormat="1">
      <c r="A591" s="8" t="s">
        <v>1478</v>
      </c>
      <c r="B591" s="8" t="s">
        <v>350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1</v>
      </c>
      <c r="AE591" s="9">
        <f>IFERROR(VLOOKUP($A591,pivot!$A:$G,計算式2026!AE$1,FALSE),0)</f>
        <v>0</v>
      </c>
      <c r="AF591" s="9">
        <f>IFERROR(VLOOKUP($A591,pivot!$A:$I,計算式2026!AF$1,FALSE),0)</f>
        <v>0</v>
      </c>
      <c r="AI591" s="9">
        <f>IFERROR(VLOOKUP($A591,pivot!$A:$I,計算式2026!AI$1,FALSE),0)</f>
        <v>0</v>
      </c>
      <c r="AJ591" s="9">
        <f>IFERROR(VLOOKUP($A591,pivot!$A:$I,計算式2026!AJ$1,FALSE),0)</f>
        <v>0</v>
      </c>
      <c r="AK591" s="9">
        <f>IFERROR(VLOOKUP($A591,pivot!$A:$I,計算式2026!AK$1,FALSE),0)</f>
        <v>0</v>
      </c>
      <c r="AL591" s="9">
        <f>IFERROR(VLOOKUP($A591,pivot!$A:$I,計算式2026!AL$1,FALSE),0)</f>
        <v>0</v>
      </c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</row>
    <row r="592" spans="1:59" s="9" customFormat="1">
      <c r="A592" s="8" t="s">
        <v>354</v>
      </c>
      <c r="B592" s="8" t="s">
        <v>355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R592" s="9">
        <v>2</v>
      </c>
      <c r="S592" s="9">
        <v>0</v>
      </c>
      <c r="T592" s="9">
        <v>1</v>
      </c>
      <c r="U592" s="9">
        <v>2</v>
      </c>
      <c r="V592" s="9">
        <v>2</v>
      </c>
      <c r="W592" s="9">
        <v>0</v>
      </c>
      <c r="X592" s="9">
        <v>1</v>
      </c>
      <c r="AE592" s="9">
        <f>IFERROR(VLOOKUP($A592,pivot!$A:$G,計算式2026!AE$1,FALSE),0)</f>
        <v>0</v>
      </c>
      <c r="AF592" s="9">
        <f>IFERROR(VLOOKUP($A592,pivot!$A:$I,計算式2026!AF$1,FALSE),0)</f>
        <v>0</v>
      </c>
      <c r="AI592" s="9">
        <f>IFERROR(VLOOKUP($A592,pivot!$A:$I,計算式2026!AI$1,FALSE),0)</f>
        <v>0</v>
      </c>
      <c r="AJ592" s="9">
        <f>IFERROR(VLOOKUP($A592,pivot!$A:$I,計算式2026!AJ$1,FALSE),0)</f>
        <v>0</v>
      </c>
      <c r="AK592" s="9">
        <f>IFERROR(VLOOKUP($A592,pivot!$A:$I,計算式2026!AK$1,FALSE),0)</f>
        <v>0</v>
      </c>
      <c r="AL592" s="9">
        <f>IFERROR(VLOOKUP($A592,pivot!$A:$I,計算式2026!AL$1,FALSE),0)</f>
        <v>0</v>
      </c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</row>
    <row r="593" spans="1:59" s="9" customFormat="1">
      <c r="A593" s="8" t="s">
        <v>2048</v>
      </c>
      <c r="B593" s="8" t="s">
        <v>355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R593" s="9">
        <v>2</v>
      </c>
      <c r="S593" s="9">
        <v>1</v>
      </c>
      <c r="T593" s="9">
        <v>-1</v>
      </c>
      <c r="U593" s="9">
        <v>0</v>
      </c>
      <c r="V593" s="9">
        <v>1</v>
      </c>
      <c r="W593" s="9">
        <v>0</v>
      </c>
      <c r="X593" s="9">
        <v>0</v>
      </c>
      <c r="AE593" s="9">
        <f>IFERROR(VLOOKUP($A593,pivot!$A:$G,計算式2026!AE$1,FALSE),0)</f>
        <v>0</v>
      </c>
      <c r="AF593" s="9">
        <f>IFERROR(VLOOKUP($A593,pivot!$A:$I,計算式2026!AF$1,FALSE),0)</f>
        <v>0</v>
      </c>
      <c r="AI593" s="9">
        <f>IFERROR(VLOOKUP($A593,pivot!$A:$I,計算式2026!AI$1,FALSE),0)</f>
        <v>0</v>
      </c>
      <c r="AJ593" s="9">
        <f>IFERROR(VLOOKUP($A593,pivot!$A:$I,計算式2026!AJ$1,FALSE),0)</f>
        <v>0</v>
      </c>
      <c r="AK593" s="9">
        <f>IFERROR(VLOOKUP($A593,pivot!$A:$I,計算式2026!AK$1,FALSE),0)</f>
        <v>0</v>
      </c>
      <c r="AL593" s="9">
        <f>IFERROR(VLOOKUP($A593,pivot!$A:$I,計算式2026!AL$1,FALSE),0)</f>
        <v>0</v>
      </c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</row>
    <row r="594" spans="1:59" s="9" customFormat="1">
      <c r="A594" s="8" t="s">
        <v>356</v>
      </c>
      <c r="B594" s="8" t="s">
        <v>355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R594" s="9">
        <v>0</v>
      </c>
      <c r="S594" s="9">
        <v>0</v>
      </c>
      <c r="T594" s="9">
        <v>1</v>
      </c>
      <c r="U594" s="9">
        <v>0</v>
      </c>
      <c r="V594" s="9">
        <v>0</v>
      </c>
      <c r="W594" s="9">
        <v>0</v>
      </c>
      <c r="X594" s="9">
        <v>1</v>
      </c>
      <c r="AE594" s="9">
        <f>IFERROR(VLOOKUP($A594,pivot!$A:$G,計算式2026!AE$1,FALSE),0)</f>
        <v>0</v>
      </c>
      <c r="AF594" s="9">
        <f>IFERROR(VLOOKUP($A594,pivot!$A:$I,計算式2026!AF$1,FALSE),0)</f>
        <v>0</v>
      </c>
      <c r="AI594" s="9">
        <f>IFERROR(VLOOKUP($A594,pivot!$A:$I,計算式2026!AI$1,FALSE),0)</f>
        <v>0</v>
      </c>
      <c r="AJ594" s="9">
        <f>IFERROR(VLOOKUP($A594,pivot!$A:$I,計算式2026!AJ$1,FALSE),0)</f>
        <v>0</v>
      </c>
      <c r="AK594" s="9">
        <f>IFERROR(VLOOKUP($A594,pivot!$A:$I,計算式2026!AK$1,FALSE),0)</f>
        <v>0</v>
      </c>
      <c r="AL594" s="9">
        <f>IFERROR(VLOOKUP($A594,pivot!$A:$I,計算式2026!AL$1,FALSE),0)</f>
        <v>0</v>
      </c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</row>
    <row r="595" spans="1:59" s="9" customFormat="1">
      <c r="A595" s="8" t="s">
        <v>357</v>
      </c>
      <c r="B595" s="8" t="s">
        <v>355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R595" s="9">
        <v>0</v>
      </c>
      <c r="S595" s="9">
        <v>2</v>
      </c>
      <c r="T595" s="9">
        <v>1</v>
      </c>
      <c r="U595" s="9">
        <v>1</v>
      </c>
      <c r="V595" s="9">
        <v>1</v>
      </c>
      <c r="W595" s="9">
        <v>0</v>
      </c>
      <c r="X595" s="9">
        <v>1</v>
      </c>
      <c r="AE595" s="9">
        <f>IFERROR(VLOOKUP($A595,pivot!$A:$G,計算式2026!AE$1,FALSE),0)</f>
        <v>0</v>
      </c>
      <c r="AF595" s="9">
        <f>IFERROR(VLOOKUP($A595,pivot!$A:$I,計算式2026!AF$1,FALSE),0)</f>
        <v>0</v>
      </c>
      <c r="AI595" s="9">
        <f>IFERROR(VLOOKUP($A595,pivot!$A:$I,計算式2026!AI$1,FALSE),0)</f>
        <v>0</v>
      </c>
      <c r="AJ595" s="9">
        <f>IFERROR(VLOOKUP($A595,pivot!$A:$I,計算式2026!AJ$1,FALSE),0)</f>
        <v>0</v>
      </c>
      <c r="AK595" s="9">
        <f>IFERROR(VLOOKUP($A595,pivot!$A:$I,計算式2026!AK$1,FALSE),0)</f>
        <v>0</v>
      </c>
      <c r="AL595" s="9">
        <f>IFERROR(VLOOKUP($A595,pivot!$A:$I,計算式2026!AL$1,FALSE),0)</f>
        <v>0</v>
      </c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</row>
    <row r="596" spans="1:59" s="9" customFormat="1">
      <c r="A596" s="8" t="s">
        <v>358</v>
      </c>
      <c r="B596" s="8" t="s">
        <v>355</v>
      </c>
      <c r="C596" s="9">
        <v>4</v>
      </c>
      <c r="D596" s="9">
        <v>21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R596" s="9">
        <v>2</v>
      </c>
      <c r="S596" s="9">
        <v>3</v>
      </c>
      <c r="T596" s="9">
        <v>1</v>
      </c>
      <c r="U596" s="9">
        <v>2</v>
      </c>
      <c r="V596" s="9">
        <v>3</v>
      </c>
      <c r="W596" s="9">
        <v>1</v>
      </c>
      <c r="X596" s="9">
        <v>1</v>
      </c>
      <c r="AE596" s="9">
        <f>IFERROR(VLOOKUP($A596,pivot!$A:$G,計算式2026!AE$1,FALSE),0)</f>
        <v>0</v>
      </c>
      <c r="AF596" s="9">
        <f>IFERROR(VLOOKUP($A596,pivot!$A:$I,計算式2026!AF$1,FALSE),0)</f>
        <v>0</v>
      </c>
      <c r="AI596" s="9">
        <f>IFERROR(VLOOKUP($A596,pivot!$A:$I,計算式2026!AI$1,FALSE),0)</f>
        <v>0</v>
      </c>
      <c r="AJ596" s="9">
        <f>IFERROR(VLOOKUP($A596,pivot!$A:$I,計算式2026!AJ$1,FALSE),0)</f>
        <v>0</v>
      </c>
      <c r="AK596" s="9">
        <f>IFERROR(VLOOKUP($A596,pivot!$A:$I,計算式2026!AK$1,FALSE),0)</f>
        <v>0</v>
      </c>
      <c r="AL596" s="9">
        <f>IFERROR(VLOOKUP($A596,pivot!$A:$I,計算式2026!AL$1,FALSE),0)</f>
        <v>0</v>
      </c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</row>
    <row r="597" spans="1:59" s="9" customFormat="1">
      <c r="A597" s="8" t="s">
        <v>359</v>
      </c>
      <c r="B597" s="8" t="s">
        <v>355</v>
      </c>
      <c r="C597" s="9">
        <v>1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R597" s="9">
        <v>1</v>
      </c>
      <c r="S597" s="9">
        <v>3</v>
      </c>
      <c r="T597" s="9">
        <v>1</v>
      </c>
      <c r="U597" s="9">
        <v>2</v>
      </c>
      <c r="V597" s="9">
        <v>3</v>
      </c>
      <c r="W597" s="9">
        <v>1</v>
      </c>
      <c r="X597" s="9">
        <v>1</v>
      </c>
      <c r="AE597" s="9">
        <f>IFERROR(VLOOKUP($A597,pivot!$A:$G,計算式2026!AE$1,FALSE),0)</f>
        <v>0</v>
      </c>
      <c r="AF597" s="9">
        <f>IFERROR(VLOOKUP($A597,pivot!$A:$I,計算式2026!AF$1,FALSE),0)</f>
        <v>0</v>
      </c>
      <c r="AI597" s="9">
        <f>IFERROR(VLOOKUP($A597,pivot!$A:$I,計算式2026!AI$1,FALSE),0)</f>
        <v>0</v>
      </c>
      <c r="AJ597" s="9">
        <f>IFERROR(VLOOKUP($A597,pivot!$A:$I,計算式2026!AJ$1,FALSE),0)</f>
        <v>0</v>
      </c>
      <c r="AK597" s="9">
        <f>IFERROR(VLOOKUP($A597,pivot!$A:$I,計算式2026!AK$1,FALSE),0)</f>
        <v>0</v>
      </c>
      <c r="AL597" s="9">
        <f>IFERROR(VLOOKUP($A597,pivot!$A:$I,計算式2026!AL$1,FALSE),0)</f>
        <v>0</v>
      </c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</row>
    <row r="598" spans="1:59" s="9" customFormat="1">
      <c r="A598" s="8" t="s">
        <v>1479</v>
      </c>
      <c r="B598" s="8" t="s">
        <v>355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R598" s="9">
        <v>0</v>
      </c>
      <c r="S598" s="9">
        <v>0</v>
      </c>
      <c r="T598" s="9">
        <v>0</v>
      </c>
      <c r="U598" s="9">
        <v>1</v>
      </c>
      <c r="V598" s="9">
        <v>0</v>
      </c>
      <c r="W598" s="9">
        <v>0</v>
      </c>
      <c r="X598" s="9">
        <v>2</v>
      </c>
      <c r="AE598" s="9">
        <f>IFERROR(VLOOKUP($A598,pivot!$A:$G,計算式2026!AE$1,FALSE),0)</f>
        <v>0</v>
      </c>
      <c r="AF598" s="9">
        <f>IFERROR(VLOOKUP($A598,pivot!$A:$I,計算式2026!AF$1,FALSE),0)</f>
        <v>1</v>
      </c>
      <c r="AI598" s="9">
        <f>IFERROR(VLOOKUP($A598,pivot!$A:$I,計算式2026!AI$1,FALSE),0)</f>
        <v>0</v>
      </c>
      <c r="AJ598" s="9">
        <f>IFERROR(VLOOKUP($A598,pivot!$A:$I,計算式2026!AJ$1,FALSE),0)</f>
        <v>0</v>
      </c>
      <c r="AK598" s="9">
        <f>IFERROR(VLOOKUP($A598,pivot!$A:$I,計算式2026!AK$1,FALSE),0)</f>
        <v>0</v>
      </c>
      <c r="AL598" s="9">
        <f>IFERROR(VLOOKUP($A598,pivot!$A:$I,計算式2026!AL$1,FALSE),0)</f>
        <v>0</v>
      </c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</row>
    <row r="599" spans="1:59" s="9" customFormat="1">
      <c r="A599" s="8" t="s">
        <v>360</v>
      </c>
      <c r="B599" s="8" t="s">
        <v>361</v>
      </c>
      <c r="C599" s="9">
        <v>1</v>
      </c>
      <c r="D599" s="9">
        <v>12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R599" s="9">
        <v>4</v>
      </c>
      <c r="S599" s="9">
        <v>4</v>
      </c>
      <c r="T599" s="9">
        <v>2</v>
      </c>
      <c r="U599" s="9">
        <v>3</v>
      </c>
      <c r="V599" s="9">
        <v>4</v>
      </c>
      <c r="W599" s="9">
        <v>1</v>
      </c>
      <c r="X599" s="9">
        <v>1</v>
      </c>
      <c r="AE599" s="9">
        <f>IFERROR(VLOOKUP($A599,pivot!$A:$G,計算式2026!AE$1,FALSE),0)</f>
        <v>0</v>
      </c>
      <c r="AF599" s="9">
        <f>IFERROR(VLOOKUP($A599,pivot!$A:$I,計算式2026!AF$1,FALSE),0)</f>
        <v>1</v>
      </c>
      <c r="AI599" s="9">
        <f>IFERROR(VLOOKUP($A599,pivot!$A:$I,計算式2026!AI$1,FALSE),0)</f>
        <v>0</v>
      </c>
      <c r="AJ599" s="9">
        <f>IFERROR(VLOOKUP($A599,pivot!$A:$I,計算式2026!AJ$1,FALSE),0)</f>
        <v>1</v>
      </c>
      <c r="AK599" s="9">
        <f>IFERROR(VLOOKUP($A599,pivot!$A:$I,計算式2026!AK$1,FALSE),0)</f>
        <v>0</v>
      </c>
      <c r="AL599" s="9">
        <f>IFERROR(VLOOKUP($A599,pivot!$A:$I,計算式2026!AL$1,FALSE),0)</f>
        <v>0</v>
      </c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</row>
    <row r="600" spans="1:59" s="9" customFormat="1">
      <c r="A600" s="8" t="s">
        <v>2049</v>
      </c>
      <c r="B600" s="8" t="s">
        <v>361</v>
      </c>
      <c r="C600" s="9">
        <v>0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R600" s="9">
        <v>2</v>
      </c>
      <c r="S600" s="9">
        <v>0</v>
      </c>
      <c r="T600" s="9">
        <v>0</v>
      </c>
      <c r="U600" s="9">
        <v>2</v>
      </c>
      <c r="V600" s="9">
        <v>3</v>
      </c>
      <c r="W600" s="9">
        <v>1</v>
      </c>
      <c r="X600" s="9">
        <v>1</v>
      </c>
      <c r="AE600" s="9">
        <f>IFERROR(VLOOKUP($A600,pivot!$A:$G,計算式2026!AE$1,FALSE),0)</f>
        <v>0</v>
      </c>
      <c r="AF600" s="9">
        <f>IFERROR(VLOOKUP($A600,pivot!$A:$I,計算式2026!AF$1,FALSE),0)</f>
        <v>0</v>
      </c>
      <c r="AI600" s="9">
        <f>IFERROR(VLOOKUP($A600,pivot!$A:$I,計算式2026!AI$1,FALSE),0)</f>
        <v>0</v>
      </c>
      <c r="AJ600" s="9">
        <f>IFERROR(VLOOKUP($A600,pivot!$A:$I,計算式2026!AJ$1,FALSE),0)</f>
        <v>0</v>
      </c>
      <c r="AK600" s="9">
        <f>IFERROR(VLOOKUP($A600,pivot!$A:$I,計算式2026!AK$1,FALSE),0)</f>
        <v>0</v>
      </c>
      <c r="AL600" s="9">
        <f>IFERROR(VLOOKUP($A600,pivot!$A:$I,計算式2026!AL$1,FALSE),0)</f>
        <v>0</v>
      </c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</row>
    <row r="601" spans="1:59" s="9" customFormat="1">
      <c r="A601" s="8" t="s">
        <v>1656</v>
      </c>
      <c r="B601" s="8" t="s">
        <v>361</v>
      </c>
      <c r="C601" s="9">
        <v>0</v>
      </c>
      <c r="D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R601" s="9">
        <v>1</v>
      </c>
      <c r="S601" s="9">
        <v>1</v>
      </c>
      <c r="T601" s="9">
        <v>1</v>
      </c>
      <c r="U601" s="9">
        <v>1</v>
      </c>
      <c r="V601" s="9">
        <v>2</v>
      </c>
      <c r="W601" s="9">
        <v>2</v>
      </c>
      <c r="X601" s="9">
        <v>1</v>
      </c>
      <c r="AE601" s="9">
        <f>IFERROR(VLOOKUP($A601,pivot!$A:$G,計算式2026!AE$1,FALSE),0)</f>
        <v>0</v>
      </c>
      <c r="AF601" s="9">
        <f>IFERROR(VLOOKUP($A601,pivot!$A:$I,計算式2026!AF$1,FALSE),0)</f>
        <v>0</v>
      </c>
      <c r="AI601" s="9">
        <f>IFERROR(VLOOKUP($A601,pivot!$A:$I,計算式2026!AI$1,FALSE),0)</f>
        <v>0</v>
      </c>
      <c r="AJ601" s="9">
        <f>IFERROR(VLOOKUP($A601,pivot!$A:$I,計算式2026!AJ$1,FALSE),0)</f>
        <v>0</v>
      </c>
      <c r="AK601" s="9">
        <f>IFERROR(VLOOKUP($A601,pivot!$A:$I,計算式2026!AK$1,FALSE),0)</f>
        <v>0</v>
      </c>
      <c r="AL601" s="9">
        <f>IFERROR(VLOOKUP($A601,pivot!$A:$I,計算式2026!AL$1,FALSE),0)</f>
        <v>0</v>
      </c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</row>
    <row r="602" spans="1:59" s="9" customFormat="1">
      <c r="A602" s="8" t="s">
        <v>362</v>
      </c>
      <c r="B602" s="8" t="s">
        <v>361</v>
      </c>
      <c r="C602" s="9">
        <v>0</v>
      </c>
      <c r="D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AE602" s="9">
        <f>IFERROR(VLOOKUP($A602,pivot!$A:$G,計算式2026!AE$1,FALSE),0)</f>
        <v>0</v>
      </c>
      <c r="AF602" s="9">
        <f>IFERROR(VLOOKUP($A602,pivot!$A:$I,計算式2026!AF$1,FALSE),0)</f>
        <v>0</v>
      </c>
      <c r="AI602" s="9">
        <f>IFERROR(VLOOKUP($A602,pivot!$A:$I,計算式2026!AI$1,FALSE),0)</f>
        <v>0</v>
      </c>
      <c r="AJ602" s="9">
        <f>IFERROR(VLOOKUP($A602,pivot!$A:$I,計算式2026!AJ$1,FALSE),0)</f>
        <v>0</v>
      </c>
      <c r="AK602" s="9">
        <f>IFERROR(VLOOKUP($A602,pivot!$A:$I,計算式2026!AK$1,FALSE),0)</f>
        <v>0</v>
      </c>
      <c r="AL602" s="9">
        <f>IFERROR(VLOOKUP($A602,pivot!$A:$I,計算式2026!AL$1,FALSE),0)</f>
        <v>0</v>
      </c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</row>
    <row r="603" spans="1:59" s="9" customFormat="1">
      <c r="A603" s="8" t="s">
        <v>2050</v>
      </c>
      <c r="B603" s="8" t="s">
        <v>361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R603" s="9">
        <v>0</v>
      </c>
      <c r="S603" s="9">
        <v>0</v>
      </c>
      <c r="T603" s="9">
        <v>2</v>
      </c>
      <c r="U603" s="9">
        <v>3</v>
      </c>
      <c r="V603" s="9">
        <v>0</v>
      </c>
      <c r="W603" s="9">
        <v>0</v>
      </c>
      <c r="X603" s="9">
        <v>1</v>
      </c>
      <c r="AE603" s="9">
        <f>IFERROR(VLOOKUP($A603,pivot!$A:$G,計算式2026!AE$1,FALSE),0)</f>
        <v>0</v>
      </c>
      <c r="AF603" s="9">
        <f>IFERROR(VLOOKUP($A603,pivot!$A:$I,計算式2026!AF$1,FALSE),0)</f>
        <v>0</v>
      </c>
      <c r="AI603" s="9">
        <f>IFERROR(VLOOKUP($A603,pivot!$A:$I,計算式2026!AI$1,FALSE),0)</f>
        <v>0</v>
      </c>
      <c r="AJ603" s="9">
        <f>IFERROR(VLOOKUP($A603,pivot!$A:$I,計算式2026!AJ$1,FALSE),0)</f>
        <v>0</v>
      </c>
      <c r="AK603" s="9">
        <f>IFERROR(VLOOKUP($A603,pivot!$A:$I,計算式2026!AK$1,FALSE),0)</f>
        <v>0</v>
      </c>
      <c r="AL603" s="9">
        <f>IFERROR(VLOOKUP($A603,pivot!$A:$I,計算式2026!AL$1,FALSE),0)</f>
        <v>0</v>
      </c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</row>
    <row r="604" spans="1:59" s="9" customFormat="1">
      <c r="A604" s="8" t="s">
        <v>363</v>
      </c>
      <c r="B604" s="8" t="s">
        <v>361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R604" s="9">
        <v>0</v>
      </c>
      <c r="S604" s="9">
        <v>0</v>
      </c>
      <c r="T604" s="9">
        <v>1</v>
      </c>
      <c r="U604" s="9">
        <v>0</v>
      </c>
      <c r="V604" s="9">
        <v>2</v>
      </c>
      <c r="W604" s="9">
        <v>0</v>
      </c>
      <c r="X604" s="9">
        <v>0</v>
      </c>
      <c r="AE604" s="9">
        <f>IFERROR(VLOOKUP($A604,pivot!$A:$G,計算式2026!AE$1,FALSE),0)</f>
        <v>0</v>
      </c>
      <c r="AF604" s="9">
        <f>IFERROR(VLOOKUP($A604,pivot!$A:$I,計算式2026!AF$1,FALSE),0)</f>
        <v>0</v>
      </c>
      <c r="AI604" s="9">
        <f>IFERROR(VLOOKUP($A604,pivot!$A:$I,計算式2026!AI$1,FALSE),0)</f>
        <v>0</v>
      </c>
      <c r="AJ604" s="9">
        <f>IFERROR(VLOOKUP($A604,pivot!$A:$I,計算式2026!AJ$1,FALSE),0)</f>
        <v>0</v>
      </c>
      <c r="AK604" s="9">
        <f>IFERROR(VLOOKUP($A604,pivot!$A:$I,計算式2026!AK$1,FALSE),0)</f>
        <v>0</v>
      </c>
      <c r="AL604" s="9">
        <f>IFERROR(VLOOKUP($A604,pivot!$A:$I,計算式2026!AL$1,FALSE),0)</f>
        <v>0</v>
      </c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</row>
    <row r="605" spans="1:59" s="9" customFormat="1">
      <c r="A605" s="8" t="s">
        <v>2599</v>
      </c>
      <c r="B605" s="8" t="s">
        <v>361</v>
      </c>
      <c r="C605" s="9">
        <v>1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R605" s="9">
        <v>2</v>
      </c>
      <c r="S605" s="9">
        <v>3</v>
      </c>
      <c r="T605" s="9">
        <v>2</v>
      </c>
      <c r="U605" s="9">
        <v>3</v>
      </c>
      <c r="V605" s="9">
        <v>3</v>
      </c>
      <c r="W605" s="9">
        <v>0</v>
      </c>
      <c r="X605" s="9">
        <v>2</v>
      </c>
      <c r="AE605" s="9">
        <f>IFERROR(VLOOKUP($A605,pivot!$A:$G,計算式2026!AE$1,FALSE),0)</f>
        <v>0</v>
      </c>
      <c r="AF605" s="9">
        <f>IFERROR(VLOOKUP($A605,pivot!$A:$I,計算式2026!AF$1,FALSE),0)</f>
        <v>0</v>
      </c>
      <c r="AI605" s="9">
        <f>IFERROR(VLOOKUP($A605,pivot!$A:$I,計算式2026!AI$1,FALSE),0)</f>
        <v>0</v>
      </c>
      <c r="AJ605" s="9">
        <f>IFERROR(VLOOKUP($A605,pivot!$A:$I,計算式2026!AJ$1,FALSE),0)</f>
        <v>0</v>
      </c>
      <c r="AK605" s="9">
        <f>IFERROR(VLOOKUP($A605,pivot!$A:$I,計算式2026!AK$1,FALSE),0)</f>
        <v>0</v>
      </c>
      <c r="AL605" s="9">
        <f>IFERROR(VLOOKUP($A605,pivot!$A:$I,計算式2026!AL$1,FALSE),0)</f>
        <v>0</v>
      </c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</row>
    <row r="606" spans="1:59" s="9" customFormat="1">
      <c r="A606" s="8" t="s">
        <v>364</v>
      </c>
      <c r="B606" s="8" t="s">
        <v>361</v>
      </c>
      <c r="C606" s="9">
        <v>0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R606" s="9">
        <v>1</v>
      </c>
      <c r="S606" s="9">
        <v>2</v>
      </c>
      <c r="T606" s="9">
        <v>0</v>
      </c>
      <c r="U606" s="9">
        <v>3</v>
      </c>
      <c r="V606" s="9">
        <v>3</v>
      </c>
      <c r="W606" s="9">
        <v>0</v>
      </c>
      <c r="X606" s="9">
        <v>0</v>
      </c>
      <c r="AE606" s="9">
        <f>IFERROR(VLOOKUP($A606,pivot!$A:$G,計算式2026!AE$1,FALSE),0)</f>
        <v>0</v>
      </c>
      <c r="AF606" s="9">
        <f>IFERROR(VLOOKUP($A606,pivot!$A:$I,計算式2026!AF$1,FALSE),0)</f>
        <v>0</v>
      </c>
      <c r="AI606" s="9">
        <f>IFERROR(VLOOKUP($A606,pivot!$A:$I,計算式2026!AI$1,FALSE),0)</f>
        <v>0</v>
      </c>
      <c r="AJ606" s="9">
        <f>IFERROR(VLOOKUP($A606,pivot!$A:$I,計算式2026!AJ$1,FALSE),0)</f>
        <v>0</v>
      </c>
      <c r="AK606" s="9">
        <f>IFERROR(VLOOKUP($A606,pivot!$A:$I,計算式2026!AK$1,FALSE),0)</f>
        <v>0</v>
      </c>
      <c r="AL606" s="9">
        <f>IFERROR(VLOOKUP($A606,pivot!$A:$I,計算式2026!AL$1,FALSE),0)</f>
        <v>0</v>
      </c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</row>
    <row r="607" spans="1:59" s="9" customFormat="1">
      <c r="A607" s="8" t="s">
        <v>2682</v>
      </c>
      <c r="B607" s="8" t="s">
        <v>361</v>
      </c>
      <c r="C607" s="9">
        <v>16</v>
      </c>
      <c r="D607" s="9">
        <v>16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R607" s="9">
        <v>2</v>
      </c>
      <c r="S607" s="9">
        <v>4</v>
      </c>
      <c r="T607" s="9">
        <v>2</v>
      </c>
      <c r="U607" s="9">
        <v>3</v>
      </c>
      <c r="V607" s="9">
        <v>3</v>
      </c>
      <c r="W607" s="9">
        <v>1</v>
      </c>
      <c r="X607" s="9">
        <v>2</v>
      </c>
      <c r="AE607" s="9">
        <f>IFERROR(VLOOKUP($A607,pivot!$A:$G,計算式2026!AE$1,FALSE),0)</f>
        <v>0</v>
      </c>
      <c r="AF607" s="9">
        <f>IFERROR(VLOOKUP($A607,pivot!$A:$I,計算式2026!AF$1,FALSE),0)</f>
        <v>0</v>
      </c>
      <c r="AI607" s="9">
        <f>IFERROR(VLOOKUP($A607,pivot!$A:$I,計算式2026!AI$1,FALSE),0)</f>
        <v>0</v>
      </c>
      <c r="AJ607" s="9">
        <f>IFERROR(VLOOKUP($A607,pivot!$A:$I,計算式2026!AJ$1,FALSE),0)</f>
        <v>0</v>
      </c>
      <c r="AK607" s="9">
        <f>IFERROR(VLOOKUP($A607,pivot!$A:$I,計算式2026!AK$1,FALSE),0)</f>
        <v>0</v>
      </c>
      <c r="AL607" s="9">
        <f>IFERROR(VLOOKUP($A607,pivot!$A:$I,計算式2026!AL$1,FALSE),0)</f>
        <v>0</v>
      </c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</row>
    <row r="608" spans="1:59" s="9" customFormat="1">
      <c r="A608" s="8" t="s">
        <v>2051</v>
      </c>
      <c r="B608" s="8" t="s">
        <v>361</v>
      </c>
      <c r="C608" s="9">
        <v>13</v>
      </c>
      <c r="D608" s="9">
        <v>14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R608" s="9">
        <v>3</v>
      </c>
      <c r="S608" s="9">
        <v>5</v>
      </c>
      <c r="T608" s="9">
        <v>1</v>
      </c>
      <c r="U608" s="9">
        <v>3</v>
      </c>
      <c r="V608" s="9">
        <v>4</v>
      </c>
      <c r="W608" s="9">
        <v>0</v>
      </c>
      <c r="X608" s="9">
        <v>1</v>
      </c>
      <c r="AE608" s="9">
        <f>IFERROR(VLOOKUP($A608,pivot!$A:$G,計算式2026!AE$1,FALSE),0)</f>
        <v>0</v>
      </c>
      <c r="AF608" s="9">
        <f>IFERROR(VLOOKUP($A608,pivot!$A:$I,計算式2026!AF$1,FALSE),0)</f>
        <v>0</v>
      </c>
      <c r="AI608" s="9">
        <f>IFERROR(VLOOKUP($A608,pivot!$A:$I,計算式2026!AI$1,FALSE),0)</f>
        <v>0</v>
      </c>
      <c r="AJ608" s="9">
        <f>IFERROR(VLOOKUP($A608,pivot!$A:$I,計算式2026!AJ$1,FALSE),0)</f>
        <v>0</v>
      </c>
      <c r="AK608" s="9">
        <f>IFERROR(VLOOKUP($A608,pivot!$A:$I,計算式2026!AK$1,FALSE),0)</f>
        <v>0</v>
      </c>
      <c r="AL608" s="9">
        <f>IFERROR(VLOOKUP($A608,pivot!$A:$I,計算式2026!AL$1,FALSE),0)</f>
        <v>0</v>
      </c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</row>
    <row r="609" spans="1:59" s="9" customFormat="1">
      <c r="A609" s="8" t="s">
        <v>365</v>
      </c>
      <c r="B609" s="8" t="s">
        <v>361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R609" s="9">
        <v>0</v>
      </c>
      <c r="S609" s="9">
        <v>1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AE609" s="9">
        <f>IFERROR(VLOOKUP($A609,pivot!$A:$G,計算式2026!AE$1,FALSE),0)</f>
        <v>0</v>
      </c>
      <c r="AF609" s="9">
        <f>IFERROR(VLOOKUP($A609,pivot!$A:$I,計算式2026!AF$1,FALSE),0)</f>
        <v>0</v>
      </c>
      <c r="AI609" s="9">
        <f>IFERROR(VLOOKUP($A609,pivot!$A:$I,計算式2026!AI$1,FALSE),0)</f>
        <v>0</v>
      </c>
      <c r="AJ609" s="9">
        <f>IFERROR(VLOOKUP($A609,pivot!$A:$I,計算式2026!AJ$1,FALSE),0)</f>
        <v>0</v>
      </c>
      <c r="AK609" s="9">
        <f>IFERROR(VLOOKUP($A609,pivot!$A:$I,計算式2026!AK$1,FALSE),0)</f>
        <v>0</v>
      </c>
      <c r="AL609" s="9">
        <f>IFERROR(VLOOKUP($A609,pivot!$A:$I,計算式2026!AL$1,FALSE),0)</f>
        <v>0</v>
      </c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</row>
    <row r="610" spans="1:59" s="9" customFormat="1">
      <c r="A610" s="8" t="s">
        <v>366</v>
      </c>
      <c r="B610" s="8" t="s">
        <v>361</v>
      </c>
      <c r="C610" s="9">
        <v>8</v>
      </c>
      <c r="D610" s="9">
        <v>4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R610" s="9">
        <v>3</v>
      </c>
      <c r="S610" s="9">
        <v>3</v>
      </c>
      <c r="T610" s="9">
        <v>2</v>
      </c>
      <c r="U610" s="9">
        <v>3</v>
      </c>
      <c r="V610" s="9">
        <v>3</v>
      </c>
      <c r="W610" s="9">
        <v>1</v>
      </c>
      <c r="X610" s="9">
        <v>1</v>
      </c>
      <c r="AE610" s="9">
        <f>IFERROR(VLOOKUP($A610,pivot!$A:$G,計算式2026!AE$1,FALSE),0)</f>
        <v>0</v>
      </c>
      <c r="AF610" s="9">
        <f>IFERROR(VLOOKUP($A610,pivot!$A:$I,計算式2026!AF$1,FALSE),0)</f>
        <v>0</v>
      </c>
      <c r="AI610" s="9">
        <f>IFERROR(VLOOKUP($A610,pivot!$A:$I,計算式2026!AI$1,FALSE),0)</f>
        <v>0</v>
      </c>
      <c r="AJ610" s="9">
        <f>IFERROR(VLOOKUP($A610,pivot!$A:$I,計算式2026!AJ$1,FALSE),0)</f>
        <v>0</v>
      </c>
      <c r="AK610" s="9">
        <f>IFERROR(VLOOKUP($A610,pivot!$A:$I,計算式2026!AK$1,FALSE),0)</f>
        <v>0</v>
      </c>
      <c r="AL610" s="9">
        <f>IFERROR(VLOOKUP($A610,pivot!$A:$I,計算式2026!AL$1,FALSE),0)</f>
        <v>0</v>
      </c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</row>
    <row r="611" spans="1:59" s="9" customFormat="1">
      <c r="A611" s="8" t="s">
        <v>367</v>
      </c>
      <c r="B611" s="8" t="s">
        <v>361</v>
      </c>
      <c r="C611" s="9">
        <v>0</v>
      </c>
      <c r="D611" s="9">
        <v>18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R611" s="9">
        <v>3</v>
      </c>
      <c r="S611" s="9">
        <v>2</v>
      </c>
      <c r="T611" s="9">
        <v>1</v>
      </c>
      <c r="U611" s="9">
        <v>3</v>
      </c>
      <c r="V611" s="9">
        <v>4</v>
      </c>
      <c r="W611" s="9">
        <v>1</v>
      </c>
      <c r="X611" s="9">
        <v>1</v>
      </c>
      <c r="AE611" s="9">
        <f>IFERROR(VLOOKUP($A611,pivot!$A:$G,計算式2026!AE$1,FALSE),0)</f>
        <v>0</v>
      </c>
      <c r="AF611" s="9">
        <f>IFERROR(VLOOKUP($A611,pivot!$A:$I,計算式2026!AF$1,FALSE),0)</f>
        <v>0</v>
      </c>
      <c r="AI611" s="9">
        <f>IFERROR(VLOOKUP($A611,pivot!$A:$I,計算式2026!AI$1,FALSE),0)</f>
        <v>0</v>
      </c>
      <c r="AJ611" s="9">
        <f>IFERROR(VLOOKUP($A611,pivot!$A:$I,計算式2026!AJ$1,FALSE),0)</f>
        <v>0</v>
      </c>
      <c r="AK611" s="9">
        <f>IFERROR(VLOOKUP($A611,pivot!$A:$I,計算式2026!AK$1,FALSE),0)</f>
        <v>0</v>
      </c>
      <c r="AL611" s="9">
        <f>IFERROR(VLOOKUP($A611,pivot!$A:$I,計算式2026!AL$1,FALSE),0)</f>
        <v>0</v>
      </c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</row>
    <row r="612" spans="1:59" s="9" customFormat="1">
      <c r="A612" s="8" t="s">
        <v>368</v>
      </c>
      <c r="B612" s="8" t="s">
        <v>361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1</v>
      </c>
      <c r="X612" s="9">
        <v>1</v>
      </c>
      <c r="AE612" s="9">
        <f>IFERROR(VLOOKUP($A612,pivot!$A:$G,計算式2026!AE$1,FALSE),0)</f>
        <v>0</v>
      </c>
      <c r="AF612" s="9">
        <f>IFERROR(VLOOKUP($A612,pivot!$A:$I,計算式2026!AF$1,FALSE),0)</f>
        <v>0</v>
      </c>
      <c r="AI612" s="9">
        <f>IFERROR(VLOOKUP($A612,pivot!$A:$I,計算式2026!AI$1,FALSE),0)</f>
        <v>0</v>
      </c>
      <c r="AJ612" s="9">
        <f>IFERROR(VLOOKUP($A612,pivot!$A:$I,計算式2026!AJ$1,FALSE),0)</f>
        <v>0</v>
      </c>
      <c r="AK612" s="9">
        <f>IFERROR(VLOOKUP($A612,pivot!$A:$I,計算式2026!AK$1,FALSE),0)</f>
        <v>0</v>
      </c>
      <c r="AL612" s="9">
        <f>IFERROR(VLOOKUP($A612,pivot!$A:$I,計算式2026!AL$1,FALSE),0)</f>
        <v>0</v>
      </c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</row>
    <row r="613" spans="1:59" s="9" customFormat="1">
      <c r="A613" s="8" t="s">
        <v>369</v>
      </c>
      <c r="B613" s="8" t="s">
        <v>361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R613" s="9">
        <v>2</v>
      </c>
      <c r="S613" s="9">
        <v>3</v>
      </c>
      <c r="T613" s="9">
        <v>1</v>
      </c>
      <c r="U613" s="9">
        <v>3</v>
      </c>
      <c r="V613" s="9">
        <v>3</v>
      </c>
      <c r="W613" s="9">
        <v>1</v>
      </c>
      <c r="X613" s="9">
        <v>1</v>
      </c>
      <c r="AE613" s="9">
        <f>IFERROR(VLOOKUP($A613,pivot!$A:$G,計算式2026!AE$1,FALSE),0)</f>
        <v>0</v>
      </c>
      <c r="AF613" s="9">
        <f>IFERROR(VLOOKUP($A613,pivot!$A:$I,計算式2026!AF$1,FALSE),0)</f>
        <v>0</v>
      </c>
      <c r="AI613" s="9">
        <f>IFERROR(VLOOKUP($A613,pivot!$A:$I,計算式2026!AI$1,FALSE),0)</f>
        <v>0</v>
      </c>
      <c r="AJ613" s="9">
        <f>IFERROR(VLOOKUP($A613,pivot!$A:$I,計算式2026!AJ$1,FALSE),0)</f>
        <v>0</v>
      </c>
      <c r="AK613" s="9">
        <f>IFERROR(VLOOKUP($A613,pivot!$A:$I,計算式2026!AK$1,FALSE),0)</f>
        <v>0</v>
      </c>
      <c r="AL613" s="9">
        <f>IFERROR(VLOOKUP($A613,pivot!$A:$I,計算式2026!AL$1,FALSE),0)</f>
        <v>0</v>
      </c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</row>
    <row r="614" spans="1:59" s="9" customFormat="1">
      <c r="A614" s="8" t="s">
        <v>1657</v>
      </c>
      <c r="B614" s="8" t="s">
        <v>361</v>
      </c>
      <c r="C614" s="9">
        <v>0</v>
      </c>
      <c r="D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R614" s="9">
        <v>1</v>
      </c>
      <c r="S614" s="9">
        <v>3</v>
      </c>
      <c r="T614" s="9">
        <v>0</v>
      </c>
      <c r="U614" s="9">
        <v>1</v>
      </c>
      <c r="V614" s="9">
        <v>1</v>
      </c>
      <c r="W614" s="9">
        <v>1</v>
      </c>
      <c r="X614" s="9">
        <v>0</v>
      </c>
      <c r="AE614" s="9">
        <f>IFERROR(VLOOKUP($A614,pivot!$A:$G,計算式2026!AE$1,FALSE),0)</f>
        <v>0</v>
      </c>
      <c r="AF614" s="9">
        <f>IFERROR(VLOOKUP($A614,pivot!$A:$I,計算式2026!AF$1,FALSE),0)</f>
        <v>0</v>
      </c>
      <c r="AI614" s="9">
        <f>IFERROR(VLOOKUP($A614,pivot!$A:$I,計算式2026!AI$1,FALSE),0)</f>
        <v>0</v>
      </c>
      <c r="AJ614" s="9">
        <f>IFERROR(VLOOKUP($A614,pivot!$A:$I,計算式2026!AJ$1,FALSE),0)</f>
        <v>0</v>
      </c>
      <c r="AK614" s="9">
        <f>IFERROR(VLOOKUP($A614,pivot!$A:$I,計算式2026!AK$1,FALSE),0)</f>
        <v>0</v>
      </c>
      <c r="AL614" s="9">
        <f>IFERROR(VLOOKUP($A614,pivot!$A:$I,計算式2026!AL$1,FALSE),0)</f>
        <v>0</v>
      </c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</row>
    <row r="615" spans="1:59" s="9" customFormat="1">
      <c r="A615" s="8" t="s">
        <v>370</v>
      </c>
      <c r="B615" s="8" t="s">
        <v>361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AE615" s="9">
        <f>IFERROR(VLOOKUP($A615,pivot!$A:$G,計算式2026!AE$1,FALSE),0)</f>
        <v>0</v>
      </c>
      <c r="AF615" s="9">
        <f>IFERROR(VLOOKUP($A615,pivot!$A:$I,計算式2026!AF$1,FALSE),0)</f>
        <v>0</v>
      </c>
      <c r="AI615" s="9">
        <f>IFERROR(VLOOKUP($A615,pivot!$A:$I,計算式2026!AI$1,FALSE),0)</f>
        <v>0</v>
      </c>
      <c r="AJ615" s="9">
        <f>IFERROR(VLOOKUP($A615,pivot!$A:$I,計算式2026!AJ$1,FALSE),0)</f>
        <v>0</v>
      </c>
      <c r="AK615" s="9">
        <f>IFERROR(VLOOKUP($A615,pivot!$A:$I,計算式2026!AK$1,FALSE),0)</f>
        <v>0</v>
      </c>
      <c r="AL615" s="9">
        <f>IFERROR(VLOOKUP($A615,pivot!$A:$I,計算式2026!AL$1,FALSE),0)</f>
        <v>0</v>
      </c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</row>
    <row r="616" spans="1:59" s="9" customFormat="1">
      <c r="A616" s="8" t="s">
        <v>371</v>
      </c>
      <c r="B616" s="8" t="s">
        <v>361</v>
      </c>
      <c r="C616" s="9">
        <v>3</v>
      </c>
      <c r="D616" s="9">
        <v>16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R616" s="9">
        <v>3</v>
      </c>
      <c r="S616" s="9">
        <v>3</v>
      </c>
      <c r="T616" s="9">
        <v>2</v>
      </c>
      <c r="U616" s="9">
        <v>3</v>
      </c>
      <c r="V616" s="9">
        <v>3</v>
      </c>
      <c r="W616" s="9">
        <v>2</v>
      </c>
      <c r="X616" s="9">
        <v>2</v>
      </c>
      <c r="AE616" s="9">
        <f>IFERROR(VLOOKUP($A616,pivot!$A:$G,計算式2026!AE$1,FALSE),0)</f>
        <v>0</v>
      </c>
      <c r="AF616" s="9">
        <f>IFERROR(VLOOKUP($A616,pivot!$A:$I,計算式2026!AF$1,FALSE),0)</f>
        <v>0</v>
      </c>
      <c r="AI616" s="9">
        <f>IFERROR(VLOOKUP($A616,pivot!$A:$I,計算式2026!AI$1,FALSE),0)</f>
        <v>1</v>
      </c>
      <c r="AJ616" s="9">
        <f>IFERROR(VLOOKUP($A616,pivot!$A:$I,計算式2026!AJ$1,FALSE),0)</f>
        <v>0</v>
      </c>
      <c r="AK616" s="9">
        <f>IFERROR(VLOOKUP($A616,pivot!$A:$I,計算式2026!AK$1,FALSE),0)</f>
        <v>0</v>
      </c>
      <c r="AL616" s="9">
        <f>IFERROR(VLOOKUP($A616,pivot!$A:$I,計算式2026!AL$1,FALSE),0)</f>
        <v>1</v>
      </c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</row>
    <row r="617" spans="1:59" s="9" customFormat="1">
      <c r="A617" s="8" t="s">
        <v>372</v>
      </c>
      <c r="B617" s="8" t="s">
        <v>361</v>
      </c>
      <c r="C617" s="9">
        <v>15</v>
      </c>
      <c r="D617" s="9">
        <v>20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R617" s="9">
        <v>2</v>
      </c>
      <c r="S617" s="9">
        <v>4</v>
      </c>
      <c r="T617" s="9">
        <v>1</v>
      </c>
      <c r="U617" s="9">
        <v>2</v>
      </c>
      <c r="V617" s="9">
        <v>4</v>
      </c>
      <c r="W617" s="9">
        <v>1</v>
      </c>
      <c r="X617" s="9">
        <v>2</v>
      </c>
      <c r="AE617" s="9">
        <f>IFERROR(VLOOKUP($A617,pivot!$A:$G,計算式2026!AE$1,FALSE),0)</f>
        <v>0</v>
      </c>
      <c r="AF617" s="9">
        <f>IFERROR(VLOOKUP($A617,pivot!$A:$I,計算式2026!AF$1,FALSE),0)</f>
        <v>0</v>
      </c>
      <c r="AI617" s="9">
        <f>IFERROR(VLOOKUP($A617,pivot!$A:$I,計算式2026!AI$1,FALSE),0)</f>
        <v>1</v>
      </c>
      <c r="AJ617" s="9">
        <f>IFERROR(VLOOKUP($A617,pivot!$A:$I,計算式2026!AJ$1,FALSE),0)</f>
        <v>0</v>
      </c>
      <c r="AK617" s="9">
        <f>IFERROR(VLOOKUP($A617,pivot!$A:$I,計算式2026!AK$1,FALSE),0)</f>
        <v>0</v>
      </c>
      <c r="AL617" s="9">
        <f>IFERROR(VLOOKUP($A617,pivot!$A:$I,計算式2026!AL$1,FALSE),0)</f>
        <v>0</v>
      </c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</row>
    <row r="618" spans="1:59" s="9" customFormat="1">
      <c r="A618" s="8" t="s">
        <v>373</v>
      </c>
      <c r="B618" s="8" t="s">
        <v>361</v>
      </c>
      <c r="C618" s="9">
        <v>0</v>
      </c>
      <c r="D618" s="9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3</v>
      </c>
      <c r="X618" s="9">
        <v>1</v>
      </c>
      <c r="AE618" s="9">
        <f>IFERROR(VLOOKUP($A618,pivot!$A:$G,計算式2026!AE$1,FALSE),0)</f>
        <v>0</v>
      </c>
      <c r="AF618" s="9">
        <f>IFERROR(VLOOKUP($A618,pivot!$A:$I,計算式2026!AF$1,FALSE),0)</f>
        <v>0</v>
      </c>
      <c r="AI618" s="9">
        <f>IFERROR(VLOOKUP($A618,pivot!$A:$I,計算式2026!AI$1,FALSE),0)</f>
        <v>0</v>
      </c>
      <c r="AJ618" s="9">
        <f>IFERROR(VLOOKUP($A618,pivot!$A:$I,計算式2026!AJ$1,FALSE),0)</f>
        <v>0</v>
      </c>
      <c r="AK618" s="9">
        <f>IFERROR(VLOOKUP($A618,pivot!$A:$I,計算式2026!AK$1,FALSE),0)</f>
        <v>0</v>
      </c>
      <c r="AL618" s="9">
        <f>IFERROR(VLOOKUP($A618,pivot!$A:$I,計算式2026!AL$1,FALSE),0)</f>
        <v>0</v>
      </c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</row>
    <row r="619" spans="1:59" s="9" customFormat="1">
      <c r="A619" s="8" t="s">
        <v>374</v>
      </c>
      <c r="B619" s="8" t="s">
        <v>361</v>
      </c>
      <c r="C619" s="9">
        <v>1</v>
      </c>
      <c r="D619" s="9">
        <v>24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R619" s="9">
        <v>3</v>
      </c>
      <c r="S619" s="9">
        <v>2</v>
      </c>
      <c r="T619" s="9">
        <v>1</v>
      </c>
      <c r="U619" s="9">
        <v>3</v>
      </c>
      <c r="V619" s="9">
        <v>3</v>
      </c>
      <c r="W619" s="9">
        <v>1</v>
      </c>
      <c r="X619" s="9">
        <v>1</v>
      </c>
      <c r="AE619" s="9">
        <f>IFERROR(VLOOKUP($A619,pivot!$A:$G,計算式2026!AE$1,FALSE),0)</f>
        <v>0</v>
      </c>
      <c r="AF619" s="9">
        <f>IFERROR(VLOOKUP($A619,pivot!$A:$I,計算式2026!AF$1,FALSE),0)</f>
        <v>0</v>
      </c>
      <c r="AI619" s="9">
        <f>IFERROR(VLOOKUP($A619,pivot!$A:$I,計算式2026!AI$1,FALSE),0)</f>
        <v>0</v>
      </c>
      <c r="AJ619" s="9">
        <f>IFERROR(VLOOKUP($A619,pivot!$A:$I,計算式2026!AJ$1,FALSE),0)</f>
        <v>0</v>
      </c>
      <c r="AK619" s="9">
        <f>IFERROR(VLOOKUP($A619,pivot!$A:$I,計算式2026!AK$1,FALSE),0)</f>
        <v>0</v>
      </c>
      <c r="AL619" s="9">
        <f>IFERROR(VLOOKUP($A619,pivot!$A:$I,計算式2026!AL$1,FALSE),0)</f>
        <v>0</v>
      </c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</row>
    <row r="620" spans="1:59" s="9" customFormat="1">
      <c r="A620" s="8" t="s">
        <v>2601</v>
      </c>
      <c r="B620" s="8" t="s">
        <v>361</v>
      </c>
      <c r="C620" s="9">
        <v>0</v>
      </c>
      <c r="D620" s="9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1</v>
      </c>
      <c r="AE620" s="9">
        <f>IFERROR(VLOOKUP($A620,pivot!$A:$G,計算式2026!AE$1,FALSE),0)</f>
        <v>0</v>
      </c>
      <c r="AF620" s="9">
        <f>IFERROR(VLOOKUP($A620,pivot!$A:$I,計算式2026!AF$1,FALSE),0)</f>
        <v>0</v>
      </c>
      <c r="AI620" s="9">
        <f>IFERROR(VLOOKUP($A620,pivot!$A:$I,計算式2026!AI$1,FALSE),0)</f>
        <v>0</v>
      </c>
      <c r="AJ620" s="9">
        <f>IFERROR(VLOOKUP($A620,pivot!$A:$I,計算式2026!AJ$1,FALSE),0)</f>
        <v>0</v>
      </c>
      <c r="AK620" s="9">
        <f>IFERROR(VLOOKUP($A620,pivot!$A:$I,計算式2026!AK$1,FALSE),0)</f>
        <v>0</v>
      </c>
      <c r="AL620" s="9">
        <f>IFERROR(VLOOKUP($A620,pivot!$A:$I,計算式2026!AL$1,FALSE),0)</f>
        <v>0</v>
      </c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</row>
    <row r="621" spans="1:59" s="9" customFormat="1">
      <c r="A621" s="8" t="s">
        <v>375</v>
      </c>
      <c r="B621" s="8" t="s">
        <v>361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1</v>
      </c>
      <c r="X621" s="9">
        <v>1</v>
      </c>
      <c r="AE621" s="9">
        <f>IFERROR(VLOOKUP($A621,pivot!$A:$G,計算式2026!AE$1,FALSE),0)</f>
        <v>0</v>
      </c>
      <c r="AF621" s="9">
        <f>IFERROR(VLOOKUP($A621,pivot!$A:$I,計算式2026!AF$1,FALSE),0)</f>
        <v>0</v>
      </c>
      <c r="AI621" s="9">
        <f>IFERROR(VLOOKUP($A621,pivot!$A:$I,計算式2026!AI$1,FALSE),0)</f>
        <v>0</v>
      </c>
      <c r="AJ621" s="9">
        <f>IFERROR(VLOOKUP($A621,pivot!$A:$I,計算式2026!AJ$1,FALSE),0)</f>
        <v>0</v>
      </c>
      <c r="AK621" s="9">
        <f>IFERROR(VLOOKUP($A621,pivot!$A:$I,計算式2026!AK$1,FALSE),0)</f>
        <v>0</v>
      </c>
      <c r="AL621" s="9">
        <f>IFERROR(VLOOKUP($A621,pivot!$A:$I,計算式2026!AL$1,FALSE),0)</f>
        <v>0</v>
      </c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</row>
    <row r="622" spans="1:59" s="9" customFormat="1">
      <c r="A622" s="8" t="s">
        <v>2052</v>
      </c>
      <c r="B622" s="8" t="s">
        <v>361</v>
      </c>
      <c r="C622" s="9">
        <v>16</v>
      </c>
      <c r="D622" s="9">
        <v>5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R622" s="9">
        <v>2</v>
      </c>
      <c r="S622" s="9">
        <v>4</v>
      </c>
      <c r="T622" s="9">
        <v>1</v>
      </c>
      <c r="U622" s="9">
        <v>4</v>
      </c>
      <c r="V622" s="9">
        <v>3</v>
      </c>
      <c r="W622" s="9">
        <v>0</v>
      </c>
      <c r="X622" s="9">
        <v>1</v>
      </c>
      <c r="AE622" s="9">
        <f>IFERROR(VLOOKUP($A622,pivot!$A:$G,計算式2026!AE$1,FALSE),0)</f>
        <v>0</v>
      </c>
      <c r="AF622" s="9">
        <f>IFERROR(VLOOKUP($A622,pivot!$A:$I,計算式2026!AF$1,FALSE),0)</f>
        <v>0</v>
      </c>
      <c r="AI622" s="9">
        <f>IFERROR(VLOOKUP($A622,pivot!$A:$I,計算式2026!AI$1,FALSE),0)</f>
        <v>0</v>
      </c>
      <c r="AJ622" s="9">
        <f>IFERROR(VLOOKUP($A622,pivot!$A:$I,計算式2026!AJ$1,FALSE),0)</f>
        <v>0</v>
      </c>
      <c r="AK622" s="9">
        <f>IFERROR(VLOOKUP($A622,pivot!$A:$I,計算式2026!AK$1,FALSE),0)</f>
        <v>0</v>
      </c>
      <c r="AL622" s="9">
        <f>IFERROR(VLOOKUP($A622,pivot!$A:$I,計算式2026!AL$1,FALSE),0)</f>
        <v>0</v>
      </c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</row>
    <row r="623" spans="1:59" s="9" customFormat="1">
      <c r="A623" s="8" t="s">
        <v>376</v>
      </c>
      <c r="B623" s="8" t="s">
        <v>377</v>
      </c>
      <c r="C623" s="9">
        <v>0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1</v>
      </c>
      <c r="AE623" s="9">
        <f>IFERROR(VLOOKUP($A623,pivot!$A:$G,計算式2026!AE$1,FALSE),0)</f>
        <v>0</v>
      </c>
      <c r="AF623" s="9">
        <f>IFERROR(VLOOKUP($A623,pivot!$A:$I,計算式2026!AF$1,FALSE),0)</f>
        <v>0</v>
      </c>
      <c r="AI623" s="9">
        <f>IFERROR(VLOOKUP($A623,pivot!$A:$I,計算式2026!AI$1,FALSE),0)</f>
        <v>0</v>
      </c>
      <c r="AJ623" s="9">
        <f>IFERROR(VLOOKUP($A623,pivot!$A:$I,計算式2026!AJ$1,FALSE),0)</f>
        <v>0</v>
      </c>
      <c r="AK623" s="9">
        <f>IFERROR(VLOOKUP($A623,pivot!$A:$I,計算式2026!AK$1,FALSE),0)</f>
        <v>0</v>
      </c>
      <c r="AL623" s="9">
        <f>IFERROR(VLOOKUP($A623,pivot!$A:$I,計算式2026!AL$1,FALSE),0)</f>
        <v>0</v>
      </c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</row>
    <row r="624" spans="1:59" s="9" customFormat="1">
      <c r="A624" s="8" t="s">
        <v>378</v>
      </c>
      <c r="B624" s="8" t="s">
        <v>377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1</v>
      </c>
      <c r="X624" s="9">
        <v>1</v>
      </c>
      <c r="AE624" s="9">
        <f>IFERROR(VLOOKUP($A624,pivot!$A:$G,計算式2026!AE$1,FALSE),0)</f>
        <v>0</v>
      </c>
      <c r="AF624" s="9">
        <f>IFERROR(VLOOKUP($A624,pivot!$A:$I,計算式2026!AF$1,FALSE),0)</f>
        <v>0</v>
      </c>
      <c r="AI624" s="9">
        <f>IFERROR(VLOOKUP($A624,pivot!$A:$I,計算式2026!AI$1,FALSE),0)</f>
        <v>0</v>
      </c>
      <c r="AJ624" s="9">
        <f>IFERROR(VLOOKUP($A624,pivot!$A:$I,計算式2026!AJ$1,FALSE),0)</f>
        <v>0</v>
      </c>
      <c r="AK624" s="9">
        <f>IFERROR(VLOOKUP($A624,pivot!$A:$I,計算式2026!AK$1,FALSE),0)</f>
        <v>0</v>
      </c>
      <c r="AL624" s="9">
        <f>IFERROR(VLOOKUP($A624,pivot!$A:$I,計算式2026!AL$1,FALSE),0)</f>
        <v>0</v>
      </c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</row>
    <row r="625" spans="1:59" s="9" customFormat="1">
      <c r="A625" s="8" t="s">
        <v>379</v>
      </c>
      <c r="B625" s="8" t="s">
        <v>380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R625" s="9">
        <v>2</v>
      </c>
      <c r="S625" s="9">
        <v>1</v>
      </c>
      <c r="T625" s="9">
        <v>1</v>
      </c>
      <c r="U625" s="9">
        <v>2</v>
      </c>
      <c r="V625" s="9">
        <v>0</v>
      </c>
      <c r="W625" s="9">
        <v>0</v>
      </c>
      <c r="X625" s="9">
        <v>2</v>
      </c>
      <c r="AE625" s="9">
        <f>IFERROR(VLOOKUP($A625,pivot!$A:$G,計算式2026!AE$1,FALSE),0)</f>
        <v>0</v>
      </c>
      <c r="AF625" s="9">
        <f>IFERROR(VLOOKUP($A625,pivot!$A:$I,計算式2026!AF$1,FALSE),0)</f>
        <v>0</v>
      </c>
      <c r="AI625" s="9">
        <f>IFERROR(VLOOKUP($A625,pivot!$A:$I,計算式2026!AI$1,FALSE),0)</f>
        <v>0</v>
      </c>
      <c r="AJ625" s="9">
        <f>IFERROR(VLOOKUP($A625,pivot!$A:$I,計算式2026!AJ$1,FALSE),0)</f>
        <v>0</v>
      </c>
      <c r="AK625" s="9">
        <f>IFERROR(VLOOKUP($A625,pivot!$A:$I,計算式2026!AK$1,FALSE),0)</f>
        <v>0</v>
      </c>
      <c r="AL625" s="9">
        <f>IFERROR(VLOOKUP($A625,pivot!$A:$I,計算式2026!AL$1,FALSE),0)</f>
        <v>0</v>
      </c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</row>
    <row r="626" spans="1:59" s="9" customFormat="1">
      <c r="A626" s="8" t="s">
        <v>381</v>
      </c>
      <c r="B626" s="8" t="s">
        <v>380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R626" s="9">
        <v>1</v>
      </c>
      <c r="S626" s="9">
        <v>1</v>
      </c>
      <c r="T626" s="9">
        <v>1</v>
      </c>
      <c r="U626" s="9">
        <v>2</v>
      </c>
      <c r="V626" s="9">
        <v>0</v>
      </c>
      <c r="W626" s="9">
        <v>0</v>
      </c>
      <c r="X626" s="9">
        <v>2</v>
      </c>
      <c r="AE626" s="9">
        <f>IFERROR(VLOOKUP($A626,pivot!$A:$G,計算式2026!AE$1,FALSE),0)</f>
        <v>0</v>
      </c>
      <c r="AF626" s="9">
        <f>IFERROR(VLOOKUP($A626,pivot!$A:$I,計算式2026!AF$1,FALSE),0)</f>
        <v>0</v>
      </c>
      <c r="AI626" s="9">
        <f>IFERROR(VLOOKUP($A626,pivot!$A:$I,計算式2026!AI$1,FALSE),0)</f>
        <v>0</v>
      </c>
      <c r="AJ626" s="9">
        <f>IFERROR(VLOOKUP($A626,pivot!$A:$I,計算式2026!AJ$1,FALSE),0)</f>
        <v>0</v>
      </c>
      <c r="AK626" s="9">
        <f>IFERROR(VLOOKUP($A626,pivot!$A:$I,計算式2026!AK$1,FALSE),0)</f>
        <v>0</v>
      </c>
      <c r="AL626" s="9">
        <f>IFERROR(VLOOKUP($A626,pivot!$A:$I,計算式2026!AL$1,FALSE),0)</f>
        <v>0</v>
      </c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</row>
    <row r="627" spans="1:59" s="9" customFormat="1">
      <c r="A627" s="8" t="s">
        <v>382</v>
      </c>
      <c r="B627" s="8" t="s">
        <v>383</v>
      </c>
      <c r="C627" s="9">
        <v>0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R627" s="9">
        <v>1</v>
      </c>
      <c r="S627" s="9">
        <v>0</v>
      </c>
      <c r="T627" s="9">
        <v>1</v>
      </c>
      <c r="U627" s="9">
        <v>0</v>
      </c>
      <c r="V627" s="9">
        <v>0</v>
      </c>
      <c r="W627" s="9">
        <v>2</v>
      </c>
      <c r="X627" s="9">
        <v>0</v>
      </c>
      <c r="AE627" s="9">
        <f>IFERROR(VLOOKUP($A627,pivot!$A:$G,計算式2026!AE$1,FALSE),0)</f>
        <v>0</v>
      </c>
      <c r="AF627" s="9">
        <f>IFERROR(VLOOKUP($A627,pivot!$A:$I,計算式2026!AF$1,FALSE),0)</f>
        <v>0</v>
      </c>
      <c r="AI627" s="9">
        <f>IFERROR(VLOOKUP($A627,pivot!$A:$I,計算式2026!AI$1,FALSE),0)</f>
        <v>0</v>
      </c>
      <c r="AJ627" s="9">
        <f>IFERROR(VLOOKUP($A627,pivot!$A:$I,計算式2026!AJ$1,FALSE),0)</f>
        <v>0</v>
      </c>
      <c r="AK627" s="9">
        <f>IFERROR(VLOOKUP($A627,pivot!$A:$I,計算式2026!AK$1,FALSE),0)</f>
        <v>0</v>
      </c>
      <c r="AL627" s="9">
        <f>IFERROR(VLOOKUP($A627,pivot!$A:$I,計算式2026!AL$1,FALSE),0)</f>
        <v>0</v>
      </c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</row>
    <row r="628" spans="1:59" s="9" customFormat="1">
      <c r="A628" s="8" t="s">
        <v>384</v>
      </c>
      <c r="B628" s="8" t="s">
        <v>383</v>
      </c>
      <c r="C628" s="9">
        <v>0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1</v>
      </c>
      <c r="AE628" s="9">
        <f>IFERROR(VLOOKUP($A628,pivot!$A:$G,計算式2026!AE$1,FALSE),0)</f>
        <v>0</v>
      </c>
      <c r="AF628" s="9">
        <f>IFERROR(VLOOKUP($A628,pivot!$A:$I,計算式2026!AF$1,FALSE),0)</f>
        <v>0</v>
      </c>
      <c r="AI628" s="9">
        <f>IFERROR(VLOOKUP($A628,pivot!$A:$I,計算式2026!AI$1,FALSE),0)</f>
        <v>0</v>
      </c>
      <c r="AJ628" s="9">
        <f>IFERROR(VLOOKUP($A628,pivot!$A:$I,計算式2026!AJ$1,FALSE),0)</f>
        <v>0</v>
      </c>
      <c r="AK628" s="9">
        <f>IFERROR(VLOOKUP($A628,pivot!$A:$I,計算式2026!AK$1,FALSE),0)</f>
        <v>0</v>
      </c>
      <c r="AL628" s="9">
        <f>IFERROR(VLOOKUP($A628,pivot!$A:$I,計算式2026!AL$1,FALSE),0)</f>
        <v>0</v>
      </c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</row>
    <row r="629" spans="1:59" s="9" customFormat="1">
      <c r="A629" s="8" t="s">
        <v>386</v>
      </c>
      <c r="B629" s="8" t="s">
        <v>385</v>
      </c>
      <c r="C629" s="9">
        <v>0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1</v>
      </c>
      <c r="AE629" s="9">
        <f>IFERROR(VLOOKUP($A629,pivot!$A:$G,計算式2026!AE$1,FALSE),0)</f>
        <v>0</v>
      </c>
      <c r="AF629" s="9">
        <f>IFERROR(VLOOKUP($A629,pivot!$A:$I,計算式2026!AF$1,FALSE),0)</f>
        <v>0</v>
      </c>
      <c r="AI629" s="9">
        <f>IFERROR(VLOOKUP($A629,pivot!$A:$I,計算式2026!AI$1,FALSE),0)</f>
        <v>0</v>
      </c>
      <c r="AJ629" s="9">
        <f>IFERROR(VLOOKUP($A629,pivot!$A:$I,計算式2026!AJ$1,FALSE),0)</f>
        <v>0</v>
      </c>
      <c r="AK629" s="9">
        <f>IFERROR(VLOOKUP($A629,pivot!$A:$I,計算式2026!AK$1,FALSE),0)</f>
        <v>0</v>
      </c>
      <c r="AL629" s="9">
        <f>IFERROR(VLOOKUP($A629,pivot!$A:$I,計算式2026!AL$1,FALSE),0)</f>
        <v>0</v>
      </c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</row>
    <row r="630" spans="1:59" s="9" customFormat="1">
      <c r="A630" s="8" t="s">
        <v>2053</v>
      </c>
      <c r="B630" s="8" t="s">
        <v>385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R630" s="9">
        <v>0</v>
      </c>
      <c r="S630" s="9">
        <v>0</v>
      </c>
      <c r="T630" s="9">
        <v>0</v>
      </c>
      <c r="U630" s="9">
        <v>1</v>
      </c>
      <c r="V630" s="9">
        <v>0</v>
      </c>
      <c r="W630" s="9">
        <v>1</v>
      </c>
      <c r="X630" s="9">
        <v>1</v>
      </c>
      <c r="AE630" s="9">
        <f>IFERROR(VLOOKUP($A630,pivot!$A:$G,計算式2026!AE$1,FALSE),0)</f>
        <v>0</v>
      </c>
      <c r="AF630" s="9">
        <f>IFERROR(VLOOKUP($A630,pivot!$A:$I,計算式2026!AF$1,FALSE),0)</f>
        <v>0</v>
      </c>
      <c r="AI630" s="9">
        <f>IFERROR(VLOOKUP($A630,pivot!$A:$I,計算式2026!AI$1,FALSE),0)</f>
        <v>0</v>
      </c>
      <c r="AJ630" s="9">
        <f>IFERROR(VLOOKUP($A630,pivot!$A:$I,計算式2026!AJ$1,FALSE),0)</f>
        <v>0</v>
      </c>
      <c r="AK630" s="9">
        <f>IFERROR(VLOOKUP($A630,pivot!$A:$I,計算式2026!AK$1,FALSE),0)</f>
        <v>0</v>
      </c>
      <c r="AL630" s="9">
        <f>IFERROR(VLOOKUP($A630,pivot!$A:$I,計算式2026!AL$1,FALSE),0)</f>
        <v>0</v>
      </c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</row>
    <row r="631" spans="1:59" s="9" customFormat="1">
      <c r="A631" s="8" t="s">
        <v>387</v>
      </c>
      <c r="B631" s="8" t="s">
        <v>385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1</v>
      </c>
      <c r="AE631" s="9">
        <f>IFERROR(VLOOKUP($A631,pivot!$A:$G,計算式2026!AE$1,FALSE),0)</f>
        <v>0</v>
      </c>
      <c r="AF631" s="9">
        <f>IFERROR(VLOOKUP($A631,pivot!$A:$I,計算式2026!AF$1,FALSE),0)</f>
        <v>0</v>
      </c>
      <c r="AI631" s="9">
        <f>IFERROR(VLOOKUP($A631,pivot!$A:$I,計算式2026!AI$1,FALSE),0)</f>
        <v>0</v>
      </c>
      <c r="AJ631" s="9">
        <f>IFERROR(VLOOKUP($A631,pivot!$A:$I,計算式2026!AJ$1,FALSE),0)</f>
        <v>0</v>
      </c>
      <c r="AK631" s="9">
        <f>IFERROR(VLOOKUP($A631,pivot!$A:$I,計算式2026!AK$1,FALSE),0)</f>
        <v>0</v>
      </c>
      <c r="AL631" s="9">
        <f>IFERROR(VLOOKUP($A631,pivot!$A:$I,計算式2026!AL$1,FALSE),0)</f>
        <v>0</v>
      </c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</row>
    <row r="632" spans="1:59" s="9" customFormat="1">
      <c r="A632" s="8" t="s">
        <v>388</v>
      </c>
      <c r="B632" s="8" t="s">
        <v>385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R632" s="9">
        <v>0</v>
      </c>
      <c r="S632" s="9">
        <v>1</v>
      </c>
      <c r="T632" s="9">
        <v>0</v>
      </c>
      <c r="U632" s="9">
        <v>0</v>
      </c>
      <c r="V632" s="9">
        <v>1</v>
      </c>
      <c r="W632" s="9">
        <v>0</v>
      </c>
      <c r="X632" s="9">
        <v>0</v>
      </c>
      <c r="AE632" s="9">
        <f>IFERROR(VLOOKUP($A632,pivot!$A:$G,計算式2026!AE$1,FALSE),0)</f>
        <v>0</v>
      </c>
      <c r="AF632" s="9">
        <f>IFERROR(VLOOKUP($A632,pivot!$A:$I,計算式2026!AF$1,FALSE),0)</f>
        <v>0</v>
      </c>
      <c r="AI632" s="9">
        <f>IFERROR(VLOOKUP($A632,pivot!$A:$I,計算式2026!AI$1,FALSE),0)</f>
        <v>0</v>
      </c>
      <c r="AJ632" s="9">
        <f>IFERROR(VLOOKUP($A632,pivot!$A:$I,計算式2026!AJ$1,FALSE),0)</f>
        <v>0</v>
      </c>
      <c r="AK632" s="9">
        <f>IFERROR(VLOOKUP($A632,pivot!$A:$I,計算式2026!AK$1,FALSE),0)</f>
        <v>0</v>
      </c>
      <c r="AL632" s="9">
        <f>IFERROR(VLOOKUP($A632,pivot!$A:$I,計算式2026!AL$1,FALSE),0)</f>
        <v>0</v>
      </c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</row>
    <row r="633" spans="1:59" s="9" customFormat="1">
      <c r="A633" s="8" t="s">
        <v>389</v>
      </c>
      <c r="B633" s="8" t="s">
        <v>385</v>
      </c>
      <c r="C633" s="9">
        <v>0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1</v>
      </c>
      <c r="AE633" s="9">
        <f>IFERROR(VLOOKUP($A633,pivot!$A:$G,計算式2026!AE$1,FALSE),0)</f>
        <v>0</v>
      </c>
      <c r="AF633" s="9">
        <f>IFERROR(VLOOKUP($A633,pivot!$A:$I,計算式2026!AF$1,FALSE),0)</f>
        <v>0</v>
      </c>
      <c r="AI633" s="9">
        <f>IFERROR(VLOOKUP($A633,pivot!$A:$I,計算式2026!AI$1,FALSE),0)</f>
        <v>0</v>
      </c>
      <c r="AJ633" s="9">
        <f>IFERROR(VLOOKUP($A633,pivot!$A:$I,計算式2026!AJ$1,FALSE),0)</f>
        <v>0</v>
      </c>
      <c r="AK633" s="9">
        <f>IFERROR(VLOOKUP($A633,pivot!$A:$I,計算式2026!AK$1,FALSE),0)</f>
        <v>0</v>
      </c>
      <c r="AL633" s="9">
        <f>IFERROR(VLOOKUP($A633,pivot!$A:$I,計算式2026!AL$1,FALSE),0)</f>
        <v>0</v>
      </c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</row>
    <row r="634" spans="1:59" s="9" customFormat="1">
      <c r="A634" s="8" t="s">
        <v>390</v>
      </c>
      <c r="B634" s="8" t="s">
        <v>385</v>
      </c>
      <c r="C634" s="9">
        <v>0</v>
      </c>
      <c r="D634" s="9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AE634" s="9">
        <f>IFERROR(VLOOKUP($A634,pivot!$A:$G,計算式2026!AE$1,FALSE),0)</f>
        <v>0</v>
      </c>
      <c r="AF634" s="9">
        <f>IFERROR(VLOOKUP($A634,pivot!$A:$I,計算式2026!AF$1,FALSE),0)</f>
        <v>0</v>
      </c>
      <c r="AI634" s="9">
        <f>IFERROR(VLOOKUP($A634,pivot!$A:$I,計算式2026!AI$1,FALSE),0)</f>
        <v>0</v>
      </c>
      <c r="AJ634" s="9">
        <f>IFERROR(VLOOKUP($A634,pivot!$A:$I,計算式2026!AJ$1,FALSE),0)</f>
        <v>0</v>
      </c>
      <c r="AK634" s="9">
        <f>IFERROR(VLOOKUP($A634,pivot!$A:$I,計算式2026!AK$1,FALSE),0)</f>
        <v>0</v>
      </c>
      <c r="AL634" s="9">
        <f>IFERROR(VLOOKUP($A634,pivot!$A:$I,計算式2026!AL$1,FALSE),0)</f>
        <v>0</v>
      </c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</row>
    <row r="635" spans="1:59" s="9" customFormat="1">
      <c r="A635" s="8" t="s">
        <v>391</v>
      </c>
      <c r="B635" s="8" t="s">
        <v>385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1</v>
      </c>
      <c r="W635" s="9">
        <v>0</v>
      </c>
      <c r="X635" s="9">
        <v>0</v>
      </c>
      <c r="AE635" s="9">
        <f>IFERROR(VLOOKUP($A635,pivot!$A:$G,計算式2026!AE$1,FALSE),0)</f>
        <v>0</v>
      </c>
      <c r="AF635" s="9">
        <f>IFERROR(VLOOKUP($A635,pivot!$A:$I,計算式2026!AF$1,FALSE),0)</f>
        <v>0</v>
      </c>
      <c r="AI635" s="9">
        <f>IFERROR(VLOOKUP($A635,pivot!$A:$I,計算式2026!AI$1,FALSE),0)</f>
        <v>0</v>
      </c>
      <c r="AJ635" s="9">
        <f>IFERROR(VLOOKUP($A635,pivot!$A:$I,計算式2026!AJ$1,FALSE),0)</f>
        <v>0</v>
      </c>
      <c r="AK635" s="9">
        <f>IFERROR(VLOOKUP($A635,pivot!$A:$I,計算式2026!AK$1,FALSE),0)</f>
        <v>0</v>
      </c>
      <c r="AL635" s="9">
        <f>IFERROR(VLOOKUP($A635,pivot!$A:$I,計算式2026!AL$1,FALSE),0)</f>
        <v>0</v>
      </c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</row>
    <row r="636" spans="1:59" s="9" customFormat="1">
      <c r="A636" s="8" t="s">
        <v>392</v>
      </c>
      <c r="B636" s="8" t="s">
        <v>393</v>
      </c>
      <c r="C636" s="9">
        <v>0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1</v>
      </c>
      <c r="W636" s="9">
        <v>0</v>
      </c>
      <c r="X636" s="9">
        <v>1</v>
      </c>
      <c r="AE636" s="9">
        <f>IFERROR(VLOOKUP($A636,pivot!$A:$G,計算式2026!AE$1,FALSE),0)</f>
        <v>0</v>
      </c>
      <c r="AF636" s="9">
        <f>IFERROR(VLOOKUP($A636,pivot!$A:$I,計算式2026!AF$1,FALSE),0)</f>
        <v>0</v>
      </c>
      <c r="AI636" s="9">
        <f>IFERROR(VLOOKUP($A636,pivot!$A:$I,計算式2026!AI$1,FALSE),0)</f>
        <v>0</v>
      </c>
      <c r="AJ636" s="9">
        <f>IFERROR(VLOOKUP($A636,pivot!$A:$I,計算式2026!AJ$1,FALSE),0)</f>
        <v>0</v>
      </c>
      <c r="AK636" s="9">
        <f>IFERROR(VLOOKUP($A636,pivot!$A:$I,計算式2026!AK$1,FALSE),0)</f>
        <v>0</v>
      </c>
      <c r="AL636" s="9">
        <f>IFERROR(VLOOKUP($A636,pivot!$A:$I,計算式2026!AL$1,FALSE),0)</f>
        <v>0</v>
      </c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</row>
    <row r="637" spans="1:59" s="9" customFormat="1">
      <c r="A637" s="8" t="s">
        <v>394</v>
      </c>
      <c r="B637" s="8" t="s">
        <v>393</v>
      </c>
      <c r="C637" s="9">
        <v>11</v>
      </c>
      <c r="D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R637" s="9">
        <v>0</v>
      </c>
      <c r="S637" s="9">
        <v>0</v>
      </c>
      <c r="T637" s="9">
        <v>1</v>
      </c>
      <c r="U637" s="9">
        <v>1</v>
      </c>
      <c r="V637" s="9">
        <v>1</v>
      </c>
      <c r="W637" s="9">
        <v>1</v>
      </c>
      <c r="X637" s="9">
        <v>1</v>
      </c>
      <c r="AE637" s="9">
        <f>IFERROR(VLOOKUP($A637,pivot!$A:$G,計算式2026!AE$1,FALSE),0)</f>
        <v>0</v>
      </c>
      <c r="AF637" s="9">
        <f>IFERROR(VLOOKUP($A637,pivot!$A:$I,計算式2026!AF$1,FALSE),0)</f>
        <v>0</v>
      </c>
      <c r="AI637" s="9">
        <f>IFERROR(VLOOKUP($A637,pivot!$A:$I,計算式2026!AI$1,FALSE),0)</f>
        <v>0</v>
      </c>
      <c r="AJ637" s="9">
        <f>IFERROR(VLOOKUP($A637,pivot!$A:$I,計算式2026!AJ$1,FALSE),0)</f>
        <v>0</v>
      </c>
      <c r="AK637" s="9">
        <f>IFERROR(VLOOKUP($A637,pivot!$A:$I,計算式2026!AK$1,FALSE),0)</f>
        <v>0</v>
      </c>
      <c r="AL637" s="9">
        <f>IFERROR(VLOOKUP($A637,pivot!$A:$I,計算式2026!AL$1,FALSE),0)</f>
        <v>0</v>
      </c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</row>
    <row r="638" spans="1:59" s="9" customFormat="1">
      <c r="A638" s="8" t="s">
        <v>395</v>
      </c>
      <c r="B638" s="8" t="s">
        <v>393</v>
      </c>
      <c r="C638" s="9">
        <v>1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R638" s="9">
        <v>0</v>
      </c>
      <c r="S638" s="9">
        <v>0</v>
      </c>
      <c r="T638" s="9">
        <v>2</v>
      </c>
      <c r="U638" s="9">
        <v>0</v>
      </c>
      <c r="V638" s="9">
        <v>1</v>
      </c>
      <c r="W638" s="9">
        <v>0</v>
      </c>
      <c r="X638" s="9">
        <v>1</v>
      </c>
      <c r="AE638" s="9">
        <f>IFERROR(VLOOKUP($A638,pivot!$A:$G,計算式2026!AE$1,FALSE),0)</f>
        <v>0</v>
      </c>
      <c r="AF638" s="9">
        <f>IFERROR(VLOOKUP($A638,pivot!$A:$I,計算式2026!AF$1,FALSE),0)</f>
        <v>0</v>
      </c>
      <c r="AI638" s="9">
        <f>IFERROR(VLOOKUP($A638,pivot!$A:$I,計算式2026!AI$1,FALSE),0)</f>
        <v>0</v>
      </c>
      <c r="AJ638" s="9">
        <f>IFERROR(VLOOKUP($A638,pivot!$A:$I,計算式2026!AJ$1,FALSE),0)</f>
        <v>0</v>
      </c>
      <c r="AK638" s="9">
        <f>IFERROR(VLOOKUP($A638,pivot!$A:$I,計算式2026!AK$1,FALSE),0)</f>
        <v>0</v>
      </c>
      <c r="AL638" s="9">
        <f>IFERROR(VLOOKUP($A638,pivot!$A:$I,計算式2026!AL$1,FALSE),0)</f>
        <v>0</v>
      </c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</row>
    <row r="639" spans="1:59" s="9" customFormat="1">
      <c r="A639" s="8" t="s">
        <v>396</v>
      </c>
      <c r="B639" s="8" t="s">
        <v>393</v>
      </c>
      <c r="C639" s="9">
        <v>3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R639" s="9">
        <v>0</v>
      </c>
      <c r="S639" s="9">
        <v>0</v>
      </c>
      <c r="T639" s="9">
        <v>2</v>
      </c>
      <c r="U639" s="9">
        <v>0</v>
      </c>
      <c r="V639" s="9">
        <v>0</v>
      </c>
      <c r="W639" s="9">
        <v>0</v>
      </c>
      <c r="X639" s="9">
        <v>1</v>
      </c>
      <c r="AE639" s="9">
        <f>IFERROR(VLOOKUP($A639,pivot!$A:$G,計算式2026!AE$1,FALSE),0)</f>
        <v>0</v>
      </c>
      <c r="AF639" s="9">
        <f>IFERROR(VLOOKUP($A639,pivot!$A:$I,計算式2026!AF$1,FALSE),0)</f>
        <v>0</v>
      </c>
      <c r="AI639" s="9">
        <f>IFERROR(VLOOKUP($A639,pivot!$A:$I,計算式2026!AI$1,FALSE),0)</f>
        <v>0</v>
      </c>
      <c r="AJ639" s="9">
        <f>IFERROR(VLOOKUP($A639,pivot!$A:$I,計算式2026!AJ$1,FALSE),0)</f>
        <v>0</v>
      </c>
      <c r="AK639" s="9">
        <f>IFERROR(VLOOKUP($A639,pivot!$A:$I,計算式2026!AK$1,FALSE),0)</f>
        <v>0</v>
      </c>
      <c r="AL639" s="9">
        <f>IFERROR(VLOOKUP($A639,pivot!$A:$I,計算式2026!AL$1,FALSE),0)</f>
        <v>0</v>
      </c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</row>
    <row r="640" spans="1:59" s="9" customFormat="1">
      <c r="A640" s="8" t="s">
        <v>397</v>
      </c>
      <c r="B640" s="8" t="s">
        <v>393</v>
      </c>
      <c r="C640" s="9">
        <v>14</v>
      </c>
      <c r="D640" s="9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R640" s="9">
        <v>0</v>
      </c>
      <c r="S640" s="9">
        <v>0</v>
      </c>
      <c r="T640" s="9">
        <v>2</v>
      </c>
      <c r="U640" s="9">
        <v>0</v>
      </c>
      <c r="V640" s="9">
        <v>0</v>
      </c>
      <c r="W640" s="9">
        <v>0</v>
      </c>
      <c r="X640" s="9">
        <v>1</v>
      </c>
      <c r="AE640" s="9">
        <f>IFERROR(VLOOKUP($A640,pivot!$A:$G,計算式2026!AE$1,FALSE),0)</f>
        <v>0</v>
      </c>
      <c r="AF640" s="9">
        <f>IFERROR(VLOOKUP($A640,pivot!$A:$I,計算式2026!AF$1,FALSE),0)</f>
        <v>0</v>
      </c>
      <c r="AI640" s="9">
        <f>IFERROR(VLOOKUP($A640,pivot!$A:$I,計算式2026!AI$1,FALSE),0)</f>
        <v>0</v>
      </c>
      <c r="AJ640" s="9">
        <f>IFERROR(VLOOKUP($A640,pivot!$A:$I,計算式2026!AJ$1,FALSE),0)</f>
        <v>0</v>
      </c>
      <c r="AK640" s="9">
        <f>IFERROR(VLOOKUP($A640,pivot!$A:$I,計算式2026!AK$1,FALSE),0)</f>
        <v>0</v>
      </c>
      <c r="AL640" s="9">
        <f>IFERROR(VLOOKUP($A640,pivot!$A:$I,計算式2026!AL$1,FALSE),0)</f>
        <v>0</v>
      </c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</row>
    <row r="641" spans="1:59" s="9" customFormat="1">
      <c r="A641" s="8" t="s">
        <v>398</v>
      </c>
      <c r="B641" s="8" t="s">
        <v>393</v>
      </c>
      <c r="C641" s="9">
        <v>6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R641" s="9">
        <v>0</v>
      </c>
      <c r="S641" s="9">
        <v>0</v>
      </c>
      <c r="T641" s="9">
        <v>1</v>
      </c>
      <c r="U641" s="9">
        <v>0</v>
      </c>
      <c r="V641" s="9">
        <v>2</v>
      </c>
      <c r="W641" s="9">
        <v>2</v>
      </c>
      <c r="X641" s="9">
        <v>1</v>
      </c>
      <c r="AE641" s="9">
        <f>IFERROR(VLOOKUP($A641,pivot!$A:$G,計算式2026!AE$1,FALSE),0)</f>
        <v>0</v>
      </c>
      <c r="AF641" s="9">
        <f>IFERROR(VLOOKUP($A641,pivot!$A:$I,計算式2026!AF$1,FALSE),0)</f>
        <v>0</v>
      </c>
      <c r="AI641" s="9">
        <f>IFERROR(VLOOKUP($A641,pivot!$A:$I,計算式2026!AI$1,FALSE),0)</f>
        <v>0</v>
      </c>
      <c r="AJ641" s="9">
        <f>IFERROR(VLOOKUP($A641,pivot!$A:$I,計算式2026!AJ$1,FALSE),0)</f>
        <v>0</v>
      </c>
      <c r="AK641" s="9">
        <f>IFERROR(VLOOKUP($A641,pivot!$A:$I,計算式2026!AK$1,FALSE),0)</f>
        <v>0</v>
      </c>
      <c r="AL641" s="9">
        <f>IFERROR(VLOOKUP($A641,pivot!$A:$I,計算式2026!AL$1,FALSE),0)</f>
        <v>0</v>
      </c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</row>
    <row r="642" spans="1:59" s="9" customFormat="1">
      <c r="A642" s="8" t="s">
        <v>399</v>
      </c>
      <c r="B642" s="8" t="s">
        <v>393</v>
      </c>
      <c r="C642" s="9">
        <v>13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R642" s="9">
        <v>0</v>
      </c>
      <c r="S642" s="9">
        <v>0</v>
      </c>
      <c r="T642" s="9">
        <v>1</v>
      </c>
      <c r="U642" s="9">
        <v>0</v>
      </c>
      <c r="V642" s="9">
        <v>1</v>
      </c>
      <c r="W642" s="9">
        <v>2</v>
      </c>
      <c r="X642" s="9">
        <v>1</v>
      </c>
      <c r="AE642" s="9">
        <f>IFERROR(VLOOKUP($A642,pivot!$A:$G,計算式2026!AE$1,FALSE),0)</f>
        <v>0</v>
      </c>
      <c r="AF642" s="9">
        <f>IFERROR(VLOOKUP($A642,pivot!$A:$I,計算式2026!AF$1,FALSE),0)</f>
        <v>0</v>
      </c>
      <c r="AI642" s="9">
        <f>IFERROR(VLOOKUP($A642,pivot!$A:$I,計算式2026!AI$1,FALSE),0)</f>
        <v>0</v>
      </c>
      <c r="AJ642" s="9">
        <f>IFERROR(VLOOKUP($A642,pivot!$A:$I,計算式2026!AJ$1,FALSE),0)</f>
        <v>0</v>
      </c>
      <c r="AK642" s="9">
        <f>IFERROR(VLOOKUP($A642,pivot!$A:$I,計算式2026!AK$1,FALSE),0)</f>
        <v>0</v>
      </c>
      <c r="AL642" s="9">
        <f>IFERROR(VLOOKUP($A642,pivot!$A:$I,計算式2026!AL$1,FALSE),0)</f>
        <v>0</v>
      </c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</row>
    <row r="643" spans="1:59" s="9" customFormat="1">
      <c r="A643" s="8" t="s">
        <v>400</v>
      </c>
      <c r="B643" s="8" t="s">
        <v>393</v>
      </c>
      <c r="C643" s="9">
        <v>4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R643" s="9">
        <v>0</v>
      </c>
      <c r="S643" s="9">
        <v>0</v>
      </c>
      <c r="T643" s="9">
        <v>2</v>
      </c>
      <c r="U643" s="9">
        <v>0</v>
      </c>
      <c r="V643" s="9">
        <v>0</v>
      </c>
      <c r="W643" s="9">
        <v>0</v>
      </c>
      <c r="X643" s="9">
        <v>2</v>
      </c>
      <c r="AE643" s="9">
        <f>IFERROR(VLOOKUP($A643,pivot!$A:$G,計算式2026!AE$1,FALSE),0)</f>
        <v>0</v>
      </c>
      <c r="AF643" s="9">
        <f>IFERROR(VLOOKUP($A643,pivot!$A:$I,計算式2026!AF$1,FALSE),0)</f>
        <v>0</v>
      </c>
      <c r="AI643" s="9">
        <f>IFERROR(VLOOKUP($A643,pivot!$A:$I,計算式2026!AI$1,FALSE),0)</f>
        <v>0</v>
      </c>
      <c r="AJ643" s="9">
        <f>IFERROR(VLOOKUP($A643,pivot!$A:$I,計算式2026!AJ$1,FALSE),0)</f>
        <v>0</v>
      </c>
      <c r="AK643" s="9">
        <f>IFERROR(VLOOKUP($A643,pivot!$A:$I,計算式2026!AK$1,FALSE),0)</f>
        <v>0</v>
      </c>
      <c r="AL643" s="9">
        <f>IFERROR(VLOOKUP($A643,pivot!$A:$I,計算式2026!AL$1,FALSE),0)</f>
        <v>0</v>
      </c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</row>
    <row r="644" spans="1:59" s="9" customFormat="1">
      <c r="A644" s="8" t="s">
        <v>401</v>
      </c>
      <c r="B644" s="8" t="s">
        <v>393</v>
      </c>
      <c r="C644" s="9">
        <v>5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R644" s="9">
        <v>0</v>
      </c>
      <c r="S644" s="9">
        <v>0</v>
      </c>
      <c r="T644" s="9">
        <v>1</v>
      </c>
      <c r="U644" s="9">
        <v>0</v>
      </c>
      <c r="V644" s="9">
        <v>1</v>
      </c>
      <c r="W644" s="9">
        <v>1</v>
      </c>
      <c r="X644" s="9">
        <v>1</v>
      </c>
      <c r="AE644" s="9">
        <f>IFERROR(VLOOKUP($A644,pivot!$A:$G,計算式2026!AE$1,FALSE),0)</f>
        <v>0</v>
      </c>
      <c r="AF644" s="9">
        <f>IFERROR(VLOOKUP($A644,pivot!$A:$I,計算式2026!AF$1,FALSE),0)</f>
        <v>0</v>
      </c>
      <c r="AI644" s="9">
        <f>IFERROR(VLOOKUP($A644,pivot!$A:$I,計算式2026!AI$1,FALSE),0)</f>
        <v>0</v>
      </c>
      <c r="AJ644" s="9">
        <f>IFERROR(VLOOKUP($A644,pivot!$A:$I,計算式2026!AJ$1,FALSE),0)</f>
        <v>0</v>
      </c>
      <c r="AK644" s="9">
        <f>IFERROR(VLOOKUP($A644,pivot!$A:$I,計算式2026!AK$1,FALSE),0)</f>
        <v>0</v>
      </c>
      <c r="AL644" s="9">
        <f>IFERROR(VLOOKUP($A644,pivot!$A:$I,計算式2026!AL$1,FALSE),0)</f>
        <v>0</v>
      </c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</row>
    <row r="645" spans="1:59" s="9" customFormat="1">
      <c r="A645" s="8" t="s">
        <v>2055</v>
      </c>
      <c r="B645" s="8" t="s">
        <v>2054</v>
      </c>
      <c r="C645" s="9">
        <v>0</v>
      </c>
      <c r="D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R645" s="9">
        <v>0</v>
      </c>
      <c r="S645" s="9">
        <v>0</v>
      </c>
      <c r="T645" s="9">
        <v>0</v>
      </c>
      <c r="U645" s="9">
        <v>1</v>
      </c>
      <c r="V645" s="9">
        <v>0</v>
      </c>
      <c r="W645" s="9">
        <v>0</v>
      </c>
      <c r="X645" s="9">
        <v>1</v>
      </c>
      <c r="AE645" s="9">
        <f>IFERROR(VLOOKUP($A645,pivot!$A:$G,計算式2026!AE$1,FALSE),0)</f>
        <v>0</v>
      </c>
      <c r="AF645" s="9">
        <f>IFERROR(VLOOKUP($A645,pivot!$A:$I,計算式2026!AF$1,FALSE),0)</f>
        <v>0</v>
      </c>
      <c r="AI645" s="9">
        <f>IFERROR(VLOOKUP($A645,pivot!$A:$I,計算式2026!AI$1,FALSE),0)</f>
        <v>0</v>
      </c>
      <c r="AJ645" s="9">
        <f>IFERROR(VLOOKUP($A645,pivot!$A:$I,計算式2026!AJ$1,FALSE),0)</f>
        <v>0</v>
      </c>
      <c r="AK645" s="9">
        <f>IFERROR(VLOOKUP($A645,pivot!$A:$I,計算式2026!AK$1,FALSE),0)</f>
        <v>0</v>
      </c>
      <c r="AL645" s="9">
        <f>IFERROR(VLOOKUP($A645,pivot!$A:$I,計算式2026!AL$1,FALSE),0)</f>
        <v>0</v>
      </c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</row>
    <row r="646" spans="1:59" s="9" customFormat="1">
      <c r="A646" s="8" t="s">
        <v>1581</v>
      </c>
      <c r="B646" s="8" t="s">
        <v>2054</v>
      </c>
      <c r="C646" s="9">
        <v>0</v>
      </c>
      <c r="D646" s="9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1</v>
      </c>
      <c r="X646" s="9">
        <v>1</v>
      </c>
      <c r="AE646" s="9">
        <f>IFERROR(VLOOKUP($A646,pivot!$A:$G,計算式2026!AE$1,FALSE),0)</f>
        <v>0</v>
      </c>
      <c r="AF646" s="9">
        <f>IFERROR(VLOOKUP($A646,pivot!$A:$I,計算式2026!AF$1,FALSE),0)</f>
        <v>0</v>
      </c>
      <c r="AI646" s="9">
        <f>IFERROR(VLOOKUP($A646,pivot!$A:$I,計算式2026!AI$1,FALSE),0)</f>
        <v>0</v>
      </c>
      <c r="AJ646" s="9">
        <f>IFERROR(VLOOKUP($A646,pivot!$A:$I,計算式2026!AJ$1,FALSE),0)</f>
        <v>0</v>
      </c>
      <c r="AK646" s="9">
        <f>IFERROR(VLOOKUP($A646,pivot!$A:$I,計算式2026!AK$1,FALSE),0)</f>
        <v>0</v>
      </c>
      <c r="AL646" s="9">
        <f>IFERROR(VLOOKUP($A646,pivot!$A:$I,計算式2026!AL$1,FALSE),0)</f>
        <v>0</v>
      </c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</row>
    <row r="647" spans="1:59" s="9" customFormat="1">
      <c r="A647" s="8" t="s">
        <v>1582</v>
      </c>
      <c r="B647" s="8" t="s">
        <v>2054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R647" s="9">
        <v>0</v>
      </c>
      <c r="S647" s="9">
        <v>0</v>
      </c>
      <c r="T647" s="9">
        <v>2</v>
      </c>
      <c r="U647" s="9">
        <v>0</v>
      </c>
      <c r="V647" s="9">
        <v>2</v>
      </c>
      <c r="W647" s="9">
        <v>1</v>
      </c>
      <c r="X647" s="9">
        <v>1</v>
      </c>
      <c r="AE647" s="9">
        <f>IFERROR(VLOOKUP($A647,pivot!$A:$G,計算式2026!AE$1,FALSE),0)</f>
        <v>0</v>
      </c>
      <c r="AF647" s="9">
        <f>IFERROR(VLOOKUP($A647,pivot!$A:$I,計算式2026!AF$1,FALSE),0)</f>
        <v>0</v>
      </c>
      <c r="AI647" s="9">
        <f>IFERROR(VLOOKUP($A647,pivot!$A:$I,計算式2026!AI$1,FALSE),0)</f>
        <v>0</v>
      </c>
      <c r="AJ647" s="9">
        <f>IFERROR(VLOOKUP($A647,pivot!$A:$I,計算式2026!AJ$1,FALSE),0)</f>
        <v>0</v>
      </c>
      <c r="AK647" s="9">
        <f>IFERROR(VLOOKUP($A647,pivot!$A:$I,計算式2026!AK$1,FALSE),0)</f>
        <v>0</v>
      </c>
      <c r="AL647" s="9">
        <f>IFERROR(VLOOKUP($A647,pivot!$A:$I,計算式2026!AL$1,FALSE),0)</f>
        <v>0</v>
      </c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</row>
    <row r="648" spans="1:59" s="9" customFormat="1">
      <c r="A648" s="8" t="s">
        <v>1583</v>
      </c>
      <c r="B648" s="8" t="s">
        <v>2054</v>
      </c>
      <c r="C648" s="9">
        <v>3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R648" s="9">
        <v>1</v>
      </c>
      <c r="S648" s="9">
        <v>0</v>
      </c>
      <c r="T648" s="9">
        <v>1</v>
      </c>
      <c r="U648" s="9">
        <v>2</v>
      </c>
      <c r="V648" s="9">
        <v>3</v>
      </c>
      <c r="W648" s="9">
        <v>1</v>
      </c>
      <c r="X648" s="9">
        <v>1</v>
      </c>
      <c r="AE648" s="9">
        <f>IFERROR(VLOOKUP($A648,pivot!$A:$G,計算式2026!AE$1,FALSE),0)</f>
        <v>0</v>
      </c>
      <c r="AF648" s="9">
        <f>IFERROR(VLOOKUP($A648,pivot!$A:$I,計算式2026!AF$1,FALSE),0)</f>
        <v>0</v>
      </c>
      <c r="AI648" s="9">
        <f>IFERROR(VLOOKUP($A648,pivot!$A:$I,計算式2026!AI$1,FALSE),0)</f>
        <v>0</v>
      </c>
      <c r="AJ648" s="9">
        <f>IFERROR(VLOOKUP($A648,pivot!$A:$I,計算式2026!AJ$1,FALSE),0)</f>
        <v>0</v>
      </c>
      <c r="AK648" s="9">
        <f>IFERROR(VLOOKUP($A648,pivot!$A:$I,計算式2026!AK$1,FALSE),0)</f>
        <v>0</v>
      </c>
      <c r="AL648" s="9">
        <f>IFERROR(VLOOKUP($A648,pivot!$A:$I,計算式2026!AL$1,FALSE),0)</f>
        <v>0</v>
      </c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</row>
    <row r="649" spans="1:59" s="9" customFormat="1">
      <c r="A649" s="8" t="s">
        <v>1584</v>
      </c>
      <c r="B649" s="8" t="s">
        <v>2054</v>
      </c>
      <c r="C649" s="9">
        <v>1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R649" s="9">
        <v>1</v>
      </c>
      <c r="S649" s="9">
        <v>0</v>
      </c>
      <c r="T649" s="9">
        <v>1</v>
      </c>
      <c r="U649" s="9">
        <v>2</v>
      </c>
      <c r="V649" s="9">
        <v>2</v>
      </c>
      <c r="W649" s="9">
        <v>1</v>
      </c>
      <c r="X649" s="9">
        <v>1</v>
      </c>
      <c r="AE649" s="9">
        <f>IFERROR(VLOOKUP($A649,pivot!$A:$G,計算式2026!AE$1,FALSE),0)</f>
        <v>0</v>
      </c>
      <c r="AF649" s="9">
        <f>IFERROR(VLOOKUP($A649,pivot!$A:$I,計算式2026!AF$1,FALSE),0)</f>
        <v>0</v>
      </c>
      <c r="AI649" s="9">
        <f>IFERROR(VLOOKUP($A649,pivot!$A:$I,計算式2026!AI$1,FALSE),0)</f>
        <v>0</v>
      </c>
      <c r="AJ649" s="9">
        <f>IFERROR(VLOOKUP($A649,pivot!$A:$I,計算式2026!AJ$1,FALSE),0)</f>
        <v>0</v>
      </c>
      <c r="AK649" s="9">
        <f>IFERROR(VLOOKUP($A649,pivot!$A:$I,計算式2026!AK$1,FALSE),0)</f>
        <v>0</v>
      </c>
      <c r="AL649" s="9">
        <f>IFERROR(VLOOKUP($A649,pivot!$A:$I,計算式2026!AL$1,FALSE),0)</f>
        <v>0</v>
      </c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</row>
    <row r="650" spans="1:59" s="9" customFormat="1">
      <c r="A650" s="8" t="s">
        <v>2056</v>
      </c>
      <c r="B650" s="8" t="s">
        <v>2054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R650" s="9">
        <v>0</v>
      </c>
      <c r="S650" s="9">
        <v>0</v>
      </c>
      <c r="T650" s="9">
        <v>1</v>
      </c>
      <c r="U650" s="9">
        <v>2</v>
      </c>
      <c r="V650" s="9">
        <v>0</v>
      </c>
      <c r="W650" s="9">
        <v>0</v>
      </c>
      <c r="X650" s="9">
        <v>0</v>
      </c>
      <c r="AE650" s="9">
        <f>IFERROR(VLOOKUP($A650,pivot!$A:$G,計算式2026!AE$1,FALSE),0)</f>
        <v>0</v>
      </c>
      <c r="AF650" s="9">
        <f>IFERROR(VLOOKUP($A650,pivot!$A:$I,計算式2026!AF$1,FALSE),0)</f>
        <v>0</v>
      </c>
      <c r="AI650" s="9">
        <f>IFERROR(VLOOKUP($A650,pivot!$A:$I,計算式2026!AI$1,FALSE),0)</f>
        <v>0</v>
      </c>
      <c r="AJ650" s="9">
        <f>IFERROR(VLOOKUP($A650,pivot!$A:$I,計算式2026!AJ$1,FALSE),0)</f>
        <v>0</v>
      </c>
      <c r="AK650" s="9">
        <f>IFERROR(VLOOKUP($A650,pivot!$A:$I,計算式2026!AK$1,FALSE),0)</f>
        <v>0</v>
      </c>
      <c r="AL650" s="9">
        <f>IFERROR(VLOOKUP($A650,pivot!$A:$I,計算式2026!AL$1,FALSE),0)</f>
        <v>0</v>
      </c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</row>
    <row r="651" spans="1:59" s="9" customFormat="1">
      <c r="A651" s="8" t="s">
        <v>2057</v>
      </c>
      <c r="B651" s="8" t="s">
        <v>2058</v>
      </c>
      <c r="C651" s="9">
        <v>0</v>
      </c>
      <c r="D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AE651" s="9">
        <f>IFERROR(VLOOKUP($A651,pivot!$A:$G,計算式2026!AE$1,FALSE),0)</f>
        <v>0</v>
      </c>
      <c r="AF651" s="9">
        <f>IFERROR(VLOOKUP($A651,pivot!$A:$I,計算式2026!AF$1,FALSE),0)</f>
        <v>0</v>
      </c>
      <c r="AI651" s="9">
        <f>IFERROR(VLOOKUP($A651,pivot!$A:$I,計算式2026!AI$1,FALSE),0)</f>
        <v>0</v>
      </c>
      <c r="AJ651" s="9">
        <f>IFERROR(VLOOKUP($A651,pivot!$A:$I,計算式2026!AJ$1,FALSE),0)</f>
        <v>0</v>
      </c>
      <c r="AK651" s="9">
        <f>IFERROR(VLOOKUP($A651,pivot!$A:$I,計算式2026!AK$1,FALSE),0)</f>
        <v>0</v>
      </c>
      <c r="AL651" s="9">
        <f>IFERROR(VLOOKUP($A651,pivot!$A:$I,計算式2026!AL$1,FALSE),0)</f>
        <v>0</v>
      </c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</row>
    <row r="652" spans="1:59" s="9" customFormat="1">
      <c r="A652" s="8" t="s">
        <v>1585</v>
      </c>
      <c r="B652" s="8" t="s">
        <v>2058</v>
      </c>
      <c r="C652" s="9">
        <v>2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R652" s="9">
        <v>0</v>
      </c>
      <c r="S652" s="9">
        <v>0</v>
      </c>
      <c r="T652" s="9">
        <v>0</v>
      </c>
      <c r="U652" s="9">
        <v>1</v>
      </c>
      <c r="V652" s="9">
        <v>0</v>
      </c>
      <c r="W652" s="9">
        <v>0</v>
      </c>
      <c r="X652" s="9">
        <v>1</v>
      </c>
      <c r="AE652" s="9">
        <f>IFERROR(VLOOKUP($A652,pivot!$A:$G,計算式2026!AE$1,FALSE),0)</f>
        <v>0</v>
      </c>
      <c r="AF652" s="9">
        <f>IFERROR(VLOOKUP($A652,pivot!$A:$I,計算式2026!AF$1,FALSE),0)</f>
        <v>0</v>
      </c>
      <c r="AI652" s="9">
        <f>IFERROR(VLOOKUP($A652,pivot!$A:$I,計算式2026!AI$1,FALSE),0)</f>
        <v>0</v>
      </c>
      <c r="AJ652" s="9">
        <f>IFERROR(VLOOKUP($A652,pivot!$A:$I,計算式2026!AJ$1,FALSE),0)</f>
        <v>0</v>
      </c>
      <c r="AK652" s="9">
        <f>IFERROR(VLOOKUP($A652,pivot!$A:$I,計算式2026!AK$1,FALSE),0)</f>
        <v>0</v>
      </c>
      <c r="AL652" s="9">
        <f>IFERROR(VLOOKUP($A652,pivot!$A:$I,計算式2026!AL$1,FALSE),0)</f>
        <v>0</v>
      </c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</row>
    <row r="653" spans="1:59" s="9" customFormat="1">
      <c r="A653" s="8" t="s">
        <v>2059</v>
      </c>
      <c r="B653" s="8" t="s">
        <v>2058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R653" s="9">
        <v>0</v>
      </c>
      <c r="S653" s="9">
        <v>0</v>
      </c>
      <c r="T653" s="9">
        <v>2</v>
      </c>
      <c r="U653" s="9">
        <v>2</v>
      </c>
      <c r="V653" s="9">
        <v>0</v>
      </c>
      <c r="W653" s="9">
        <v>0</v>
      </c>
      <c r="X653" s="9">
        <v>1</v>
      </c>
      <c r="AE653" s="9">
        <f>IFERROR(VLOOKUP($A653,pivot!$A:$G,計算式2026!AE$1,FALSE),0)</f>
        <v>0</v>
      </c>
      <c r="AF653" s="9">
        <f>IFERROR(VLOOKUP($A653,pivot!$A:$I,計算式2026!AF$1,FALSE),0)</f>
        <v>0</v>
      </c>
      <c r="AI653" s="9">
        <f>IFERROR(VLOOKUP($A653,pivot!$A:$I,計算式2026!AI$1,FALSE),0)</f>
        <v>0</v>
      </c>
      <c r="AJ653" s="9">
        <f>IFERROR(VLOOKUP($A653,pivot!$A:$I,計算式2026!AJ$1,FALSE),0)</f>
        <v>0</v>
      </c>
      <c r="AK653" s="9">
        <f>IFERROR(VLOOKUP($A653,pivot!$A:$I,計算式2026!AK$1,FALSE),0)</f>
        <v>0</v>
      </c>
      <c r="AL653" s="9">
        <f>IFERROR(VLOOKUP($A653,pivot!$A:$I,計算式2026!AL$1,FALSE),0)</f>
        <v>0</v>
      </c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</row>
    <row r="654" spans="1:59" s="9" customFormat="1">
      <c r="A654" s="8" t="s">
        <v>1586</v>
      </c>
      <c r="B654" s="8" t="s">
        <v>2058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1</v>
      </c>
      <c r="AE654" s="9">
        <f>IFERROR(VLOOKUP($A654,pivot!$A:$G,計算式2026!AE$1,FALSE),0)</f>
        <v>0</v>
      </c>
      <c r="AF654" s="9">
        <f>IFERROR(VLOOKUP($A654,pivot!$A:$I,計算式2026!AF$1,FALSE),0)</f>
        <v>0</v>
      </c>
      <c r="AI654" s="9">
        <f>IFERROR(VLOOKUP($A654,pivot!$A:$I,計算式2026!AI$1,FALSE),0)</f>
        <v>0</v>
      </c>
      <c r="AJ654" s="9">
        <f>IFERROR(VLOOKUP($A654,pivot!$A:$I,計算式2026!AJ$1,FALSE),0)</f>
        <v>0</v>
      </c>
      <c r="AK654" s="9">
        <f>IFERROR(VLOOKUP($A654,pivot!$A:$I,計算式2026!AK$1,FALSE),0)</f>
        <v>0</v>
      </c>
      <c r="AL654" s="9">
        <f>IFERROR(VLOOKUP($A654,pivot!$A:$I,計算式2026!AL$1,FALSE),0)</f>
        <v>0</v>
      </c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</row>
    <row r="655" spans="1:59" s="9" customFormat="1">
      <c r="A655" s="8" t="s">
        <v>1587</v>
      </c>
      <c r="B655" s="8" t="s">
        <v>2058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R655" s="9">
        <v>0</v>
      </c>
      <c r="S655" s="9">
        <v>0</v>
      </c>
      <c r="T655" s="9">
        <v>2</v>
      </c>
      <c r="U655" s="9">
        <v>0</v>
      </c>
      <c r="V655" s="9">
        <v>0</v>
      </c>
      <c r="W655" s="9">
        <v>1</v>
      </c>
      <c r="X655" s="9">
        <v>1</v>
      </c>
      <c r="AE655" s="9">
        <f>IFERROR(VLOOKUP($A655,pivot!$A:$G,計算式2026!AE$1,FALSE),0)</f>
        <v>0</v>
      </c>
      <c r="AF655" s="9">
        <f>IFERROR(VLOOKUP($A655,pivot!$A:$I,計算式2026!AF$1,FALSE),0)</f>
        <v>0</v>
      </c>
      <c r="AI655" s="9">
        <f>IFERROR(VLOOKUP($A655,pivot!$A:$I,計算式2026!AI$1,FALSE),0)</f>
        <v>0</v>
      </c>
      <c r="AJ655" s="9">
        <f>IFERROR(VLOOKUP($A655,pivot!$A:$I,計算式2026!AJ$1,FALSE),0)</f>
        <v>0</v>
      </c>
      <c r="AK655" s="9">
        <f>IFERROR(VLOOKUP($A655,pivot!$A:$I,計算式2026!AK$1,FALSE),0)</f>
        <v>0</v>
      </c>
      <c r="AL655" s="9">
        <f>IFERROR(VLOOKUP($A655,pivot!$A:$I,計算式2026!AL$1,FALSE),0)</f>
        <v>0</v>
      </c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</row>
    <row r="656" spans="1:59" s="9" customFormat="1">
      <c r="A656" s="8" t="s">
        <v>1588</v>
      </c>
      <c r="B656" s="8" t="s">
        <v>2058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R656" s="9">
        <v>2</v>
      </c>
      <c r="S656" s="9">
        <v>0</v>
      </c>
      <c r="T656" s="9">
        <v>1</v>
      </c>
      <c r="U656" s="9">
        <v>3</v>
      </c>
      <c r="V656" s="9">
        <v>0</v>
      </c>
      <c r="W656" s="9">
        <v>1</v>
      </c>
      <c r="X656" s="9">
        <v>1</v>
      </c>
      <c r="AE656" s="9">
        <f>IFERROR(VLOOKUP($A656,pivot!$A:$G,計算式2026!AE$1,FALSE),0)</f>
        <v>0</v>
      </c>
      <c r="AF656" s="9">
        <f>IFERROR(VLOOKUP($A656,pivot!$A:$I,計算式2026!AF$1,FALSE),0)</f>
        <v>0</v>
      </c>
      <c r="AI656" s="9">
        <f>IFERROR(VLOOKUP($A656,pivot!$A:$I,計算式2026!AI$1,FALSE),0)</f>
        <v>0</v>
      </c>
      <c r="AJ656" s="9">
        <f>IFERROR(VLOOKUP($A656,pivot!$A:$I,計算式2026!AJ$1,FALSE),0)</f>
        <v>0</v>
      </c>
      <c r="AK656" s="9">
        <f>IFERROR(VLOOKUP($A656,pivot!$A:$I,計算式2026!AK$1,FALSE),0)</f>
        <v>0</v>
      </c>
      <c r="AL656" s="9">
        <f>IFERROR(VLOOKUP($A656,pivot!$A:$I,計算式2026!AL$1,FALSE),0)</f>
        <v>0</v>
      </c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</row>
    <row r="657" spans="1:59" s="9" customFormat="1">
      <c r="A657" s="8" t="s">
        <v>1589</v>
      </c>
      <c r="B657" s="8" t="s">
        <v>2058</v>
      </c>
      <c r="C657" s="9">
        <v>10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R657" s="9">
        <v>2</v>
      </c>
      <c r="S657" s="9">
        <v>0</v>
      </c>
      <c r="T657" s="9">
        <v>1</v>
      </c>
      <c r="U657" s="9">
        <v>3</v>
      </c>
      <c r="V657" s="9">
        <v>0</v>
      </c>
      <c r="W657" s="9">
        <v>1</v>
      </c>
      <c r="X657" s="9">
        <v>1</v>
      </c>
      <c r="AE657" s="9">
        <f>IFERROR(VLOOKUP($A657,pivot!$A:$G,計算式2026!AE$1,FALSE),0)</f>
        <v>0</v>
      </c>
      <c r="AF657" s="9">
        <f>IFERROR(VLOOKUP($A657,pivot!$A:$I,計算式2026!AF$1,FALSE),0)</f>
        <v>0</v>
      </c>
      <c r="AI657" s="9">
        <f>IFERROR(VLOOKUP($A657,pivot!$A:$I,計算式2026!AI$1,FALSE),0)</f>
        <v>0</v>
      </c>
      <c r="AJ657" s="9">
        <f>IFERROR(VLOOKUP($A657,pivot!$A:$I,計算式2026!AJ$1,FALSE),0)</f>
        <v>0</v>
      </c>
      <c r="AK657" s="9">
        <f>IFERROR(VLOOKUP($A657,pivot!$A:$I,計算式2026!AK$1,FALSE),0)</f>
        <v>0</v>
      </c>
      <c r="AL657" s="9">
        <f>IFERROR(VLOOKUP($A657,pivot!$A:$I,計算式2026!AL$1,FALSE),0)</f>
        <v>0</v>
      </c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</row>
    <row r="658" spans="1:59" s="9" customFormat="1">
      <c r="A658" s="8" t="s">
        <v>2060</v>
      </c>
      <c r="B658" s="8" t="s">
        <v>2058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R658" s="9">
        <v>0</v>
      </c>
      <c r="S658" s="9">
        <v>0</v>
      </c>
      <c r="T658" s="9">
        <v>2</v>
      </c>
      <c r="U658" s="9">
        <v>2</v>
      </c>
      <c r="V658" s="9">
        <v>0</v>
      </c>
      <c r="W658" s="9">
        <v>1</v>
      </c>
      <c r="X658" s="9">
        <v>0</v>
      </c>
      <c r="AE658" s="9">
        <f>IFERROR(VLOOKUP($A658,pivot!$A:$G,計算式2026!AE$1,FALSE),0)</f>
        <v>0</v>
      </c>
      <c r="AF658" s="9">
        <f>IFERROR(VLOOKUP($A658,pivot!$A:$I,計算式2026!AF$1,FALSE),0)</f>
        <v>0</v>
      </c>
      <c r="AI658" s="9">
        <f>IFERROR(VLOOKUP($A658,pivot!$A:$I,計算式2026!AI$1,FALSE),0)</f>
        <v>0</v>
      </c>
      <c r="AJ658" s="9">
        <f>IFERROR(VLOOKUP($A658,pivot!$A:$I,計算式2026!AJ$1,FALSE),0)</f>
        <v>0</v>
      </c>
      <c r="AK658" s="9">
        <f>IFERROR(VLOOKUP($A658,pivot!$A:$I,計算式2026!AK$1,FALSE),0)</f>
        <v>0</v>
      </c>
      <c r="AL658" s="9">
        <f>IFERROR(VLOOKUP($A658,pivot!$A:$I,計算式2026!AL$1,FALSE),0)</f>
        <v>0</v>
      </c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</row>
    <row r="659" spans="1:59" s="9" customFormat="1">
      <c r="A659" s="8" t="s">
        <v>2061</v>
      </c>
      <c r="B659" s="8" t="s">
        <v>403</v>
      </c>
      <c r="C659" s="9">
        <v>0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1</v>
      </c>
      <c r="AE659" s="9">
        <f>IFERROR(VLOOKUP($A659,pivot!$A:$G,計算式2026!AE$1,FALSE),0)</f>
        <v>0</v>
      </c>
      <c r="AF659" s="9">
        <f>IFERROR(VLOOKUP($A659,pivot!$A:$I,計算式2026!AF$1,FALSE),0)</f>
        <v>0</v>
      </c>
      <c r="AI659" s="9">
        <f>IFERROR(VLOOKUP($A659,pivot!$A:$I,計算式2026!AI$1,FALSE),0)</f>
        <v>0</v>
      </c>
      <c r="AJ659" s="9">
        <f>IFERROR(VLOOKUP($A659,pivot!$A:$I,計算式2026!AJ$1,FALSE),0)</f>
        <v>0</v>
      </c>
      <c r="AK659" s="9">
        <f>IFERROR(VLOOKUP($A659,pivot!$A:$I,計算式2026!AK$1,FALSE),0)</f>
        <v>0</v>
      </c>
      <c r="AL659" s="9">
        <f>IFERROR(VLOOKUP($A659,pivot!$A:$I,計算式2026!AL$1,FALSE),0)</f>
        <v>0</v>
      </c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</row>
    <row r="660" spans="1:59" s="9" customFormat="1">
      <c r="A660" s="8" t="s">
        <v>402</v>
      </c>
      <c r="B660" s="8" t="s">
        <v>403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R660" s="9">
        <v>0</v>
      </c>
      <c r="S660" s="9">
        <v>0</v>
      </c>
      <c r="T660" s="9">
        <v>0</v>
      </c>
      <c r="U660" s="9">
        <v>1</v>
      </c>
      <c r="V660" s="9">
        <v>0</v>
      </c>
      <c r="W660" s="9">
        <v>0</v>
      </c>
      <c r="X660" s="9">
        <v>0</v>
      </c>
      <c r="AE660" s="9">
        <f>IFERROR(VLOOKUP($A660,pivot!$A:$G,計算式2026!AE$1,FALSE),0)</f>
        <v>0</v>
      </c>
      <c r="AF660" s="9">
        <f>IFERROR(VLOOKUP($A660,pivot!$A:$I,計算式2026!AF$1,FALSE),0)</f>
        <v>0</v>
      </c>
      <c r="AI660" s="9">
        <f>IFERROR(VLOOKUP($A660,pivot!$A:$I,計算式2026!AI$1,FALSE),0)</f>
        <v>0</v>
      </c>
      <c r="AJ660" s="9">
        <f>IFERROR(VLOOKUP($A660,pivot!$A:$I,計算式2026!AJ$1,FALSE),0)</f>
        <v>0</v>
      </c>
      <c r="AK660" s="9">
        <f>IFERROR(VLOOKUP($A660,pivot!$A:$I,計算式2026!AK$1,FALSE),0)</f>
        <v>0</v>
      </c>
      <c r="AL660" s="9">
        <f>IFERROR(VLOOKUP($A660,pivot!$A:$I,計算式2026!AL$1,FALSE),0)</f>
        <v>0</v>
      </c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</row>
    <row r="661" spans="1:59" s="9" customFormat="1">
      <c r="A661" s="8" t="s">
        <v>2062</v>
      </c>
      <c r="B661" s="8" t="s">
        <v>403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R661" s="9">
        <v>0</v>
      </c>
      <c r="S661" s="9">
        <v>0</v>
      </c>
      <c r="T661" s="9">
        <v>0</v>
      </c>
      <c r="U661" s="9">
        <v>1</v>
      </c>
      <c r="V661" s="9">
        <v>0</v>
      </c>
      <c r="W661" s="9">
        <v>0</v>
      </c>
      <c r="X661" s="9">
        <v>1</v>
      </c>
      <c r="AE661" s="9">
        <f>IFERROR(VLOOKUP($A661,pivot!$A:$G,計算式2026!AE$1,FALSE),0)</f>
        <v>0</v>
      </c>
      <c r="AF661" s="9">
        <f>IFERROR(VLOOKUP($A661,pivot!$A:$I,計算式2026!AF$1,FALSE),0)</f>
        <v>0</v>
      </c>
      <c r="AI661" s="9">
        <f>IFERROR(VLOOKUP($A661,pivot!$A:$I,計算式2026!AI$1,FALSE),0)</f>
        <v>0</v>
      </c>
      <c r="AJ661" s="9">
        <f>IFERROR(VLOOKUP($A661,pivot!$A:$I,計算式2026!AJ$1,FALSE),0)</f>
        <v>0</v>
      </c>
      <c r="AK661" s="9">
        <f>IFERROR(VLOOKUP($A661,pivot!$A:$I,計算式2026!AK$1,FALSE),0)</f>
        <v>0</v>
      </c>
      <c r="AL661" s="9">
        <f>IFERROR(VLOOKUP($A661,pivot!$A:$I,計算式2026!AL$1,FALSE),0)</f>
        <v>0</v>
      </c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</row>
    <row r="662" spans="1:59" s="9" customFormat="1">
      <c r="A662" s="8" t="s">
        <v>404</v>
      </c>
      <c r="B662" s="8" t="s">
        <v>403</v>
      </c>
      <c r="C662" s="9">
        <v>0</v>
      </c>
      <c r="D662" s="9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R662" s="9">
        <v>0</v>
      </c>
      <c r="S662" s="9">
        <v>0</v>
      </c>
      <c r="T662" s="9">
        <v>0</v>
      </c>
      <c r="U662" s="9">
        <v>1</v>
      </c>
      <c r="V662" s="9">
        <v>1</v>
      </c>
      <c r="W662" s="9">
        <v>0</v>
      </c>
      <c r="X662" s="9">
        <v>1</v>
      </c>
      <c r="AE662" s="9">
        <f>IFERROR(VLOOKUP($A662,pivot!$A:$G,計算式2026!AE$1,FALSE),0)</f>
        <v>0</v>
      </c>
      <c r="AF662" s="9">
        <f>IFERROR(VLOOKUP($A662,pivot!$A:$I,計算式2026!AF$1,FALSE),0)</f>
        <v>0</v>
      </c>
      <c r="AI662" s="9">
        <f>IFERROR(VLOOKUP($A662,pivot!$A:$I,計算式2026!AI$1,FALSE),0)</f>
        <v>0</v>
      </c>
      <c r="AJ662" s="9">
        <f>IFERROR(VLOOKUP($A662,pivot!$A:$I,計算式2026!AJ$1,FALSE),0)</f>
        <v>0</v>
      </c>
      <c r="AK662" s="9">
        <f>IFERROR(VLOOKUP($A662,pivot!$A:$I,計算式2026!AK$1,FALSE),0)</f>
        <v>0</v>
      </c>
      <c r="AL662" s="9">
        <f>IFERROR(VLOOKUP($A662,pivot!$A:$I,計算式2026!AL$1,FALSE),0)</f>
        <v>0</v>
      </c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</row>
    <row r="663" spans="1:59" s="9" customFormat="1">
      <c r="A663" s="8" t="s">
        <v>405</v>
      </c>
      <c r="B663" s="8" t="s">
        <v>403</v>
      </c>
      <c r="C663" s="9">
        <v>0</v>
      </c>
      <c r="D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R663" s="9">
        <v>0</v>
      </c>
      <c r="S663" s="9">
        <v>0</v>
      </c>
      <c r="T663" s="9">
        <v>0</v>
      </c>
      <c r="U663" s="9">
        <v>2</v>
      </c>
      <c r="V663" s="9">
        <v>1</v>
      </c>
      <c r="W663" s="9">
        <v>0</v>
      </c>
      <c r="X663" s="9">
        <v>1</v>
      </c>
      <c r="AE663" s="9">
        <f>IFERROR(VLOOKUP($A663,pivot!$A:$G,計算式2026!AE$1,FALSE),0)</f>
        <v>0</v>
      </c>
      <c r="AF663" s="9">
        <f>IFERROR(VLOOKUP($A663,pivot!$A:$I,計算式2026!AF$1,FALSE),0)</f>
        <v>0</v>
      </c>
      <c r="AI663" s="9">
        <f>IFERROR(VLOOKUP($A663,pivot!$A:$I,計算式2026!AI$1,FALSE),0)</f>
        <v>0</v>
      </c>
      <c r="AJ663" s="9">
        <f>IFERROR(VLOOKUP($A663,pivot!$A:$I,計算式2026!AJ$1,FALSE),0)</f>
        <v>0</v>
      </c>
      <c r="AK663" s="9">
        <f>IFERROR(VLOOKUP($A663,pivot!$A:$I,計算式2026!AK$1,FALSE),0)</f>
        <v>0</v>
      </c>
      <c r="AL663" s="9">
        <f>IFERROR(VLOOKUP($A663,pivot!$A:$I,計算式2026!AL$1,FALSE),0)</f>
        <v>0</v>
      </c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</row>
    <row r="664" spans="1:59" s="9" customFormat="1">
      <c r="A664" s="8" t="s">
        <v>1590</v>
      </c>
      <c r="B664" s="8" t="s">
        <v>403</v>
      </c>
      <c r="C664" s="9">
        <v>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2</v>
      </c>
      <c r="W664" s="9">
        <v>0</v>
      </c>
      <c r="X664" s="9">
        <v>1</v>
      </c>
      <c r="AE664" s="9">
        <f>IFERROR(VLOOKUP($A664,pivot!$A:$G,計算式2026!AE$1,FALSE),0)</f>
        <v>0</v>
      </c>
      <c r="AF664" s="9">
        <f>IFERROR(VLOOKUP($A664,pivot!$A:$I,計算式2026!AF$1,FALSE),0)</f>
        <v>0</v>
      </c>
      <c r="AI664" s="9">
        <f>IFERROR(VLOOKUP($A664,pivot!$A:$I,計算式2026!AI$1,FALSE),0)</f>
        <v>0</v>
      </c>
      <c r="AJ664" s="9">
        <f>IFERROR(VLOOKUP($A664,pivot!$A:$I,計算式2026!AJ$1,FALSE),0)</f>
        <v>0</v>
      </c>
      <c r="AK664" s="9">
        <f>IFERROR(VLOOKUP($A664,pivot!$A:$I,計算式2026!AK$1,FALSE),0)</f>
        <v>0</v>
      </c>
      <c r="AL664" s="9">
        <f>IFERROR(VLOOKUP($A664,pivot!$A:$I,計算式2026!AL$1,FALSE),0)</f>
        <v>0</v>
      </c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</row>
    <row r="665" spans="1:59" s="9" customFormat="1">
      <c r="A665" s="8" t="s">
        <v>2063</v>
      </c>
      <c r="B665" s="8" t="s">
        <v>406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R665" s="9">
        <v>0</v>
      </c>
      <c r="S665" s="9">
        <v>0</v>
      </c>
      <c r="T665" s="9">
        <v>0</v>
      </c>
      <c r="U665" s="9">
        <v>2</v>
      </c>
      <c r="V665" s="9">
        <v>0</v>
      </c>
      <c r="W665" s="9">
        <v>0</v>
      </c>
      <c r="X665" s="9">
        <v>1</v>
      </c>
      <c r="AE665" s="9">
        <f>IFERROR(VLOOKUP($A665,pivot!$A:$G,計算式2026!AE$1,FALSE),0)</f>
        <v>0</v>
      </c>
      <c r="AF665" s="9">
        <f>IFERROR(VLOOKUP($A665,pivot!$A:$I,計算式2026!AF$1,FALSE),0)</f>
        <v>0</v>
      </c>
      <c r="AI665" s="9">
        <f>IFERROR(VLOOKUP($A665,pivot!$A:$I,計算式2026!AI$1,FALSE),0)</f>
        <v>0</v>
      </c>
      <c r="AJ665" s="9">
        <f>IFERROR(VLOOKUP($A665,pivot!$A:$I,計算式2026!AJ$1,FALSE),0)</f>
        <v>0</v>
      </c>
      <c r="AK665" s="9">
        <f>IFERROR(VLOOKUP($A665,pivot!$A:$I,計算式2026!AK$1,FALSE),0)</f>
        <v>0</v>
      </c>
      <c r="AL665" s="9">
        <f>IFERROR(VLOOKUP($A665,pivot!$A:$I,計算式2026!AL$1,FALSE),0)</f>
        <v>0</v>
      </c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</row>
    <row r="666" spans="1:59" s="9" customFormat="1">
      <c r="A666" s="8" t="s">
        <v>407</v>
      </c>
      <c r="B666" s="8" t="s">
        <v>406</v>
      </c>
      <c r="C666" s="9">
        <v>0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1</v>
      </c>
      <c r="AE666" s="9">
        <f>IFERROR(VLOOKUP($A666,pivot!$A:$G,計算式2026!AE$1,FALSE),0)</f>
        <v>0</v>
      </c>
      <c r="AF666" s="9">
        <f>IFERROR(VLOOKUP($A666,pivot!$A:$I,計算式2026!AF$1,FALSE),0)</f>
        <v>0</v>
      </c>
      <c r="AI666" s="9">
        <f>IFERROR(VLOOKUP($A666,pivot!$A:$I,計算式2026!AI$1,FALSE),0)</f>
        <v>0</v>
      </c>
      <c r="AJ666" s="9">
        <f>IFERROR(VLOOKUP($A666,pivot!$A:$I,計算式2026!AJ$1,FALSE),0)</f>
        <v>0</v>
      </c>
      <c r="AK666" s="9">
        <f>IFERROR(VLOOKUP($A666,pivot!$A:$I,計算式2026!AK$1,FALSE),0)</f>
        <v>0</v>
      </c>
      <c r="AL666" s="9">
        <f>IFERROR(VLOOKUP($A666,pivot!$A:$I,計算式2026!AL$1,FALSE),0)</f>
        <v>0</v>
      </c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</row>
    <row r="667" spans="1:59" s="9" customFormat="1">
      <c r="A667" s="8" t="s">
        <v>408</v>
      </c>
      <c r="B667" s="8" t="s">
        <v>406</v>
      </c>
      <c r="C667" s="9">
        <v>10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R667" s="9">
        <v>2</v>
      </c>
      <c r="S667" s="9">
        <v>0</v>
      </c>
      <c r="T667" s="9">
        <v>1</v>
      </c>
      <c r="U667" s="9">
        <v>2</v>
      </c>
      <c r="V667" s="9">
        <v>2</v>
      </c>
      <c r="W667" s="9">
        <v>0</v>
      </c>
      <c r="X667" s="9">
        <v>1</v>
      </c>
      <c r="AE667" s="9">
        <f>IFERROR(VLOOKUP($A667,pivot!$A:$G,計算式2026!AE$1,FALSE),0)</f>
        <v>0</v>
      </c>
      <c r="AF667" s="9">
        <f>IFERROR(VLOOKUP($A667,pivot!$A:$I,計算式2026!AF$1,FALSE),0)</f>
        <v>0</v>
      </c>
      <c r="AI667" s="9">
        <f>IFERROR(VLOOKUP($A667,pivot!$A:$I,計算式2026!AI$1,FALSE),0)</f>
        <v>0</v>
      </c>
      <c r="AJ667" s="9">
        <f>IFERROR(VLOOKUP($A667,pivot!$A:$I,計算式2026!AJ$1,FALSE),0)</f>
        <v>0</v>
      </c>
      <c r="AK667" s="9">
        <f>IFERROR(VLOOKUP($A667,pivot!$A:$I,計算式2026!AK$1,FALSE),0)</f>
        <v>0</v>
      </c>
      <c r="AL667" s="9">
        <f>IFERROR(VLOOKUP($A667,pivot!$A:$I,計算式2026!AL$1,FALSE),0)</f>
        <v>0</v>
      </c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</row>
    <row r="668" spans="1:59" s="9" customFormat="1">
      <c r="A668" s="8" t="s">
        <v>409</v>
      </c>
      <c r="B668" s="8" t="s">
        <v>406</v>
      </c>
      <c r="C668" s="9">
        <v>19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R668" s="9">
        <v>2</v>
      </c>
      <c r="S668" s="9">
        <v>0</v>
      </c>
      <c r="T668" s="9">
        <v>1</v>
      </c>
      <c r="U668" s="9">
        <v>2</v>
      </c>
      <c r="V668" s="9">
        <v>2</v>
      </c>
      <c r="W668" s="9">
        <v>0</v>
      </c>
      <c r="X668" s="9">
        <v>1</v>
      </c>
      <c r="AE668" s="9">
        <f>IFERROR(VLOOKUP($A668,pivot!$A:$G,計算式2026!AE$1,FALSE),0)</f>
        <v>0</v>
      </c>
      <c r="AF668" s="9">
        <f>IFERROR(VLOOKUP($A668,pivot!$A:$I,計算式2026!AF$1,FALSE),0)</f>
        <v>0</v>
      </c>
      <c r="AI668" s="9">
        <f>IFERROR(VLOOKUP($A668,pivot!$A:$I,計算式2026!AI$1,FALSE),0)</f>
        <v>0</v>
      </c>
      <c r="AJ668" s="9">
        <f>IFERROR(VLOOKUP($A668,pivot!$A:$I,計算式2026!AJ$1,FALSE),0)</f>
        <v>0</v>
      </c>
      <c r="AK668" s="9">
        <f>IFERROR(VLOOKUP($A668,pivot!$A:$I,計算式2026!AK$1,FALSE),0)</f>
        <v>0</v>
      </c>
      <c r="AL668" s="9">
        <f>IFERROR(VLOOKUP($A668,pivot!$A:$I,計算式2026!AL$1,FALSE),0)</f>
        <v>0</v>
      </c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</row>
    <row r="669" spans="1:59" s="9" customFormat="1">
      <c r="A669" s="8" t="s">
        <v>1591</v>
      </c>
      <c r="B669" s="8" t="s">
        <v>406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1</v>
      </c>
      <c r="X669" s="9">
        <v>1</v>
      </c>
      <c r="AE669" s="9">
        <f>IFERROR(VLOOKUP($A669,pivot!$A:$G,計算式2026!AE$1,FALSE),0)</f>
        <v>0</v>
      </c>
      <c r="AF669" s="9">
        <f>IFERROR(VLOOKUP($A669,pivot!$A:$I,計算式2026!AF$1,FALSE),0)</f>
        <v>0</v>
      </c>
      <c r="AI669" s="9">
        <f>IFERROR(VLOOKUP($A669,pivot!$A:$I,計算式2026!AI$1,FALSE),0)</f>
        <v>1</v>
      </c>
      <c r="AJ669" s="9">
        <f>IFERROR(VLOOKUP($A669,pivot!$A:$I,計算式2026!AJ$1,FALSE),0)</f>
        <v>0</v>
      </c>
      <c r="AK669" s="9">
        <f>IFERROR(VLOOKUP($A669,pivot!$A:$I,計算式2026!AK$1,FALSE),0)</f>
        <v>0</v>
      </c>
      <c r="AL669" s="9">
        <f>IFERROR(VLOOKUP($A669,pivot!$A:$I,計算式2026!AL$1,FALSE),0)</f>
        <v>0</v>
      </c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</row>
    <row r="670" spans="1:59" s="9" customFormat="1">
      <c r="A670" s="8" t="s">
        <v>410</v>
      </c>
      <c r="B670" s="8" t="s">
        <v>411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1</v>
      </c>
      <c r="X670" s="9">
        <v>1</v>
      </c>
      <c r="AE670" s="9">
        <f>IFERROR(VLOOKUP($A670,pivot!$A:$G,計算式2026!AE$1,FALSE),0)</f>
        <v>0</v>
      </c>
      <c r="AF670" s="9">
        <f>IFERROR(VLOOKUP($A670,pivot!$A:$I,計算式2026!AF$1,FALSE),0)</f>
        <v>0</v>
      </c>
      <c r="AI670" s="9">
        <f>IFERROR(VLOOKUP($A670,pivot!$A:$I,計算式2026!AI$1,FALSE),0)</f>
        <v>0</v>
      </c>
      <c r="AJ670" s="9">
        <f>IFERROR(VLOOKUP($A670,pivot!$A:$I,計算式2026!AJ$1,FALSE),0)</f>
        <v>0</v>
      </c>
      <c r="AK670" s="9">
        <f>IFERROR(VLOOKUP($A670,pivot!$A:$I,計算式2026!AK$1,FALSE),0)</f>
        <v>0</v>
      </c>
      <c r="AL670" s="9">
        <f>IFERROR(VLOOKUP($A670,pivot!$A:$I,計算式2026!AL$1,FALSE),0)</f>
        <v>0</v>
      </c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</row>
    <row r="671" spans="1:59" s="9" customFormat="1">
      <c r="A671" s="8" t="s">
        <v>412</v>
      </c>
      <c r="B671" s="8" t="s">
        <v>411</v>
      </c>
      <c r="C671" s="9">
        <v>0</v>
      </c>
      <c r="D671" s="9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R671" s="9">
        <v>0</v>
      </c>
      <c r="S671" s="9">
        <v>0</v>
      </c>
      <c r="T671" s="9">
        <v>0</v>
      </c>
      <c r="U671" s="9">
        <v>2</v>
      </c>
      <c r="V671" s="9">
        <v>1</v>
      </c>
      <c r="W671" s="9">
        <v>1</v>
      </c>
      <c r="X671" s="9">
        <v>1</v>
      </c>
      <c r="AE671" s="9">
        <f>IFERROR(VLOOKUP($A671,pivot!$A:$G,計算式2026!AE$1,FALSE),0)</f>
        <v>0</v>
      </c>
      <c r="AF671" s="9">
        <f>IFERROR(VLOOKUP($A671,pivot!$A:$I,計算式2026!AF$1,FALSE),0)</f>
        <v>0</v>
      </c>
      <c r="AI671" s="9">
        <f>IFERROR(VLOOKUP($A671,pivot!$A:$I,計算式2026!AI$1,FALSE),0)</f>
        <v>0</v>
      </c>
      <c r="AJ671" s="9">
        <f>IFERROR(VLOOKUP($A671,pivot!$A:$I,計算式2026!AJ$1,FALSE),0)</f>
        <v>0</v>
      </c>
      <c r="AK671" s="9">
        <f>IFERROR(VLOOKUP($A671,pivot!$A:$I,計算式2026!AK$1,FALSE),0)</f>
        <v>0</v>
      </c>
      <c r="AL671" s="9">
        <f>IFERROR(VLOOKUP($A671,pivot!$A:$I,計算式2026!AL$1,FALSE),0)</f>
        <v>0</v>
      </c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</row>
    <row r="672" spans="1:59" s="9" customFormat="1">
      <c r="A672" s="8" t="s">
        <v>1592</v>
      </c>
      <c r="B672" s="8" t="s">
        <v>411</v>
      </c>
      <c r="C672" s="9">
        <v>0</v>
      </c>
      <c r="D672" s="9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1</v>
      </c>
      <c r="X672" s="9">
        <v>0</v>
      </c>
      <c r="AE672" s="9">
        <f>IFERROR(VLOOKUP($A672,pivot!$A:$G,計算式2026!AE$1,FALSE),0)</f>
        <v>0</v>
      </c>
      <c r="AF672" s="9">
        <f>IFERROR(VLOOKUP($A672,pivot!$A:$I,計算式2026!AF$1,FALSE),0)</f>
        <v>0</v>
      </c>
      <c r="AI672" s="9">
        <f>IFERROR(VLOOKUP($A672,pivot!$A:$I,計算式2026!AI$1,FALSE),0)</f>
        <v>0</v>
      </c>
      <c r="AJ672" s="9">
        <f>IFERROR(VLOOKUP($A672,pivot!$A:$I,計算式2026!AJ$1,FALSE),0)</f>
        <v>0</v>
      </c>
      <c r="AK672" s="9">
        <f>IFERROR(VLOOKUP($A672,pivot!$A:$I,計算式2026!AK$1,FALSE),0)</f>
        <v>0</v>
      </c>
      <c r="AL672" s="9">
        <f>IFERROR(VLOOKUP($A672,pivot!$A:$I,計算式2026!AL$1,FALSE),0)</f>
        <v>0</v>
      </c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</row>
    <row r="673" spans="1:59" s="9" customFormat="1">
      <c r="A673" s="8" t="s">
        <v>413</v>
      </c>
      <c r="B673" s="8" t="s">
        <v>414</v>
      </c>
      <c r="C673" s="9">
        <v>9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R673" s="9">
        <v>0</v>
      </c>
      <c r="S673" s="9">
        <v>0</v>
      </c>
      <c r="T673" s="9">
        <v>1</v>
      </c>
      <c r="U673" s="9">
        <v>2</v>
      </c>
      <c r="V673" s="9">
        <v>2</v>
      </c>
      <c r="W673" s="9">
        <v>1</v>
      </c>
      <c r="X673" s="9">
        <v>1</v>
      </c>
      <c r="AE673" s="9">
        <f>IFERROR(VLOOKUP($A673,pivot!$A:$G,計算式2026!AE$1,FALSE),0)</f>
        <v>0</v>
      </c>
      <c r="AF673" s="9">
        <f>IFERROR(VLOOKUP($A673,pivot!$A:$I,計算式2026!AF$1,FALSE),0)</f>
        <v>0</v>
      </c>
      <c r="AI673" s="9">
        <f>IFERROR(VLOOKUP($A673,pivot!$A:$I,計算式2026!AI$1,FALSE),0)</f>
        <v>0</v>
      </c>
      <c r="AJ673" s="9">
        <f>IFERROR(VLOOKUP($A673,pivot!$A:$I,計算式2026!AJ$1,FALSE),0)</f>
        <v>0</v>
      </c>
      <c r="AK673" s="9">
        <f>IFERROR(VLOOKUP($A673,pivot!$A:$I,計算式2026!AK$1,FALSE),0)</f>
        <v>0</v>
      </c>
      <c r="AL673" s="9">
        <f>IFERROR(VLOOKUP($A673,pivot!$A:$I,計算式2026!AL$1,FALSE),0)</f>
        <v>0</v>
      </c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</row>
    <row r="674" spans="1:59" s="9" customFormat="1">
      <c r="A674" s="8" t="s">
        <v>415</v>
      </c>
      <c r="B674" s="8" t="s">
        <v>414</v>
      </c>
      <c r="C674" s="9">
        <v>21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R674" s="9">
        <v>0</v>
      </c>
      <c r="S674" s="9">
        <v>0</v>
      </c>
      <c r="T674" s="9">
        <v>2</v>
      </c>
      <c r="U674" s="9">
        <v>1</v>
      </c>
      <c r="V674" s="9">
        <v>2</v>
      </c>
      <c r="W674" s="9">
        <v>1</v>
      </c>
      <c r="X674" s="9">
        <v>1</v>
      </c>
      <c r="AE674" s="9">
        <f>IFERROR(VLOOKUP($A674,pivot!$A:$G,計算式2026!AE$1,FALSE),0)</f>
        <v>0</v>
      </c>
      <c r="AF674" s="9">
        <f>IFERROR(VLOOKUP($A674,pivot!$A:$I,計算式2026!AF$1,FALSE),0)</f>
        <v>0</v>
      </c>
      <c r="AI674" s="9">
        <f>IFERROR(VLOOKUP($A674,pivot!$A:$I,計算式2026!AI$1,FALSE),0)</f>
        <v>0</v>
      </c>
      <c r="AJ674" s="9">
        <f>IFERROR(VLOOKUP($A674,pivot!$A:$I,計算式2026!AJ$1,FALSE),0)</f>
        <v>0</v>
      </c>
      <c r="AK674" s="9">
        <f>IFERROR(VLOOKUP($A674,pivot!$A:$I,計算式2026!AK$1,FALSE),0)</f>
        <v>0</v>
      </c>
      <c r="AL674" s="9">
        <f>IFERROR(VLOOKUP($A674,pivot!$A:$I,計算式2026!AL$1,FALSE),0)</f>
        <v>0</v>
      </c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</row>
    <row r="675" spans="1:59" s="9" customFormat="1">
      <c r="A675" s="8" t="s">
        <v>1593</v>
      </c>
      <c r="B675" s="8" t="s">
        <v>414</v>
      </c>
      <c r="C675" s="9">
        <v>0</v>
      </c>
      <c r="D675" s="9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1</v>
      </c>
      <c r="X675" s="9">
        <v>0</v>
      </c>
      <c r="AE675" s="9">
        <f>IFERROR(VLOOKUP($A675,pivot!$A:$G,計算式2026!AE$1,FALSE),0)</f>
        <v>0</v>
      </c>
      <c r="AF675" s="9">
        <f>IFERROR(VLOOKUP($A675,pivot!$A:$I,計算式2026!AF$1,FALSE),0)</f>
        <v>0</v>
      </c>
      <c r="AI675" s="9">
        <f>IFERROR(VLOOKUP($A675,pivot!$A:$I,計算式2026!AI$1,FALSE),0)</f>
        <v>0</v>
      </c>
      <c r="AJ675" s="9">
        <f>IFERROR(VLOOKUP($A675,pivot!$A:$I,計算式2026!AJ$1,FALSE),0)</f>
        <v>0</v>
      </c>
      <c r="AK675" s="9">
        <f>IFERROR(VLOOKUP($A675,pivot!$A:$I,計算式2026!AK$1,FALSE),0)</f>
        <v>0</v>
      </c>
      <c r="AL675" s="9">
        <f>IFERROR(VLOOKUP($A675,pivot!$A:$I,計算式2026!AL$1,FALSE),0)</f>
        <v>0</v>
      </c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</row>
    <row r="676" spans="1:59" s="9" customFormat="1">
      <c r="A676" s="8" t="s">
        <v>416</v>
      </c>
      <c r="B676" s="8" t="s">
        <v>417</v>
      </c>
      <c r="C676" s="9">
        <v>3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R676" s="9">
        <v>2</v>
      </c>
      <c r="S676" s="9">
        <v>2</v>
      </c>
      <c r="T676" s="9">
        <v>1</v>
      </c>
      <c r="U676" s="9">
        <v>0</v>
      </c>
      <c r="V676" s="9">
        <v>1</v>
      </c>
      <c r="W676" s="9">
        <v>1</v>
      </c>
      <c r="X676" s="9">
        <v>2</v>
      </c>
      <c r="AE676" s="9">
        <f>IFERROR(VLOOKUP($A676,pivot!$A:$G,計算式2026!AE$1,FALSE),0)</f>
        <v>0</v>
      </c>
      <c r="AF676" s="9">
        <f>IFERROR(VLOOKUP($A676,pivot!$A:$I,計算式2026!AF$1,FALSE),0)</f>
        <v>0</v>
      </c>
      <c r="AI676" s="9">
        <f>IFERROR(VLOOKUP($A676,pivot!$A:$I,計算式2026!AI$1,FALSE),0)</f>
        <v>0</v>
      </c>
      <c r="AJ676" s="9">
        <f>IFERROR(VLOOKUP($A676,pivot!$A:$I,計算式2026!AJ$1,FALSE),0)</f>
        <v>0</v>
      </c>
      <c r="AK676" s="9">
        <f>IFERROR(VLOOKUP($A676,pivot!$A:$I,計算式2026!AK$1,FALSE),0)</f>
        <v>0</v>
      </c>
      <c r="AL676" s="9">
        <f>IFERROR(VLOOKUP($A676,pivot!$A:$I,計算式2026!AL$1,FALSE),0)</f>
        <v>0</v>
      </c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</row>
    <row r="677" spans="1:59" s="9" customFormat="1">
      <c r="A677" s="8" t="s">
        <v>418</v>
      </c>
      <c r="B677" s="8" t="s">
        <v>417</v>
      </c>
      <c r="C677" s="9">
        <v>8</v>
      </c>
      <c r="D677" s="9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R677" s="9">
        <v>1</v>
      </c>
      <c r="S677" s="9">
        <v>2</v>
      </c>
      <c r="T677" s="9">
        <v>1</v>
      </c>
      <c r="U677" s="9">
        <v>0</v>
      </c>
      <c r="V677" s="9">
        <v>1</v>
      </c>
      <c r="W677" s="9">
        <v>1</v>
      </c>
      <c r="X677" s="9">
        <v>2</v>
      </c>
      <c r="AE677" s="9">
        <f>IFERROR(VLOOKUP($A677,pivot!$A:$G,計算式2026!AE$1,FALSE),0)</f>
        <v>0</v>
      </c>
      <c r="AF677" s="9">
        <f>IFERROR(VLOOKUP($A677,pivot!$A:$I,計算式2026!AF$1,FALSE),0)</f>
        <v>0</v>
      </c>
      <c r="AI677" s="9">
        <f>IFERROR(VLOOKUP($A677,pivot!$A:$I,計算式2026!AI$1,FALSE),0)</f>
        <v>0</v>
      </c>
      <c r="AJ677" s="9">
        <f>IFERROR(VLOOKUP($A677,pivot!$A:$I,計算式2026!AJ$1,FALSE),0)</f>
        <v>0</v>
      </c>
      <c r="AK677" s="9">
        <f>IFERROR(VLOOKUP($A677,pivot!$A:$I,計算式2026!AK$1,FALSE),0)</f>
        <v>0</v>
      </c>
      <c r="AL677" s="9">
        <f>IFERROR(VLOOKUP($A677,pivot!$A:$I,計算式2026!AL$1,FALSE),0)</f>
        <v>0</v>
      </c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</row>
    <row r="678" spans="1:59" s="9" customFormat="1">
      <c r="A678" s="8" t="s">
        <v>1594</v>
      </c>
      <c r="B678" s="8" t="s">
        <v>2064</v>
      </c>
      <c r="C678" s="9">
        <v>0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1</v>
      </c>
      <c r="W678" s="9">
        <v>0</v>
      </c>
      <c r="X678" s="9">
        <v>1</v>
      </c>
      <c r="AE678" s="9">
        <f>IFERROR(VLOOKUP($A678,pivot!$A:$G,計算式2026!AE$1,FALSE),0)</f>
        <v>0</v>
      </c>
      <c r="AF678" s="9">
        <f>IFERROR(VLOOKUP($A678,pivot!$A:$I,計算式2026!AF$1,FALSE),0)</f>
        <v>0</v>
      </c>
      <c r="AI678" s="9">
        <f>IFERROR(VLOOKUP($A678,pivot!$A:$I,計算式2026!AI$1,FALSE),0)</f>
        <v>0</v>
      </c>
      <c r="AJ678" s="9">
        <f>IFERROR(VLOOKUP($A678,pivot!$A:$I,計算式2026!AJ$1,FALSE),0)</f>
        <v>0</v>
      </c>
      <c r="AK678" s="9">
        <f>IFERROR(VLOOKUP($A678,pivot!$A:$I,計算式2026!AK$1,FALSE),0)</f>
        <v>0</v>
      </c>
      <c r="AL678" s="9">
        <f>IFERROR(VLOOKUP($A678,pivot!$A:$I,計算式2026!AL$1,FALSE),0)</f>
        <v>0</v>
      </c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</row>
    <row r="679" spans="1:59" s="9" customFormat="1">
      <c r="A679" s="8" t="s">
        <v>419</v>
      </c>
      <c r="B679" s="8" t="s">
        <v>420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R679" s="9">
        <v>0</v>
      </c>
      <c r="S679" s="9">
        <v>0</v>
      </c>
      <c r="T679" s="9">
        <v>1</v>
      </c>
      <c r="U679" s="9">
        <v>0</v>
      </c>
      <c r="V679" s="9">
        <v>0</v>
      </c>
      <c r="W679" s="9">
        <v>0</v>
      </c>
      <c r="X679" s="9">
        <v>1</v>
      </c>
      <c r="AE679" s="9">
        <f>IFERROR(VLOOKUP($A679,pivot!$A:$G,計算式2026!AE$1,FALSE),0)</f>
        <v>0</v>
      </c>
      <c r="AF679" s="9">
        <f>IFERROR(VLOOKUP($A679,pivot!$A:$I,計算式2026!AF$1,FALSE),0)</f>
        <v>0</v>
      </c>
      <c r="AI679" s="9">
        <f>IFERROR(VLOOKUP($A679,pivot!$A:$I,計算式2026!AI$1,FALSE),0)</f>
        <v>0</v>
      </c>
      <c r="AJ679" s="9">
        <f>IFERROR(VLOOKUP($A679,pivot!$A:$I,計算式2026!AJ$1,FALSE),0)</f>
        <v>0</v>
      </c>
      <c r="AK679" s="9">
        <f>IFERROR(VLOOKUP($A679,pivot!$A:$I,計算式2026!AK$1,FALSE),0)</f>
        <v>0</v>
      </c>
      <c r="AL679" s="9">
        <f>IFERROR(VLOOKUP($A679,pivot!$A:$I,計算式2026!AL$1,FALSE),0)</f>
        <v>0</v>
      </c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</row>
    <row r="680" spans="1:59" s="9" customFormat="1">
      <c r="A680" s="8" t="s">
        <v>421</v>
      </c>
      <c r="B680" s="8" t="s">
        <v>420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R680" s="9">
        <v>0</v>
      </c>
      <c r="S680" s="9">
        <v>0</v>
      </c>
      <c r="T680" s="9">
        <v>-1</v>
      </c>
      <c r="U680" s="9">
        <v>0</v>
      </c>
      <c r="V680" s="9">
        <v>0</v>
      </c>
      <c r="W680" s="9">
        <v>0</v>
      </c>
      <c r="X680" s="9">
        <v>1</v>
      </c>
      <c r="AE680" s="9">
        <f>IFERROR(VLOOKUP($A680,pivot!$A:$G,計算式2026!AE$1,FALSE),0)</f>
        <v>0</v>
      </c>
      <c r="AF680" s="9">
        <f>IFERROR(VLOOKUP($A680,pivot!$A:$I,計算式2026!AF$1,FALSE),0)</f>
        <v>0</v>
      </c>
      <c r="AI680" s="9">
        <f>IFERROR(VLOOKUP($A680,pivot!$A:$I,計算式2026!AI$1,FALSE),0)</f>
        <v>0</v>
      </c>
      <c r="AJ680" s="9">
        <f>IFERROR(VLOOKUP($A680,pivot!$A:$I,計算式2026!AJ$1,FALSE),0)</f>
        <v>0</v>
      </c>
      <c r="AK680" s="9">
        <f>IFERROR(VLOOKUP($A680,pivot!$A:$I,計算式2026!AK$1,FALSE),0)</f>
        <v>0</v>
      </c>
      <c r="AL680" s="9">
        <f>IFERROR(VLOOKUP($A680,pivot!$A:$I,計算式2026!AL$1,FALSE),0)</f>
        <v>0</v>
      </c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</row>
    <row r="681" spans="1:59" s="9" customFormat="1">
      <c r="A681" s="8" t="s">
        <v>422</v>
      </c>
      <c r="B681" s="8" t="s">
        <v>420</v>
      </c>
      <c r="C681" s="9">
        <v>0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AE681" s="9">
        <f>IFERROR(VLOOKUP($A681,pivot!$A:$G,計算式2026!AE$1,FALSE),0)</f>
        <v>0</v>
      </c>
      <c r="AF681" s="9">
        <f>IFERROR(VLOOKUP($A681,pivot!$A:$I,計算式2026!AF$1,FALSE),0)</f>
        <v>0</v>
      </c>
      <c r="AI681" s="9">
        <f>IFERROR(VLOOKUP($A681,pivot!$A:$I,計算式2026!AI$1,FALSE),0)</f>
        <v>0</v>
      </c>
      <c r="AJ681" s="9">
        <f>IFERROR(VLOOKUP($A681,pivot!$A:$I,計算式2026!AJ$1,FALSE),0)</f>
        <v>0</v>
      </c>
      <c r="AK681" s="9">
        <f>IFERROR(VLOOKUP($A681,pivot!$A:$I,計算式2026!AK$1,FALSE),0)</f>
        <v>0</v>
      </c>
      <c r="AL681" s="9">
        <f>IFERROR(VLOOKUP($A681,pivot!$A:$I,計算式2026!AL$1,FALSE),0)</f>
        <v>0</v>
      </c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</row>
    <row r="682" spans="1:59" s="9" customFormat="1">
      <c r="A682" s="8" t="s">
        <v>423</v>
      </c>
      <c r="B682" s="8" t="s">
        <v>420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AE682" s="9">
        <f>IFERROR(VLOOKUP($A682,pivot!$A:$G,計算式2026!AE$1,FALSE),0)</f>
        <v>0</v>
      </c>
      <c r="AF682" s="9">
        <f>IFERROR(VLOOKUP($A682,pivot!$A:$I,計算式2026!AF$1,FALSE),0)</f>
        <v>0</v>
      </c>
      <c r="AI682" s="9">
        <f>IFERROR(VLOOKUP($A682,pivot!$A:$I,計算式2026!AI$1,FALSE),0)</f>
        <v>0</v>
      </c>
      <c r="AJ682" s="9">
        <f>IFERROR(VLOOKUP($A682,pivot!$A:$I,計算式2026!AJ$1,FALSE),0)</f>
        <v>0</v>
      </c>
      <c r="AK682" s="9">
        <f>IFERROR(VLOOKUP($A682,pivot!$A:$I,計算式2026!AK$1,FALSE),0)</f>
        <v>0</v>
      </c>
      <c r="AL682" s="9">
        <f>IFERROR(VLOOKUP($A682,pivot!$A:$I,計算式2026!AL$1,FALSE),0)</f>
        <v>0</v>
      </c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</row>
    <row r="683" spans="1:59" s="9" customFormat="1">
      <c r="A683" s="8" t="s">
        <v>424</v>
      </c>
      <c r="B683" s="8" t="s">
        <v>425</v>
      </c>
      <c r="C683" s="9">
        <v>0</v>
      </c>
      <c r="D683" s="9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R683" s="9">
        <v>0</v>
      </c>
      <c r="S683" s="9">
        <v>0</v>
      </c>
      <c r="T683" s="9">
        <v>1</v>
      </c>
      <c r="U683" s="9">
        <v>0</v>
      </c>
      <c r="V683" s="9">
        <v>0</v>
      </c>
      <c r="W683" s="9">
        <v>2</v>
      </c>
      <c r="X683" s="9">
        <v>1</v>
      </c>
      <c r="AE683" s="9">
        <f>IFERROR(VLOOKUP($A683,pivot!$A:$G,計算式2026!AE$1,FALSE),0)</f>
        <v>0</v>
      </c>
      <c r="AF683" s="9">
        <f>IFERROR(VLOOKUP($A683,pivot!$A:$I,計算式2026!AF$1,FALSE),0)</f>
        <v>0</v>
      </c>
      <c r="AI683" s="9">
        <f>IFERROR(VLOOKUP($A683,pivot!$A:$I,計算式2026!AI$1,FALSE),0)</f>
        <v>0</v>
      </c>
      <c r="AJ683" s="9">
        <f>IFERROR(VLOOKUP($A683,pivot!$A:$I,計算式2026!AJ$1,FALSE),0)</f>
        <v>0</v>
      </c>
      <c r="AK683" s="9">
        <f>IFERROR(VLOOKUP($A683,pivot!$A:$I,計算式2026!AK$1,FALSE),0)</f>
        <v>0</v>
      </c>
      <c r="AL683" s="9">
        <f>IFERROR(VLOOKUP($A683,pivot!$A:$I,計算式2026!AL$1,FALSE),0)</f>
        <v>0</v>
      </c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</row>
    <row r="684" spans="1:59" s="9" customFormat="1">
      <c r="A684" s="8" t="s">
        <v>426</v>
      </c>
      <c r="B684" s="8" t="s">
        <v>425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1</v>
      </c>
      <c r="AE684" s="9">
        <f>IFERROR(VLOOKUP($A684,pivot!$A:$G,計算式2026!AE$1,FALSE),0)</f>
        <v>0</v>
      </c>
      <c r="AF684" s="9">
        <f>IFERROR(VLOOKUP($A684,pivot!$A:$I,計算式2026!AF$1,FALSE),0)</f>
        <v>0</v>
      </c>
      <c r="AI684" s="9">
        <f>IFERROR(VLOOKUP($A684,pivot!$A:$I,計算式2026!AI$1,FALSE),0)</f>
        <v>0</v>
      </c>
      <c r="AJ684" s="9">
        <f>IFERROR(VLOOKUP($A684,pivot!$A:$I,計算式2026!AJ$1,FALSE),0)</f>
        <v>0</v>
      </c>
      <c r="AK684" s="9">
        <f>IFERROR(VLOOKUP($A684,pivot!$A:$I,計算式2026!AK$1,FALSE),0)</f>
        <v>0</v>
      </c>
      <c r="AL684" s="9">
        <f>IFERROR(VLOOKUP($A684,pivot!$A:$I,計算式2026!AL$1,FALSE),0)</f>
        <v>0</v>
      </c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</row>
    <row r="685" spans="1:59" s="9" customFormat="1">
      <c r="A685" s="8" t="s">
        <v>427</v>
      </c>
      <c r="B685" s="8" t="s">
        <v>425</v>
      </c>
      <c r="C685" s="9">
        <v>14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R685" s="9">
        <v>0</v>
      </c>
      <c r="S685" s="9">
        <v>1</v>
      </c>
      <c r="T685" s="9">
        <v>1</v>
      </c>
      <c r="U685" s="9">
        <v>3</v>
      </c>
      <c r="V685" s="9">
        <v>1</v>
      </c>
      <c r="W685" s="9">
        <v>2</v>
      </c>
      <c r="X685" s="9">
        <v>2</v>
      </c>
      <c r="AE685" s="9">
        <f>IFERROR(VLOOKUP($A685,pivot!$A:$G,計算式2026!AE$1,FALSE),0)</f>
        <v>0</v>
      </c>
      <c r="AF685" s="9">
        <f>IFERROR(VLOOKUP($A685,pivot!$A:$I,計算式2026!AF$1,FALSE),0)</f>
        <v>0</v>
      </c>
      <c r="AI685" s="9">
        <f>IFERROR(VLOOKUP($A685,pivot!$A:$I,計算式2026!AI$1,FALSE),0)</f>
        <v>0</v>
      </c>
      <c r="AJ685" s="9">
        <f>IFERROR(VLOOKUP($A685,pivot!$A:$I,計算式2026!AJ$1,FALSE),0)</f>
        <v>0</v>
      </c>
      <c r="AK685" s="9">
        <f>IFERROR(VLOOKUP($A685,pivot!$A:$I,計算式2026!AK$1,FALSE),0)</f>
        <v>0</v>
      </c>
      <c r="AL685" s="9">
        <f>IFERROR(VLOOKUP($A685,pivot!$A:$I,計算式2026!AL$1,FALSE),0)</f>
        <v>0</v>
      </c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</row>
    <row r="686" spans="1:59" s="9" customFormat="1">
      <c r="A686" s="8" t="s">
        <v>428</v>
      </c>
      <c r="B686" s="8" t="s">
        <v>425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R686" s="9">
        <v>0</v>
      </c>
      <c r="S686" s="9">
        <v>0</v>
      </c>
      <c r="T686" s="9">
        <v>1</v>
      </c>
      <c r="U686" s="9">
        <v>0</v>
      </c>
      <c r="V686" s="9">
        <v>0</v>
      </c>
      <c r="W686" s="9">
        <v>2</v>
      </c>
      <c r="X686" s="9">
        <v>1</v>
      </c>
      <c r="AE686" s="9">
        <f>IFERROR(VLOOKUP($A686,pivot!$A:$G,計算式2026!AE$1,FALSE),0)</f>
        <v>0</v>
      </c>
      <c r="AF686" s="9">
        <f>IFERROR(VLOOKUP($A686,pivot!$A:$I,計算式2026!AF$1,FALSE),0)</f>
        <v>0</v>
      </c>
      <c r="AI686" s="9">
        <f>IFERROR(VLOOKUP($A686,pivot!$A:$I,計算式2026!AI$1,FALSE),0)</f>
        <v>0</v>
      </c>
      <c r="AJ686" s="9">
        <f>IFERROR(VLOOKUP($A686,pivot!$A:$I,計算式2026!AJ$1,FALSE),0)</f>
        <v>0</v>
      </c>
      <c r="AK686" s="9">
        <f>IFERROR(VLOOKUP($A686,pivot!$A:$I,計算式2026!AK$1,FALSE),0)</f>
        <v>0</v>
      </c>
      <c r="AL686" s="9">
        <f>IFERROR(VLOOKUP($A686,pivot!$A:$I,計算式2026!AL$1,FALSE),0)</f>
        <v>0</v>
      </c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</row>
    <row r="687" spans="1:59" s="9" customFormat="1">
      <c r="A687" s="8" t="s">
        <v>429</v>
      </c>
      <c r="B687" s="8" t="s">
        <v>425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1</v>
      </c>
      <c r="X687" s="9">
        <v>1</v>
      </c>
      <c r="AE687" s="9">
        <f>IFERROR(VLOOKUP($A687,pivot!$A:$G,計算式2026!AE$1,FALSE),0)</f>
        <v>0</v>
      </c>
      <c r="AF687" s="9">
        <f>IFERROR(VLOOKUP($A687,pivot!$A:$I,計算式2026!AF$1,FALSE),0)</f>
        <v>0</v>
      </c>
      <c r="AI687" s="9">
        <f>IFERROR(VLOOKUP($A687,pivot!$A:$I,計算式2026!AI$1,FALSE),0)</f>
        <v>0</v>
      </c>
      <c r="AJ687" s="9">
        <f>IFERROR(VLOOKUP($A687,pivot!$A:$I,計算式2026!AJ$1,FALSE),0)</f>
        <v>0</v>
      </c>
      <c r="AK687" s="9">
        <f>IFERROR(VLOOKUP($A687,pivot!$A:$I,計算式2026!AK$1,FALSE),0)</f>
        <v>0</v>
      </c>
      <c r="AL687" s="9">
        <f>IFERROR(VLOOKUP($A687,pivot!$A:$I,計算式2026!AL$1,FALSE),0)</f>
        <v>0</v>
      </c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</row>
    <row r="688" spans="1:59" s="9" customFormat="1">
      <c r="A688" s="8" t="s">
        <v>430</v>
      </c>
      <c r="B688" s="8" t="s">
        <v>425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1</v>
      </c>
      <c r="X688" s="9">
        <v>1</v>
      </c>
      <c r="AE688" s="9">
        <f>IFERROR(VLOOKUP($A688,pivot!$A:$G,計算式2026!AE$1,FALSE),0)</f>
        <v>0</v>
      </c>
      <c r="AF688" s="9">
        <f>IFERROR(VLOOKUP($A688,pivot!$A:$I,計算式2026!AF$1,FALSE),0)</f>
        <v>0</v>
      </c>
      <c r="AI688" s="9">
        <f>IFERROR(VLOOKUP($A688,pivot!$A:$I,計算式2026!AI$1,FALSE),0)</f>
        <v>0</v>
      </c>
      <c r="AJ688" s="9">
        <f>IFERROR(VLOOKUP($A688,pivot!$A:$I,計算式2026!AJ$1,FALSE),0)</f>
        <v>0</v>
      </c>
      <c r="AK688" s="9">
        <f>IFERROR(VLOOKUP($A688,pivot!$A:$I,計算式2026!AK$1,FALSE),0)</f>
        <v>0</v>
      </c>
      <c r="AL688" s="9">
        <f>IFERROR(VLOOKUP($A688,pivot!$A:$I,計算式2026!AL$1,FALSE),0)</f>
        <v>0</v>
      </c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</row>
    <row r="689" spans="1:59" s="9" customFormat="1">
      <c r="A689" s="8" t="s">
        <v>2638</v>
      </c>
      <c r="B689" s="8" t="s">
        <v>432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R689" s="9">
        <v>4</v>
      </c>
      <c r="S689" s="9">
        <v>3</v>
      </c>
      <c r="T689" s="9">
        <v>0</v>
      </c>
      <c r="U689" s="9">
        <v>0</v>
      </c>
      <c r="V689" s="9">
        <v>0</v>
      </c>
      <c r="W689" s="9">
        <v>1</v>
      </c>
      <c r="X689" s="9">
        <v>0</v>
      </c>
      <c r="AE689" s="9">
        <f>IFERROR(VLOOKUP($A689,pivot!$A:$G,計算式2026!AE$1,FALSE),0)</f>
        <v>0</v>
      </c>
      <c r="AF689" s="9">
        <f>IFERROR(VLOOKUP($A689,pivot!$A:$I,計算式2026!AF$1,FALSE),0)</f>
        <v>0</v>
      </c>
      <c r="AI689" s="9">
        <f>IFERROR(VLOOKUP($A689,pivot!$A:$I,計算式2026!AI$1,FALSE),0)</f>
        <v>0</v>
      </c>
      <c r="AJ689" s="9">
        <f>IFERROR(VLOOKUP($A689,pivot!$A:$I,計算式2026!AJ$1,FALSE),0)</f>
        <v>0</v>
      </c>
      <c r="AK689" s="9">
        <f>IFERROR(VLOOKUP($A689,pivot!$A:$I,計算式2026!AK$1,FALSE),0)</f>
        <v>0</v>
      </c>
      <c r="AL689" s="9">
        <f>IFERROR(VLOOKUP($A689,pivot!$A:$I,計算式2026!AL$1,FALSE),0)</f>
        <v>0</v>
      </c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</row>
    <row r="690" spans="1:59" s="9" customFormat="1">
      <c r="A690" s="8" t="s">
        <v>2065</v>
      </c>
      <c r="B690" s="8" t="s">
        <v>432</v>
      </c>
      <c r="C690" s="9">
        <v>0</v>
      </c>
      <c r="D690" s="9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R690" s="9">
        <v>2</v>
      </c>
      <c r="S690" s="9">
        <v>2</v>
      </c>
      <c r="T690" s="9">
        <v>0</v>
      </c>
      <c r="U690" s="9">
        <v>3</v>
      </c>
      <c r="V690" s="9">
        <v>3</v>
      </c>
      <c r="W690" s="9">
        <v>0</v>
      </c>
      <c r="X690" s="9">
        <v>1</v>
      </c>
      <c r="AE690" s="9">
        <f>IFERROR(VLOOKUP($A690,pivot!$A:$G,計算式2026!AE$1,FALSE),0)</f>
        <v>0</v>
      </c>
      <c r="AF690" s="9">
        <f>IFERROR(VLOOKUP($A690,pivot!$A:$I,計算式2026!AF$1,FALSE),0)</f>
        <v>0</v>
      </c>
      <c r="AI690" s="9">
        <f>IFERROR(VLOOKUP($A690,pivot!$A:$I,計算式2026!AI$1,FALSE),0)</f>
        <v>0</v>
      </c>
      <c r="AJ690" s="9">
        <f>IFERROR(VLOOKUP($A690,pivot!$A:$I,計算式2026!AJ$1,FALSE),0)</f>
        <v>0</v>
      </c>
      <c r="AK690" s="9">
        <f>IFERROR(VLOOKUP($A690,pivot!$A:$I,計算式2026!AK$1,FALSE),0)</f>
        <v>0</v>
      </c>
      <c r="AL690" s="9">
        <f>IFERROR(VLOOKUP($A690,pivot!$A:$I,計算式2026!AL$1,FALSE),0)</f>
        <v>0</v>
      </c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</row>
    <row r="691" spans="1:59" s="9" customFormat="1">
      <c r="A691" s="8" t="s">
        <v>431</v>
      </c>
      <c r="B691" s="8" t="s">
        <v>432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R691" s="9">
        <v>0</v>
      </c>
      <c r="S691" s="9">
        <v>0</v>
      </c>
      <c r="T691" s="9">
        <v>1</v>
      </c>
      <c r="U691" s="9">
        <v>1</v>
      </c>
      <c r="V691" s="9">
        <v>1</v>
      </c>
      <c r="W691" s="9">
        <v>1</v>
      </c>
      <c r="X691" s="9">
        <v>1</v>
      </c>
      <c r="AE691" s="9">
        <f>IFERROR(VLOOKUP($A691,pivot!$A:$G,計算式2026!AE$1,FALSE),0)</f>
        <v>0</v>
      </c>
      <c r="AF691" s="9">
        <f>IFERROR(VLOOKUP($A691,pivot!$A:$I,計算式2026!AF$1,FALSE),0)</f>
        <v>0</v>
      </c>
      <c r="AI691" s="9">
        <f>IFERROR(VLOOKUP($A691,pivot!$A:$I,計算式2026!AI$1,FALSE),0)</f>
        <v>0</v>
      </c>
      <c r="AJ691" s="9">
        <f>IFERROR(VLOOKUP($A691,pivot!$A:$I,計算式2026!AJ$1,FALSE),0)</f>
        <v>0</v>
      </c>
      <c r="AK691" s="9">
        <f>IFERROR(VLOOKUP($A691,pivot!$A:$I,計算式2026!AK$1,FALSE),0)</f>
        <v>0</v>
      </c>
      <c r="AL691" s="9">
        <f>IFERROR(VLOOKUP($A691,pivot!$A:$I,計算式2026!AL$1,FALSE),0)</f>
        <v>0</v>
      </c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</row>
    <row r="692" spans="1:59" s="9" customFormat="1">
      <c r="A692" s="8" t="s">
        <v>433</v>
      </c>
      <c r="B692" s="8" t="s">
        <v>432</v>
      </c>
      <c r="C692" s="9">
        <v>122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R692" s="9">
        <v>3</v>
      </c>
      <c r="S692" s="9">
        <v>4</v>
      </c>
      <c r="T692" s="9">
        <v>1</v>
      </c>
      <c r="U692" s="9">
        <v>3</v>
      </c>
      <c r="V692" s="9">
        <v>4</v>
      </c>
      <c r="W692" s="9">
        <v>1</v>
      </c>
      <c r="X692" s="9">
        <v>2</v>
      </c>
      <c r="AE692" s="9">
        <f>IFERROR(VLOOKUP($A692,pivot!$A:$G,計算式2026!AE$1,FALSE),0)</f>
        <v>0</v>
      </c>
      <c r="AF692" s="9">
        <f>IFERROR(VLOOKUP($A692,pivot!$A:$I,計算式2026!AF$1,FALSE),0)</f>
        <v>0</v>
      </c>
      <c r="AI692" s="9">
        <f>IFERROR(VLOOKUP($A692,pivot!$A:$I,計算式2026!AI$1,FALSE),0)</f>
        <v>0</v>
      </c>
      <c r="AJ692" s="9">
        <f>IFERROR(VLOOKUP($A692,pivot!$A:$I,計算式2026!AJ$1,FALSE),0)</f>
        <v>0</v>
      </c>
      <c r="AK692" s="9">
        <f>IFERROR(VLOOKUP($A692,pivot!$A:$I,計算式2026!AK$1,FALSE),0)</f>
        <v>0</v>
      </c>
      <c r="AL692" s="9">
        <f>IFERROR(VLOOKUP($A692,pivot!$A:$I,計算式2026!AL$1,FALSE),0)</f>
        <v>0</v>
      </c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</row>
    <row r="693" spans="1:59" s="9" customFormat="1">
      <c r="A693" s="8" t="s">
        <v>434</v>
      </c>
      <c r="B693" s="8" t="s">
        <v>432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R693" s="9">
        <v>3</v>
      </c>
      <c r="S693" s="9">
        <v>1</v>
      </c>
      <c r="T693" s="9">
        <v>3</v>
      </c>
      <c r="U693" s="9">
        <v>3</v>
      </c>
      <c r="V693" s="9">
        <v>2</v>
      </c>
      <c r="W693" s="9">
        <v>1</v>
      </c>
      <c r="X693" s="9">
        <v>2</v>
      </c>
      <c r="AE693" s="9">
        <f>IFERROR(VLOOKUP($A693,pivot!$A:$G,計算式2026!AE$1,FALSE),0)</f>
        <v>0</v>
      </c>
      <c r="AF693" s="9">
        <f>IFERROR(VLOOKUP($A693,pivot!$A:$I,計算式2026!AF$1,FALSE),0)</f>
        <v>0</v>
      </c>
      <c r="AI693" s="9">
        <f>IFERROR(VLOOKUP($A693,pivot!$A:$I,計算式2026!AI$1,FALSE),0)</f>
        <v>0</v>
      </c>
      <c r="AJ693" s="9">
        <f>IFERROR(VLOOKUP($A693,pivot!$A:$I,計算式2026!AJ$1,FALSE),0)</f>
        <v>0</v>
      </c>
      <c r="AK693" s="9">
        <f>IFERROR(VLOOKUP($A693,pivot!$A:$I,計算式2026!AK$1,FALSE),0)</f>
        <v>0</v>
      </c>
      <c r="AL693" s="9">
        <f>IFERROR(VLOOKUP($A693,pivot!$A:$I,計算式2026!AL$1,FALSE),0)</f>
        <v>0</v>
      </c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</row>
    <row r="694" spans="1:59" s="9" customFormat="1">
      <c r="A694" s="8" t="s">
        <v>435</v>
      </c>
      <c r="B694" s="8" t="s">
        <v>432</v>
      </c>
      <c r="C694" s="9">
        <v>0</v>
      </c>
      <c r="D694" s="9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R694" s="9">
        <v>2</v>
      </c>
      <c r="S694" s="9">
        <v>1</v>
      </c>
      <c r="T694" s="9">
        <v>0</v>
      </c>
      <c r="U694" s="9">
        <v>2</v>
      </c>
      <c r="V694" s="9">
        <v>1</v>
      </c>
      <c r="W694" s="9">
        <v>0</v>
      </c>
      <c r="X694" s="9">
        <v>0</v>
      </c>
      <c r="AE694" s="9">
        <f>IFERROR(VLOOKUP($A694,pivot!$A:$G,計算式2026!AE$1,FALSE),0)</f>
        <v>0</v>
      </c>
      <c r="AF694" s="9">
        <f>IFERROR(VLOOKUP($A694,pivot!$A:$I,計算式2026!AF$1,FALSE),0)</f>
        <v>0</v>
      </c>
      <c r="AI694" s="9">
        <f>IFERROR(VLOOKUP($A694,pivot!$A:$I,計算式2026!AI$1,FALSE),0)</f>
        <v>0</v>
      </c>
      <c r="AJ694" s="9">
        <f>IFERROR(VLOOKUP($A694,pivot!$A:$I,計算式2026!AJ$1,FALSE),0)</f>
        <v>0</v>
      </c>
      <c r="AK694" s="9">
        <f>IFERROR(VLOOKUP($A694,pivot!$A:$I,計算式2026!AK$1,FALSE),0)</f>
        <v>0</v>
      </c>
      <c r="AL694" s="9">
        <f>IFERROR(VLOOKUP($A694,pivot!$A:$I,計算式2026!AL$1,FALSE),0)</f>
        <v>0</v>
      </c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</row>
    <row r="695" spans="1:59" s="9" customFormat="1">
      <c r="A695" s="8" t="s">
        <v>436</v>
      </c>
      <c r="B695" s="8" t="s">
        <v>432</v>
      </c>
      <c r="C695" s="9">
        <v>0</v>
      </c>
      <c r="D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R695" s="9">
        <v>1</v>
      </c>
      <c r="S695" s="9">
        <v>2</v>
      </c>
      <c r="T695" s="9">
        <v>2</v>
      </c>
      <c r="U695" s="9">
        <v>0</v>
      </c>
      <c r="V695" s="9">
        <v>0</v>
      </c>
      <c r="W695" s="9">
        <v>0</v>
      </c>
      <c r="X695" s="9">
        <v>2</v>
      </c>
      <c r="AE695" s="9">
        <f>IFERROR(VLOOKUP($A695,pivot!$A:$G,計算式2026!AE$1,FALSE),0)</f>
        <v>0</v>
      </c>
      <c r="AF695" s="9">
        <f>IFERROR(VLOOKUP($A695,pivot!$A:$I,計算式2026!AF$1,FALSE),0)</f>
        <v>0</v>
      </c>
      <c r="AI695" s="9">
        <f>IFERROR(VLOOKUP($A695,pivot!$A:$I,計算式2026!AI$1,FALSE),0)</f>
        <v>0</v>
      </c>
      <c r="AJ695" s="9">
        <f>IFERROR(VLOOKUP($A695,pivot!$A:$I,計算式2026!AJ$1,FALSE),0)</f>
        <v>0</v>
      </c>
      <c r="AK695" s="9">
        <f>IFERROR(VLOOKUP($A695,pivot!$A:$I,計算式2026!AK$1,FALSE),0)</f>
        <v>0</v>
      </c>
      <c r="AL695" s="9">
        <f>IFERROR(VLOOKUP($A695,pivot!$A:$I,計算式2026!AL$1,FALSE),0)</f>
        <v>0</v>
      </c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</row>
    <row r="696" spans="1:59" s="9" customFormat="1">
      <c r="A696" s="8" t="s">
        <v>2066</v>
      </c>
      <c r="B696" s="8" t="s">
        <v>432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R696" s="9">
        <v>3</v>
      </c>
      <c r="S696" s="9">
        <v>2</v>
      </c>
      <c r="T696" s="9">
        <v>0</v>
      </c>
      <c r="U696" s="9">
        <v>3</v>
      </c>
      <c r="V696" s="9">
        <v>3</v>
      </c>
      <c r="W696" s="9">
        <v>0</v>
      </c>
      <c r="X696" s="9">
        <v>1</v>
      </c>
      <c r="AE696" s="9">
        <f>IFERROR(VLOOKUP($A696,pivot!$A:$G,計算式2026!AE$1,FALSE),0)</f>
        <v>0</v>
      </c>
      <c r="AF696" s="9">
        <f>IFERROR(VLOOKUP($A696,pivot!$A:$I,計算式2026!AF$1,FALSE),0)</f>
        <v>0</v>
      </c>
      <c r="AI696" s="9">
        <f>IFERROR(VLOOKUP($A696,pivot!$A:$I,計算式2026!AI$1,FALSE),0)</f>
        <v>0</v>
      </c>
      <c r="AJ696" s="9">
        <f>IFERROR(VLOOKUP($A696,pivot!$A:$I,計算式2026!AJ$1,FALSE),0)</f>
        <v>0</v>
      </c>
      <c r="AK696" s="9">
        <f>IFERROR(VLOOKUP($A696,pivot!$A:$I,計算式2026!AK$1,FALSE),0)</f>
        <v>0</v>
      </c>
      <c r="AL696" s="9">
        <f>IFERROR(VLOOKUP($A696,pivot!$A:$I,計算式2026!AL$1,FALSE),0)</f>
        <v>0</v>
      </c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</row>
    <row r="697" spans="1:59" s="9" customFormat="1">
      <c r="A697" s="8" t="s">
        <v>437</v>
      </c>
      <c r="B697" s="8" t="s">
        <v>432</v>
      </c>
      <c r="C697" s="9">
        <v>8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R697" s="9">
        <v>3</v>
      </c>
      <c r="S697" s="9">
        <v>4</v>
      </c>
      <c r="T697" s="9">
        <v>1</v>
      </c>
      <c r="U697" s="9">
        <v>4</v>
      </c>
      <c r="V697" s="9">
        <v>3</v>
      </c>
      <c r="W697" s="9">
        <v>1</v>
      </c>
      <c r="X697" s="9">
        <v>3</v>
      </c>
      <c r="AE697" s="9">
        <f>IFERROR(VLOOKUP($A697,pivot!$A:$G,計算式2026!AE$1,FALSE),0)</f>
        <v>0</v>
      </c>
      <c r="AF697" s="9">
        <f>IFERROR(VLOOKUP($A697,pivot!$A:$I,計算式2026!AF$1,FALSE),0)</f>
        <v>0</v>
      </c>
      <c r="AI697" s="9">
        <f>IFERROR(VLOOKUP($A697,pivot!$A:$I,計算式2026!AI$1,FALSE),0)</f>
        <v>0</v>
      </c>
      <c r="AJ697" s="9">
        <f>IFERROR(VLOOKUP($A697,pivot!$A:$I,計算式2026!AJ$1,FALSE),0)</f>
        <v>0</v>
      </c>
      <c r="AK697" s="9">
        <f>IFERROR(VLOOKUP($A697,pivot!$A:$I,計算式2026!AK$1,FALSE),0)</f>
        <v>0</v>
      </c>
      <c r="AL697" s="9">
        <f>IFERROR(VLOOKUP($A697,pivot!$A:$I,計算式2026!AL$1,FALSE),0)</f>
        <v>0</v>
      </c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</row>
    <row r="698" spans="1:59" s="9" customFormat="1">
      <c r="A698" s="8" t="s">
        <v>438</v>
      </c>
      <c r="B698" s="8" t="s">
        <v>432</v>
      </c>
      <c r="C698" s="9">
        <v>0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R698" s="9">
        <v>1</v>
      </c>
      <c r="S698" s="9">
        <v>0</v>
      </c>
      <c r="T698" s="9">
        <v>1</v>
      </c>
      <c r="U698" s="9">
        <v>0</v>
      </c>
      <c r="V698" s="9">
        <v>0</v>
      </c>
      <c r="W698" s="9">
        <v>1</v>
      </c>
      <c r="X698" s="9">
        <v>1</v>
      </c>
      <c r="AE698" s="9">
        <f>IFERROR(VLOOKUP($A698,pivot!$A:$G,計算式2026!AE$1,FALSE),0)</f>
        <v>0</v>
      </c>
      <c r="AF698" s="9">
        <f>IFERROR(VLOOKUP($A698,pivot!$A:$I,計算式2026!AF$1,FALSE),0)</f>
        <v>0</v>
      </c>
      <c r="AI698" s="9">
        <f>IFERROR(VLOOKUP($A698,pivot!$A:$I,計算式2026!AI$1,FALSE),0)</f>
        <v>0</v>
      </c>
      <c r="AJ698" s="9">
        <f>IFERROR(VLOOKUP($A698,pivot!$A:$I,計算式2026!AJ$1,FALSE),0)</f>
        <v>0</v>
      </c>
      <c r="AK698" s="9">
        <f>IFERROR(VLOOKUP($A698,pivot!$A:$I,計算式2026!AK$1,FALSE),0)</f>
        <v>0</v>
      </c>
      <c r="AL698" s="9">
        <f>IFERROR(VLOOKUP($A698,pivot!$A:$I,計算式2026!AL$1,FALSE),0)</f>
        <v>0</v>
      </c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</row>
    <row r="699" spans="1:59" s="9" customFormat="1">
      <c r="A699" s="8" t="s">
        <v>439</v>
      </c>
      <c r="B699" s="8" t="s">
        <v>432</v>
      </c>
      <c r="C699" s="9">
        <v>0</v>
      </c>
      <c r="D699" s="9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R699" s="9">
        <v>3</v>
      </c>
      <c r="S699" s="9">
        <v>2</v>
      </c>
      <c r="T699" s="9">
        <v>0</v>
      </c>
      <c r="U699" s="9">
        <v>2</v>
      </c>
      <c r="V699" s="9">
        <v>2</v>
      </c>
      <c r="W699" s="9">
        <v>0</v>
      </c>
      <c r="X699" s="9">
        <v>0</v>
      </c>
      <c r="AE699" s="9">
        <f>IFERROR(VLOOKUP($A699,pivot!$A:$G,計算式2026!AE$1,FALSE),0)</f>
        <v>0</v>
      </c>
      <c r="AF699" s="9">
        <f>IFERROR(VLOOKUP($A699,pivot!$A:$I,計算式2026!AF$1,FALSE),0)</f>
        <v>0</v>
      </c>
      <c r="AI699" s="9">
        <f>IFERROR(VLOOKUP($A699,pivot!$A:$I,計算式2026!AI$1,FALSE),0)</f>
        <v>0</v>
      </c>
      <c r="AJ699" s="9">
        <f>IFERROR(VLOOKUP($A699,pivot!$A:$I,計算式2026!AJ$1,FALSE),0)</f>
        <v>0</v>
      </c>
      <c r="AK699" s="9">
        <f>IFERROR(VLOOKUP($A699,pivot!$A:$I,計算式2026!AK$1,FALSE),0)</f>
        <v>0</v>
      </c>
      <c r="AL699" s="9">
        <f>IFERROR(VLOOKUP($A699,pivot!$A:$I,計算式2026!AL$1,FALSE),0)</f>
        <v>0</v>
      </c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</row>
    <row r="700" spans="1:59" s="9" customFormat="1">
      <c r="A700" s="8" t="s">
        <v>440</v>
      </c>
      <c r="B700" s="8" t="s">
        <v>441</v>
      </c>
      <c r="C700" s="9">
        <v>3</v>
      </c>
      <c r="D700" s="9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R700" s="9">
        <v>2</v>
      </c>
      <c r="S700" s="9">
        <v>5</v>
      </c>
      <c r="T700" s="9">
        <v>0</v>
      </c>
      <c r="U700" s="9">
        <v>4</v>
      </c>
      <c r="V700" s="9">
        <v>4</v>
      </c>
      <c r="W700" s="9">
        <v>0</v>
      </c>
      <c r="X700" s="9">
        <v>2</v>
      </c>
      <c r="AE700" s="9">
        <f>IFERROR(VLOOKUP($A700,pivot!$A:$G,計算式2026!AE$1,FALSE),0)</f>
        <v>0</v>
      </c>
      <c r="AF700" s="9">
        <f>IFERROR(VLOOKUP($A700,pivot!$A:$I,計算式2026!AF$1,FALSE),0)</f>
        <v>0</v>
      </c>
      <c r="AI700" s="9">
        <f>IFERROR(VLOOKUP($A700,pivot!$A:$I,計算式2026!AI$1,FALSE),0)</f>
        <v>0</v>
      </c>
      <c r="AJ700" s="9">
        <f>IFERROR(VLOOKUP($A700,pivot!$A:$I,計算式2026!AJ$1,FALSE),0)</f>
        <v>0</v>
      </c>
      <c r="AK700" s="9">
        <f>IFERROR(VLOOKUP($A700,pivot!$A:$I,計算式2026!AK$1,FALSE),0)</f>
        <v>0</v>
      </c>
      <c r="AL700" s="9">
        <f>IFERROR(VLOOKUP($A700,pivot!$A:$I,計算式2026!AL$1,FALSE),0)</f>
        <v>0</v>
      </c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</row>
    <row r="701" spans="1:59" s="9" customFormat="1">
      <c r="A701" s="8" t="s">
        <v>442</v>
      </c>
      <c r="B701" s="8" t="s">
        <v>443</v>
      </c>
      <c r="C701" s="9">
        <v>1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R701" s="9">
        <v>1</v>
      </c>
      <c r="S701" s="9">
        <v>2</v>
      </c>
      <c r="T701" s="9">
        <v>1</v>
      </c>
      <c r="U701" s="9">
        <v>2</v>
      </c>
      <c r="V701" s="9">
        <v>0</v>
      </c>
      <c r="W701" s="9">
        <v>0</v>
      </c>
      <c r="X701" s="9">
        <v>1</v>
      </c>
      <c r="AE701" s="9">
        <f>IFERROR(VLOOKUP($A701,pivot!$A:$G,計算式2026!AE$1,FALSE),0)</f>
        <v>0</v>
      </c>
      <c r="AF701" s="9">
        <f>IFERROR(VLOOKUP($A701,pivot!$A:$I,計算式2026!AF$1,FALSE),0)</f>
        <v>0</v>
      </c>
      <c r="AI701" s="9">
        <f>IFERROR(VLOOKUP($A701,pivot!$A:$I,計算式2026!AI$1,FALSE),0)</f>
        <v>0</v>
      </c>
      <c r="AJ701" s="9">
        <f>IFERROR(VLOOKUP($A701,pivot!$A:$I,計算式2026!AJ$1,FALSE),0)</f>
        <v>0</v>
      </c>
      <c r="AK701" s="9">
        <f>IFERROR(VLOOKUP($A701,pivot!$A:$I,計算式2026!AK$1,FALSE),0)</f>
        <v>0</v>
      </c>
      <c r="AL701" s="9">
        <f>IFERROR(VLOOKUP($A701,pivot!$A:$I,計算式2026!AL$1,FALSE),0)</f>
        <v>0</v>
      </c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</row>
    <row r="702" spans="1:59" s="9" customFormat="1">
      <c r="A702" s="8" t="s">
        <v>444</v>
      </c>
      <c r="B702" s="8" t="s">
        <v>443</v>
      </c>
      <c r="C702" s="9">
        <v>9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R702" s="9">
        <v>1</v>
      </c>
      <c r="S702" s="9">
        <v>2</v>
      </c>
      <c r="T702" s="9">
        <v>1</v>
      </c>
      <c r="U702" s="9">
        <v>2</v>
      </c>
      <c r="V702" s="9">
        <v>2</v>
      </c>
      <c r="W702" s="9">
        <v>1</v>
      </c>
      <c r="X702" s="9">
        <v>1</v>
      </c>
      <c r="AE702" s="9">
        <f>IFERROR(VLOOKUP($A702,pivot!$A:$G,計算式2026!AE$1,FALSE),0)</f>
        <v>0</v>
      </c>
      <c r="AF702" s="9">
        <f>IFERROR(VLOOKUP($A702,pivot!$A:$I,計算式2026!AF$1,FALSE),0)</f>
        <v>0</v>
      </c>
      <c r="AI702" s="9">
        <f>IFERROR(VLOOKUP($A702,pivot!$A:$I,計算式2026!AI$1,FALSE),0)</f>
        <v>0</v>
      </c>
      <c r="AJ702" s="9">
        <f>IFERROR(VLOOKUP($A702,pivot!$A:$I,計算式2026!AJ$1,FALSE),0)</f>
        <v>0</v>
      </c>
      <c r="AK702" s="9">
        <f>IFERROR(VLOOKUP($A702,pivot!$A:$I,計算式2026!AK$1,FALSE),0)</f>
        <v>0</v>
      </c>
      <c r="AL702" s="9">
        <f>IFERROR(VLOOKUP($A702,pivot!$A:$I,計算式2026!AL$1,FALSE),0)</f>
        <v>0</v>
      </c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</row>
    <row r="703" spans="1:59" s="9" customFormat="1">
      <c r="A703" s="8" t="s">
        <v>445</v>
      </c>
      <c r="B703" s="8" t="s">
        <v>443</v>
      </c>
      <c r="C703" s="9">
        <v>21</v>
      </c>
      <c r="D703" s="9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R703" s="9">
        <v>1</v>
      </c>
      <c r="S703" s="9">
        <v>2</v>
      </c>
      <c r="T703" s="9">
        <v>1</v>
      </c>
      <c r="U703" s="9">
        <v>2</v>
      </c>
      <c r="V703" s="9">
        <v>2</v>
      </c>
      <c r="W703" s="9">
        <v>1</v>
      </c>
      <c r="X703" s="9">
        <v>1</v>
      </c>
      <c r="AE703" s="9">
        <f>IFERROR(VLOOKUP($A703,pivot!$A:$G,計算式2026!AE$1,FALSE),0)</f>
        <v>0</v>
      </c>
      <c r="AF703" s="9">
        <f>IFERROR(VLOOKUP($A703,pivot!$A:$I,計算式2026!AF$1,FALSE),0)</f>
        <v>0</v>
      </c>
      <c r="AI703" s="9">
        <f>IFERROR(VLOOKUP($A703,pivot!$A:$I,計算式2026!AI$1,FALSE),0)</f>
        <v>0</v>
      </c>
      <c r="AJ703" s="9">
        <f>IFERROR(VLOOKUP($A703,pivot!$A:$I,計算式2026!AJ$1,FALSE),0)</f>
        <v>0</v>
      </c>
      <c r="AK703" s="9">
        <f>IFERROR(VLOOKUP($A703,pivot!$A:$I,計算式2026!AK$1,FALSE),0)</f>
        <v>0</v>
      </c>
      <c r="AL703" s="9">
        <f>IFERROR(VLOOKUP($A703,pivot!$A:$I,計算式2026!AL$1,FALSE),0)</f>
        <v>0</v>
      </c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</row>
    <row r="704" spans="1:59" s="9" customFormat="1">
      <c r="A704" s="8" t="s">
        <v>446</v>
      </c>
      <c r="B704" s="8" t="s">
        <v>443</v>
      </c>
      <c r="C704" s="9">
        <v>49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R704" s="9">
        <v>1</v>
      </c>
      <c r="S704" s="9">
        <v>2</v>
      </c>
      <c r="T704" s="9">
        <v>1</v>
      </c>
      <c r="U704" s="9">
        <v>2</v>
      </c>
      <c r="V704" s="9">
        <v>2</v>
      </c>
      <c r="W704" s="9">
        <v>1</v>
      </c>
      <c r="X704" s="9">
        <v>1</v>
      </c>
      <c r="AE704" s="9">
        <f>IFERROR(VLOOKUP($A704,pivot!$A:$G,計算式2026!AE$1,FALSE),0)</f>
        <v>0</v>
      </c>
      <c r="AF704" s="9">
        <f>IFERROR(VLOOKUP($A704,pivot!$A:$I,計算式2026!AF$1,FALSE),0)</f>
        <v>0</v>
      </c>
      <c r="AI704" s="9">
        <f>IFERROR(VLOOKUP($A704,pivot!$A:$I,計算式2026!AI$1,FALSE),0)</f>
        <v>0</v>
      </c>
      <c r="AJ704" s="9">
        <f>IFERROR(VLOOKUP($A704,pivot!$A:$I,計算式2026!AJ$1,FALSE),0)</f>
        <v>0</v>
      </c>
      <c r="AK704" s="9">
        <f>IFERROR(VLOOKUP($A704,pivot!$A:$I,計算式2026!AK$1,FALSE),0)</f>
        <v>0</v>
      </c>
      <c r="AL704" s="9">
        <f>IFERROR(VLOOKUP($A704,pivot!$A:$I,計算式2026!AL$1,FALSE),0)</f>
        <v>0</v>
      </c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</row>
    <row r="705" spans="1:59" s="9" customFormat="1">
      <c r="A705" s="8" t="s">
        <v>447</v>
      </c>
      <c r="B705" s="8" t="s">
        <v>448</v>
      </c>
      <c r="C705" s="9">
        <v>28</v>
      </c>
      <c r="D705" s="9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R705" s="9">
        <v>0</v>
      </c>
      <c r="S705" s="9">
        <v>0</v>
      </c>
      <c r="T705" s="9">
        <v>1</v>
      </c>
      <c r="U705" s="9">
        <v>0</v>
      </c>
      <c r="V705" s="9">
        <v>0</v>
      </c>
      <c r="W705" s="9">
        <v>1</v>
      </c>
      <c r="X705" s="9">
        <v>1</v>
      </c>
      <c r="AE705" s="9">
        <f>IFERROR(VLOOKUP($A705,pivot!$A:$G,計算式2026!AE$1,FALSE),0)</f>
        <v>0</v>
      </c>
      <c r="AF705" s="9">
        <f>IFERROR(VLOOKUP($A705,pivot!$A:$I,計算式2026!AF$1,FALSE),0)</f>
        <v>0</v>
      </c>
      <c r="AI705" s="9">
        <f>IFERROR(VLOOKUP($A705,pivot!$A:$I,計算式2026!AI$1,FALSE),0)</f>
        <v>0</v>
      </c>
      <c r="AJ705" s="9">
        <f>IFERROR(VLOOKUP($A705,pivot!$A:$I,計算式2026!AJ$1,FALSE),0)</f>
        <v>0</v>
      </c>
      <c r="AK705" s="9">
        <f>IFERROR(VLOOKUP($A705,pivot!$A:$I,計算式2026!AK$1,FALSE),0)</f>
        <v>0</v>
      </c>
      <c r="AL705" s="9">
        <f>IFERROR(VLOOKUP($A705,pivot!$A:$I,計算式2026!AL$1,FALSE),0)</f>
        <v>0</v>
      </c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</row>
    <row r="706" spans="1:59" s="9" customFormat="1">
      <c r="A706" s="8" t="s">
        <v>449</v>
      </c>
      <c r="B706" s="8" t="s">
        <v>448</v>
      </c>
      <c r="C706" s="9">
        <v>26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R706" s="9">
        <v>0</v>
      </c>
      <c r="S706" s="9">
        <v>0</v>
      </c>
      <c r="T706" s="9">
        <v>1</v>
      </c>
      <c r="U706" s="9">
        <v>0</v>
      </c>
      <c r="V706" s="9">
        <v>2</v>
      </c>
      <c r="W706" s="9">
        <v>1</v>
      </c>
      <c r="X706" s="9">
        <v>1</v>
      </c>
      <c r="AE706" s="9">
        <f>IFERROR(VLOOKUP($A706,pivot!$A:$G,計算式2026!AE$1,FALSE),0)</f>
        <v>0</v>
      </c>
      <c r="AF706" s="9">
        <f>IFERROR(VLOOKUP($A706,pivot!$A:$I,計算式2026!AF$1,FALSE),0)</f>
        <v>0</v>
      </c>
      <c r="AI706" s="9">
        <f>IFERROR(VLOOKUP($A706,pivot!$A:$I,計算式2026!AI$1,FALSE),0)</f>
        <v>0</v>
      </c>
      <c r="AJ706" s="9">
        <f>IFERROR(VLOOKUP($A706,pivot!$A:$I,計算式2026!AJ$1,FALSE),0)</f>
        <v>0</v>
      </c>
      <c r="AK706" s="9">
        <f>IFERROR(VLOOKUP($A706,pivot!$A:$I,計算式2026!AK$1,FALSE),0)</f>
        <v>0</v>
      </c>
      <c r="AL706" s="9">
        <f>IFERROR(VLOOKUP($A706,pivot!$A:$I,計算式2026!AL$1,FALSE),0)</f>
        <v>0</v>
      </c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</row>
    <row r="707" spans="1:59" s="9" customFormat="1">
      <c r="A707" s="8" t="s">
        <v>450</v>
      </c>
      <c r="B707" s="8" t="s">
        <v>448</v>
      </c>
      <c r="C707" s="9">
        <v>19</v>
      </c>
      <c r="D707" s="9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R707" s="9">
        <v>0</v>
      </c>
      <c r="S707" s="9">
        <v>0</v>
      </c>
      <c r="T707" s="9">
        <v>1</v>
      </c>
      <c r="U707" s="9">
        <v>2</v>
      </c>
      <c r="V707" s="9">
        <v>2</v>
      </c>
      <c r="W707" s="9">
        <v>1</v>
      </c>
      <c r="X707" s="9">
        <v>1</v>
      </c>
      <c r="AE707" s="9">
        <f>IFERROR(VLOOKUP($A707,pivot!$A:$G,計算式2026!AE$1,FALSE),0)</f>
        <v>0</v>
      </c>
      <c r="AF707" s="9">
        <f>IFERROR(VLOOKUP($A707,pivot!$A:$I,計算式2026!AF$1,FALSE),0)</f>
        <v>0</v>
      </c>
      <c r="AI707" s="9">
        <f>IFERROR(VLOOKUP($A707,pivot!$A:$I,計算式2026!AI$1,FALSE),0)</f>
        <v>0</v>
      </c>
      <c r="AJ707" s="9">
        <f>IFERROR(VLOOKUP($A707,pivot!$A:$I,計算式2026!AJ$1,FALSE),0)</f>
        <v>0</v>
      </c>
      <c r="AK707" s="9">
        <f>IFERROR(VLOOKUP($A707,pivot!$A:$I,計算式2026!AK$1,FALSE),0)</f>
        <v>0</v>
      </c>
      <c r="AL707" s="9">
        <f>IFERROR(VLOOKUP($A707,pivot!$A:$I,計算式2026!AL$1,FALSE),0)</f>
        <v>0</v>
      </c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</row>
    <row r="708" spans="1:59" s="9" customFormat="1">
      <c r="A708" s="8" t="s">
        <v>451</v>
      </c>
      <c r="B708" s="8" t="s">
        <v>448</v>
      </c>
      <c r="C708" s="9">
        <v>36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R708" s="9">
        <v>0</v>
      </c>
      <c r="S708" s="9">
        <v>0</v>
      </c>
      <c r="T708" s="9">
        <v>3</v>
      </c>
      <c r="U708" s="9">
        <v>2</v>
      </c>
      <c r="V708" s="9">
        <v>2</v>
      </c>
      <c r="W708" s="9">
        <v>1</v>
      </c>
      <c r="X708" s="9">
        <v>1</v>
      </c>
      <c r="AE708" s="9">
        <f>IFERROR(VLOOKUP($A708,pivot!$A:$G,計算式2026!AE$1,FALSE),0)</f>
        <v>0</v>
      </c>
      <c r="AF708" s="9">
        <f>IFERROR(VLOOKUP($A708,pivot!$A:$I,計算式2026!AF$1,FALSE),0)</f>
        <v>0</v>
      </c>
      <c r="AI708" s="9">
        <f>IFERROR(VLOOKUP($A708,pivot!$A:$I,計算式2026!AI$1,FALSE),0)</f>
        <v>0</v>
      </c>
      <c r="AJ708" s="9">
        <f>IFERROR(VLOOKUP($A708,pivot!$A:$I,計算式2026!AJ$1,FALSE),0)</f>
        <v>0</v>
      </c>
      <c r="AK708" s="9">
        <f>IFERROR(VLOOKUP($A708,pivot!$A:$I,計算式2026!AK$1,FALSE),0)</f>
        <v>0</v>
      </c>
      <c r="AL708" s="9">
        <f>IFERROR(VLOOKUP($A708,pivot!$A:$I,計算式2026!AL$1,FALSE),0)</f>
        <v>0</v>
      </c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</row>
    <row r="709" spans="1:59" s="9" customFormat="1">
      <c r="A709" s="8" t="s">
        <v>2067</v>
      </c>
      <c r="B709" s="8" t="s">
        <v>2068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R709" s="9">
        <v>0</v>
      </c>
      <c r="S709" s="9">
        <v>0</v>
      </c>
      <c r="T709" s="9">
        <v>1</v>
      </c>
      <c r="U709" s="9">
        <v>0</v>
      </c>
      <c r="V709" s="9">
        <v>0</v>
      </c>
      <c r="W709" s="9">
        <v>1</v>
      </c>
      <c r="X709" s="9">
        <v>1</v>
      </c>
      <c r="AE709" s="9">
        <f>IFERROR(VLOOKUP($A709,pivot!$A:$G,計算式2026!AE$1,FALSE),0)</f>
        <v>0</v>
      </c>
      <c r="AF709" s="9">
        <f>IFERROR(VLOOKUP($A709,pivot!$A:$I,計算式2026!AF$1,FALSE),0)</f>
        <v>0</v>
      </c>
      <c r="AI709" s="9">
        <f>IFERROR(VLOOKUP($A709,pivot!$A:$I,計算式2026!AI$1,FALSE),0)</f>
        <v>0</v>
      </c>
      <c r="AJ709" s="9">
        <f>IFERROR(VLOOKUP($A709,pivot!$A:$I,計算式2026!AJ$1,FALSE),0)</f>
        <v>0</v>
      </c>
      <c r="AK709" s="9">
        <f>IFERROR(VLOOKUP($A709,pivot!$A:$I,計算式2026!AK$1,FALSE),0)</f>
        <v>0</v>
      </c>
      <c r="AL709" s="9">
        <f>IFERROR(VLOOKUP($A709,pivot!$A:$I,計算式2026!AL$1,FALSE),0)</f>
        <v>0</v>
      </c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</row>
    <row r="710" spans="1:59" s="9" customFormat="1">
      <c r="A710" s="8" t="s">
        <v>1595</v>
      </c>
      <c r="B710" s="8" t="s">
        <v>2068</v>
      </c>
      <c r="C710" s="9">
        <v>8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R710" s="9">
        <v>0</v>
      </c>
      <c r="S710" s="9">
        <v>0</v>
      </c>
      <c r="T710" s="9">
        <v>1</v>
      </c>
      <c r="U710" s="9">
        <v>0</v>
      </c>
      <c r="V710" s="9">
        <v>0</v>
      </c>
      <c r="W710" s="9">
        <v>1</v>
      </c>
      <c r="X710" s="9">
        <v>1</v>
      </c>
      <c r="AE710" s="9">
        <f>IFERROR(VLOOKUP($A710,pivot!$A:$G,計算式2026!AE$1,FALSE),0)</f>
        <v>0</v>
      </c>
      <c r="AF710" s="9">
        <f>IFERROR(VLOOKUP($A710,pivot!$A:$I,計算式2026!AF$1,FALSE),0)</f>
        <v>0</v>
      </c>
      <c r="AI710" s="9">
        <f>IFERROR(VLOOKUP($A710,pivot!$A:$I,計算式2026!AI$1,FALSE),0)</f>
        <v>0</v>
      </c>
      <c r="AJ710" s="9">
        <f>IFERROR(VLOOKUP($A710,pivot!$A:$I,計算式2026!AJ$1,FALSE),0)</f>
        <v>0</v>
      </c>
      <c r="AK710" s="9">
        <f>IFERROR(VLOOKUP($A710,pivot!$A:$I,計算式2026!AK$1,FALSE),0)</f>
        <v>0</v>
      </c>
      <c r="AL710" s="9">
        <f>IFERROR(VLOOKUP($A710,pivot!$A:$I,計算式2026!AL$1,FALSE),0)</f>
        <v>0</v>
      </c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</row>
    <row r="711" spans="1:59" s="9" customFormat="1">
      <c r="A711" s="8" t="s">
        <v>1596</v>
      </c>
      <c r="B711" s="8" t="s">
        <v>2068</v>
      </c>
      <c r="C711" s="9">
        <v>8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R711" s="9">
        <v>0</v>
      </c>
      <c r="S711" s="9">
        <v>0</v>
      </c>
      <c r="T711" s="9">
        <v>2</v>
      </c>
      <c r="U711" s="9">
        <v>0</v>
      </c>
      <c r="V711" s="9">
        <v>0</v>
      </c>
      <c r="W711" s="9">
        <v>1</v>
      </c>
      <c r="X711" s="9">
        <v>1</v>
      </c>
      <c r="AE711" s="9">
        <f>IFERROR(VLOOKUP($A711,pivot!$A:$G,計算式2026!AE$1,FALSE),0)</f>
        <v>0</v>
      </c>
      <c r="AF711" s="9">
        <f>IFERROR(VLOOKUP($A711,pivot!$A:$I,計算式2026!AF$1,FALSE),0)</f>
        <v>0</v>
      </c>
      <c r="AI711" s="9">
        <f>IFERROR(VLOOKUP($A711,pivot!$A:$I,計算式2026!AI$1,FALSE),0)</f>
        <v>0</v>
      </c>
      <c r="AJ711" s="9">
        <f>IFERROR(VLOOKUP($A711,pivot!$A:$I,計算式2026!AJ$1,FALSE),0)</f>
        <v>0</v>
      </c>
      <c r="AK711" s="9">
        <f>IFERROR(VLOOKUP($A711,pivot!$A:$I,計算式2026!AK$1,FALSE),0)</f>
        <v>0</v>
      </c>
      <c r="AL711" s="9">
        <f>IFERROR(VLOOKUP($A711,pivot!$A:$I,計算式2026!AL$1,FALSE),0)</f>
        <v>0</v>
      </c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</row>
    <row r="712" spans="1:59" s="9" customFormat="1">
      <c r="A712" s="8" t="s">
        <v>1597</v>
      </c>
      <c r="B712" s="8" t="s">
        <v>2068</v>
      </c>
      <c r="C712" s="9">
        <v>11</v>
      </c>
      <c r="D712" s="9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R712" s="9">
        <v>0</v>
      </c>
      <c r="S712" s="9">
        <v>0</v>
      </c>
      <c r="T712" s="9">
        <v>1</v>
      </c>
      <c r="U712" s="9">
        <v>0</v>
      </c>
      <c r="V712" s="9">
        <v>0</v>
      </c>
      <c r="W712" s="9">
        <v>1</v>
      </c>
      <c r="X712" s="9">
        <v>1</v>
      </c>
      <c r="AE712" s="9">
        <f>IFERROR(VLOOKUP($A712,pivot!$A:$G,計算式2026!AE$1,FALSE),0)</f>
        <v>0</v>
      </c>
      <c r="AF712" s="9">
        <f>IFERROR(VLOOKUP($A712,pivot!$A:$I,計算式2026!AF$1,FALSE),0)</f>
        <v>0</v>
      </c>
      <c r="AI712" s="9">
        <f>IFERROR(VLOOKUP($A712,pivot!$A:$I,計算式2026!AI$1,FALSE),0)</f>
        <v>0</v>
      </c>
      <c r="AJ712" s="9">
        <f>IFERROR(VLOOKUP($A712,pivot!$A:$I,計算式2026!AJ$1,FALSE),0)</f>
        <v>0</v>
      </c>
      <c r="AK712" s="9">
        <f>IFERROR(VLOOKUP($A712,pivot!$A:$I,計算式2026!AK$1,FALSE),0)</f>
        <v>0</v>
      </c>
      <c r="AL712" s="9">
        <f>IFERROR(VLOOKUP($A712,pivot!$A:$I,計算式2026!AL$1,FALSE),0)</f>
        <v>0</v>
      </c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</row>
    <row r="713" spans="1:59" s="9" customFormat="1">
      <c r="A713" s="8" t="s">
        <v>2069</v>
      </c>
      <c r="B713" s="8" t="s">
        <v>2070</v>
      </c>
      <c r="C713" s="9">
        <v>0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R713" s="9">
        <v>4</v>
      </c>
      <c r="S713" s="9">
        <v>4</v>
      </c>
      <c r="T713" s="9">
        <v>0</v>
      </c>
      <c r="U713" s="9">
        <v>1</v>
      </c>
      <c r="V713" s="9">
        <v>4</v>
      </c>
      <c r="W713" s="9">
        <v>0</v>
      </c>
      <c r="X713" s="9">
        <v>1</v>
      </c>
      <c r="AE713" s="9">
        <f>IFERROR(VLOOKUP($A713,pivot!$A:$G,計算式2026!AE$1,FALSE),0)</f>
        <v>0</v>
      </c>
      <c r="AF713" s="9">
        <f>IFERROR(VLOOKUP($A713,pivot!$A:$I,計算式2026!AF$1,FALSE),0)</f>
        <v>0</v>
      </c>
      <c r="AI713" s="9">
        <f>IFERROR(VLOOKUP($A713,pivot!$A:$I,計算式2026!AI$1,FALSE),0)</f>
        <v>1</v>
      </c>
      <c r="AJ713" s="9">
        <f>IFERROR(VLOOKUP($A713,pivot!$A:$I,計算式2026!AJ$1,FALSE),0)</f>
        <v>0</v>
      </c>
      <c r="AK713" s="9">
        <f>IFERROR(VLOOKUP($A713,pivot!$A:$I,計算式2026!AK$1,FALSE),0)</f>
        <v>0</v>
      </c>
      <c r="AL713" s="9">
        <f>IFERROR(VLOOKUP($A713,pivot!$A:$I,計算式2026!AL$1,FALSE),0)</f>
        <v>0</v>
      </c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</row>
    <row r="714" spans="1:59" s="9" customFormat="1">
      <c r="A714" s="8" t="s">
        <v>2071</v>
      </c>
      <c r="B714" s="8" t="s">
        <v>2072</v>
      </c>
      <c r="C714" s="9">
        <v>1</v>
      </c>
      <c r="D714" s="9">
        <v>7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R714" s="9">
        <v>4</v>
      </c>
      <c r="S714" s="9">
        <v>4</v>
      </c>
      <c r="T714" s="9">
        <v>1</v>
      </c>
      <c r="U714" s="9">
        <v>0</v>
      </c>
      <c r="V714" s="9">
        <v>4</v>
      </c>
      <c r="W714" s="9">
        <v>0</v>
      </c>
      <c r="X714" s="9">
        <v>3</v>
      </c>
      <c r="AE714" s="9">
        <f>IFERROR(VLOOKUP($A714,pivot!$A:$G,計算式2026!AE$1,FALSE),0)</f>
        <v>0</v>
      </c>
      <c r="AF714" s="9">
        <f>IFERROR(VLOOKUP($A714,pivot!$A:$I,計算式2026!AF$1,FALSE),0)</f>
        <v>0</v>
      </c>
      <c r="AI714" s="9">
        <f>IFERROR(VLOOKUP($A714,pivot!$A:$I,計算式2026!AI$1,FALSE),0)</f>
        <v>0</v>
      </c>
      <c r="AJ714" s="9">
        <f>IFERROR(VLOOKUP($A714,pivot!$A:$I,計算式2026!AJ$1,FALSE),0)</f>
        <v>0</v>
      </c>
      <c r="AK714" s="9">
        <f>IFERROR(VLOOKUP($A714,pivot!$A:$I,計算式2026!AK$1,FALSE),0)</f>
        <v>0</v>
      </c>
      <c r="AL714" s="9">
        <f>IFERROR(VLOOKUP($A714,pivot!$A:$I,計算式2026!AL$1,FALSE),0)</f>
        <v>0</v>
      </c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</row>
    <row r="715" spans="1:59" s="9" customFormat="1">
      <c r="A715" s="8" t="s">
        <v>2073</v>
      </c>
      <c r="B715" s="8" t="s">
        <v>2074</v>
      </c>
      <c r="C715" s="9">
        <v>0</v>
      </c>
      <c r="D715" s="9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R715" s="9">
        <v>1</v>
      </c>
      <c r="S715" s="9">
        <v>2</v>
      </c>
      <c r="T715" s="9">
        <v>1</v>
      </c>
      <c r="U715" s="9">
        <v>0</v>
      </c>
      <c r="V715" s="9">
        <v>0</v>
      </c>
      <c r="W715" s="9">
        <v>0</v>
      </c>
      <c r="X715" s="9">
        <v>1</v>
      </c>
      <c r="AE715" s="9">
        <f>IFERROR(VLOOKUP($A715,pivot!$A:$G,計算式2026!AE$1,FALSE),0)</f>
        <v>0</v>
      </c>
      <c r="AF715" s="9">
        <f>IFERROR(VLOOKUP($A715,pivot!$A:$I,計算式2026!AF$1,FALSE),0)</f>
        <v>0</v>
      </c>
      <c r="AI715" s="9">
        <f>IFERROR(VLOOKUP($A715,pivot!$A:$I,計算式2026!AI$1,FALSE),0)</f>
        <v>0</v>
      </c>
      <c r="AJ715" s="9">
        <f>IFERROR(VLOOKUP($A715,pivot!$A:$I,計算式2026!AJ$1,FALSE),0)</f>
        <v>0</v>
      </c>
      <c r="AK715" s="9">
        <f>IFERROR(VLOOKUP($A715,pivot!$A:$I,計算式2026!AK$1,FALSE),0)</f>
        <v>0</v>
      </c>
      <c r="AL715" s="9">
        <f>IFERROR(VLOOKUP($A715,pivot!$A:$I,計算式2026!AL$1,FALSE),0)</f>
        <v>0</v>
      </c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</row>
    <row r="716" spans="1:59" s="9" customFormat="1">
      <c r="A716" s="8" t="s">
        <v>2739</v>
      </c>
      <c r="B716" s="8" t="s">
        <v>2740</v>
      </c>
      <c r="C716" s="9">
        <v>0</v>
      </c>
      <c r="D716" s="9">
        <v>11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R716" s="9">
        <v>2</v>
      </c>
      <c r="S716" s="9">
        <v>3</v>
      </c>
      <c r="T716" s="9">
        <v>0</v>
      </c>
      <c r="U716" s="9">
        <v>0</v>
      </c>
      <c r="V716" s="9">
        <v>3</v>
      </c>
      <c r="W716" s="9">
        <v>0</v>
      </c>
      <c r="X716" s="9">
        <v>3</v>
      </c>
      <c r="AE716" s="9">
        <f>IFERROR(VLOOKUP($A716,pivot!$A:$G,計算式2026!AE$1,FALSE),0)</f>
        <v>0</v>
      </c>
      <c r="AF716" s="9">
        <f>IFERROR(VLOOKUP($A716,pivot!$A:$I,計算式2026!AF$1,FALSE),0)</f>
        <v>0</v>
      </c>
      <c r="AI716" s="9">
        <f>IFERROR(VLOOKUP($A716,pivot!$A:$I,計算式2026!AI$1,FALSE),0)</f>
        <v>0</v>
      </c>
      <c r="AJ716" s="9">
        <f>IFERROR(VLOOKUP($A716,pivot!$A:$I,計算式2026!AJ$1,FALSE),0)</f>
        <v>0</v>
      </c>
      <c r="AK716" s="9">
        <f>IFERROR(VLOOKUP($A716,pivot!$A:$I,計算式2026!AK$1,FALSE),0)</f>
        <v>0</v>
      </c>
      <c r="AL716" s="9">
        <f>IFERROR(VLOOKUP($A716,pivot!$A:$I,計算式2026!AL$1,FALSE),0)</f>
        <v>0</v>
      </c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</row>
    <row r="717" spans="1:59" s="9" customFormat="1">
      <c r="A717" s="8" t="s">
        <v>452</v>
      </c>
      <c r="B717" s="8" t="s">
        <v>453</v>
      </c>
      <c r="C717" s="9">
        <v>15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R717" s="9">
        <v>0</v>
      </c>
      <c r="S717" s="9">
        <v>0</v>
      </c>
      <c r="T717" s="9">
        <v>1</v>
      </c>
      <c r="U717" s="9">
        <v>0</v>
      </c>
      <c r="V717" s="9">
        <v>1</v>
      </c>
      <c r="W717" s="9">
        <v>1</v>
      </c>
      <c r="X717" s="9">
        <v>1</v>
      </c>
      <c r="AE717" s="9">
        <f>IFERROR(VLOOKUP($A717,pivot!$A:$G,計算式2026!AE$1,FALSE),0)</f>
        <v>0</v>
      </c>
      <c r="AF717" s="9">
        <f>IFERROR(VLOOKUP($A717,pivot!$A:$I,計算式2026!AF$1,FALSE),0)</f>
        <v>0</v>
      </c>
      <c r="AI717" s="9">
        <f>IFERROR(VLOOKUP($A717,pivot!$A:$I,計算式2026!AI$1,FALSE),0)</f>
        <v>0</v>
      </c>
      <c r="AJ717" s="9">
        <f>IFERROR(VLOOKUP($A717,pivot!$A:$I,計算式2026!AJ$1,FALSE),0)</f>
        <v>0</v>
      </c>
      <c r="AK717" s="9">
        <f>IFERROR(VLOOKUP($A717,pivot!$A:$I,計算式2026!AK$1,FALSE),0)</f>
        <v>0</v>
      </c>
      <c r="AL717" s="9">
        <f>IFERROR(VLOOKUP($A717,pivot!$A:$I,計算式2026!AL$1,FALSE),0)</f>
        <v>0</v>
      </c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</row>
    <row r="718" spans="1:59" s="9" customFormat="1">
      <c r="A718" s="8" t="s">
        <v>454</v>
      </c>
      <c r="B718" s="8" t="s">
        <v>453</v>
      </c>
      <c r="C718" s="9">
        <v>12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R718" s="9">
        <v>0</v>
      </c>
      <c r="S718" s="9">
        <v>0</v>
      </c>
      <c r="T718" s="9">
        <v>1</v>
      </c>
      <c r="U718" s="9">
        <v>0</v>
      </c>
      <c r="V718" s="9">
        <v>0</v>
      </c>
      <c r="W718" s="9">
        <v>1</v>
      </c>
      <c r="X718" s="9">
        <v>1</v>
      </c>
      <c r="AE718" s="9">
        <f>IFERROR(VLOOKUP($A718,pivot!$A:$G,計算式2026!AE$1,FALSE),0)</f>
        <v>0</v>
      </c>
      <c r="AF718" s="9">
        <f>IFERROR(VLOOKUP($A718,pivot!$A:$I,計算式2026!AF$1,FALSE),0)</f>
        <v>0</v>
      </c>
      <c r="AI718" s="9">
        <f>IFERROR(VLOOKUP($A718,pivot!$A:$I,計算式2026!AI$1,FALSE),0)</f>
        <v>0</v>
      </c>
      <c r="AJ718" s="9">
        <f>IFERROR(VLOOKUP($A718,pivot!$A:$I,計算式2026!AJ$1,FALSE),0)</f>
        <v>0</v>
      </c>
      <c r="AK718" s="9">
        <f>IFERROR(VLOOKUP($A718,pivot!$A:$I,計算式2026!AK$1,FALSE),0)</f>
        <v>0</v>
      </c>
      <c r="AL718" s="9">
        <f>IFERROR(VLOOKUP($A718,pivot!$A:$I,計算式2026!AL$1,FALSE),0)</f>
        <v>0</v>
      </c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</row>
    <row r="719" spans="1:59" s="9" customFormat="1">
      <c r="A719" s="8" t="s">
        <v>455</v>
      </c>
      <c r="B719" s="8" t="s">
        <v>456</v>
      </c>
      <c r="C719" s="9">
        <v>47</v>
      </c>
      <c r="D719" s="9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R719" s="9">
        <v>1</v>
      </c>
      <c r="S719" s="9">
        <v>0</v>
      </c>
      <c r="T719" s="9">
        <v>1</v>
      </c>
      <c r="U719" s="9">
        <v>0</v>
      </c>
      <c r="V719" s="9">
        <v>0</v>
      </c>
      <c r="W719" s="9">
        <v>1</v>
      </c>
      <c r="X719" s="9">
        <v>1</v>
      </c>
      <c r="AE719" s="9">
        <f>IFERROR(VLOOKUP($A719,pivot!$A:$G,計算式2026!AE$1,FALSE),0)</f>
        <v>0</v>
      </c>
      <c r="AF719" s="9">
        <f>IFERROR(VLOOKUP($A719,pivot!$A:$I,計算式2026!AF$1,FALSE),0)</f>
        <v>0</v>
      </c>
      <c r="AI719" s="9">
        <f>IFERROR(VLOOKUP($A719,pivot!$A:$I,計算式2026!AI$1,FALSE),0)</f>
        <v>0</v>
      </c>
      <c r="AJ719" s="9">
        <f>IFERROR(VLOOKUP($A719,pivot!$A:$I,計算式2026!AJ$1,FALSE),0)</f>
        <v>0</v>
      </c>
      <c r="AK719" s="9">
        <f>IFERROR(VLOOKUP($A719,pivot!$A:$I,計算式2026!AK$1,FALSE),0)</f>
        <v>0</v>
      </c>
      <c r="AL719" s="9">
        <f>IFERROR(VLOOKUP($A719,pivot!$A:$I,計算式2026!AL$1,FALSE),0)</f>
        <v>0</v>
      </c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</row>
    <row r="720" spans="1:59" s="9" customFormat="1">
      <c r="A720" s="8" t="s">
        <v>457</v>
      </c>
      <c r="B720" s="8" t="s">
        <v>456</v>
      </c>
      <c r="C720" s="9">
        <v>28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R720" s="9">
        <v>1</v>
      </c>
      <c r="S720" s="9">
        <v>0</v>
      </c>
      <c r="T720" s="9">
        <v>1</v>
      </c>
      <c r="U720" s="9">
        <v>0</v>
      </c>
      <c r="V720" s="9">
        <v>0</v>
      </c>
      <c r="W720" s="9">
        <v>1</v>
      </c>
      <c r="X720" s="9">
        <v>1</v>
      </c>
      <c r="AE720" s="9">
        <f>IFERROR(VLOOKUP($A720,pivot!$A:$G,計算式2026!AE$1,FALSE),0)</f>
        <v>0</v>
      </c>
      <c r="AF720" s="9">
        <f>IFERROR(VLOOKUP($A720,pivot!$A:$I,計算式2026!AF$1,FALSE),0)</f>
        <v>0</v>
      </c>
      <c r="AI720" s="9">
        <f>IFERROR(VLOOKUP($A720,pivot!$A:$I,計算式2026!AI$1,FALSE),0)</f>
        <v>0</v>
      </c>
      <c r="AJ720" s="9">
        <f>IFERROR(VLOOKUP($A720,pivot!$A:$I,計算式2026!AJ$1,FALSE),0)</f>
        <v>0</v>
      </c>
      <c r="AK720" s="9">
        <f>IFERROR(VLOOKUP($A720,pivot!$A:$I,計算式2026!AK$1,FALSE),0)</f>
        <v>0</v>
      </c>
      <c r="AL720" s="9">
        <f>IFERROR(VLOOKUP($A720,pivot!$A:$I,計算式2026!AL$1,FALSE),0)</f>
        <v>0</v>
      </c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</row>
    <row r="721" spans="1:59" s="9" customFormat="1">
      <c r="A721" s="8" t="s">
        <v>458</v>
      </c>
      <c r="B721" s="8" t="s">
        <v>456</v>
      </c>
      <c r="C721" s="9">
        <v>83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R721" s="9">
        <v>1</v>
      </c>
      <c r="S721" s="9">
        <v>0</v>
      </c>
      <c r="T721" s="9">
        <v>1</v>
      </c>
      <c r="U721" s="9">
        <v>0</v>
      </c>
      <c r="V721" s="9">
        <v>0</v>
      </c>
      <c r="W721" s="9">
        <v>1</v>
      </c>
      <c r="X721" s="9">
        <v>1</v>
      </c>
      <c r="AE721" s="9">
        <f>IFERROR(VLOOKUP($A721,pivot!$A:$G,計算式2026!AE$1,FALSE),0)</f>
        <v>0</v>
      </c>
      <c r="AF721" s="9">
        <f>IFERROR(VLOOKUP($A721,pivot!$A:$I,計算式2026!AF$1,FALSE),0)</f>
        <v>0</v>
      </c>
      <c r="AI721" s="9">
        <f>IFERROR(VLOOKUP($A721,pivot!$A:$I,計算式2026!AI$1,FALSE),0)</f>
        <v>0</v>
      </c>
      <c r="AJ721" s="9">
        <f>IFERROR(VLOOKUP($A721,pivot!$A:$I,計算式2026!AJ$1,FALSE),0)</f>
        <v>0</v>
      </c>
      <c r="AK721" s="9">
        <f>IFERROR(VLOOKUP($A721,pivot!$A:$I,計算式2026!AK$1,FALSE),0)</f>
        <v>0</v>
      </c>
      <c r="AL721" s="9">
        <f>IFERROR(VLOOKUP($A721,pivot!$A:$I,計算式2026!AL$1,FALSE),0)</f>
        <v>0</v>
      </c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</row>
    <row r="722" spans="1:59" s="9" customFormat="1">
      <c r="A722" s="8" t="s">
        <v>459</v>
      </c>
      <c r="B722" s="8" t="s">
        <v>456</v>
      </c>
      <c r="C722" s="9">
        <v>31</v>
      </c>
      <c r="D722" s="9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R722" s="9">
        <v>0</v>
      </c>
      <c r="S722" s="9">
        <v>0</v>
      </c>
      <c r="T722" s="9">
        <v>2</v>
      </c>
      <c r="U722" s="9">
        <v>0</v>
      </c>
      <c r="V722" s="9">
        <v>0</v>
      </c>
      <c r="W722" s="9">
        <v>1</v>
      </c>
      <c r="X722" s="9">
        <v>1</v>
      </c>
      <c r="AE722" s="9">
        <f>IFERROR(VLOOKUP($A722,pivot!$A:$G,計算式2026!AE$1,FALSE),0)</f>
        <v>0</v>
      </c>
      <c r="AF722" s="9">
        <f>IFERROR(VLOOKUP($A722,pivot!$A:$I,計算式2026!AF$1,FALSE),0)</f>
        <v>0</v>
      </c>
      <c r="AI722" s="9">
        <f>IFERROR(VLOOKUP($A722,pivot!$A:$I,計算式2026!AI$1,FALSE),0)</f>
        <v>0</v>
      </c>
      <c r="AJ722" s="9">
        <f>IFERROR(VLOOKUP($A722,pivot!$A:$I,計算式2026!AJ$1,FALSE),0)</f>
        <v>0</v>
      </c>
      <c r="AK722" s="9">
        <f>IFERROR(VLOOKUP($A722,pivot!$A:$I,計算式2026!AK$1,FALSE),0)</f>
        <v>0</v>
      </c>
      <c r="AL722" s="9">
        <f>IFERROR(VLOOKUP($A722,pivot!$A:$I,計算式2026!AL$1,FALSE),0)</f>
        <v>0</v>
      </c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</row>
    <row r="723" spans="1:59" s="9" customFormat="1">
      <c r="A723" s="8" t="s">
        <v>2075</v>
      </c>
      <c r="B723" s="8" t="s">
        <v>456</v>
      </c>
      <c r="C723" s="9">
        <v>0</v>
      </c>
      <c r="D723" s="9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R723" s="9">
        <v>0</v>
      </c>
      <c r="S723" s="9">
        <v>0</v>
      </c>
      <c r="T723" s="9">
        <v>1</v>
      </c>
      <c r="U723" s="9">
        <v>0</v>
      </c>
      <c r="V723" s="9">
        <v>0</v>
      </c>
      <c r="W723" s="9">
        <v>1</v>
      </c>
      <c r="X723" s="9">
        <v>1</v>
      </c>
      <c r="AE723" s="9">
        <f>IFERROR(VLOOKUP($A723,pivot!$A:$G,計算式2026!AE$1,FALSE),0)</f>
        <v>0</v>
      </c>
      <c r="AF723" s="9">
        <f>IFERROR(VLOOKUP($A723,pivot!$A:$I,計算式2026!AF$1,FALSE),0)</f>
        <v>0</v>
      </c>
      <c r="AI723" s="9">
        <f>IFERROR(VLOOKUP($A723,pivot!$A:$I,計算式2026!AI$1,FALSE),0)</f>
        <v>0</v>
      </c>
      <c r="AJ723" s="9">
        <f>IFERROR(VLOOKUP($A723,pivot!$A:$I,計算式2026!AJ$1,FALSE),0)</f>
        <v>0</v>
      </c>
      <c r="AK723" s="9">
        <f>IFERROR(VLOOKUP($A723,pivot!$A:$I,計算式2026!AK$1,FALSE),0)</f>
        <v>0</v>
      </c>
      <c r="AL723" s="9">
        <f>IFERROR(VLOOKUP($A723,pivot!$A:$I,計算式2026!AL$1,FALSE),0)</f>
        <v>0</v>
      </c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</row>
    <row r="724" spans="1:59" s="9" customFormat="1">
      <c r="A724" s="8" t="s">
        <v>2741</v>
      </c>
      <c r="B724" s="8" t="s">
        <v>456</v>
      </c>
      <c r="C724" s="9">
        <v>3</v>
      </c>
      <c r="D724" s="9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AE724" s="9">
        <f>IFERROR(VLOOKUP($A724,pivot!$A:$G,計算式2026!AE$1,FALSE),0)</f>
        <v>0</v>
      </c>
      <c r="AF724" s="9">
        <f>IFERROR(VLOOKUP($A724,pivot!$A:$I,計算式2026!AF$1,FALSE),0)</f>
        <v>0</v>
      </c>
      <c r="AI724" s="9">
        <f>IFERROR(VLOOKUP($A724,pivot!$A:$I,計算式2026!AI$1,FALSE),0)</f>
        <v>0</v>
      </c>
      <c r="AJ724" s="9">
        <f>IFERROR(VLOOKUP($A724,pivot!$A:$I,計算式2026!AJ$1,FALSE),0)</f>
        <v>0</v>
      </c>
      <c r="AK724" s="9">
        <f>IFERROR(VLOOKUP($A724,pivot!$A:$I,計算式2026!AK$1,FALSE),0)</f>
        <v>0</v>
      </c>
      <c r="AL724" s="9">
        <f>IFERROR(VLOOKUP($A724,pivot!$A:$I,計算式2026!AL$1,FALSE),0)</f>
        <v>0</v>
      </c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</row>
    <row r="725" spans="1:59" s="9" customFormat="1">
      <c r="A725" s="8" t="s">
        <v>460</v>
      </c>
      <c r="B725" s="8" t="s">
        <v>456</v>
      </c>
      <c r="C725" s="9">
        <v>85</v>
      </c>
      <c r="D725" s="9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R725" s="9">
        <v>1</v>
      </c>
      <c r="S725" s="9">
        <v>0</v>
      </c>
      <c r="T725" s="9">
        <v>1</v>
      </c>
      <c r="U725" s="9">
        <v>0</v>
      </c>
      <c r="V725" s="9">
        <v>0</v>
      </c>
      <c r="W725" s="9">
        <v>1</v>
      </c>
      <c r="X725" s="9">
        <v>1</v>
      </c>
      <c r="AE725" s="9">
        <f>IFERROR(VLOOKUP($A725,pivot!$A:$G,計算式2026!AE$1,FALSE),0)</f>
        <v>0</v>
      </c>
      <c r="AF725" s="9">
        <f>IFERROR(VLOOKUP($A725,pivot!$A:$I,計算式2026!AF$1,FALSE),0)</f>
        <v>0</v>
      </c>
      <c r="AI725" s="9">
        <f>IFERROR(VLOOKUP($A725,pivot!$A:$I,計算式2026!AI$1,FALSE),0)</f>
        <v>0</v>
      </c>
      <c r="AJ725" s="9">
        <f>IFERROR(VLOOKUP($A725,pivot!$A:$I,計算式2026!AJ$1,FALSE),0)</f>
        <v>0</v>
      </c>
      <c r="AK725" s="9">
        <f>IFERROR(VLOOKUP($A725,pivot!$A:$I,計算式2026!AK$1,FALSE),0)</f>
        <v>0</v>
      </c>
      <c r="AL725" s="9">
        <f>IFERROR(VLOOKUP($A725,pivot!$A:$I,計算式2026!AL$1,FALSE),0)</f>
        <v>0</v>
      </c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</row>
    <row r="726" spans="1:59" s="9" customFormat="1">
      <c r="A726" s="8" t="s">
        <v>2076</v>
      </c>
      <c r="B726" s="8" t="s">
        <v>456</v>
      </c>
      <c r="C726" s="9">
        <v>4</v>
      </c>
      <c r="D726" s="9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1</v>
      </c>
      <c r="AE726" s="9">
        <f>IFERROR(VLOOKUP($A726,pivot!$A:$G,計算式2026!AE$1,FALSE),0)</f>
        <v>0</v>
      </c>
      <c r="AF726" s="9">
        <f>IFERROR(VLOOKUP($A726,pivot!$A:$I,計算式2026!AF$1,FALSE),0)</f>
        <v>0</v>
      </c>
      <c r="AI726" s="9">
        <f>IFERROR(VLOOKUP($A726,pivot!$A:$I,計算式2026!AI$1,FALSE),0)</f>
        <v>0</v>
      </c>
      <c r="AJ726" s="9">
        <f>IFERROR(VLOOKUP($A726,pivot!$A:$I,計算式2026!AJ$1,FALSE),0)</f>
        <v>0</v>
      </c>
      <c r="AK726" s="9">
        <f>IFERROR(VLOOKUP($A726,pivot!$A:$I,計算式2026!AK$1,FALSE),0)</f>
        <v>0</v>
      </c>
      <c r="AL726" s="9">
        <f>IFERROR(VLOOKUP($A726,pivot!$A:$I,計算式2026!AL$1,FALSE),0)</f>
        <v>0</v>
      </c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</row>
    <row r="727" spans="1:59" s="9" customFormat="1">
      <c r="A727" s="8" t="s">
        <v>461</v>
      </c>
      <c r="B727" s="8" t="s">
        <v>456</v>
      </c>
      <c r="C727" s="9">
        <v>36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R727" s="9">
        <v>0</v>
      </c>
      <c r="S727" s="9">
        <v>0</v>
      </c>
      <c r="T727" s="9">
        <v>1</v>
      </c>
      <c r="U727" s="9">
        <v>0</v>
      </c>
      <c r="V727" s="9">
        <v>0</v>
      </c>
      <c r="W727" s="9">
        <v>1</v>
      </c>
      <c r="X727" s="9">
        <v>1</v>
      </c>
      <c r="AE727" s="9">
        <f>IFERROR(VLOOKUP($A727,pivot!$A:$G,計算式2026!AE$1,FALSE),0)</f>
        <v>0</v>
      </c>
      <c r="AF727" s="9">
        <f>IFERROR(VLOOKUP($A727,pivot!$A:$I,計算式2026!AF$1,FALSE),0)</f>
        <v>0</v>
      </c>
      <c r="AI727" s="9">
        <f>IFERROR(VLOOKUP($A727,pivot!$A:$I,計算式2026!AI$1,FALSE),0)</f>
        <v>0</v>
      </c>
      <c r="AJ727" s="9">
        <f>IFERROR(VLOOKUP($A727,pivot!$A:$I,計算式2026!AJ$1,FALSE),0)</f>
        <v>0</v>
      </c>
      <c r="AK727" s="9">
        <f>IFERROR(VLOOKUP($A727,pivot!$A:$I,計算式2026!AK$1,FALSE),0)</f>
        <v>0</v>
      </c>
      <c r="AL727" s="9">
        <f>IFERROR(VLOOKUP($A727,pivot!$A:$I,計算式2026!AL$1,FALSE),0)</f>
        <v>0</v>
      </c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</row>
    <row r="728" spans="1:59" s="9" customFormat="1">
      <c r="A728" s="8" t="s">
        <v>462</v>
      </c>
      <c r="B728" s="8" t="s">
        <v>456</v>
      </c>
      <c r="C728" s="9">
        <v>69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R728" s="9">
        <v>1</v>
      </c>
      <c r="S728" s="9">
        <v>0</v>
      </c>
      <c r="T728" s="9">
        <v>1</v>
      </c>
      <c r="U728" s="9">
        <v>0</v>
      </c>
      <c r="V728" s="9">
        <v>0</v>
      </c>
      <c r="W728" s="9">
        <v>1</v>
      </c>
      <c r="X728" s="9">
        <v>2</v>
      </c>
      <c r="AE728" s="9">
        <f>IFERROR(VLOOKUP($A728,pivot!$A:$G,計算式2026!AE$1,FALSE),0)</f>
        <v>0</v>
      </c>
      <c r="AF728" s="9">
        <f>IFERROR(VLOOKUP($A728,pivot!$A:$I,計算式2026!AF$1,FALSE),0)</f>
        <v>0</v>
      </c>
      <c r="AI728" s="9">
        <f>IFERROR(VLOOKUP($A728,pivot!$A:$I,計算式2026!AI$1,FALSE),0)</f>
        <v>0</v>
      </c>
      <c r="AJ728" s="9">
        <f>IFERROR(VLOOKUP($A728,pivot!$A:$I,計算式2026!AJ$1,FALSE),0)</f>
        <v>0</v>
      </c>
      <c r="AK728" s="9">
        <f>IFERROR(VLOOKUP($A728,pivot!$A:$I,計算式2026!AK$1,FALSE),0)</f>
        <v>0</v>
      </c>
      <c r="AL728" s="9">
        <f>IFERROR(VLOOKUP($A728,pivot!$A:$I,計算式2026!AL$1,FALSE),0)</f>
        <v>0</v>
      </c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</row>
    <row r="729" spans="1:59" s="9" customFormat="1">
      <c r="A729" s="8" t="s">
        <v>2077</v>
      </c>
      <c r="B729" s="8" t="s">
        <v>464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R729" s="9">
        <v>0</v>
      </c>
      <c r="S729" s="9">
        <v>2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AE729" s="9">
        <f>IFERROR(VLOOKUP($A729,pivot!$A:$G,計算式2026!AE$1,FALSE),0)</f>
        <v>0</v>
      </c>
      <c r="AF729" s="9">
        <f>IFERROR(VLOOKUP($A729,pivot!$A:$I,計算式2026!AF$1,FALSE),0)</f>
        <v>0</v>
      </c>
      <c r="AI729" s="9">
        <f>IFERROR(VLOOKUP($A729,pivot!$A:$I,計算式2026!AI$1,FALSE),0)</f>
        <v>0</v>
      </c>
      <c r="AJ729" s="9">
        <f>IFERROR(VLOOKUP($A729,pivot!$A:$I,計算式2026!AJ$1,FALSE),0)</f>
        <v>0</v>
      </c>
      <c r="AK729" s="9">
        <f>IFERROR(VLOOKUP($A729,pivot!$A:$I,計算式2026!AK$1,FALSE),0)</f>
        <v>0</v>
      </c>
      <c r="AL729" s="9">
        <f>IFERROR(VLOOKUP($A729,pivot!$A:$I,計算式2026!AL$1,FALSE),0)</f>
        <v>0</v>
      </c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</row>
    <row r="730" spans="1:59" s="9" customFormat="1">
      <c r="A730" s="8" t="s">
        <v>2078</v>
      </c>
      <c r="B730" s="8" t="s">
        <v>464</v>
      </c>
      <c r="C730" s="9">
        <v>0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R730" s="9">
        <v>1</v>
      </c>
      <c r="S730" s="9">
        <v>3</v>
      </c>
      <c r="T730" s="9">
        <v>0</v>
      </c>
      <c r="U730" s="9">
        <v>0</v>
      </c>
      <c r="V730" s="9">
        <v>3</v>
      </c>
      <c r="W730" s="9">
        <v>0</v>
      </c>
      <c r="X730" s="9">
        <v>1</v>
      </c>
      <c r="AE730" s="9">
        <f>IFERROR(VLOOKUP($A730,pivot!$A:$G,計算式2026!AE$1,FALSE),0)</f>
        <v>0</v>
      </c>
      <c r="AF730" s="9">
        <f>IFERROR(VLOOKUP($A730,pivot!$A:$I,計算式2026!AF$1,FALSE),0)</f>
        <v>0</v>
      </c>
      <c r="AI730" s="9">
        <f>IFERROR(VLOOKUP($A730,pivot!$A:$I,計算式2026!AI$1,FALSE),0)</f>
        <v>0</v>
      </c>
      <c r="AJ730" s="9">
        <f>IFERROR(VLOOKUP($A730,pivot!$A:$I,計算式2026!AJ$1,FALSE),0)</f>
        <v>0</v>
      </c>
      <c r="AK730" s="9">
        <f>IFERROR(VLOOKUP($A730,pivot!$A:$I,計算式2026!AK$1,FALSE),0)</f>
        <v>0</v>
      </c>
      <c r="AL730" s="9">
        <f>IFERROR(VLOOKUP($A730,pivot!$A:$I,計算式2026!AL$1,FALSE),0)</f>
        <v>0</v>
      </c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</row>
    <row r="731" spans="1:59" s="9" customFormat="1">
      <c r="A731" s="8" t="s">
        <v>463</v>
      </c>
      <c r="B731" s="8" t="s">
        <v>464</v>
      </c>
      <c r="C731" s="9">
        <v>0</v>
      </c>
      <c r="D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R731" s="9">
        <v>2</v>
      </c>
      <c r="S731" s="9">
        <v>0</v>
      </c>
      <c r="T731" s="9">
        <v>0</v>
      </c>
      <c r="U731" s="9">
        <v>0</v>
      </c>
      <c r="V731" s="9">
        <v>1</v>
      </c>
      <c r="W731" s="9">
        <v>0</v>
      </c>
      <c r="X731" s="9">
        <v>0</v>
      </c>
      <c r="AE731" s="9">
        <f>IFERROR(VLOOKUP($A731,pivot!$A:$G,計算式2026!AE$1,FALSE),0)</f>
        <v>0</v>
      </c>
      <c r="AF731" s="9">
        <f>IFERROR(VLOOKUP($A731,pivot!$A:$I,計算式2026!AF$1,FALSE),0)</f>
        <v>0</v>
      </c>
      <c r="AI731" s="9">
        <f>IFERROR(VLOOKUP($A731,pivot!$A:$I,計算式2026!AI$1,FALSE),0)</f>
        <v>0</v>
      </c>
      <c r="AJ731" s="9">
        <f>IFERROR(VLOOKUP($A731,pivot!$A:$I,計算式2026!AJ$1,FALSE),0)</f>
        <v>0</v>
      </c>
      <c r="AK731" s="9">
        <f>IFERROR(VLOOKUP($A731,pivot!$A:$I,計算式2026!AK$1,FALSE),0)</f>
        <v>0</v>
      </c>
      <c r="AL731" s="9">
        <f>IFERROR(VLOOKUP($A731,pivot!$A:$I,計算式2026!AL$1,FALSE),0)</f>
        <v>0</v>
      </c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</row>
    <row r="732" spans="1:59" s="9" customFormat="1">
      <c r="A732" s="8" t="s">
        <v>2634</v>
      </c>
      <c r="B732" s="8" t="s">
        <v>464</v>
      </c>
      <c r="C732" s="9">
        <v>0</v>
      </c>
      <c r="D732" s="9">
        <v>2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R732" s="9">
        <v>2</v>
      </c>
      <c r="S732" s="9">
        <v>4</v>
      </c>
      <c r="T732" s="9">
        <v>2</v>
      </c>
      <c r="U732" s="9">
        <v>3</v>
      </c>
      <c r="V732" s="9">
        <v>3</v>
      </c>
      <c r="W732" s="9">
        <v>1</v>
      </c>
      <c r="X732" s="9">
        <v>1</v>
      </c>
      <c r="AE732" s="9">
        <f>IFERROR(VLOOKUP($A732,pivot!$A:$G,計算式2026!AE$1,FALSE),0)</f>
        <v>0</v>
      </c>
      <c r="AF732" s="9">
        <f>IFERROR(VLOOKUP($A732,pivot!$A:$I,計算式2026!AF$1,FALSE),0)</f>
        <v>0</v>
      </c>
      <c r="AI732" s="9">
        <f>IFERROR(VLOOKUP($A732,pivot!$A:$I,計算式2026!AI$1,FALSE),0)</f>
        <v>0</v>
      </c>
      <c r="AJ732" s="9">
        <f>IFERROR(VLOOKUP($A732,pivot!$A:$I,計算式2026!AJ$1,FALSE),0)</f>
        <v>0</v>
      </c>
      <c r="AK732" s="9">
        <f>IFERROR(VLOOKUP($A732,pivot!$A:$I,計算式2026!AK$1,FALSE),0)</f>
        <v>0</v>
      </c>
      <c r="AL732" s="9">
        <f>IFERROR(VLOOKUP($A732,pivot!$A:$I,計算式2026!AL$1,FALSE),0)</f>
        <v>0</v>
      </c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</row>
    <row r="733" spans="1:59" s="9" customFormat="1">
      <c r="A733" s="8" t="s">
        <v>2079</v>
      </c>
      <c r="B733" s="8" t="s">
        <v>464</v>
      </c>
      <c r="C733" s="9">
        <v>0</v>
      </c>
      <c r="D733" s="9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R733" s="9">
        <v>0</v>
      </c>
      <c r="S733" s="9">
        <v>3</v>
      </c>
      <c r="T733" s="9">
        <v>0</v>
      </c>
      <c r="U733" s="9">
        <v>2</v>
      </c>
      <c r="V733" s="9">
        <v>2</v>
      </c>
      <c r="W733" s="9">
        <v>0</v>
      </c>
      <c r="X733" s="9">
        <v>0</v>
      </c>
      <c r="AE733" s="9">
        <f>IFERROR(VLOOKUP($A733,pivot!$A:$G,計算式2026!AE$1,FALSE),0)</f>
        <v>0</v>
      </c>
      <c r="AF733" s="9">
        <f>IFERROR(VLOOKUP($A733,pivot!$A:$I,計算式2026!AF$1,FALSE),0)</f>
        <v>0</v>
      </c>
      <c r="AI733" s="9">
        <f>IFERROR(VLOOKUP($A733,pivot!$A:$I,計算式2026!AI$1,FALSE),0)</f>
        <v>0</v>
      </c>
      <c r="AJ733" s="9">
        <f>IFERROR(VLOOKUP($A733,pivot!$A:$I,計算式2026!AJ$1,FALSE),0)</f>
        <v>0</v>
      </c>
      <c r="AK733" s="9">
        <f>IFERROR(VLOOKUP($A733,pivot!$A:$I,計算式2026!AK$1,FALSE),0)</f>
        <v>0</v>
      </c>
      <c r="AL733" s="9">
        <f>IFERROR(VLOOKUP($A733,pivot!$A:$I,計算式2026!AL$1,FALSE),0)</f>
        <v>0</v>
      </c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</row>
    <row r="734" spans="1:59" s="9" customFormat="1">
      <c r="A734" s="8" t="s">
        <v>2080</v>
      </c>
      <c r="B734" s="8" t="s">
        <v>464</v>
      </c>
      <c r="C734" s="9">
        <v>2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R734" s="9">
        <v>2</v>
      </c>
      <c r="S734" s="9">
        <v>4</v>
      </c>
      <c r="T734" s="9">
        <v>1</v>
      </c>
      <c r="U734" s="9">
        <v>3</v>
      </c>
      <c r="V734" s="9">
        <v>3</v>
      </c>
      <c r="W734" s="9">
        <v>0</v>
      </c>
      <c r="X734" s="9">
        <v>2</v>
      </c>
      <c r="AE734" s="9">
        <f>IFERROR(VLOOKUP($A734,pivot!$A:$G,計算式2026!AE$1,FALSE),0)</f>
        <v>0</v>
      </c>
      <c r="AF734" s="9">
        <f>IFERROR(VLOOKUP($A734,pivot!$A:$I,計算式2026!AF$1,FALSE),0)</f>
        <v>0</v>
      </c>
      <c r="AI734" s="9">
        <f>IFERROR(VLOOKUP($A734,pivot!$A:$I,計算式2026!AI$1,FALSE),0)</f>
        <v>0</v>
      </c>
      <c r="AJ734" s="9">
        <f>IFERROR(VLOOKUP($A734,pivot!$A:$I,計算式2026!AJ$1,FALSE),0)</f>
        <v>0</v>
      </c>
      <c r="AK734" s="9">
        <f>IFERROR(VLOOKUP($A734,pivot!$A:$I,計算式2026!AK$1,FALSE),0)</f>
        <v>0</v>
      </c>
      <c r="AL734" s="9">
        <f>IFERROR(VLOOKUP($A734,pivot!$A:$I,計算式2026!AL$1,FALSE),0)</f>
        <v>0</v>
      </c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</row>
    <row r="735" spans="1:59" s="9" customFormat="1">
      <c r="A735" s="8" t="s">
        <v>465</v>
      </c>
      <c r="B735" s="8" t="s">
        <v>464</v>
      </c>
      <c r="C735" s="9">
        <v>0</v>
      </c>
      <c r="D735" s="9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R735" s="9">
        <v>2</v>
      </c>
      <c r="S735" s="9">
        <v>3</v>
      </c>
      <c r="T735" s="9">
        <v>1</v>
      </c>
      <c r="U735" s="9">
        <v>2</v>
      </c>
      <c r="V735" s="9">
        <v>2</v>
      </c>
      <c r="W735" s="9">
        <v>0</v>
      </c>
      <c r="X735" s="9">
        <v>1</v>
      </c>
      <c r="AE735" s="9">
        <f>IFERROR(VLOOKUP($A735,pivot!$A:$G,計算式2026!AE$1,FALSE),0)</f>
        <v>0</v>
      </c>
      <c r="AF735" s="9">
        <f>IFERROR(VLOOKUP($A735,pivot!$A:$I,計算式2026!AF$1,FALSE),0)</f>
        <v>0</v>
      </c>
      <c r="AI735" s="9">
        <f>IFERROR(VLOOKUP($A735,pivot!$A:$I,計算式2026!AI$1,FALSE),0)</f>
        <v>0</v>
      </c>
      <c r="AJ735" s="9">
        <f>IFERROR(VLOOKUP($A735,pivot!$A:$I,計算式2026!AJ$1,FALSE),0)</f>
        <v>0</v>
      </c>
      <c r="AK735" s="9">
        <f>IFERROR(VLOOKUP($A735,pivot!$A:$I,計算式2026!AK$1,FALSE),0)</f>
        <v>0</v>
      </c>
      <c r="AL735" s="9">
        <f>IFERROR(VLOOKUP($A735,pivot!$A:$I,計算式2026!AL$1,FALSE),0)</f>
        <v>0</v>
      </c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</row>
    <row r="736" spans="1:59" s="9" customFormat="1">
      <c r="A736" s="8" t="s">
        <v>466</v>
      </c>
      <c r="B736" s="8" t="s">
        <v>464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R736" s="9">
        <v>0</v>
      </c>
      <c r="S736" s="9">
        <v>2</v>
      </c>
      <c r="T736" s="9">
        <v>0</v>
      </c>
      <c r="U736" s="9">
        <v>0</v>
      </c>
      <c r="V736" s="9">
        <v>2</v>
      </c>
      <c r="W736" s="9">
        <v>0</v>
      </c>
      <c r="X736" s="9">
        <v>1</v>
      </c>
      <c r="AE736" s="9">
        <f>IFERROR(VLOOKUP($A736,pivot!$A:$G,計算式2026!AE$1,FALSE),0)</f>
        <v>0</v>
      </c>
      <c r="AF736" s="9">
        <f>IFERROR(VLOOKUP($A736,pivot!$A:$I,計算式2026!AF$1,FALSE),0)</f>
        <v>0</v>
      </c>
      <c r="AI736" s="9">
        <f>IFERROR(VLOOKUP($A736,pivot!$A:$I,計算式2026!AI$1,FALSE),0)</f>
        <v>0</v>
      </c>
      <c r="AJ736" s="9">
        <f>IFERROR(VLOOKUP($A736,pivot!$A:$I,計算式2026!AJ$1,FALSE),0)</f>
        <v>0</v>
      </c>
      <c r="AK736" s="9">
        <f>IFERROR(VLOOKUP($A736,pivot!$A:$I,計算式2026!AK$1,FALSE),0)</f>
        <v>0</v>
      </c>
      <c r="AL736" s="9">
        <f>IFERROR(VLOOKUP($A736,pivot!$A:$I,計算式2026!AL$1,FALSE),0)</f>
        <v>0</v>
      </c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</row>
    <row r="737" spans="1:59" s="9" customFormat="1">
      <c r="A737" s="8" t="s">
        <v>467</v>
      </c>
      <c r="B737" s="8" t="s">
        <v>464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R737" s="9">
        <v>2</v>
      </c>
      <c r="S737" s="9">
        <v>2</v>
      </c>
      <c r="T737" s="9">
        <v>0</v>
      </c>
      <c r="U737" s="9">
        <v>1</v>
      </c>
      <c r="V737" s="9">
        <v>3</v>
      </c>
      <c r="W737" s="9">
        <v>0</v>
      </c>
      <c r="X737" s="9">
        <v>1</v>
      </c>
      <c r="AE737" s="9">
        <f>IFERROR(VLOOKUP($A737,pivot!$A:$G,計算式2026!AE$1,FALSE),0)</f>
        <v>0</v>
      </c>
      <c r="AF737" s="9">
        <f>IFERROR(VLOOKUP($A737,pivot!$A:$I,計算式2026!AF$1,FALSE),0)</f>
        <v>0</v>
      </c>
      <c r="AI737" s="9">
        <f>IFERROR(VLOOKUP($A737,pivot!$A:$I,計算式2026!AI$1,FALSE),0)</f>
        <v>0</v>
      </c>
      <c r="AJ737" s="9">
        <f>IFERROR(VLOOKUP($A737,pivot!$A:$I,計算式2026!AJ$1,FALSE),0)</f>
        <v>0</v>
      </c>
      <c r="AK737" s="9">
        <f>IFERROR(VLOOKUP($A737,pivot!$A:$I,計算式2026!AK$1,FALSE),0)</f>
        <v>0</v>
      </c>
      <c r="AL737" s="9">
        <f>IFERROR(VLOOKUP($A737,pivot!$A:$I,計算式2026!AL$1,FALSE),0)</f>
        <v>0</v>
      </c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</row>
    <row r="738" spans="1:59" s="9" customFormat="1">
      <c r="A738" s="8" t="s">
        <v>468</v>
      </c>
      <c r="B738" s="8" t="s">
        <v>464</v>
      </c>
      <c r="C738" s="9">
        <v>0</v>
      </c>
      <c r="D738" s="9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R738" s="9">
        <v>0</v>
      </c>
      <c r="S738" s="9">
        <v>0</v>
      </c>
      <c r="T738" s="9">
        <v>1</v>
      </c>
      <c r="U738" s="9">
        <v>0</v>
      </c>
      <c r="V738" s="9">
        <v>2</v>
      </c>
      <c r="W738" s="9">
        <v>1</v>
      </c>
      <c r="X738" s="9">
        <v>1</v>
      </c>
      <c r="AE738" s="9">
        <f>IFERROR(VLOOKUP($A738,pivot!$A:$G,計算式2026!AE$1,FALSE),0)</f>
        <v>0</v>
      </c>
      <c r="AF738" s="9">
        <f>IFERROR(VLOOKUP($A738,pivot!$A:$I,計算式2026!AF$1,FALSE),0)</f>
        <v>0</v>
      </c>
      <c r="AI738" s="9">
        <f>IFERROR(VLOOKUP($A738,pivot!$A:$I,計算式2026!AI$1,FALSE),0)</f>
        <v>0</v>
      </c>
      <c r="AJ738" s="9">
        <f>IFERROR(VLOOKUP($A738,pivot!$A:$I,計算式2026!AJ$1,FALSE),0)</f>
        <v>0</v>
      </c>
      <c r="AK738" s="9">
        <f>IFERROR(VLOOKUP($A738,pivot!$A:$I,計算式2026!AK$1,FALSE),0)</f>
        <v>0</v>
      </c>
      <c r="AL738" s="9">
        <f>IFERROR(VLOOKUP($A738,pivot!$A:$I,計算式2026!AL$1,FALSE),0)</f>
        <v>0</v>
      </c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</row>
    <row r="739" spans="1:59" s="9" customFormat="1">
      <c r="A739" s="8" t="s">
        <v>469</v>
      </c>
      <c r="B739" s="8" t="s">
        <v>464</v>
      </c>
      <c r="C739" s="9">
        <v>0</v>
      </c>
      <c r="D739" s="9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R739" s="9">
        <v>1</v>
      </c>
      <c r="S739" s="9">
        <v>2</v>
      </c>
      <c r="T739" s="9">
        <v>1</v>
      </c>
      <c r="U739" s="9">
        <v>1</v>
      </c>
      <c r="V739" s="9">
        <v>4</v>
      </c>
      <c r="W739" s="9">
        <v>0</v>
      </c>
      <c r="X739" s="9">
        <v>0</v>
      </c>
      <c r="AE739" s="9">
        <f>IFERROR(VLOOKUP($A739,pivot!$A:$G,計算式2026!AE$1,FALSE),0)</f>
        <v>0</v>
      </c>
      <c r="AF739" s="9">
        <f>IFERROR(VLOOKUP($A739,pivot!$A:$I,計算式2026!AF$1,FALSE),0)</f>
        <v>0</v>
      </c>
      <c r="AI739" s="9">
        <f>IFERROR(VLOOKUP($A739,pivot!$A:$I,計算式2026!AI$1,FALSE),0)</f>
        <v>0</v>
      </c>
      <c r="AJ739" s="9">
        <f>IFERROR(VLOOKUP($A739,pivot!$A:$I,計算式2026!AJ$1,FALSE),0)</f>
        <v>0</v>
      </c>
      <c r="AK739" s="9">
        <f>IFERROR(VLOOKUP($A739,pivot!$A:$I,計算式2026!AK$1,FALSE),0)</f>
        <v>0</v>
      </c>
      <c r="AL739" s="9">
        <f>IFERROR(VLOOKUP($A739,pivot!$A:$I,計算式2026!AL$1,FALSE),0)</f>
        <v>0</v>
      </c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</row>
    <row r="740" spans="1:59" s="9" customFormat="1">
      <c r="A740" s="8" t="s">
        <v>470</v>
      </c>
      <c r="B740" s="8" t="s">
        <v>464</v>
      </c>
      <c r="C740" s="9">
        <v>1</v>
      </c>
      <c r="D740" s="9">
        <v>1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R740" s="9">
        <v>4</v>
      </c>
      <c r="S740" s="9">
        <v>3</v>
      </c>
      <c r="T740" s="9">
        <v>1</v>
      </c>
      <c r="U740" s="9">
        <v>3</v>
      </c>
      <c r="V740" s="9">
        <v>3</v>
      </c>
      <c r="W740" s="9">
        <v>3</v>
      </c>
      <c r="X740" s="9">
        <v>1</v>
      </c>
      <c r="AE740" s="9">
        <f>IFERROR(VLOOKUP($A740,pivot!$A:$G,計算式2026!AE$1,FALSE),0)</f>
        <v>0</v>
      </c>
      <c r="AF740" s="9">
        <f>IFERROR(VLOOKUP($A740,pivot!$A:$I,計算式2026!AF$1,FALSE),0)</f>
        <v>0</v>
      </c>
      <c r="AI740" s="9">
        <f>IFERROR(VLOOKUP($A740,pivot!$A:$I,計算式2026!AI$1,FALSE),0)</f>
        <v>0</v>
      </c>
      <c r="AJ740" s="9">
        <f>IFERROR(VLOOKUP($A740,pivot!$A:$I,計算式2026!AJ$1,FALSE),0)</f>
        <v>0</v>
      </c>
      <c r="AK740" s="9">
        <f>IFERROR(VLOOKUP($A740,pivot!$A:$I,計算式2026!AK$1,FALSE),0)</f>
        <v>0</v>
      </c>
      <c r="AL740" s="9">
        <f>IFERROR(VLOOKUP($A740,pivot!$A:$I,計算式2026!AL$1,FALSE),0)</f>
        <v>0</v>
      </c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</row>
    <row r="741" spans="1:59" s="9" customFormat="1">
      <c r="A741" s="8" t="s">
        <v>471</v>
      </c>
      <c r="B741" s="8" t="s">
        <v>464</v>
      </c>
      <c r="C741" s="9">
        <v>0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R741" s="9">
        <v>1</v>
      </c>
      <c r="S741" s="9">
        <v>2</v>
      </c>
      <c r="T741" s="9">
        <v>0</v>
      </c>
      <c r="U741" s="9">
        <v>1</v>
      </c>
      <c r="V741" s="9">
        <v>1</v>
      </c>
      <c r="W741" s="9">
        <v>0</v>
      </c>
      <c r="X741" s="9">
        <v>0</v>
      </c>
      <c r="AE741" s="9">
        <f>IFERROR(VLOOKUP($A741,pivot!$A:$G,計算式2026!AE$1,FALSE),0)</f>
        <v>0</v>
      </c>
      <c r="AF741" s="9">
        <f>IFERROR(VLOOKUP($A741,pivot!$A:$I,計算式2026!AF$1,FALSE),0)</f>
        <v>0</v>
      </c>
      <c r="AI741" s="9">
        <f>IFERROR(VLOOKUP($A741,pivot!$A:$I,計算式2026!AI$1,FALSE),0)</f>
        <v>0</v>
      </c>
      <c r="AJ741" s="9">
        <f>IFERROR(VLOOKUP($A741,pivot!$A:$I,計算式2026!AJ$1,FALSE),0)</f>
        <v>0</v>
      </c>
      <c r="AK741" s="9">
        <f>IFERROR(VLOOKUP($A741,pivot!$A:$I,計算式2026!AK$1,FALSE),0)</f>
        <v>0</v>
      </c>
      <c r="AL741" s="9">
        <f>IFERROR(VLOOKUP($A741,pivot!$A:$I,計算式2026!AL$1,FALSE),0)</f>
        <v>0</v>
      </c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</row>
    <row r="742" spans="1:59" s="9" customFormat="1">
      <c r="A742" s="8" t="s">
        <v>472</v>
      </c>
      <c r="B742" s="8" t="s">
        <v>464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R742" s="9">
        <v>1</v>
      </c>
      <c r="S742" s="9">
        <v>1</v>
      </c>
      <c r="T742" s="9">
        <v>0</v>
      </c>
      <c r="U742" s="9">
        <v>0</v>
      </c>
      <c r="V742" s="9">
        <v>1</v>
      </c>
      <c r="W742" s="9">
        <v>0</v>
      </c>
      <c r="X742" s="9">
        <v>0</v>
      </c>
      <c r="AE742" s="9">
        <f>IFERROR(VLOOKUP($A742,pivot!$A:$G,計算式2026!AE$1,FALSE),0)</f>
        <v>0</v>
      </c>
      <c r="AF742" s="9">
        <f>IFERROR(VLOOKUP($A742,pivot!$A:$I,計算式2026!AF$1,FALSE),0)</f>
        <v>0</v>
      </c>
      <c r="AI742" s="9">
        <f>IFERROR(VLOOKUP($A742,pivot!$A:$I,計算式2026!AI$1,FALSE),0)</f>
        <v>0</v>
      </c>
      <c r="AJ742" s="9">
        <f>IFERROR(VLOOKUP($A742,pivot!$A:$I,計算式2026!AJ$1,FALSE),0)</f>
        <v>0</v>
      </c>
      <c r="AK742" s="9">
        <f>IFERROR(VLOOKUP($A742,pivot!$A:$I,計算式2026!AK$1,FALSE),0)</f>
        <v>0</v>
      </c>
      <c r="AL742" s="9">
        <f>IFERROR(VLOOKUP($A742,pivot!$A:$I,計算式2026!AL$1,FALSE),0)</f>
        <v>0</v>
      </c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</row>
    <row r="743" spans="1:59" s="9" customFormat="1">
      <c r="A743" s="8" t="s">
        <v>473</v>
      </c>
      <c r="B743" s="8" t="s">
        <v>464</v>
      </c>
      <c r="C743" s="9">
        <v>0</v>
      </c>
      <c r="D743" s="9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AE743" s="9">
        <f>IFERROR(VLOOKUP($A743,pivot!$A:$G,計算式2026!AE$1,FALSE),0)</f>
        <v>0</v>
      </c>
      <c r="AF743" s="9">
        <f>IFERROR(VLOOKUP($A743,pivot!$A:$I,計算式2026!AF$1,FALSE),0)</f>
        <v>0</v>
      </c>
      <c r="AI743" s="9">
        <f>IFERROR(VLOOKUP($A743,pivot!$A:$I,計算式2026!AI$1,FALSE),0)</f>
        <v>0</v>
      </c>
      <c r="AJ743" s="9">
        <f>IFERROR(VLOOKUP($A743,pivot!$A:$I,計算式2026!AJ$1,FALSE),0)</f>
        <v>0</v>
      </c>
      <c r="AK743" s="9">
        <f>IFERROR(VLOOKUP($A743,pivot!$A:$I,計算式2026!AK$1,FALSE),0)</f>
        <v>0</v>
      </c>
      <c r="AL743" s="9">
        <f>IFERROR(VLOOKUP($A743,pivot!$A:$I,計算式2026!AL$1,FALSE),0)</f>
        <v>0</v>
      </c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</row>
    <row r="744" spans="1:59" s="9" customFormat="1">
      <c r="A744" s="8" t="s">
        <v>474</v>
      </c>
      <c r="B744" s="8" t="s">
        <v>464</v>
      </c>
      <c r="C744" s="9">
        <v>6</v>
      </c>
      <c r="D744" s="9">
        <v>9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R744" s="9">
        <v>2</v>
      </c>
      <c r="S744" s="9">
        <v>4</v>
      </c>
      <c r="T744" s="9">
        <v>1</v>
      </c>
      <c r="U744" s="9">
        <v>3</v>
      </c>
      <c r="V744" s="9">
        <v>3</v>
      </c>
      <c r="W744" s="9">
        <v>0</v>
      </c>
      <c r="X744" s="9">
        <v>1</v>
      </c>
      <c r="AE744" s="9">
        <f>IFERROR(VLOOKUP($A744,pivot!$A:$G,計算式2026!AE$1,FALSE),0)</f>
        <v>0</v>
      </c>
      <c r="AF744" s="9">
        <f>IFERROR(VLOOKUP($A744,pivot!$A:$I,計算式2026!AF$1,FALSE),0)</f>
        <v>0</v>
      </c>
      <c r="AI744" s="9">
        <f>IFERROR(VLOOKUP($A744,pivot!$A:$I,計算式2026!AI$1,FALSE),0)</f>
        <v>0</v>
      </c>
      <c r="AJ744" s="9">
        <f>IFERROR(VLOOKUP($A744,pivot!$A:$I,計算式2026!AJ$1,FALSE),0)</f>
        <v>0</v>
      </c>
      <c r="AK744" s="9">
        <f>IFERROR(VLOOKUP($A744,pivot!$A:$I,計算式2026!AK$1,FALSE),0)</f>
        <v>0</v>
      </c>
      <c r="AL744" s="9">
        <f>IFERROR(VLOOKUP($A744,pivot!$A:$I,計算式2026!AL$1,FALSE),0)</f>
        <v>0</v>
      </c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</row>
    <row r="745" spans="1:59" s="9" customFormat="1">
      <c r="A745" s="8" t="s">
        <v>475</v>
      </c>
      <c r="B745" s="8" t="s">
        <v>464</v>
      </c>
      <c r="C745" s="9">
        <v>0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1</v>
      </c>
      <c r="AE745" s="9">
        <f>IFERROR(VLOOKUP($A745,pivot!$A:$G,計算式2026!AE$1,FALSE),0)</f>
        <v>0</v>
      </c>
      <c r="AF745" s="9">
        <f>IFERROR(VLOOKUP($A745,pivot!$A:$I,計算式2026!AF$1,FALSE),0)</f>
        <v>0</v>
      </c>
      <c r="AI745" s="9">
        <f>IFERROR(VLOOKUP($A745,pivot!$A:$I,計算式2026!AI$1,FALSE),0)</f>
        <v>0</v>
      </c>
      <c r="AJ745" s="9">
        <f>IFERROR(VLOOKUP($A745,pivot!$A:$I,計算式2026!AJ$1,FALSE),0)</f>
        <v>0</v>
      </c>
      <c r="AK745" s="9">
        <f>IFERROR(VLOOKUP($A745,pivot!$A:$I,計算式2026!AK$1,FALSE),0)</f>
        <v>0</v>
      </c>
      <c r="AL745" s="9">
        <f>IFERROR(VLOOKUP($A745,pivot!$A:$I,計算式2026!AL$1,FALSE),0)</f>
        <v>0</v>
      </c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</row>
    <row r="746" spans="1:59" s="9" customFormat="1">
      <c r="A746" s="8" t="s">
        <v>2081</v>
      </c>
      <c r="B746" s="8" t="s">
        <v>477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R746" s="9">
        <v>0</v>
      </c>
      <c r="S746" s="9">
        <v>1</v>
      </c>
      <c r="T746" s="9">
        <v>0</v>
      </c>
      <c r="U746" s="9">
        <v>1</v>
      </c>
      <c r="V746" s="9">
        <v>3</v>
      </c>
      <c r="W746" s="9">
        <v>0</v>
      </c>
      <c r="X746" s="9">
        <v>1</v>
      </c>
      <c r="AE746" s="9">
        <f>IFERROR(VLOOKUP($A746,pivot!$A:$G,計算式2026!AE$1,FALSE),0)</f>
        <v>0</v>
      </c>
      <c r="AF746" s="9">
        <f>IFERROR(VLOOKUP($A746,pivot!$A:$I,計算式2026!AF$1,FALSE),0)</f>
        <v>0</v>
      </c>
      <c r="AI746" s="9">
        <f>IFERROR(VLOOKUP($A746,pivot!$A:$I,計算式2026!AI$1,FALSE),0)</f>
        <v>0</v>
      </c>
      <c r="AJ746" s="9">
        <f>IFERROR(VLOOKUP($A746,pivot!$A:$I,計算式2026!AJ$1,FALSE),0)</f>
        <v>0</v>
      </c>
      <c r="AK746" s="9">
        <f>IFERROR(VLOOKUP($A746,pivot!$A:$I,計算式2026!AK$1,FALSE),0)</f>
        <v>0</v>
      </c>
      <c r="AL746" s="9">
        <f>IFERROR(VLOOKUP($A746,pivot!$A:$I,計算式2026!AL$1,FALSE),0)</f>
        <v>0</v>
      </c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</row>
    <row r="747" spans="1:59" s="9" customFormat="1">
      <c r="A747" s="8" t="s">
        <v>2082</v>
      </c>
      <c r="B747" s="8" t="s">
        <v>477</v>
      </c>
      <c r="C747" s="9">
        <v>0</v>
      </c>
      <c r="D747" s="9">
        <v>7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R747" s="9">
        <v>2</v>
      </c>
      <c r="S747" s="9">
        <v>3</v>
      </c>
      <c r="T747" s="9">
        <v>2</v>
      </c>
      <c r="U747" s="9">
        <v>3</v>
      </c>
      <c r="V747" s="9">
        <v>3</v>
      </c>
      <c r="W747" s="9">
        <v>1</v>
      </c>
      <c r="X747" s="9">
        <v>1</v>
      </c>
      <c r="AE747" s="9">
        <f>IFERROR(VLOOKUP($A747,pivot!$A:$G,計算式2026!AE$1,FALSE),0)</f>
        <v>0</v>
      </c>
      <c r="AF747" s="9">
        <f>IFERROR(VLOOKUP($A747,pivot!$A:$I,計算式2026!AF$1,FALSE),0)</f>
        <v>0</v>
      </c>
      <c r="AI747" s="9">
        <f>IFERROR(VLOOKUP($A747,pivot!$A:$I,計算式2026!AI$1,FALSE),0)</f>
        <v>0</v>
      </c>
      <c r="AJ747" s="9">
        <f>IFERROR(VLOOKUP($A747,pivot!$A:$I,計算式2026!AJ$1,FALSE),0)</f>
        <v>0</v>
      </c>
      <c r="AK747" s="9">
        <f>IFERROR(VLOOKUP($A747,pivot!$A:$I,計算式2026!AK$1,FALSE),0)</f>
        <v>0</v>
      </c>
      <c r="AL747" s="9">
        <f>IFERROR(VLOOKUP($A747,pivot!$A:$I,計算式2026!AL$1,FALSE),0)</f>
        <v>0</v>
      </c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</row>
    <row r="748" spans="1:59" s="9" customFormat="1">
      <c r="A748" s="8" t="s">
        <v>476</v>
      </c>
      <c r="B748" s="8" t="s">
        <v>477</v>
      </c>
      <c r="C748" s="9">
        <v>0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AE748" s="9">
        <f>IFERROR(VLOOKUP($A748,pivot!$A:$G,計算式2026!AE$1,FALSE),0)</f>
        <v>0</v>
      </c>
      <c r="AF748" s="9">
        <f>IFERROR(VLOOKUP($A748,pivot!$A:$I,計算式2026!AF$1,FALSE),0)</f>
        <v>0</v>
      </c>
      <c r="AI748" s="9">
        <f>IFERROR(VLOOKUP($A748,pivot!$A:$I,計算式2026!AI$1,FALSE),0)</f>
        <v>0</v>
      </c>
      <c r="AJ748" s="9">
        <f>IFERROR(VLOOKUP($A748,pivot!$A:$I,計算式2026!AJ$1,FALSE),0)</f>
        <v>0</v>
      </c>
      <c r="AK748" s="9">
        <f>IFERROR(VLOOKUP($A748,pivot!$A:$I,計算式2026!AK$1,FALSE),0)</f>
        <v>0</v>
      </c>
      <c r="AL748" s="9">
        <f>IFERROR(VLOOKUP($A748,pivot!$A:$I,計算式2026!AL$1,FALSE),0)</f>
        <v>0</v>
      </c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</row>
    <row r="749" spans="1:59" s="9" customFormat="1">
      <c r="A749" s="8" t="s">
        <v>478</v>
      </c>
      <c r="B749" s="8" t="s">
        <v>477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AE749" s="9">
        <f>IFERROR(VLOOKUP($A749,pivot!$A:$G,計算式2026!AE$1,FALSE),0)</f>
        <v>0</v>
      </c>
      <c r="AF749" s="9">
        <f>IFERROR(VLOOKUP($A749,pivot!$A:$I,計算式2026!AF$1,FALSE),0)</f>
        <v>0</v>
      </c>
      <c r="AI749" s="9">
        <f>IFERROR(VLOOKUP($A749,pivot!$A:$I,計算式2026!AI$1,FALSE),0)</f>
        <v>0</v>
      </c>
      <c r="AJ749" s="9">
        <f>IFERROR(VLOOKUP($A749,pivot!$A:$I,計算式2026!AJ$1,FALSE),0)</f>
        <v>0</v>
      </c>
      <c r="AK749" s="9">
        <f>IFERROR(VLOOKUP($A749,pivot!$A:$I,計算式2026!AK$1,FALSE),0)</f>
        <v>0</v>
      </c>
      <c r="AL749" s="9">
        <f>IFERROR(VLOOKUP($A749,pivot!$A:$I,計算式2026!AL$1,FALSE),0)</f>
        <v>0</v>
      </c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</row>
    <row r="750" spans="1:59" s="9" customFormat="1">
      <c r="A750" s="8" t="s">
        <v>2602</v>
      </c>
      <c r="B750" s="8" t="s">
        <v>477</v>
      </c>
      <c r="C750" s="9">
        <v>2</v>
      </c>
      <c r="D750" s="9">
        <v>8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R750" s="9">
        <v>2</v>
      </c>
      <c r="S750" s="9">
        <v>3</v>
      </c>
      <c r="T750" s="9">
        <v>3</v>
      </c>
      <c r="U750" s="9">
        <v>3</v>
      </c>
      <c r="V750" s="9">
        <v>4</v>
      </c>
      <c r="W750" s="9">
        <v>1</v>
      </c>
      <c r="X750" s="9">
        <v>2</v>
      </c>
      <c r="AE750" s="9">
        <f>IFERROR(VLOOKUP($A750,pivot!$A:$G,計算式2026!AE$1,FALSE),0)</f>
        <v>0</v>
      </c>
      <c r="AF750" s="9">
        <f>IFERROR(VLOOKUP($A750,pivot!$A:$I,計算式2026!AF$1,FALSE),0)</f>
        <v>0</v>
      </c>
      <c r="AI750" s="9">
        <f>IFERROR(VLOOKUP($A750,pivot!$A:$I,計算式2026!AI$1,FALSE),0)</f>
        <v>0</v>
      </c>
      <c r="AJ750" s="9">
        <f>IFERROR(VLOOKUP($A750,pivot!$A:$I,計算式2026!AJ$1,FALSE),0)</f>
        <v>0</v>
      </c>
      <c r="AK750" s="9">
        <f>IFERROR(VLOOKUP($A750,pivot!$A:$I,計算式2026!AK$1,FALSE),0)</f>
        <v>0</v>
      </c>
      <c r="AL750" s="9">
        <f>IFERROR(VLOOKUP($A750,pivot!$A:$I,計算式2026!AL$1,FALSE),0)</f>
        <v>0</v>
      </c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</row>
    <row r="751" spans="1:59" s="9" customFormat="1">
      <c r="A751" s="8" t="s">
        <v>2083</v>
      </c>
      <c r="B751" s="8" t="s">
        <v>477</v>
      </c>
      <c r="C751" s="9">
        <v>1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R751" s="9">
        <v>2</v>
      </c>
      <c r="S751" s="9">
        <v>3</v>
      </c>
      <c r="T751" s="9">
        <v>3</v>
      </c>
      <c r="U751" s="9">
        <v>2</v>
      </c>
      <c r="V751" s="9">
        <v>3</v>
      </c>
      <c r="W751" s="9">
        <v>0</v>
      </c>
      <c r="X751" s="9">
        <v>1</v>
      </c>
      <c r="AE751" s="9">
        <f>IFERROR(VLOOKUP($A751,pivot!$A:$G,計算式2026!AE$1,FALSE),0)</f>
        <v>0</v>
      </c>
      <c r="AF751" s="9">
        <f>IFERROR(VLOOKUP($A751,pivot!$A:$I,計算式2026!AF$1,FALSE),0)</f>
        <v>0</v>
      </c>
      <c r="AI751" s="9">
        <f>IFERROR(VLOOKUP($A751,pivot!$A:$I,計算式2026!AI$1,FALSE),0)</f>
        <v>0</v>
      </c>
      <c r="AJ751" s="9">
        <f>IFERROR(VLOOKUP($A751,pivot!$A:$I,計算式2026!AJ$1,FALSE),0)</f>
        <v>0</v>
      </c>
      <c r="AK751" s="9">
        <f>IFERROR(VLOOKUP($A751,pivot!$A:$I,計算式2026!AK$1,FALSE),0)</f>
        <v>0</v>
      </c>
      <c r="AL751" s="9">
        <f>IFERROR(VLOOKUP($A751,pivot!$A:$I,計算式2026!AL$1,FALSE),0)</f>
        <v>0</v>
      </c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</row>
    <row r="752" spans="1:59" s="9" customFormat="1">
      <c r="A752" s="8" t="s">
        <v>479</v>
      </c>
      <c r="B752" s="8" t="s">
        <v>477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R752" s="9">
        <v>2</v>
      </c>
      <c r="S752" s="9">
        <v>3</v>
      </c>
      <c r="T752" s="9">
        <v>2</v>
      </c>
      <c r="U752" s="9">
        <v>0</v>
      </c>
      <c r="V752" s="9">
        <v>3</v>
      </c>
      <c r="W752" s="9">
        <v>1</v>
      </c>
      <c r="X752" s="9">
        <v>1</v>
      </c>
      <c r="AE752" s="9">
        <f>IFERROR(VLOOKUP($A752,pivot!$A:$G,計算式2026!AE$1,FALSE),0)</f>
        <v>0</v>
      </c>
      <c r="AF752" s="9">
        <f>IFERROR(VLOOKUP($A752,pivot!$A:$I,計算式2026!AF$1,FALSE),0)</f>
        <v>0</v>
      </c>
      <c r="AI752" s="9">
        <f>IFERROR(VLOOKUP($A752,pivot!$A:$I,計算式2026!AI$1,FALSE),0)</f>
        <v>0</v>
      </c>
      <c r="AJ752" s="9">
        <f>IFERROR(VLOOKUP($A752,pivot!$A:$I,計算式2026!AJ$1,FALSE),0)</f>
        <v>0</v>
      </c>
      <c r="AK752" s="9">
        <f>IFERROR(VLOOKUP($A752,pivot!$A:$I,計算式2026!AK$1,FALSE),0)</f>
        <v>0</v>
      </c>
      <c r="AL752" s="9">
        <f>IFERROR(VLOOKUP($A752,pivot!$A:$I,計算式2026!AL$1,FALSE),0)</f>
        <v>0</v>
      </c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</row>
    <row r="753" spans="1:59" s="9" customFormat="1">
      <c r="A753" s="8" t="s">
        <v>480</v>
      </c>
      <c r="B753" s="8" t="s">
        <v>477</v>
      </c>
      <c r="C753" s="9">
        <v>0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R753" s="9">
        <v>2</v>
      </c>
      <c r="S753" s="9">
        <v>3</v>
      </c>
      <c r="T753" s="9">
        <v>2</v>
      </c>
      <c r="U753" s="9">
        <v>0</v>
      </c>
      <c r="V753" s="9">
        <v>3</v>
      </c>
      <c r="W753" s="9">
        <v>2</v>
      </c>
      <c r="X753" s="9">
        <v>1</v>
      </c>
      <c r="AE753" s="9">
        <f>IFERROR(VLOOKUP($A753,pivot!$A:$G,計算式2026!AE$1,FALSE),0)</f>
        <v>0</v>
      </c>
      <c r="AF753" s="9">
        <f>IFERROR(VLOOKUP($A753,pivot!$A:$I,計算式2026!AF$1,FALSE),0)</f>
        <v>0</v>
      </c>
      <c r="AI753" s="9">
        <f>IFERROR(VLOOKUP($A753,pivot!$A:$I,計算式2026!AI$1,FALSE),0)</f>
        <v>0</v>
      </c>
      <c r="AJ753" s="9">
        <f>IFERROR(VLOOKUP($A753,pivot!$A:$I,計算式2026!AJ$1,FALSE),0)</f>
        <v>0</v>
      </c>
      <c r="AK753" s="9">
        <f>IFERROR(VLOOKUP($A753,pivot!$A:$I,計算式2026!AK$1,FALSE),0)</f>
        <v>0</v>
      </c>
      <c r="AL753" s="9">
        <f>IFERROR(VLOOKUP($A753,pivot!$A:$I,計算式2026!AL$1,FALSE),0)</f>
        <v>0</v>
      </c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</row>
    <row r="754" spans="1:59" s="9" customFormat="1">
      <c r="A754" s="8" t="s">
        <v>481</v>
      </c>
      <c r="B754" s="8" t="s">
        <v>477</v>
      </c>
      <c r="C754" s="9">
        <v>0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R754" s="9">
        <v>0</v>
      </c>
      <c r="S754" s="9">
        <v>1</v>
      </c>
      <c r="T754" s="9">
        <v>0</v>
      </c>
      <c r="U754" s="9">
        <v>0</v>
      </c>
      <c r="V754" s="9">
        <v>2</v>
      </c>
      <c r="W754" s="9">
        <v>0</v>
      </c>
      <c r="X754" s="9">
        <v>1</v>
      </c>
      <c r="AE754" s="9">
        <f>IFERROR(VLOOKUP($A754,pivot!$A:$G,計算式2026!AE$1,FALSE),0)</f>
        <v>0</v>
      </c>
      <c r="AF754" s="9">
        <f>IFERROR(VLOOKUP($A754,pivot!$A:$I,計算式2026!AF$1,FALSE),0)</f>
        <v>0</v>
      </c>
      <c r="AI754" s="9">
        <f>IFERROR(VLOOKUP($A754,pivot!$A:$I,計算式2026!AI$1,FALSE),0)</f>
        <v>0</v>
      </c>
      <c r="AJ754" s="9">
        <f>IFERROR(VLOOKUP($A754,pivot!$A:$I,計算式2026!AJ$1,FALSE),0)</f>
        <v>0</v>
      </c>
      <c r="AK754" s="9">
        <f>IFERROR(VLOOKUP($A754,pivot!$A:$I,計算式2026!AK$1,FALSE),0)</f>
        <v>0</v>
      </c>
      <c r="AL754" s="9">
        <f>IFERROR(VLOOKUP($A754,pivot!$A:$I,計算式2026!AL$1,FALSE),0)</f>
        <v>0</v>
      </c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</row>
    <row r="755" spans="1:59" s="9" customFormat="1">
      <c r="A755" s="8" t="s">
        <v>482</v>
      </c>
      <c r="B755" s="8" t="s">
        <v>477</v>
      </c>
      <c r="C755" s="9">
        <v>0</v>
      </c>
      <c r="D755" s="9">
        <v>6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R755" s="9">
        <v>3</v>
      </c>
      <c r="S755" s="9">
        <v>3</v>
      </c>
      <c r="T755" s="9">
        <v>4</v>
      </c>
      <c r="U755" s="9">
        <v>1</v>
      </c>
      <c r="V755" s="9">
        <v>1</v>
      </c>
      <c r="W755" s="9">
        <v>2</v>
      </c>
      <c r="X755" s="9">
        <v>0</v>
      </c>
      <c r="AE755" s="9">
        <f>IFERROR(VLOOKUP($A755,pivot!$A:$G,計算式2026!AE$1,FALSE),0)</f>
        <v>0</v>
      </c>
      <c r="AF755" s="9">
        <f>IFERROR(VLOOKUP($A755,pivot!$A:$I,計算式2026!AF$1,FALSE),0)</f>
        <v>0</v>
      </c>
      <c r="AI755" s="9">
        <f>IFERROR(VLOOKUP($A755,pivot!$A:$I,計算式2026!AI$1,FALSE),0)</f>
        <v>0</v>
      </c>
      <c r="AJ755" s="9">
        <f>IFERROR(VLOOKUP($A755,pivot!$A:$I,計算式2026!AJ$1,FALSE),0)</f>
        <v>0</v>
      </c>
      <c r="AK755" s="9">
        <f>IFERROR(VLOOKUP($A755,pivot!$A:$I,計算式2026!AK$1,FALSE),0)</f>
        <v>0</v>
      </c>
      <c r="AL755" s="9">
        <f>IFERROR(VLOOKUP($A755,pivot!$A:$I,計算式2026!AL$1,FALSE),0)</f>
        <v>0</v>
      </c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</row>
    <row r="756" spans="1:59" s="9" customFormat="1">
      <c r="A756" s="8" t="s">
        <v>483</v>
      </c>
      <c r="B756" s="8" t="s">
        <v>477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R756" s="9">
        <v>3</v>
      </c>
      <c r="S756" s="9">
        <v>3</v>
      </c>
      <c r="T756" s="9">
        <v>1</v>
      </c>
      <c r="U756" s="9">
        <v>1</v>
      </c>
      <c r="V756" s="9">
        <v>3</v>
      </c>
      <c r="W756" s="9">
        <v>1</v>
      </c>
      <c r="X756" s="9">
        <v>0</v>
      </c>
      <c r="AE756" s="9">
        <f>IFERROR(VLOOKUP($A756,pivot!$A:$G,計算式2026!AE$1,FALSE),0)</f>
        <v>0</v>
      </c>
      <c r="AF756" s="9">
        <f>IFERROR(VLOOKUP($A756,pivot!$A:$I,計算式2026!AF$1,FALSE),0)</f>
        <v>0</v>
      </c>
      <c r="AI756" s="9">
        <f>IFERROR(VLOOKUP($A756,pivot!$A:$I,計算式2026!AI$1,FALSE),0)</f>
        <v>0</v>
      </c>
      <c r="AJ756" s="9">
        <f>IFERROR(VLOOKUP($A756,pivot!$A:$I,計算式2026!AJ$1,FALSE),0)</f>
        <v>0</v>
      </c>
      <c r="AK756" s="9">
        <f>IFERROR(VLOOKUP($A756,pivot!$A:$I,計算式2026!AK$1,FALSE),0)</f>
        <v>0</v>
      </c>
      <c r="AL756" s="9">
        <f>IFERROR(VLOOKUP($A756,pivot!$A:$I,計算式2026!AL$1,FALSE),0)</f>
        <v>0</v>
      </c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</row>
    <row r="757" spans="1:59" s="9" customFormat="1">
      <c r="A757" s="8" t="s">
        <v>484</v>
      </c>
      <c r="B757" s="8" t="s">
        <v>477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1</v>
      </c>
      <c r="W757" s="9">
        <v>1</v>
      </c>
      <c r="X757" s="9">
        <v>0</v>
      </c>
      <c r="AE757" s="9">
        <f>IFERROR(VLOOKUP($A757,pivot!$A:$G,計算式2026!AE$1,FALSE),0)</f>
        <v>0</v>
      </c>
      <c r="AF757" s="9">
        <f>IFERROR(VLOOKUP($A757,pivot!$A:$I,計算式2026!AF$1,FALSE),0)</f>
        <v>0</v>
      </c>
      <c r="AI757" s="9">
        <f>IFERROR(VLOOKUP($A757,pivot!$A:$I,計算式2026!AI$1,FALSE),0)</f>
        <v>0</v>
      </c>
      <c r="AJ757" s="9">
        <f>IFERROR(VLOOKUP($A757,pivot!$A:$I,計算式2026!AJ$1,FALSE),0)</f>
        <v>0</v>
      </c>
      <c r="AK757" s="9">
        <f>IFERROR(VLOOKUP($A757,pivot!$A:$I,計算式2026!AK$1,FALSE),0)</f>
        <v>0</v>
      </c>
      <c r="AL757" s="9">
        <f>IFERROR(VLOOKUP($A757,pivot!$A:$I,計算式2026!AL$1,FALSE),0)</f>
        <v>0</v>
      </c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</row>
    <row r="758" spans="1:59" s="9" customFormat="1">
      <c r="A758" s="8" t="s">
        <v>485</v>
      </c>
      <c r="B758" s="8" t="s">
        <v>477</v>
      </c>
      <c r="C758" s="9">
        <v>0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R758" s="9">
        <v>0</v>
      </c>
      <c r="S758" s="9">
        <v>0</v>
      </c>
      <c r="T758" s="9">
        <v>1</v>
      </c>
      <c r="U758" s="9">
        <v>0</v>
      </c>
      <c r="V758" s="9">
        <v>2</v>
      </c>
      <c r="W758" s="9">
        <v>1</v>
      </c>
      <c r="X758" s="9">
        <v>1</v>
      </c>
      <c r="AE758" s="9">
        <f>IFERROR(VLOOKUP($A758,pivot!$A:$G,計算式2026!AE$1,FALSE),0)</f>
        <v>0</v>
      </c>
      <c r="AF758" s="9">
        <f>IFERROR(VLOOKUP($A758,pivot!$A:$I,計算式2026!AF$1,FALSE),0)</f>
        <v>0</v>
      </c>
      <c r="AI758" s="9">
        <f>IFERROR(VLOOKUP($A758,pivot!$A:$I,計算式2026!AI$1,FALSE),0)</f>
        <v>0</v>
      </c>
      <c r="AJ758" s="9">
        <f>IFERROR(VLOOKUP($A758,pivot!$A:$I,計算式2026!AJ$1,FALSE),0)</f>
        <v>0</v>
      </c>
      <c r="AK758" s="9">
        <f>IFERROR(VLOOKUP($A758,pivot!$A:$I,計算式2026!AK$1,FALSE),0)</f>
        <v>0</v>
      </c>
      <c r="AL758" s="9">
        <f>IFERROR(VLOOKUP($A758,pivot!$A:$I,計算式2026!AL$1,FALSE),0)</f>
        <v>0</v>
      </c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</row>
    <row r="759" spans="1:59" s="9" customFormat="1">
      <c r="A759" s="8" t="s">
        <v>486</v>
      </c>
      <c r="B759" s="8" t="s">
        <v>477</v>
      </c>
      <c r="C759" s="9">
        <v>0</v>
      </c>
      <c r="D759" s="9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R759" s="9">
        <v>0</v>
      </c>
      <c r="S759" s="9">
        <v>0</v>
      </c>
      <c r="T759" s="9">
        <v>0</v>
      </c>
      <c r="U759" s="9">
        <v>1</v>
      </c>
      <c r="V759" s="9">
        <v>0</v>
      </c>
      <c r="W759" s="9">
        <v>1</v>
      </c>
      <c r="X759" s="9">
        <v>0</v>
      </c>
      <c r="AE759" s="9">
        <f>IFERROR(VLOOKUP($A759,pivot!$A:$G,計算式2026!AE$1,FALSE),0)</f>
        <v>0</v>
      </c>
      <c r="AF759" s="9">
        <f>IFERROR(VLOOKUP($A759,pivot!$A:$I,計算式2026!AF$1,FALSE),0)</f>
        <v>0</v>
      </c>
      <c r="AI759" s="9">
        <f>IFERROR(VLOOKUP($A759,pivot!$A:$I,計算式2026!AI$1,FALSE),0)</f>
        <v>0</v>
      </c>
      <c r="AJ759" s="9">
        <f>IFERROR(VLOOKUP($A759,pivot!$A:$I,計算式2026!AJ$1,FALSE),0)</f>
        <v>0</v>
      </c>
      <c r="AK759" s="9">
        <f>IFERROR(VLOOKUP($A759,pivot!$A:$I,計算式2026!AK$1,FALSE),0)</f>
        <v>0</v>
      </c>
      <c r="AL759" s="9">
        <f>IFERROR(VLOOKUP($A759,pivot!$A:$I,計算式2026!AL$1,FALSE),0)</f>
        <v>0</v>
      </c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</row>
    <row r="760" spans="1:59" s="9" customFormat="1">
      <c r="A760" s="8" t="s">
        <v>487</v>
      </c>
      <c r="B760" s="8" t="s">
        <v>477</v>
      </c>
      <c r="C760" s="9">
        <v>0</v>
      </c>
      <c r="D760" s="9">
        <v>8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R760" s="9">
        <v>3</v>
      </c>
      <c r="S760" s="9">
        <v>3</v>
      </c>
      <c r="T760" s="9">
        <v>1</v>
      </c>
      <c r="U760" s="9">
        <v>3</v>
      </c>
      <c r="V760" s="9">
        <v>3</v>
      </c>
      <c r="W760" s="9">
        <v>2</v>
      </c>
      <c r="X760" s="9">
        <v>1</v>
      </c>
      <c r="AE760" s="9">
        <f>IFERROR(VLOOKUP($A760,pivot!$A:$G,計算式2026!AE$1,FALSE),0)</f>
        <v>0</v>
      </c>
      <c r="AF760" s="9">
        <f>IFERROR(VLOOKUP($A760,pivot!$A:$I,計算式2026!AF$1,FALSE),0)</f>
        <v>0</v>
      </c>
      <c r="AI760" s="9">
        <f>IFERROR(VLOOKUP($A760,pivot!$A:$I,計算式2026!AI$1,FALSE),0)</f>
        <v>0</v>
      </c>
      <c r="AJ760" s="9">
        <f>IFERROR(VLOOKUP($A760,pivot!$A:$I,計算式2026!AJ$1,FALSE),0)</f>
        <v>0</v>
      </c>
      <c r="AK760" s="9">
        <f>IFERROR(VLOOKUP($A760,pivot!$A:$I,計算式2026!AK$1,FALSE),0)</f>
        <v>0</v>
      </c>
      <c r="AL760" s="9">
        <f>IFERROR(VLOOKUP($A760,pivot!$A:$I,計算式2026!AL$1,FALSE),0)</f>
        <v>0</v>
      </c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</row>
    <row r="761" spans="1:59" s="9" customFormat="1">
      <c r="A761" s="8" t="s">
        <v>488</v>
      </c>
      <c r="B761" s="8" t="s">
        <v>489</v>
      </c>
      <c r="C761" s="9">
        <v>0</v>
      </c>
      <c r="D761" s="9">
        <v>6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R761" s="9">
        <v>1</v>
      </c>
      <c r="S761" s="9">
        <v>1</v>
      </c>
      <c r="T761" s="9">
        <v>1</v>
      </c>
      <c r="U761" s="9">
        <v>0</v>
      </c>
      <c r="V761" s="9">
        <v>1</v>
      </c>
      <c r="W761" s="9">
        <v>0</v>
      </c>
      <c r="X761" s="9">
        <v>1</v>
      </c>
      <c r="AE761" s="9">
        <f>IFERROR(VLOOKUP($A761,pivot!$A:$G,計算式2026!AE$1,FALSE),0)</f>
        <v>0</v>
      </c>
      <c r="AF761" s="9">
        <f>IFERROR(VLOOKUP($A761,pivot!$A:$I,計算式2026!AF$1,FALSE),0)</f>
        <v>0</v>
      </c>
      <c r="AI761" s="9">
        <f>IFERROR(VLOOKUP($A761,pivot!$A:$I,計算式2026!AI$1,FALSE),0)</f>
        <v>0</v>
      </c>
      <c r="AJ761" s="9">
        <f>IFERROR(VLOOKUP($A761,pivot!$A:$I,計算式2026!AJ$1,FALSE),0)</f>
        <v>0</v>
      </c>
      <c r="AK761" s="9">
        <f>IFERROR(VLOOKUP($A761,pivot!$A:$I,計算式2026!AK$1,FALSE),0)</f>
        <v>0</v>
      </c>
      <c r="AL761" s="9">
        <f>IFERROR(VLOOKUP($A761,pivot!$A:$I,計算式2026!AL$1,FALSE),0)</f>
        <v>0</v>
      </c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</row>
    <row r="762" spans="1:59" s="9" customFormat="1">
      <c r="A762" s="8" t="s">
        <v>490</v>
      </c>
      <c r="B762" s="8" t="s">
        <v>489</v>
      </c>
      <c r="C762" s="9">
        <v>0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R762" s="9">
        <v>1</v>
      </c>
      <c r="S762" s="9">
        <v>2</v>
      </c>
      <c r="T762" s="9">
        <v>2</v>
      </c>
      <c r="U762" s="9">
        <v>0</v>
      </c>
      <c r="V762" s="9">
        <v>2</v>
      </c>
      <c r="W762" s="9">
        <v>1</v>
      </c>
      <c r="X762" s="9">
        <v>1</v>
      </c>
      <c r="AE762" s="9">
        <f>IFERROR(VLOOKUP($A762,pivot!$A:$G,計算式2026!AE$1,FALSE),0)</f>
        <v>0</v>
      </c>
      <c r="AF762" s="9">
        <f>IFERROR(VLOOKUP($A762,pivot!$A:$I,計算式2026!AF$1,FALSE),0)</f>
        <v>0</v>
      </c>
      <c r="AI762" s="9">
        <f>IFERROR(VLOOKUP($A762,pivot!$A:$I,計算式2026!AI$1,FALSE),0)</f>
        <v>0</v>
      </c>
      <c r="AJ762" s="9">
        <f>IFERROR(VLOOKUP($A762,pivot!$A:$I,計算式2026!AJ$1,FALSE),0)</f>
        <v>0</v>
      </c>
      <c r="AK762" s="9">
        <f>IFERROR(VLOOKUP($A762,pivot!$A:$I,計算式2026!AK$1,FALSE),0)</f>
        <v>0</v>
      </c>
      <c r="AL762" s="9">
        <f>IFERROR(VLOOKUP($A762,pivot!$A:$I,計算式2026!AL$1,FALSE),0)</f>
        <v>0</v>
      </c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</row>
    <row r="763" spans="1:59" s="9" customFormat="1">
      <c r="A763" s="8" t="s">
        <v>1480</v>
      </c>
      <c r="B763" s="8" t="s">
        <v>489</v>
      </c>
      <c r="C763" s="9">
        <v>0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R763" s="9">
        <v>0</v>
      </c>
      <c r="S763" s="9">
        <v>1</v>
      </c>
      <c r="T763" s="9">
        <v>1</v>
      </c>
      <c r="U763" s="9">
        <v>0</v>
      </c>
      <c r="V763" s="9">
        <v>1</v>
      </c>
      <c r="W763" s="9">
        <v>0</v>
      </c>
      <c r="X763" s="9">
        <v>1</v>
      </c>
      <c r="AE763" s="9">
        <f>IFERROR(VLOOKUP($A763,pivot!$A:$G,計算式2026!AE$1,FALSE),0)</f>
        <v>0</v>
      </c>
      <c r="AF763" s="9">
        <f>IFERROR(VLOOKUP($A763,pivot!$A:$I,計算式2026!AF$1,FALSE),0)</f>
        <v>0</v>
      </c>
      <c r="AI763" s="9">
        <f>IFERROR(VLOOKUP($A763,pivot!$A:$I,計算式2026!AI$1,FALSE),0)</f>
        <v>0</v>
      </c>
      <c r="AJ763" s="9">
        <f>IFERROR(VLOOKUP($A763,pivot!$A:$I,計算式2026!AJ$1,FALSE),0)</f>
        <v>0</v>
      </c>
      <c r="AK763" s="9">
        <f>IFERROR(VLOOKUP($A763,pivot!$A:$I,計算式2026!AK$1,FALSE),0)</f>
        <v>0</v>
      </c>
      <c r="AL763" s="9">
        <f>IFERROR(VLOOKUP($A763,pivot!$A:$I,計算式2026!AL$1,FALSE),0)</f>
        <v>0</v>
      </c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</row>
    <row r="764" spans="1:59" s="9" customFormat="1">
      <c r="A764" s="8" t="s">
        <v>2084</v>
      </c>
      <c r="B764" s="8" t="s">
        <v>489</v>
      </c>
      <c r="C764" s="9">
        <v>0</v>
      </c>
      <c r="D764" s="9">
        <v>4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R764" s="9">
        <v>1</v>
      </c>
      <c r="S764" s="9">
        <v>1</v>
      </c>
      <c r="T764" s="9">
        <v>1</v>
      </c>
      <c r="U764" s="9">
        <v>0</v>
      </c>
      <c r="V764" s="9">
        <v>1</v>
      </c>
      <c r="W764" s="9">
        <v>1</v>
      </c>
      <c r="X764" s="9">
        <v>1</v>
      </c>
      <c r="AE764" s="9">
        <f>IFERROR(VLOOKUP($A764,pivot!$A:$G,計算式2026!AE$1,FALSE),0)</f>
        <v>0</v>
      </c>
      <c r="AF764" s="9">
        <f>IFERROR(VLOOKUP($A764,pivot!$A:$I,計算式2026!AF$1,FALSE),0)</f>
        <v>0</v>
      </c>
      <c r="AI764" s="9">
        <f>IFERROR(VLOOKUP($A764,pivot!$A:$I,計算式2026!AI$1,FALSE),0)</f>
        <v>0</v>
      </c>
      <c r="AJ764" s="9">
        <f>IFERROR(VLOOKUP($A764,pivot!$A:$I,計算式2026!AJ$1,FALSE),0)</f>
        <v>0</v>
      </c>
      <c r="AK764" s="9">
        <f>IFERROR(VLOOKUP($A764,pivot!$A:$I,計算式2026!AK$1,FALSE),0)</f>
        <v>0</v>
      </c>
      <c r="AL764" s="9">
        <f>IFERROR(VLOOKUP($A764,pivot!$A:$I,計算式2026!AL$1,FALSE),0)</f>
        <v>0</v>
      </c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</row>
    <row r="765" spans="1:59" s="9" customFormat="1">
      <c r="A765" s="8" t="s">
        <v>491</v>
      </c>
      <c r="B765" s="8" t="s">
        <v>489</v>
      </c>
      <c r="C765" s="9">
        <v>25</v>
      </c>
      <c r="D765" s="9">
        <v>3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R765" s="9">
        <v>2</v>
      </c>
      <c r="S765" s="9">
        <v>2</v>
      </c>
      <c r="T765" s="9">
        <v>2</v>
      </c>
      <c r="U765" s="9">
        <v>0</v>
      </c>
      <c r="V765" s="9">
        <v>1</v>
      </c>
      <c r="W765" s="9">
        <v>0</v>
      </c>
      <c r="X765" s="9">
        <v>1</v>
      </c>
      <c r="AE765" s="9">
        <f>IFERROR(VLOOKUP($A765,pivot!$A:$G,計算式2026!AE$1,FALSE),0)</f>
        <v>0</v>
      </c>
      <c r="AF765" s="9">
        <f>IFERROR(VLOOKUP($A765,pivot!$A:$I,計算式2026!AF$1,FALSE),0)</f>
        <v>0</v>
      </c>
      <c r="AI765" s="9">
        <f>IFERROR(VLOOKUP($A765,pivot!$A:$I,計算式2026!AI$1,FALSE),0)</f>
        <v>0</v>
      </c>
      <c r="AJ765" s="9">
        <f>IFERROR(VLOOKUP($A765,pivot!$A:$I,計算式2026!AJ$1,FALSE),0)</f>
        <v>0</v>
      </c>
      <c r="AK765" s="9">
        <f>IFERROR(VLOOKUP($A765,pivot!$A:$I,計算式2026!AK$1,FALSE),0)</f>
        <v>0</v>
      </c>
      <c r="AL765" s="9">
        <f>IFERROR(VLOOKUP($A765,pivot!$A:$I,計算式2026!AL$1,FALSE),0)</f>
        <v>0</v>
      </c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</row>
    <row r="766" spans="1:59" s="9" customFormat="1">
      <c r="A766" s="8" t="s">
        <v>492</v>
      </c>
      <c r="B766" s="8" t="s">
        <v>489</v>
      </c>
      <c r="C766" s="9">
        <v>0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R766" s="9">
        <v>0</v>
      </c>
      <c r="S766" s="9">
        <v>2</v>
      </c>
      <c r="T766" s="9">
        <v>1</v>
      </c>
      <c r="U766" s="9">
        <v>0</v>
      </c>
      <c r="V766" s="9">
        <v>2</v>
      </c>
      <c r="W766" s="9">
        <v>0</v>
      </c>
      <c r="X766" s="9">
        <v>1</v>
      </c>
      <c r="AE766" s="9">
        <f>IFERROR(VLOOKUP($A766,pivot!$A:$G,計算式2026!AE$1,FALSE),0)</f>
        <v>0</v>
      </c>
      <c r="AF766" s="9">
        <f>IFERROR(VLOOKUP($A766,pivot!$A:$I,計算式2026!AF$1,FALSE),0)</f>
        <v>0</v>
      </c>
      <c r="AI766" s="9">
        <f>IFERROR(VLOOKUP($A766,pivot!$A:$I,計算式2026!AI$1,FALSE),0)</f>
        <v>0</v>
      </c>
      <c r="AJ766" s="9">
        <f>IFERROR(VLOOKUP($A766,pivot!$A:$I,計算式2026!AJ$1,FALSE),0)</f>
        <v>0</v>
      </c>
      <c r="AK766" s="9">
        <f>IFERROR(VLOOKUP($A766,pivot!$A:$I,計算式2026!AK$1,FALSE),0)</f>
        <v>0</v>
      </c>
      <c r="AL766" s="9">
        <f>IFERROR(VLOOKUP($A766,pivot!$A:$I,計算式2026!AL$1,FALSE),0)</f>
        <v>0</v>
      </c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</row>
    <row r="767" spans="1:59" s="9" customFormat="1">
      <c r="A767" s="8" t="s">
        <v>493</v>
      </c>
      <c r="B767" s="8" t="s">
        <v>494</v>
      </c>
      <c r="C767" s="9">
        <v>0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R767" s="9">
        <v>2</v>
      </c>
      <c r="S767" s="9">
        <v>1</v>
      </c>
      <c r="T767" s="9">
        <v>1</v>
      </c>
      <c r="U767" s="9">
        <v>0</v>
      </c>
      <c r="V767" s="9">
        <v>1</v>
      </c>
      <c r="W767" s="9">
        <v>2</v>
      </c>
      <c r="X767" s="9">
        <v>1</v>
      </c>
      <c r="AE767" s="9">
        <f>IFERROR(VLOOKUP($A767,pivot!$A:$G,計算式2026!AE$1,FALSE),0)</f>
        <v>0</v>
      </c>
      <c r="AF767" s="9">
        <f>IFERROR(VLOOKUP($A767,pivot!$A:$I,計算式2026!AF$1,FALSE),0)</f>
        <v>0</v>
      </c>
      <c r="AI767" s="9">
        <f>IFERROR(VLOOKUP($A767,pivot!$A:$I,計算式2026!AI$1,FALSE),0)</f>
        <v>0</v>
      </c>
      <c r="AJ767" s="9">
        <f>IFERROR(VLOOKUP($A767,pivot!$A:$I,計算式2026!AJ$1,FALSE),0)</f>
        <v>0</v>
      </c>
      <c r="AK767" s="9">
        <f>IFERROR(VLOOKUP($A767,pivot!$A:$I,計算式2026!AK$1,FALSE),0)</f>
        <v>0</v>
      </c>
      <c r="AL767" s="9">
        <f>IFERROR(VLOOKUP($A767,pivot!$A:$I,計算式2026!AL$1,FALSE),0)</f>
        <v>0</v>
      </c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</row>
    <row r="768" spans="1:59" s="9" customFormat="1">
      <c r="A768" s="8" t="s">
        <v>1658</v>
      </c>
      <c r="B768" s="8" t="s">
        <v>494</v>
      </c>
      <c r="C768" s="9">
        <v>0</v>
      </c>
      <c r="D768" s="9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R768" s="9">
        <v>1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AE768" s="9">
        <f>IFERROR(VLOOKUP($A768,pivot!$A:$G,計算式2026!AE$1,FALSE),0)</f>
        <v>0</v>
      </c>
      <c r="AF768" s="9">
        <f>IFERROR(VLOOKUP($A768,pivot!$A:$I,計算式2026!AF$1,FALSE),0)</f>
        <v>0</v>
      </c>
      <c r="AI768" s="9">
        <f>IFERROR(VLOOKUP($A768,pivot!$A:$I,計算式2026!AI$1,FALSE),0)</f>
        <v>0</v>
      </c>
      <c r="AJ768" s="9">
        <f>IFERROR(VLOOKUP($A768,pivot!$A:$I,計算式2026!AJ$1,FALSE),0)</f>
        <v>0</v>
      </c>
      <c r="AK768" s="9">
        <f>IFERROR(VLOOKUP($A768,pivot!$A:$I,計算式2026!AK$1,FALSE),0)</f>
        <v>0</v>
      </c>
      <c r="AL768" s="9">
        <f>IFERROR(VLOOKUP($A768,pivot!$A:$I,計算式2026!AL$1,FALSE),0)</f>
        <v>0</v>
      </c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</row>
    <row r="769" spans="1:59" s="9" customFormat="1">
      <c r="A769" s="8" t="s">
        <v>495</v>
      </c>
      <c r="B769" s="8" t="s">
        <v>494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1</v>
      </c>
      <c r="AE769" s="9">
        <f>IFERROR(VLOOKUP($A769,pivot!$A:$G,計算式2026!AE$1,FALSE),0)</f>
        <v>0</v>
      </c>
      <c r="AF769" s="9">
        <f>IFERROR(VLOOKUP($A769,pivot!$A:$I,計算式2026!AF$1,FALSE),0)</f>
        <v>0</v>
      </c>
      <c r="AI769" s="9">
        <f>IFERROR(VLOOKUP($A769,pivot!$A:$I,計算式2026!AI$1,FALSE),0)</f>
        <v>0</v>
      </c>
      <c r="AJ769" s="9">
        <f>IFERROR(VLOOKUP($A769,pivot!$A:$I,計算式2026!AJ$1,FALSE),0)</f>
        <v>0</v>
      </c>
      <c r="AK769" s="9">
        <f>IFERROR(VLOOKUP($A769,pivot!$A:$I,計算式2026!AK$1,FALSE),0)</f>
        <v>0</v>
      </c>
      <c r="AL769" s="9">
        <f>IFERROR(VLOOKUP($A769,pivot!$A:$I,計算式2026!AL$1,FALSE),0)</f>
        <v>0</v>
      </c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</row>
    <row r="770" spans="1:59" s="9" customFormat="1">
      <c r="A770" s="8" t="s">
        <v>496</v>
      </c>
      <c r="B770" s="8" t="s">
        <v>497</v>
      </c>
      <c r="C770" s="9">
        <v>4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R770" s="9">
        <v>1</v>
      </c>
      <c r="S770" s="9">
        <v>1</v>
      </c>
      <c r="T770" s="9">
        <v>1</v>
      </c>
      <c r="U770" s="9">
        <v>0</v>
      </c>
      <c r="V770" s="9">
        <v>1</v>
      </c>
      <c r="W770" s="9">
        <v>1</v>
      </c>
      <c r="X770" s="9">
        <v>1</v>
      </c>
      <c r="AE770" s="9">
        <f>IFERROR(VLOOKUP($A770,pivot!$A:$G,計算式2026!AE$1,FALSE),0)</f>
        <v>0</v>
      </c>
      <c r="AF770" s="9">
        <f>IFERROR(VLOOKUP($A770,pivot!$A:$I,計算式2026!AF$1,FALSE),0)</f>
        <v>0</v>
      </c>
      <c r="AI770" s="9">
        <f>IFERROR(VLOOKUP($A770,pivot!$A:$I,計算式2026!AI$1,FALSE),0)</f>
        <v>0</v>
      </c>
      <c r="AJ770" s="9">
        <f>IFERROR(VLOOKUP($A770,pivot!$A:$I,計算式2026!AJ$1,FALSE),0)</f>
        <v>0</v>
      </c>
      <c r="AK770" s="9">
        <f>IFERROR(VLOOKUP($A770,pivot!$A:$I,計算式2026!AK$1,FALSE),0)</f>
        <v>0</v>
      </c>
      <c r="AL770" s="9">
        <f>IFERROR(VLOOKUP($A770,pivot!$A:$I,計算式2026!AL$1,FALSE),0)</f>
        <v>0</v>
      </c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</row>
    <row r="771" spans="1:59" s="9" customFormat="1">
      <c r="A771" s="8" t="s">
        <v>1659</v>
      </c>
      <c r="B771" s="8" t="s">
        <v>497</v>
      </c>
      <c r="C771" s="9">
        <v>0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R771" s="9">
        <v>0</v>
      </c>
      <c r="S771" s="9">
        <v>0</v>
      </c>
      <c r="T771" s="9">
        <v>1</v>
      </c>
      <c r="U771" s="9">
        <v>0</v>
      </c>
      <c r="V771" s="9">
        <v>1</v>
      </c>
      <c r="W771" s="9">
        <v>1</v>
      </c>
      <c r="X771" s="9">
        <v>1</v>
      </c>
      <c r="AE771" s="9">
        <f>IFERROR(VLOOKUP($A771,pivot!$A:$G,計算式2026!AE$1,FALSE),0)</f>
        <v>0</v>
      </c>
      <c r="AF771" s="9">
        <f>IFERROR(VLOOKUP($A771,pivot!$A:$I,計算式2026!AF$1,FALSE),0)</f>
        <v>0</v>
      </c>
      <c r="AI771" s="9">
        <f>IFERROR(VLOOKUP($A771,pivot!$A:$I,計算式2026!AI$1,FALSE),0)</f>
        <v>0</v>
      </c>
      <c r="AJ771" s="9">
        <f>IFERROR(VLOOKUP($A771,pivot!$A:$I,計算式2026!AJ$1,FALSE),0)</f>
        <v>0</v>
      </c>
      <c r="AK771" s="9">
        <f>IFERROR(VLOOKUP($A771,pivot!$A:$I,計算式2026!AK$1,FALSE),0)</f>
        <v>0</v>
      </c>
      <c r="AL771" s="9">
        <f>IFERROR(VLOOKUP($A771,pivot!$A:$I,計算式2026!AL$1,FALSE),0)</f>
        <v>0</v>
      </c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</row>
    <row r="772" spans="1:59" s="9" customFormat="1">
      <c r="A772" s="8" t="s">
        <v>498</v>
      </c>
      <c r="B772" s="8" t="s">
        <v>497</v>
      </c>
      <c r="C772" s="9">
        <v>10</v>
      </c>
      <c r="D772" s="9">
        <v>1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R772" s="9">
        <v>1</v>
      </c>
      <c r="S772" s="9">
        <v>1</v>
      </c>
      <c r="T772" s="9">
        <v>1</v>
      </c>
      <c r="U772" s="9">
        <v>0</v>
      </c>
      <c r="V772" s="9">
        <v>2</v>
      </c>
      <c r="W772" s="9">
        <v>0</v>
      </c>
      <c r="X772" s="9">
        <v>1</v>
      </c>
      <c r="AE772" s="9">
        <f>IFERROR(VLOOKUP($A772,pivot!$A:$G,計算式2026!AE$1,FALSE),0)</f>
        <v>0</v>
      </c>
      <c r="AF772" s="9">
        <f>IFERROR(VLOOKUP($A772,pivot!$A:$I,計算式2026!AF$1,FALSE),0)</f>
        <v>0</v>
      </c>
      <c r="AI772" s="9">
        <f>IFERROR(VLOOKUP($A772,pivot!$A:$I,計算式2026!AI$1,FALSE),0)</f>
        <v>0</v>
      </c>
      <c r="AJ772" s="9">
        <f>IFERROR(VLOOKUP($A772,pivot!$A:$I,計算式2026!AJ$1,FALSE),0)</f>
        <v>0</v>
      </c>
      <c r="AK772" s="9">
        <f>IFERROR(VLOOKUP($A772,pivot!$A:$I,計算式2026!AK$1,FALSE),0)</f>
        <v>0</v>
      </c>
      <c r="AL772" s="9">
        <f>IFERROR(VLOOKUP($A772,pivot!$A:$I,計算式2026!AL$1,FALSE),0)</f>
        <v>0</v>
      </c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</row>
    <row r="773" spans="1:59" s="9" customFormat="1">
      <c r="A773" s="8" t="s">
        <v>499</v>
      </c>
      <c r="B773" s="8" t="s">
        <v>500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R773" s="9">
        <v>1</v>
      </c>
      <c r="S773" s="9">
        <v>0</v>
      </c>
      <c r="T773" s="9">
        <v>1</v>
      </c>
      <c r="U773" s="9">
        <v>0</v>
      </c>
      <c r="V773" s="9">
        <v>0</v>
      </c>
      <c r="W773" s="9">
        <v>1</v>
      </c>
      <c r="X773" s="9">
        <v>1</v>
      </c>
      <c r="AE773" s="9">
        <f>IFERROR(VLOOKUP($A773,pivot!$A:$G,計算式2026!AE$1,FALSE),0)</f>
        <v>0</v>
      </c>
      <c r="AF773" s="9">
        <f>IFERROR(VLOOKUP($A773,pivot!$A:$I,計算式2026!AF$1,FALSE),0)</f>
        <v>0</v>
      </c>
      <c r="AI773" s="9">
        <f>IFERROR(VLOOKUP($A773,pivot!$A:$I,計算式2026!AI$1,FALSE),0)</f>
        <v>0</v>
      </c>
      <c r="AJ773" s="9">
        <f>IFERROR(VLOOKUP($A773,pivot!$A:$I,計算式2026!AJ$1,FALSE),0)</f>
        <v>0</v>
      </c>
      <c r="AK773" s="9">
        <f>IFERROR(VLOOKUP($A773,pivot!$A:$I,計算式2026!AK$1,FALSE),0)</f>
        <v>0</v>
      </c>
      <c r="AL773" s="9">
        <f>IFERROR(VLOOKUP($A773,pivot!$A:$I,計算式2026!AL$1,FALSE),0)</f>
        <v>0</v>
      </c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</row>
    <row r="774" spans="1:59" s="9" customFormat="1">
      <c r="A774" s="8" t="s">
        <v>501</v>
      </c>
      <c r="B774" s="8" t="s">
        <v>500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R774" s="9">
        <v>2</v>
      </c>
      <c r="S774" s="9">
        <v>0</v>
      </c>
      <c r="T774" s="9">
        <v>2</v>
      </c>
      <c r="U774" s="9">
        <v>0</v>
      </c>
      <c r="V774" s="9">
        <v>0</v>
      </c>
      <c r="W774" s="9">
        <v>0</v>
      </c>
      <c r="X774" s="9">
        <v>1</v>
      </c>
      <c r="AE774" s="9">
        <f>IFERROR(VLOOKUP($A774,pivot!$A:$G,計算式2026!AE$1,FALSE),0)</f>
        <v>0</v>
      </c>
      <c r="AF774" s="9">
        <f>IFERROR(VLOOKUP($A774,pivot!$A:$I,計算式2026!AF$1,FALSE),0)</f>
        <v>0</v>
      </c>
      <c r="AI774" s="9">
        <f>IFERROR(VLOOKUP($A774,pivot!$A:$I,計算式2026!AI$1,FALSE),0)</f>
        <v>0</v>
      </c>
      <c r="AJ774" s="9">
        <f>IFERROR(VLOOKUP($A774,pivot!$A:$I,計算式2026!AJ$1,FALSE),0)</f>
        <v>0</v>
      </c>
      <c r="AK774" s="9">
        <f>IFERROR(VLOOKUP($A774,pivot!$A:$I,計算式2026!AK$1,FALSE),0)</f>
        <v>0</v>
      </c>
      <c r="AL774" s="9">
        <f>IFERROR(VLOOKUP($A774,pivot!$A:$I,計算式2026!AL$1,FALSE),0)</f>
        <v>0</v>
      </c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</row>
    <row r="775" spans="1:59" s="9" customFormat="1">
      <c r="A775" s="8" t="s">
        <v>1660</v>
      </c>
      <c r="B775" s="8" t="s">
        <v>500</v>
      </c>
      <c r="C775" s="9">
        <v>0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R775" s="9">
        <v>0</v>
      </c>
      <c r="S775" s="9">
        <v>1</v>
      </c>
      <c r="T775" s="9">
        <v>1</v>
      </c>
      <c r="U775" s="9">
        <v>0</v>
      </c>
      <c r="V775" s="9">
        <v>0</v>
      </c>
      <c r="W775" s="9">
        <v>1</v>
      </c>
      <c r="X775" s="9">
        <v>0</v>
      </c>
      <c r="AE775" s="9">
        <f>IFERROR(VLOOKUP($A775,pivot!$A:$G,計算式2026!AE$1,FALSE),0)</f>
        <v>0</v>
      </c>
      <c r="AF775" s="9">
        <f>IFERROR(VLOOKUP($A775,pivot!$A:$I,計算式2026!AF$1,FALSE),0)</f>
        <v>0</v>
      </c>
      <c r="AI775" s="9">
        <f>IFERROR(VLOOKUP($A775,pivot!$A:$I,計算式2026!AI$1,FALSE),0)</f>
        <v>0</v>
      </c>
      <c r="AJ775" s="9">
        <f>IFERROR(VLOOKUP($A775,pivot!$A:$I,計算式2026!AJ$1,FALSE),0)</f>
        <v>0</v>
      </c>
      <c r="AK775" s="9">
        <f>IFERROR(VLOOKUP($A775,pivot!$A:$I,計算式2026!AK$1,FALSE),0)</f>
        <v>0</v>
      </c>
      <c r="AL775" s="9">
        <f>IFERROR(VLOOKUP($A775,pivot!$A:$I,計算式2026!AL$1,FALSE),0)</f>
        <v>0</v>
      </c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</row>
    <row r="776" spans="1:59" s="9" customFormat="1">
      <c r="A776" s="8" t="s">
        <v>502</v>
      </c>
      <c r="B776" s="8" t="s">
        <v>503</v>
      </c>
      <c r="C776" s="9">
        <v>3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1</v>
      </c>
      <c r="X776" s="9">
        <v>0</v>
      </c>
      <c r="AE776" s="9">
        <f>IFERROR(VLOOKUP($A776,pivot!$A:$G,計算式2026!AE$1,FALSE),0)</f>
        <v>0</v>
      </c>
      <c r="AF776" s="9">
        <f>IFERROR(VLOOKUP($A776,pivot!$A:$I,計算式2026!AF$1,FALSE),0)</f>
        <v>0</v>
      </c>
      <c r="AI776" s="9">
        <f>IFERROR(VLOOKUP($A776,pivot!$A:$I,計算式2026!AI$1,FALSE),0)</f>
        <v>0</v>
      </c>
      <c r="AJ776" s="9">
        <f>IFERROR(VLOOKUP($A776,pivot!$A:$I,計算式2026!AJ$1,FALSE),0)</f>
        <v>0</v>
      </c>
      <c r="AK776" s="9">
        <f>IFERROR(VLOOKUP($A776,pivot!$A:$I,計算式2026!AK$1,FALSE),0)</f>
        <v>0</v>
      </c>
      <c r="AL776" s="9">
        <f>IFERROR(VLOOKUP($A776,pivot!$A:$I,計算式2026!AL$1,FALSE),0)</f>
        <v>0</v>
      </c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</row>
    <row r="777" spans="1:59" s="9" customFormat="1">
      <c r="A777" s="8" t="s">
        <v>2742</v>
      </c>
      <c r="B777" s="8" t="s">
        <v>503</v>
      </c>
      <c r="C777" s="9">
        <v>2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1</v>
      </c>
      <c r="X777" s="9">
        <v>0</v>
      </c>
      <c r="AE777" s="9">
        <f>IFERROR(VLOOKUP($A777,pivot!$A:$G,計算式2026!AE$1,FALSE),0)</f>
        <v>0</v>
      </c>
      <c r="AF777" s="9">
        <f>IFERROR(VLOOKUP($A777,pivot!$A:$I,計算式2026!AF$1,FALSE),0)</f>
        <v>0</v>
      </c>
      <c r="AI777" s="9">
        <f>IFERROR(VLOOKUP($A777,pivot!$A:$I,計算式2026!AI$1,FALSE),0)</f>
        <v>0</v>
      </c>
      <c r="AJ777" s="9">
        <f>IFERROR(VLOOKUP($A777,pivot!$A:$I,計算式2026!AJ$1,FALSE),0)</f>
        <v>0</v>
      </c>
      <c r="AK777" s="9">
        <f>IFERROR(VLOOKUP($A777,pivot!$A:$I,計算式2026!AK$1,FALSE),0)</f>
        <v>0</v>
      </c>
      <c r="AL777" s="9">
        <f>IFERROR(VLOOKUP($A777,pivot!$A:$I,計算式2026!AL$1,FALSE),0)</f>
        <v>0</v>
      </c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</row>
    <row r="778" spans="1:59" s="9" customFormat="1">
      <c r="A778" s="8" t="s">
        <v>1661</v>
      </c>
      <c r="B778" s="8" t="s">
        <v>2085</v>
      </c>
      <c r="C778" s="9">
        <v>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1</v>
      </c>
      <c r="AE778" s="9">
        <f>IFERROR(VLOOKUP($A778,pivot!$A:$G,計算式2026!AE$1,FALSE),0)</f>
        <v>0</v>
      </c>
      <c r="AF778" s="9">
        <f>IFERROR(VLOOKUP($A778,pivot!$A:$I,計算式2026!AF$1,FALSE),0)</f>
        <v>0</v>
      </c>
      <c r="AI778" s="9">
        <f>IFERROR(VLOOKUP($A778,pivot!$A:$I,計算式2026!AI$1,FALSE),0)</f>
        <v>0</v>
      </c>
      <c r="AJ778" s="9">
        <f>IFERROR(VLOOKUP($A778,pivot!$A:$I,計算式2026!AJ$1,FALSE),0)</f>
        <v>0</v>
      </c>
      <c r="AK778" s="9">
        <f>IFERROR(VLOOKUP($A778,pivot!$A:$I,計算式2026!AK$1,FALSE),0)</f>
        <v>0</v>
      </c>
      <c r="AL778" s="9">
        <f>IFERROR(VLOOKUP($A778,pivot!$A:$I,計算式2026!AL$1,FALSE),0)</f>
        <v>0</v>
      </c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</row>
    <row r="779" spans="1:59" s="9" customFormat="1">
      <c r="A779" s="8" t="s">
        <v>504</v>
      </c>
      <c r="B779" s="8" t="s">
        <v>505</v>
      </c>
      <c r="C779" s="9">
        <v>9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R779" s="9">
        <v>0</v>
      </c>
      <c r="S779" s="9">
        <v>0</v>
      </c>
      <c r="T779" s="9">
        <v>1</v>
      </c>
      <c r="U779" s="9">
        <v>0</v>
      </c>
      <c r="V779" s="9">
        <v>1</v>
      </c>
      <c r="W779" s="9">
        <v>0</v>
      </c>
      <c r="X779" s="9">
        <v>1</v>
      </c>
      <c r="AE779" s="9">
        <f>IFERROR(VLOOKUP($A779,pivot!$A:$G,計算式2026!AE$1,FALSE),0)</f>
        <v>0</v>
      </c>
      <c r="AF779" s="9">
        <f>IFERROR(VLOOKUP($A779,pivot!$A:$I,計算式2026!AF$1,FALSE),0)</f>
        <v>0</v>
      </c>
      <c r="AI779" s="9">
        <f>IFERROR(VLOOKUP($A779,pivot!$A:$I,計算式2026!AI$1,FALSE),0)</f>
        <v>0</v>
      </c>
      <c r="AJ779" s="9">
        <f>IFERROR(VLOOKUP($A779,pivot!$A:$I,計算式2026!AJ$1,FALSE),0)</f>
        <v>0</v>
      </c>
      <c r="AK779" s="9">
        <f>IFERROR(VLOOKUP($A779,pivot!$A:$I,計算式2026!AK$1,FALSE),0)</f>
        <v>0</v>
      </c>
      <c r="AL779" s="9">
        <f>IFERROR(VLOOKUP($A779,pivot!$A:$I,計算式2026!AL$1,FALSE),0)</f>
        <v>0</v>
      </c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</row>
    <row r="780" spans="1:59" s="9" customFormat="1">
      <c r="A780" s="8" t="s">
        <v>506</v>
      </c>
      <c r="B780" s="8" t="s">
        <v>505</v>
      </c>
      <c r="C780" s="9">
        <v>10</v>
      </c>
      <c r="D780" s="9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R780" s="9">
        <v>0</v>
      </c>
      <c r="S780" s="9">
        <v>0</v>
      </c>
      <c r="T780" s="9">
        <v>1</v>
      </c>
      <c r="U780" s="9">
        <v>0</v>
      </c>
      <c r="V780" s="9">
        <v>0</v>
      </c>
      <c r="W780" s="9">
        <v>1</v>
      </c>
      <c r="X780" s="9">
        <v>1</v>
      </c>
      <c r="AE780" s="9">
        <f>IFERROR(VLOOKUP($A780,pivot!$A:$G,計算式2026!AE$1,FALSE),0)</f>
        <v>0</v>
      </c>
      <c r="AF780" s="9">
        <f>IFERROR(VLOOKUP($A780,pivot!$A:$I,計算式2026!AF$1,FALSE),0)</f>
        <v>0</v>
      </c>
      <c r="AI780" s="9">
        <f>IFERROR(VLOOKUP($A780,pivot!$A:$I,計算式2026!AI$1,FALSE),0)</f>
        <v>0</v>
      </c>
      <c r="AJ780" s="9">
        <f>IFERROR(VLOOKUP($A780,pivot!$A:$I,計算式2026!AJ$1,FALSE),0)</f>
        <v>0</v>
      </c>
      <c r="AK780" s="9">
        <f>IFERROR(VLOOKUP($A780,pivot!$A:$I,計算式2026!AK$1,FALSE),0)</f>
        <v>0</v>
      </c>
      <c r="AL780" s="9">
        <f>IFERROR(VLOOKUP($A780,pivot!$A:$I,計算式2026!AL$1,FALSE),0)</f>
        <v>0</v>
      </c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</row>
    <row r="781" spans="1:59" s="9" customFormat="1">
      <c r="A781" s="8" t="s">
        <v>507</v>
      </c>
      <c r="B781" s="8" t="s">
        <v>508</v>
      </c>
      <c r="C781" s="9">
        <v>0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R781" s="9">
        <v>3</v>
      </c>
      <c r="S781" s="9">
        <v>3</v>
      </c>
      <c r="T781" s="9">
        <v>1</v>
      </c>
      <c r="U781" s="9">
        <v>1</v>
      </c>
      <c r="V781" s="9">
        <v>4</v>
      </c>
      <c r="W781" s="9">
        <v>0</v>
      </c>
      <c r="X781" s="9">
        <v>1</v>
      </c>
      <c r="AE781" s="9">
        <f>IFERROR(VLOOKUP($A781,pivot!$A:$G,計算式2026!AE$1,FALSE),0)</f>
        <v>0</v>
      </c>
      <c r="AF781" s="9">
        <f>IFERROR(VLOOKUP($A781,pivot!$A:$I,計算式2026!AF$1,FALSE),0)</f>
        <v>0</v>
      </c>
      <c r="AI781" s="9">
        <f>IFERROR(VLOOKUP($A781,pivot!$A:$I,計算式2026!AI$1,FALSE),0)</f>
        <v>0</v>
      </c>
      <c r="AJ781" s="9">
        <f>IFERROR(VLOOKUP($A781,pivot!$A:$I,計算式2026!AJ$1,FALSE),0)</f>
        <v>0</v>
      </c>
      <c r="AK781" s="9">
        <f>IFERROR(VLOOKUP($A781,pivot!$A:$I,計算式2026!AK$1,FALSE),0)</f>
        <v>0</v>
      </c>
      <c r="AL781" s="9">
        <f>IFERROR(VLOOKUP($A781,pivot!$A:$I,計算式2026!AL$1,FALSE),0)</f>
        <v>0</v>
      </c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</row>
    <row r="782" spans="1:59" s="9" customFormat="1">
      <c r="A782" s="8" t="s">
        <v>509</v>
      </c>
      <c r="B782" s="8" t="s">
        <v>508</v>
      </c>
      <c r="C782" s="9">
        <v>4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R782" s="9">
        <v>3</v>
      </c>
      <c r="S782" s="9">
        <v>3</v>
      </c>
      <c r="T782" s="9">
        <v>2</v>
      </c>
      <c r="U782" s="9">
        <v>3</v>
      </c>
      <c r="V782" s="9">
        <v>3</v>
      </c>
      <c r="W782" s="9">
        <v>1</v>
      </c>
      <c r="X782" s="9">
        <v>1</v>
      </c>
      <c r="AE782" s="9">
        <f>IFERROR(VLOOKUP($A782,pivot!$A:$G,計算式2026!AE$1,FALSE),0)</f>
        <v>0</v>
      </c>
      <c r="AF782" s="9">
        <f>IFERROR(VLOOKUP($A782,pivot!$A:$I,計算式2026!AF$1,FALSE),0)</f>
        <v>0</v>
      </c>
      <c r="AI782" s="9">
        <f>IFERROR(VLOOKUP($A782,pivot!$A:$I,計算式2026!AI$1,FALSE),0)</f>
        <v>0</v>
      </c>
      <c r="AJ782" s="9">
        <f>IFERROR(VLOOKUP($A782,pivot!$A:$I,計算式2026!AJ$1,FALSE),0)</f>
        <v>0</v>
      </c>
      <c r="AK782" s="9">
        <f>IFERROR(VLOOKUP($A782,pivot!$A:$I,計算式2026!AK$1,FALSE),0)</f>
        <v>0</v>
      </c>
      <c r="AL782" s="9">
        <f>IFERROR(VLOOKUP($A782,pivot!$A:$I,計算式2026!AL$1,FALSE),0)</f>
        <v>0</v>
      </c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</row>
    <row r="783" spans="1:59" s="9" customFormat="1">
      <c r="A783" s="8" t="s">
        <v>510</v>
      </c>
      <c r="B783" s="8" t="s">
        <v>508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R783" s="9">
        <v>2</v>
      </c>
      <c r="S783" s="9">
        <v>0</v>
      </c>
      <c r="T783" s="9">
        <v>0</v>
      </c>
      <c r="U783" s="9">
        <v>1</v>
      </c>
      <c r="V783" s="9">
        <v>1</v>
      </c>
      <c r="W783" s="9">
        <v>0</v>
      </c>
      <c r="X783" s="9">
        <v>1</v>
      </c>
      <c r="AE783" s="9">
        <f>IFERROR(VLOOKUP($A783,pivot!$A:$G,計算式2026!AE$1,FALSE),0)</f>
        <v>0</v>
      </c>
      <c r="AF783" s="9">
        <f>IFERROR(VLOOKUP($A783,pivot!$A:$I,計算式2026!AF$1,FALSE),0)</f>
        <v>0</v>
      </c>
      <c r="AI783" s="9">
        <f>IFERROR(VLOOKUP($A783,pivot!$A:$I,計算式2026!AI$1,FALSE),0)</f>
        <v>0</v>
      </c>
      <c r="AJ783" s="9">
        <f>IFERROR(VLOOKUP($A783,pivot!$A:$I,計算式2026!AJ$1,FALSE),0)</f>
        <v>0</v>
      </c>
      <c r="AK783" s="9">
        <f>IFERROR(VLOOKUP($A783,pivot!$A:$I,計算式2026!AK$1,FALSE),0)</f>
        <v>0</v>
      </c>
      <c r="AL783" s="9">
        <f>IFERROR(VLOOKUP($A783,pivot!$A:$I,計算式2026!AL$1,FALSE),0)</f>
        <v>0</v>
      </c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</row>
    <row r="784" spans="1:59" s="9" customFormat="1">
      <c r="A784" s="8" t="s">
        <v>1662</v>
      </c>
      <c r="B784" s="8" t="s">
        <v>508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R784" s="9">
        <v>3</v>
      </c>
      <c r="S784" s="9">
        <v>3</v>
      </c>
      <c r="T784" s="9">
        <v>1</v>
      </c>
      <c r="U784" s="9">
        <v>2</v>
      </c>
      <c r="V784" s="9">
        <v>0</v>
      </c>
      <c r="W784" s="9">
        <v>1</v>
      </c>
      <c r="X784" s="9">
        <v>1</v>
      </c>
      <c r="AE784" s="9">
        <f>IFERROR(VLOOKUP($A784,pivot!$A:$G,計算式2026!AE$1,FALSE),0)</f>
        <v>0</v>
      </c>
      <c r="AF784" s="9">
        <f>IFERROR(VLOOKUP($A784,pivot!$A:$I,計算式2026!AF$1,FALSE),0)</f>
        <v>0</v>
      </c>
      <c r="AI784" s="9">
        <f>IFERROR(VLOOKUP($A784,pivot!$A:$I,計算式2026!AI$1,FALSE),0)</f>
        <v>0</v>
      </c>
      <c r="AJ784" s="9">
        <f>IFERROR(VLOOKUP($A784,pivot!$A:$I,計算式2026!AJ$1,FALSE),0)</f>
        <v>0</v>
      </c>
      <c r="AK784" s="9">
        <f>IFERROR(VLOOKUP($A784,pivot!$A:$I,計算式2026!AK$1,FALSE),0)</f>
        <v>0</v>
      </c>
      <c r="AL784" s="9">
        <f>IFERROR(VLOOKUP($A784,pivot!$A:$I,計算式2026!AL$1,FALSE),0)</f>
        <v>0</v>
      </c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</row>
    <row r="785" spans="1:59" s="9" customFormat="1">
      <c r="A785" s="8" t="s">
        <v>2086</v>
      </c>
      <c r="B785" s="8" t="s">
        <v>508</v>
      </c>
      <c r="C785" s="9">
        <v>0</v>
      </c>
      <c r="D785" s="9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R785" s="9">
        <v>1</v>
      </c>
      <c r="S785" s="9">
        <v>0</v>
      </c>
      <c r="T785" s="9">
        <v>1</v>
      </c>
      <c r="U785" s="9">
        <v>1</v>
      </c>
      <c r="V785" s="9">
        <v>1</v>
      </c>
      <c r="W785" s="9">
        <v>1</v>
      </c>
      <c r="X785" s="9">
        <v>1</v>
      </c>
      <c r="AE785" s="9">
        <f>IFERROR(VLOOKUP($A785,pivot!$A:$G,計算式2026!AE$1,FALSE),0)</f>
        <v>0</v>
      </c>
      <c r="AF785" s="9">
        <f>IFERROR(VLOOKUP($A785,pivot!$A:$I,計算式2026!AF$1,FALSE),0)</f>
        <v>0</v>
      </c>
      <c r="AI785" s="9">
        <f>IFERROR(VLOOKUP($A785,pivot!$A:$I,計算式2026!AI$1,FALSE),0)</f>
        <v>0</v>
      </c>
      <c r="AJ785" s="9">
        <f>IFERROR(VLOOKUP($A785,pivot!$A:$I,計算式2026!AJ$1,FALSE),0)</f>
        <v>0</v>
      </c>
      <c r="AK785" s="9">
        <f>IFERROR(VLOOKUP($A785,pivot!$A:$I,計算式2026!AK$1,FALSE),0)</f>
        <v>0</v>
      </c>
      <c r="AL785" s="9">
        <f>IFERROR(VLOOKUP($A785,pivot!$A:$I,計算式2026!AL$1,FALSE),0)</f>
        <v>0</v>
      </c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</row>
    <row r="786" spans="1:59" s="9" customFormat="1">
      <c r="A786" s="8" t="s">
        <v>511</v>
      </c>
      <c r="B786" s="8" t="s">
        <v>508</v>
      </c>
      <c r="C786" s="9">
        <v>3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R786" s="9">
        <v>2</v>
      </c>
      <c r="S786" s="9">
        <v>3</v>
      </c>
      <c r="T786" s="9">
        <v>1</v>
      </c>
      <c r="U786" s="9">
        <v>3</v>
      </c>
      <c r="V786" s="9">
        <v>3</v>
      </c>
      <c r="W786" s="9">
        <v>1</v>
      </c>
      <c r="X786" s="9">
        <v>1</v>
      </c>
      <c r="AE786" s="9">
        <f>IFERROR(VLOOKUP($A786,pivot!$A:$G,計算式2026!AE$1,FALSE),0)</f>
        <v>0</v>
      </c>
      <c r="AF786" s="9">
        <f>IFERROR(VLOOKUP($A786,pivot!$A:$I,計算式2026!AF$1,FALSE),0)</f>
        <v>0</v>
      </c>
      <c r="AI786" s="9">
        <f>IFERROR(VLOOKUP($A786,pivot!$A:$I,計算式2026!AI$1,FALSE),0)</f>
        <v>0</v>
      </c>
      <c r="AJ786" s="9">
        <f>IFERROR(VLOOKUP($A786,pivot!$A:$I,計算式2026!AJ$1,FALSE),0)</f>
        <v>0</v>
      </c>
      <c r="AK786" s="9">
        <f>IFERROR(VLOOKUP($A786,pivot!$A:$I,計算式2026!AK$1,FALSE),0)</f>
        <v>0</v>
      </c>
      <c r="AL786" s="9">
        <f>IFERROR(VLOOKUP($A786,pivot!$A:$I,計算式2026!AL$1,FALSE),0)</f>
        <v>0</v>
      </c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</row>
    <row r="787" spans="1:59" s="9" customFormat="1">
      <c r="A787" s="8" t="s">
        <v>512</v>
      </c>
      <c r="B787" s="8" t="s">
        <v>513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R787" s="9">
        <v>3</v>
      </c>
      <c r="S787" s="9">
        <v>4</v>
      </c>
      <c r="T787" s="9">
        <v>0</v>
      </c>
      <c r="U787" s="9">
        <v>0</v>
      </c>
      <c r="V787" s="9">
        <v>3</v>
      </c>
      <c r="W787" s="9">
        <v>0</v>
      </c>
      <c r="X787" s="9">
        <v>0</v>
      </c>
      <c r="AE787" s="9">
        <f>IFERROR(VLOOKUP($A787,pivot!$A:$G,計算式2026!AE$1,FALSE),0)</f>
        <v>0</v>
      </c>
      <c r="AF787" s="9">
        <f>IFERROR(VLOOKUP($A787,pivot!$A:$I,計算式2026!AF$1,FALSE),0)</f>
        <v>0</v>
      </c>
      <c r="AI787" s="9">
        <f>IFERROR(VLOOKUP($A787,pivot!$A:$I,計算式2026!AI$1,FALSE),0)</f>
        <v>0</v>
      </c>
      <c r="AJ787" s="9">
        <f>IFERROR(VLOOKUP($A787,pivot!$A:$I,計算式2026!AJ$1,FALSE),0)</f>
        <v>0</v>
      </c>
      <c r="AK787" s="9">
        <f>IFERROR(VLOOKUP($A787,pivot!$A:$I,計算式2026!AK$1,FALSE),0)</f>
        <v>0</v>
      </c>
      <c r="AL787" s="9">
        <f>IFERROR(VLOOKUP($A787,pivot!$A:$I,計算式2026!AL$1,FALSE),0)</f>
        <v>0</v>
      </c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</row>
    <row r="788" spans="1:59" s="9" customFormat="1">
      <c r="A788" s="8" t="s">
        <v>514</v>
      </c>
      <c r="B788" s="8" t="s">
        <v>513</v>
      </c>
      <c r="C788" s="9">
        <v>0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R788" s="9">
        <v>3</v>
      </c>
      <c r="S788" s="9">
        <v>2</v>
      </c>
      <c r="T788" s="9">
        <v>1</v>
      </c>
      <c r="U788" s="9">
        <v>2</v>
      </c>
      <c r="V788" s="9">
        <v>3</v>
      </c>
      <c r="W788" s="9">
        <v>1</v>
      </c>
      <c r="X788" s="9">
        <v>1</v>
      </c>
      <c r="AE788" s="9">
        <f>IFERROR(VLOOKUP($A788,pivot!$A:$G,計算式2026!AE$1,FALSE),0)</f>
        <v>0</v>
      </c>
      <c r="AF788" s="9">
        <f>IFERROR(VLOOKUP($A788,pivot!$A:$I,計算式2026!AF$1,FALSE),0)</f>
        <v>0</v>
      </c>
      <c r="AI788" s="9">
        <f>IFERROR(VLOOKUP($A788,pivot!$A:$I,計算式2026!AI$1,FALSE),0)</f>
        <v>0</v>
      </c>
      <c r="AJ788" s="9">
        <f>IFERROR(VLOOKUP($A788,pivot!$A:$I,計算式2026!AJ$1,FALSE),0)</f>
        <v>0</v>
      </c>
      <c r="AK788" s="9">
        <f>IFERROR(VLOOKUP($A788,pivot!$A:$I,計算式2026!AK$1,FALSE),0)</f>
        <v>0</v>
      </c>
      <c r="AL788" s="9">
        <f>IFERROR(VLOOKUP($A788,pivot!$A:$I,計算式2026!AL$1,FALSE),0)</f>
        <v>0</v>
      </c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</row>
    <row r="789" spans="1:59" s="9" customFormat="1">
      <c r="A789" s="8" t="s">
        <v>515</v>
      </c>
      <c r="B789" s="8" t="s">
        <v>513</v>
      </c>
      <c r="C789" s="9">
        <v>14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R789" s="9">
        <v>3</v>
      </c>
      <c r="S789" s="9">
        <v>3</v>
      </c>
      <c r="T789" s="9">
        <v>1</v>
      </c>
      <c r="U789" s="9">
        <v>3</v>
      </c>
      <c r="V789" s="9">
        <v>3</v>
      </c>
      <c r="W789" s="9">
        <v>1</v>
      </c>
      <c r="X789" s="9">
        <v>1</v>
      </c>
      <c r="AE789" s="9">
        <f>IFERROR(VLOOKUP($A789,pivot!$A:$G,計算式2026!AE$1,FALSE),0)</f>
        <v>0</v>
      </c>
      <c r="AF789" s="9">
        <f>IFERROR(VLOOKUP($A789,pivot!$A:$I,計算式2026!AF$1,FALSE),0)</f>
        <v>0</v>
      </c>
      <c r="AI789" s="9">
        <f>IFERROR(VLOOKUP($A789,pivot!$A:$I,計算式2026!AI$1,FALSE),0)</f>
        <v>0</v>
      </c>
      <c r="AJ789" s="9">
        <f>IFERROR(VLOOKUP($A789,pivot!$A:$I,計算式2026!AJ$1,FALSE),0)</f>
        <v>0</v>
      </c>
      <c r="AK789" s="9">
        <f>IFERROR(VLOOKUP($A789,pivot!$A:$I,計算式2026!AK$1,FALSE),0)</f>
        <v>0</v>
      </c>
      <c r="AL789" s="9">
        <f>IFERROR(VLOOKUP($A789,pivot!$A:$I,計算式2026!AL$1,FALSE),0)</f>
        <v>0</v>
      </c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</row>
    <row r="790" spans="1:59" s="9" customFormat="1">
      <c r="A790" s="8" t="s">
        <v>1663</v>
      </c>
      <c r="B790" s="8" t="s">
        <v>513</v>
      </c>
      <c r="C790" s="9">
        <v>0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R790" s="9">
        <v>3</v>
      </c>
      <c r="S790" s="9">
        <v>0</v>
      </c>
      <c r="T790" s="9">
        <v>1</v>
      </c>
      <c r="U790" s="9">
        <v>2</v>
      </c>
      <c r="V790" s="9">
        <v>0</v>
      </c>
      <c r="W790" s="9">
        <v>2</v>
      </c>
      <c r="X790" s="9">
        <v>1</v>
      </c>
      <c r="AE790" s="9">
        <f>IFERROR(VLOOKUP($A790,pivot!$A:$G,計算式2026!AE$1,FALSE),0)</f>
        <v>0</v>
      </c>
      <c r="AF790" s="9">
        <f>IFERROR(VLOOKUP($A790,pivot!$A:$I,計算式2026!AF$1,FALSE),0)</f>
        <v>0</v>
      </c>
      <c r="AI790" s="9">
        <f>IFERROR(VLOOKUP($A790,pivot!$A:$I,計算式2026!AI$1,FALSE),0)</f>
        <v>0</v>
      </c>
      <c r="AJ790" s="9">
        <f>IFERROR(VLOOKUP($A790,pivot!$A:$I,計算式2026!AJ$1,FALSE),0)</f>
        <v>0</v>
      </c>
      <c r="AK790" s="9">
        <f>IFERROR(VLOOKUP($A790,pivot!$A:$I,計算式2026!AK$1,FALSE),0)</f>
        <v>0</v>
      </c>
      <c r="AL790" s="9">
        <f>IFERROR(VLOOKUP($A790,pivot!$A:$I,計算式2026!AL$1,FALSE),0)</f>
        <v>0</v>
      </c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</row>
    <row r="791" spans="1:59" s="9" customFormat="1">
      <c r="A791" s="8" t="s">
        <v>2087</v>
      </c>
      <c r="B791" s="8" t="s">
        <v>513</v>
      </c>
      <c r="C791" s="9">
        <v>0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R791" s="9">
        <v>3</v>
      </c>
      <c r="S791" s="9">
        <v>3</v>
      </c>
      <c r="T791" s="9">
        <v>0</v>
      </c>
      <c r="U791" s="9">
        <v>1</v>
      </c>
      <c r="V791" s="9">
        <v>3</v>
      </c>
      <c r="W791" s="9">
        <v>0</v>
      </c>
      <c r="X791" s="9">
        <v>1</v>
      </c>
      <c r="AE791" s="9">
        <f>IFERROR(VLOOKUP($A791,pivot!$A:$G,計算式2026!AE$1,FALSE),0)</f>
        <v>0</v>
      </c>
      <c r="AF791" s="9">
        <f>IFERROR(VLOOKUP($A791,pivot!$A:$I,計算式2026!AF$1,FALSE),0)</f>
        <v>0</v>
      </c>
      <c r="AI791" s="9">
        <f>IFERROR(VLOOKUP($A791,pivot!$A:$I,計算式2026!AI$1,FALSE),0)</f>
        <v>0</v>
      </c>
      <c r="AJ791" s="9">
        <f>IFERROR(VLOOKUP($A791,pivot!$A:$I,計算式2026!AJ$1,FALSE),0)</f>
        <v>0</v>
      </c>
      <c r="AK791" s="9">
        <f>IFERROR(VLOOKUP($A791,pivot!$A:$I,計算式2026!AK$1,FALSE),0)</f>
        <v>0</v>
      </c>
      <c r="AL791" s="9">
        <f>IFERROR(VLOOKUP($A791,pivot!$A:$I,計算式2026!AL$1,FALSE),0)</f>
        <v>0</v>
      </c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</row>
    <row r="792" spans="1:59" s="9" customFormat="1">
      <c r="A792" s="8" t="s">
        <v>516</v>
      </c>
      <c r="B792" s="8" t="s">
        <v>513</v>
      </c>
      <c r="C792" s="9">
        <v>23</v>
      </c>
      <c r="D792" s="9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R792" s="9">
        <v>3</v>
      </c>
      <c r="S792" s="9">
        <v>3</v>
      </c>
      <c r="T792" s="9">
        <v>1</v>
      </c>
      <c r="U792" s="9">
        <v>3</v>
      </c>
      <c r="V792" s="9">
        <v>3</v>
      </c>
      <c r="W792" s="9">
        <v>1</v>
      </c>
      <c r="X792" s="9">
        <v>1</v>
      </c>
      <c r="AE792" s="9">
        <f>IFERROR(VLOOKUP($A792,pivot!$A:$G,計算式2026!AE$1,FALSE),0)</f>
        <v>0</v>
      </c>
      <c r="AF792" s="9">
        <f>IFERROR(VLOOKUP($A792,pivot!$A:$I,計算式2026!AF$1,FALSE),0)</f>
        <v>0</v>
      </c>
      <c r="AI792" s="9">
        <f>IFERROR(VLOOKUP($A792,pivot!$A:$I,計算式2026!AI$1,FALSE),0)</f>
        <v>0</v>
      </c>
      <c r="AJ792" s="9">
        <f>IFERROR(VLOOKUP($A792,pivot!$A:$I,計算式2026!AJ$1,FALSE),0)</f>
        <v>0</v>
      </c>
      <c r="AK792" s="9">
        <f>IFERROR(VLOOKUP($A792,pivot!$A:$I,計算式2026!AK$1,FALSE),0)</f>
        <v>0</v>
      </c>
      <c r="AL792" s="9">
        <f>IFERROR(VLOOKUP($A792,pivot!$A:$I,計算式2026!AL$1,FALSE),0)</f>
        <v>0</v>
      </c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</row>
    <row r="793" spans="1:59" s="9" customFormat="1">
      <c r="A793" s="8" t="s">
        <v>517</v>
      </c>
      <c r="B793" s="8" t="s">
        <v>518</v>
      </c>
      <c r="C793" s="9">
        <v>0</v>
      </c>
      <c r="D793" s="9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R793" s="9">
        <v>3</v>
      </c>
      <c r="S793" s="9">
        <v>3</v>
      </c>
      <c r="T793" s="9">
        <v>1</v>
      </c>
      <c r="U793" s="9">
        <v>2</v>
      </c>
      <c r="V793" s="9">
        <v>3</v>
      </c>
      <c r="W793" s="9">
        <v>1</v>
      </c>
      <c r="X793" s="9">
        <v>1</v>
      </c>
      <c r="AE793" s="9">
        <f>IFERROR(VLOOKUP($A793,pivot!$A:$G,計算式2026!AE$1,FALSE),0)</f>
        <v>0</v>
      </c>
      <c r="AF793" s="9">
        <f>IFERROR(VLOOKUP($A793,pivot!$A:$I,計算式2026!AF$1,FALSE),0)</f>
        <v>0</v>
      </c>
      <c r="AI793" s="9">
        <f>IFERROR(VLOOKUP($A793,pivot!$A:$I,計算式2026!AI$1,FALSE),0)</f>
        <v>0</v>
      </c>
      <c r="AJ793" s="9">
        <f>IFERROR(VLOOKUP($A793,pivot!$A:$I,計算式2026!AJ$1,FALSE),0)</f>
        <v>0</v>
      </c>
      <c r="AK793" s="9">
        <f>IFERROR(VLOOKUP($A793,pivot!$A:$I,計算式2026!AK$1,FALSE),0)</f>
        <v>0</v>
      </c>
      <c r="AL793" s="9">
        <f>IFERROR(VLOOKUP($A793,pivot!$A:$I,計算式2026!AL$1,FALSE),0)</f>
        <v>0</v>
      </c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</row>
    <row r="794" spans="1:59" s="9" customFormat="1">
      <c r="A794" s="8" t="s">
        <v>519</v>
      </c>
      <c r="B794" s="8" t="s">
        <v>518</v>
      </c>
      <c r="C794" s="9">
        <v>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3</v>
      </c>
      <c r="W794" s="9">
        <v>0</v>
      </c>
      <c r="X794" s="9">
        <v>0</v>
      </c>
      <c r="AE794" s="9">
        <f>IFERROR(VLOOKUP($A794,pivot!$A:$G,計算式2026!AE$1,FALSE),0)</f>
        <v>0</v>
      </c>
      <c r="AF794" s="9">
        <f>IFERROR(VLOOKUP($A794,pivot!$A:$I,計算式2026!AF$1,FALSE),0)</f>
        <v>0</v>
      </c>
      <c r="AI794" s="9">
        <f>IFERROR(VLOOKUP($A794,pivot!$A:$I,計算式2026!AI$1,FALSE),0)</f>
        <v>0</v>
      </c>
      <c r="AJ794" s="9">
        <f>IFERROR(VLOOKUP($A794,pivot!$A:$I,計算式2026!AJ$1,FALSE),0)</f>
        <v>0</v>
      </c>
      <c r="AK794" s="9">
        <f>IFERROR(VLOOKUP($A794,pivot!$A:$I,計算式2026!AK$1,FALSE),0)</f>
        <v>0</v>
      </c>
      <c r="AL794" s="9">
        <f>IFERROR(VLOOKUP($A794,pivot!$A:$I,計算式2026!AL$1,FALSE),0)</f>
        <v>0</v>
      </c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</row>
    <row r="795" spans="1:59" s="9" customFormat="1">
      <c r="A795" s="8" t="s">
        <v>520</v>
      </c>
      <c r="B795" s="8" t="s">
        <v>518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R795" s="9">
        <v>3</v>
      </c>
      <c r="S795" s="9">
        <v>2</v>
      </c>
      <c r="T795" s="9">
        <v>0</v>
      </c>
      <c r="U795" s="9">
        <v>0</v>
      </c>
      <c r="V795" s="9">
        <v>2</v>
      </c>
      <c r="W795" s="9">
        <v>0</v>
      </c>
      <c r="X795" s="9">
        <v>1</v>
      </c>
      <c r="AE795" s="9">
        <f>IFERROR(VLOOKUP($A795,pivot!$A:$G,計算式2026!AE$1,FALSE),0)</f>
        <v>0</v>
      </c>
      <c r="AF795" s="9">
        <f>IFERROR(VLOOKUP($A795,pivot!$A:$I,計算式2026!AF$1,FALSE),0)</f>
        <v>0</v>
      </c>
      <c r="AI795" s="9">
        <f>IFERROR(VLOOKUP($A795,pivot!$A:$I,計算式2026!AI$1,FALSE),0)</f>
        <v>0</v>
      </c>
      <c r="AJ795" s="9">
        <f>IFERROR(VLOOKUP($A795,pivot!$A:$I,計算式2026!AJ$1,FALSE),0)</f>
        <v>0</v>
      </c>
      <c r="AK795" s="9">
        <f>IFERROR(VLOOKUP($A795,pivot!$A:$I,計算式2026!AK$1,FALSE),0)</f>
        <v>0</v>
      </c>
      <c r="AL795" s="9">
        <f>IFERROR(VLOOKUP($A795,pivot!$A:$I,計算式2026!AL$1,FALSE),0)</f>
        <v>0</v>
      </c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</row>
    <row r="796" spans="1:59" s="9" customFormat="1">
      <c r="A796" s="8" t="s">
        <v>521</v>
      </c>
      <c r="B796" s="8" t="s">
        <v>518</v>
      </c>
      <c r="C796" s="9">
        <v>0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R796" s="9">
        <v>1</v>
      </c>
      <c r="S796" s="9">
        <v>3</v>
      </c>
      <c r="T796" s="9">
        <v>1</v>
      </c>
      <c r="U796" s="9">
        <v>3</v>
      </c>
      <c r="V796" s="9">
        <v>4</v>
      </c>
      <c r="W796" s="9">
        <v>2</v>
      </c>
      <c r="X796" s="9">
        <v>1</v>
      </c>
      <c r="AE796" s="9">
        <f>IFERROR(VLOOKUP($A796,pivot!$A:$G,計算式2026!AE$1,FALSE),0)</f>
        <v>0</v>
      </c>
      <c r="AF796" s="9">
        <f>IFERROR(VLOOKUP($A796,pivot!$A:$I,計算式2026!AF$1,FALSE),0)</f>
        <v>0</v>
      </c>
      <c r="AI796" s="9">
        <f>IFERROR(VLOOKUP($A796,pivot!$A:$I,計算式2026!AI$1,FALSE),0)</f>
        <v>0</v>
      </c>
      <c r="AJ796" s="9">
        <f>IFERROR(VLOOKUP($A796,pivot!$A:$I,計算式2026!AJ$1,FALSE),0)</f>
        <v>0</v>
      </c>
      <c r="AK796" s="9">
        <f>IFERROR(VLOOKUP($A796,pivot!$A:$I,計算式2026!AK$1,FALSE),0)</f>
        <v>0</v>
      </c>
      <c r="AL796" s="9">
        <f>IFERROR(VLOOKUP($A796,pivot!$A:$I,計算式2026!AL$1,FALSE),0)</f>
        <v>0</v>
      </c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</row>
    <row r="797" spans="1:59" s="9" customFormat="1">
      <c r="A797" s="8" t="s">
        <v>522</v>
      </c>
      <c r="B797" s="8" t="s">
        <v>518</v>
      </c>
      <c r="C797" s="9">
        <v>0</v>
      </c>
      <c r="D797" s="9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R797" s="9">
        <v>2</v>
      </c>
      <c r="S797" s="9">
        <v>3</v>
      </c>
      <c r="T797" s="9">
        <v>1</v>
      </c>
      <c r="U797" s="9">
        <v>1</v>
      </c>
      <c r="V797" s="9">
        <v>3</v>
      </c>
      <c r="W797" s="9">
        <v>1</v>
      </c>
      <c r="X797" s="9">
        <v>1</v>
      </c>
      <c r="AE797" s="9">
        <f>IFERROR(VLOOKUP($A797,pivot!$A:$G,計算式2026!AE$1,FALSE),0)</f>
        <v>0</v>
      </c>
      <c r="AF797" s="9">
        <f>IFERROR(VLOOKUP($A797,pivot!$A:$I,計算式2026!AF$1,FALSE),0)</f>
        <v>0</v>
      </c>
      <c r="AI797" s="9">
        <f>IFERROR(VLOOKUP($A797,pivot!$A:$I,計算式2026!AI$1,FALSE),0)</f>
        <v>0</v>
      </c>
      <c r="AJ797" s="9">
        <f>IFERROR(VLOOKUP($A797,pivot!$A:$I,計算式2026!AJ$1,FALSE),0)</f>
        <v>0</v>
      </c>
      <c r="AK797" s="9">
        <f>IFERROR(VLOOKUP($A797,pivot!$A:$I,計算式2026!AK$1,FALSE),0)</f>
        <v>0</v>
      </c>
      <c r="AL797" s="9">
        <f>IFERROR(VLOOKUP($A797,pivot!$A:$I,計算式2026!AL$1,FALSE),0)</f>
        <v>0</v>
      </c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</row>
    <row r="798" spans="1:59" s="9" customFormat="1">
      <c r="A798" s="8" t="s">
        <v>523</v>
      </c>
      <c r="B798" s="8" t="s">
        <v>524</v>
      </c>
      <c r="C798" s="9">
        <v>0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R798" s="9">
        <v>1</v>
      </c>
      <c r="S798" s="9">
        <v>1</v>
      </c>
      <c r="T798" s="9">
        <v>2</v>
      </c>
      <c r="U798" s="9">
        <v>1</v>
      </c>
      <c r="V798" s="9">
        <v>2</v>
      </c>
      <c r="W798" s="9">
        <v>0</v>
      </c>
      <c r="X798" s="9">
        <v>1</v>
      </c>
      <c r="AE798" s="9">
        <f>IFERROR(VLOOKUP($A798,pivot!$A:$G,計算式2026!AE$1,FALSE),0)</f>
        <v>0</v>
      </c>
      <c r="AF798" s="9">
        <f>IFERROR(VLOOKUP($A798,pivot!$A:$I,計算式2026!AF$1,FALSE),0)</f>
        <v>0</v>
      </c>
      <c r="AI798" s="9">
        <f>IFERROR(VLOOKUP($A798,pivot!$A:$I,計算式2026!AI$1,FALSE),0)</f>
        <v>0</v>
      </c>
      <c r="AJ798" s="9">
        <f>IFERROR(VLOOKUP($A798,pivot!$A:$I,計算式2026!AJ$1,FALSE),0)</f>
        <v>0</v>
      </c>
      <c r="AK798" s="9">
        <f>IFERROR(VLOOKUP($A798,pivot!$A:$I,計算式2026!AK$1,FALSE),0)</f>
        <v>0</v>
      </c>
      <c r="AL798" s="9">
        <f>IFERROR(VLOOKUP($A798,pivot!$A:$I,計算式2026!AL$1,FALSE),0)</f>
        <v>0</v>
      </c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</row>
    <row r="799" spans="1:59" s="9" customFormat="1">
      <c r="A799" s="8" t="s">
        <v>525</v>
      </c>
      <c r="B799" s="8" t="s">
        <v>524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AE799" s="9">
        <f>IFERROR(VLOOKUP($A799,pivot!$A:$G,計算式2026!AE$1,FALSE),0)</f>
        <v>0</v>
      </c>
      <c r="AF799" s="9">
        <f>IFERROR(VLOOKUP($A799,pivot!$A:$I,計算式2026!AF$1,FALSE),0)</f>
        <v>0</v>
      </c>
      <c r="AI799" s="9">
        <f>IFERROR(VLOOKUP($A799,pivot!$A:$I,計算式2026!AI$1,FALSE),0)</f>
        <v>0</v>
      </c>
      <c r="AJ799" s="9">
        <f>IFERROR(VLOOKUP($A799,pivot!$A:$I,計算式2026!AJ$1,FALSE),0)</f>
        <v>0</v>
      </c>
      <c r="AK799" s="9">
        <f>IFERROR(VLOOKUP($A799,pivot!$A:$I,計算式2026!AK$1,FALSE),0)</f>
        <v>0</v>
      </c>
      <c r="AL799" s="9">
        <f>IFERROR(VLOOKUP($A799,pivot!$A:$I,計算式2026!AL$1,FALSE),0)</f>
        <v>0</v>
      </c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</row>
    <row r="800" spans="1:59" s="9" customFormat="1">
      <c r="A800" s="8" t="s">
        <v>526</v>
      </c>
      <c r="B800" s="8" t="s">
        <v>524</v>
      </c>
      <c r="C800" s="9">
        <v>48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R800" s="9">
        <v>3</v>
      </c>
      <c r="S800" s="9">
        <v>3</v>
      </c>
      <c r="T800" s="9">
        <v>1</v>
      </c>
      <c r="U800" s="9">
        <v>3</v>
      </c>
      <c r="V800" s="9">
        <v>3</v>
      </c>
      <c r="W800" s="9">
        <v>0</v>
      </c>
      <c r="X800" s="9">
        <v>1</v>
      </c>
      <c r="AE800" s="9">
        <f>IFERROR(VLOOKUP($A800,pivot!$A:$G,計算式2026!AE$1,FALSE),0)</f>
        <v>0</v>
      </c>
      <c r="AF800" s="9">
        <f>IFERROR(VLOOKUP($A800,pivot!$A:$I,計算式2026!AF$1,FALSE),0)</f>
        <v>0</v>
      </c>
      <c r="AI800" s="9">
        <f>IFERROR(VLOOKUP($A800,pivot!$A:$I,計算式2026!AI$1,FALSE),0)</f>
        <v>0</v>
      </c>
      <c r="AJ800" s="9">
        <f>IFERROR(VLOOKUP($A800,pivot!$A:$I,計算式2026!AJ$1,FALSE),0)</f>
        <v>0</v>
      </c>
      <c r="AK800" s="9">
        <f>IFERROR(VLOOKUP($A800,pivot!$A:$I,計算式2026!AK$1,FALSE),0)</f>
        <v>0</v>
      </c>
      <c r="AL800" s="9">
        <f>IFERROR(VLOOKUP($A800,pivot!$A:$I,計算式2026!AL$1,FALSE),0)</f>
        <v>0</v>
      </c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</row>
    <row r="801" spans="1:59" s="9" customFormat="1">
      <c r="A801" s="8" t="s">
        <v>527</v>
      </c>
      <c r="B801" s="8" t="s">
        <v>524</v>
      </c>
      <c r="C801" s="9">
        <v>0</v>
      </c>
      <c r="D801" s="9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R801" s="9">
        <v>2</v>
      </c>
      <c r="S801" s="9">
        <v>1</v>
      </c>
      <c r="T801" s="9">
        <v>1</v>
      </c>
      <c r="U801" s="9">
        <v>2</v>
      </c>
      <c r="V801" s="9">
        <v>2</v>
      </c>
      <c r="W801" s="9">
        <v>0</v>
      </c>
      <c r="X801" s="9">
        <v>1</v>
      </c>
      <c r="AE801" s="9">
        <f>IFERROR(VLOOKUP($A801,pivot!$A:$G,計算式2026!AE$1,FALSE),0)</f>
        <v>0</v>
      </c>
      <c r="AF801" s="9">
        <f>IFERROR(VLOOKUP($A801,pivot!$A:$I,計算式2026!AF$1,FALSE),0)</f>
        <v>0</v>
      </c>
      <c r="AI801" s="9">
        <f>IFERROR(VLOOKUP($A801,pivot!$A:$I,計算式2026!AI$1,FALSE),0)</f>
        <v>0</v>
      </c>
      <c r="AJ801" s="9">
        <f>IFERROR(VLOOKUP($A801,pivot!$A:$I,計算式2026!AJ$1,FALSE),0)</f>
        <v>0</v>
      </c>
      <c r="AK801" s="9">
        <f>IFERROR(VLOOKUP($A801,pivot!$A:$I,計算式2026!AK$1,FALSE),0)</f>
        <v>0</v>
      </c>
      <c r="AL801" s="9">
        <f>IFERROR(VLOOKUP($A801,pivot!$A:$I,計算式2026!AL$1,FALSE),0)</f>
        <v>0</v>
      </c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</row>
    <row r="802" spans="1:59" s="9" customFormat="1">
      <c r="A802" s="8" t="s">
        <v>528</v>
      </c>
      <c r="B802" s="8" t="s">
        <v>524</v>
      </c>
      <c r="C802" s="9">
        <v>5</v>
      </c>
      <c r="D802" s="9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R802" s="9">
        <v>3</v>
      </c>
      <c r="S802" s="9">
        <v>3</v>
      </c>
      <c r="T802" s="9">
        <v>1</v>
      </c>
      <c r="U802" s="9">
        <v>2</v>
      </c>
      <c r="V802" s="9">
        <v>2</v>
      </c>
      <c r="W802" s="9">
        <v>0</v>
      </c>
      <c r="X802" s="9">
        <v>1</v>
      </c>
      <c r="AE802" s="9">
        <f>IFERROR(VLOOKUP($A802,pivot!$A:$G,計算式2026!AE$1,FALSE),0)</f>
        <v>0</v>
      </c>
      <c r="AF802" s="9">
        <f>IFERROR(VLOOKUP($A802,pivot!$A:$I,計算式2026!AF$1,FALSE),0)</f>
        <v>0</v>
      </c>
      <c r="AI802" s="9">
        <f>IFERROR(VLOOKUP($A802,pivot!$A:$I,計算式2026!AI$1,FALSE),0)</f>
        <v>0</v>
      </c>
      <c r="AJ802" s="9">
        <f>IFERROR(VLOOKUP($A802,pivot!$A:$I,計算式2026!AJ$1,FALSE),0)</f>
        <v>0</v>
      </c>
      <c r="AK802" s="9">
        <f>IFERROR(VLOOKUP($A802,pivot!$A:$I,計算式2026!AK$1,FALSE),0)</f>
        <v>0</v>
      </c>
      <c r="AL802" s="9">
        <f>IFERROR(VLOOKUP($A802,pivot!$A:$I,計算式2026!AL$1,FALSE),0)</f>
        <v>0</v>
      </c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</row>
    <row r="803" spans="1:59" s="9" customFormat="1">
      <c r="A803" s="8" t="s">
        <v>529</v>
      </c>
      <c r="B803" s="8" t="s">
        <v>530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R803" s="9">
        <v>0</v>
      </c>
      <c r="S803" s="9">
        <v>0</v>
      </c>
      <c r="T803" s="9">
        <v>1</v>
      </c>
      <c r="U803" s="9">
        <v>0</v>
      </c>
      <c r="V803" s="9">
        <v>0</v>
      </c>
      <c r="W803" s="9">
        <v>0</v>
      </c>
      <c r="X803" s="9">
        <v>0</v>
      </c>
      <c r="AE803" s="9">
        <f>IFERROR(VLOOKUP($A803,pivot!$A:$G,計算式2026!AE$1,FALSE),0)</f>
        <v>0</v>
      </c>
      <c r="AF803" s="9">
        <f>IFERROR(VLOOKUP($A803,pivot!$A:$I,計算式2026!AF$1,FALSE),0)</f>
        <v>0</v>
      </c>
      <c r="AI803" s="9">
        <f>IFERROR(VLOOKUP($A803,pivot!$A:$I,計算式2026!AI$1,FALSE),0)</f>
        <v>0</v>
      </c>
      <c r="AJ803" s="9">
        <f>IFERROR(VLOOKUP($A803,pivot!$A:$I,計算式2026!AJ$1,FALSE),0)</f>
        <v>0</v>
      </c>
      <c r="AK803" s="9">
        <f>IFERROR(VLOOKUP($A803,pivot!$A:$I,計算式2026!AK$1,FALSE),0)</f>
        <v>0</v>
      </c>
      <c r="AL803" s="9">
        <f>IFERROR(VLOOKUP($A803,pivot!$A:$I,計算式2026!AL$1,FALSE),0)</f>
        <v>0</v>
      </c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</row>
    <row r="804" spans="1:59" s="9" customFormat="1">
      <c r="A804" s="8" t="s">
        <v>531</v>
      </c>
      <c r="B804" s="8" t="s">
        <v>530</v>
      </c>
      <c r="C804" s="9">
        <v>1</v>
      </c>
      <c r="D804" s="9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R804" s="9">
        <v>1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1</v>
      </c>
      <c r="AE804" s="9">
        <f>IFERROR(VLOOKUP($A804,pivot!$A:$G,計算式2026!AE$1,FALSE),0)</f>
        <v>0</v>
      </c>
      <c r="AF804" s="9">
        <f>IFERROR(VLOOKUP($A804,pivot!$A:$I,計算式2026!AF$1,FALSE),0)</f>
        <v>0</v>
      </c>
      <c r="AI804" s="9">
        <f>IFERROR(VLOOKUP($A804,pivot!$A:$I,計算式2026!AI$1,FALSE),0)</f>
        <v>0</v>
      </c>
      <c r="AJ804" s="9">
        <f>IFERROR(VLOOKUP($A804,pivot!$A:$I,計算式2026!AJ$1,FALSE),0)</f>
        <v>0</v>
      </c>
      <c r="AK804" s="9">
        <f>IFERROR(VLOOKUP($A804,pivot!$A:$I,計算式2026!AK$1,FALSE),0)</f>
        <v>0</v>
      </c>
      <c r="AL804" s="9">
        <f>IFERROR(VLOOKUP($A804,pivot!$A:$I,計算式2026!AL$1,FALSE),0)</f>
        <v>0</v>
      </c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</row>
    <row r="805" spans="1:59" s="9" customFormat="1">
      <c r="A805" s="8" t="s">
        <v>532</v>
      </c>
      <c r="B805" s="8" t="s">
        <v>530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1</v>
      </c>
      <c r="AE805" s="9">
        <f>IFERROR(VLOOKUP($A805,pivot!$A:$G,計算式2026!AE$1,FALSE),0)</f>
        <v>0</v>
      </c>
      <c r="AF805" s="9">
        <f>IFERROR(VLOOKUP($A805,pivot!$A:$I,計算式2026!AF$1,FALSE),0)</f>
        <v>0</v>
      </c>
      <c r="AI805" s="9">
        <f>IFERROR(VLOOKUP($A805,pivot!$A:$I,計算式2026!AI$1,FALSE),0)</f>
        <v>0</v>
      </c>
      <c r="AJ805" s="9">
        <f>IFERROR(VLOOKUP($A805,pivot!$A:$I,計算式2026!AJ$1,FALSE),0)</f>
        <v>0</v>
      </c>
      <c r="AK805" s="9">
        <f>IFERROR(VLOOKUP($A805,pivot!$A:$I,計算式2026!AK$1,FALSE),0)</f>
        <v>0</v>
      </c>
      <c r="AL805" s="9">
        <f>IFERROR(VLOOKUP($A805,pivot!$A:$I,計算式2026!AL$1,FALSE),0)</f>
        <v>0</v>
      </c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</row>
    <row r="806" spans="1:59" s="9" customFormat="1">
      <c r="A806" s="8" t="s">
        <v>1664</v>
      </c>
      <c r="B806" s="8" t="s">
        <v>530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R806" s="9">
        <v>0</v>
      </c>
      <c r="S806" s="9">
        <v>0</v>
      </c>
      <c r="T806" s="9">
        <v>2</v>
      </c>
      <c r="U806" s="9">
        <v>0</v>
      </c>
      <c r="V806" s="9">
        <v>0</v>
      </c>
      <c r="W806" s="9">
        <v>0</v>
      </c>
      <c r="X806" s="9">
        <v>1</v>
      </c>
      <c r="AE806" s="9">
        <f>IFERROR(VLOOKUP($A806,pivot!$A:$G,計算式2026!AE$1,FALSE),0)</f>
        <v>0</v>
      </c>
      <c r="AF806" s="9">
        <f>IFERROR(VLOOKUP($A806,pivot!$A:$I,計算式2026!AF$1,FALSE),0)</f>
        <v>0</v>
      </c>
      <c r="AI806" s="9">
        <f>IFERROR(VLOOKUP($A806,pivot!$A:$I,計算式2026!AI$1,FALSE),0)</f>
        <v>0</v>
      </c>
      <c r="AJ806" s="9">
        <f>IFERROR(VLOOKUP($A806,pivot!$A:$I,計算式2026!AJ$1,FALSE),0)</f>
        <v>0</v>
      </c>
      <c r="AK806" s="9">
        <f>IFERROR(VLOOKUP($A806,pivot!$A:$I,計算式2026!AK$1,FALSE),0)</f>
        <v>0</v>
      </c>
      <c r="AL806" s="9">
        <f>IFERROR(VLOOKUP($A806,pivot!$A:$I,計算式2026!AL$1,FALSE),0)</f>
        <v>0</v>
      </c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</row>
    <row r="807" spans="1:59" s="9" customFormat="1">
      <c r="A807" s="8" t="s">
        <v>533</v>
      </c>
      <c r="B807" s="8" t="s">
        <v>530</v>
      </c>
      <c r="C807" s="9">
        <v>1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R807" s="9">
        <v>1</v>
      </c>
      <c r="S807" s="9">
        <v>0</v>
      </c>
      <c r="T807" s="9">
        <v>1</v>
      </c>
      <c r="U807" s="9">
        <v>0</v>
      </c>
      <c r="V807" s="9">
        <v>0</v>
      </c>
      <c r="W807" s="9">
        <v>0</v>
      </c>
      <c r="X807" s="9">
        <v>1</v>
      </c>
      <c r="AE807" s="9">
        <f>IFERROR(VLOOKUP($A807,pivot!$A:$G,計算式2026!AE$1,FALSE),0)</f>
        <v>0</v>
      </c>
      <c r="AF807" s="9">
        <f>IFERROR(VLOOKUP($A807,pivot!$A:$I,計算式2026!AF$1,FALSE),0)</f>
        <v>0</v>
      </c>
      <c r="AI807" s="9">
        <f>IFERROR(VLOOKUP($A807,pivot!$A:$I,計算式2026!AI$1,FALSE),0)</f>
        <v>0</v>
      </c>
      <c r="AJ807" s="9">
        <f>IFERROR(VLOOKUP($A807,pivot!$A:$I,計算式2026!AJ$1,FALSE),0)</f>
        <v>0</v>
      </c>
      <c r="AK807" s="9">
        <f>IFERROR(VLOOKUP($A807,pivot!$A:$I,計算式2026!AK$1,FALSE),0)</f>
        <v>0</v>
      </c>
      <c r="AL807" s="9">
        <f>IFERROR(VLOOKUP($A807,pivot!$A:$I,計算式2026!AL$1,FALSE),0)</f>
        <v>0</v>
      </c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</row>
    <row r="808" spans="1:59" s="9" customFormat="1">
      <c r="A808" s="8" t="s">
        <v>2088</v>
      </c>
      <c r="B808" s="8" t="s">
        <v>530</v>
      </c>
      <c r="C808" s="9">
        <v>0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1</v>
      </c>
      <c r="AE808" s="9">
        <f>IFERROR(VLOOKUP($A808,pivot!$A:$G,計算式2026!AE$1,FALSE),0)</f>
        <v>0</v>
      </c>
      <c r="AF808" s="9">
        <f>IFERROR(VLOOKUP($A808,pivot!$A:$I,計算式2026!AF$1,FALSE),0)</f>
        <v>0</v>
      </c>
      <c r="AI808" s="9">
        <f>IFERROR(VLOOKUP($A808,pivot!$A:$I,計算式2026!AI$1,FALSE),0)</f>
        <v>0</v>
      </c>
      <c r="AJ808" s="9">
        <f>IFERROR(VLOOKUP($A808,pivot!$A:$I,計算式2026!AJ$1,FALSE),0)</f>
        <v>0</v>
      </c>
      <c r="AK808" s="9">
        <f>IFERROR(VLOOKUP($A808,pivot!$A:$I,計算式2026!AK$1,FALSE),0)</f>
        <v>0</v>
      </c>
      <c r="AL808" s="9">
        <f>IFERROR(VLOOKUP($A808,pivot!$A:$I,計算式2026!AL$1,FALSE),0)</f>
        <v>0</v>
      </c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</row>
    <row r="809" spans="1:59" s="9" customFormat="1">
      <c r="A809" s="8" t="s">
        <v>2089</v>
      </c>
      <c r="B809" s="8" t="s">
        <v>2090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R809" s="9">
        <v>0</v>
      </c>
      <c r="S809" s="9">
        <v>0</v>
      </c>
      <c r="T809" s="9">
        <v>1</v>
      </c>
      <c r="U809" s="9">
        <v>1</v>
      </c>
      <c r="V809" s="9">
        <v>1</v>
      </c>
      <c r="W809" s="9">
        <v>1</v>
      </c>
      <c r="X809" s="9">
        <v>1</v>
      </c>
      <c r="AE809" s="9">
        <f>IFERROR(VLOOKUP($A809,pivot!$A:$G,計算式2026!AE$1,FALSE),0)</f>
        <v>0</v>
      </c>
      <c r="AF809" s="9">
        <f>IFERROR(VLOOKUP($A809,pivot!$A:$I,計算式2026!AF$1,FALSE),0)</f>
        <v>0</v>
      </c>
      <c r="AI809" s="9">
        <f>IFERROR(VLOOKUP($A809,pivot!$A:$I,計算式2026!AI$1,FALSE),0)</f>
        <v>0</v>
      </c>
      <c r="AJ809" s="9">
        <f>IFERROR(VLOOKUP($A809,pivot!$A:$I,計算式2026!AJ$1,FALSE),0)</f>
        <v>0</v>
      </c>
      <c r="AK809" s="9">
        <f>IFERROR(VLOOKUP($A809,pivot!$A:$I,計算式2026!AK$1,FALSE),0)</f>
        <v>0</v>
      </c>
      <c r="AL809" s="9">
        <f>IFERROR(VLOOKUP($A809,pivot!$A:$I,計算式2026!AL$1,FALSE),0)</f>
        <v>0</v>
      </c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</row>
    <row r="810" spans="1:59" s="9" customFormat="1">
      <c r="A810" s="8" t="s">
        <v>2091</v>
      </c>
      <c r="B810" s="8" t="s">
        <v>2090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R810" s="9">
        <v>0</v>
      </c>
      <c r="S810" s="9">
        <v>0</v>
      </c>
      <c r="T810" s="9">
        <v>0</v>
      </c>
      <c r="U810" s="9">
        <v>2</v>
      </c>
      <c r="V810" s="9">
        <v>0</v>
      </c>
      <c r="W810" s="9">
        <v>0</v>
      </c>
      <c r="X810" s="9">
        <v>2</v>
      </c>
      <c r="AE810" s="9">
        <f>IFERROR(VLOOKUP($A810,pivot!$A:$G,計算式2026!AE$1,FALSE),0)</f>
        <v>0</v>
      </c>
      <c r="AF810" s="9">
        <f>IFERROR(VLOOKUP($A810,pivot!$A:$I,計算式2026!AF$1,FALSE),0)</f>
        <v>0</v>
      </c>
      <c r="AI810" s="9">
        <f>IFERROR(VLOOKUP($A810,pivot!$A:$I,計算式2026!AI$1,FALSE),0)</f>
        <v>0</v>
      </c>
      <c r="AJ810" s="9">
        <f>IFERROR(VLOOKUP($A810,pivot!$A:$I,計算式2026!AJ$1,FALSE),0)</f>
        <v>0</v>
      </c>
      <c r="AK810" s="9">
        <f>IFERROR(VLOOKUP($A810,pivot!$A:$I,計算式2026!AK$1,FALSE),0)</f>
        <v>0</v>
      </c>
      <c r="AL810" s="9">
        <f>IFERROR(VLOOKUP($A810,pivot!$A:$I,計算式2026!AL$1,FALSE),0)</f>
        <v>0</v>
      </c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</row>
    <row r="811" spans="1:59" s="9" customFormat="1">
      <c r="A811" s="8" t="s">
        <v>2092</v>
      </c>
      <c r="B811" s="8" t="s">
        <v>2090</v>
      </c>
      <c r="C811" s="9">
        <v>6</v>
      </c>
      <c r="D811" s="9">
        <v>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R811" s="9">
        <v>0</v>
      </c>
      <c r="S811" s="9">
        <v>2</v>
      </c>
      <c r="T811" s="9">
        <v>2</v>
      </c>
      <c r="U811" s="9">
        <v>2</v>
      </c>
      <c r="V811" s="9">
        <v>0</v>
      </c>
      <c r="W811" s="9">
        <v>1</v>
      </c>
      <c r="X811" s="9">
        <v>2</v>
      </c>
      <c r="AE811" s="9">
        <f>IFERROR(VLOOKUP($A811,pivot!$A:$G,計算式2026!AE$1,FALSE),0)</f>
        <v>0</v>
      </c>
      <c r="AF811" s="9">
        <f>IFERROR(VLOOKUP($A811,pivot!$A:$I,計算式2026!AF$1,FALSE),0)</f>
        <v>0</v>
      </c>
      <c r="AI811" s="9">
        <f>IFERROR(VLOOKUP($A811,pivot!$A:$I,計算式2026!AI$1,FALSE),0)</f>
        <v>0</v>
      </c>
      <c r="AJ811" s="9">
        <f>IFERROR(VLOOKUP($A811,pivot!$A:$I,計算式2026!AJ$1,FALSE),0)</f>
        <v>0</v>
      </c>
      <c r="AK811" s="9">
        <f>IFERROR(VLOOKUP($A811,pivot!$A:$I,計算式2026!AK$1,FALSE),0)</f>
        <v>0</v>
      </c>
      <c r="AL811" s="9">
        <f>IFERROR(VLOOKUP($A811,pivot!$A:$I,計算式2026!AL$1,FALSE),0)</f>
        <v>0</v>
      </c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</row>
    <row r="812" spans="1:59" s="9" customFormat="1">
      <c r="A812" s="8" t="s">
        <v>534</v>
      </c>
      <c r="B812" s="8" t="s">
        <v>2604</v>
      </c>
      <c r="C812" s="9">
        <v>0</v>
      </c>
      <c r="D812" s="9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R812" s="9">
        <v>0</v>
      </c>
      <c r="S812" s="9">
        <v>2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AE812" s="9">
        <f>IFERROR(VLOOKUP($A812,pivot!$A:$G,計算式2026!AE$1,FALSE),0)</f>
        <v>0</v>
      </c>
      <c r="AF812" s="9">
        <f>IFERROR(VLOOKUP($A812,pivot!$A:$I,計算式2026!AF$1,FALSE),0)</f>
        <v>0</v>
      </c>
      <c r="AI812" s="9">
        <f>IFERROR(VLOOKUP($A812,pivot!$A:$I,計算式2026!AI$1,FALSE),0)</f>
        <v>0</v>
      </c>
      <c r="AJ812" s="9">
        <f>IFERROR(VLOOKUP($A812,pivot!$A:$I,計算式2026!AJ$1,FALSE),0)</f>
        <v>0</v>
      </c>
      <c r="AK812" s="9">
        <f>IFERROR(VLOOKUP($A812,pivot!$A:$I,計算式2026!AK$1,FALSE),0)</f>
        <v>0</v>
      </c>
      <c r="AL812" s="9">
        <f>IFERROR(VLOOKUP($A812,pivot!$A:$I,計算式2026!AL$1,FALSE),0)</f>
        <v>0</v>
      </c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</row>
    <row r="813" spans="1:59" s="9" customFormat="1">
      <c r="A813" s="8" t="s">
        <v>1598</v>
      </c>
      <c r="B813" s="8" t="s">
        <v>2604</v>
      </c>
      <c r="C813" s="9">
        <v>0</v>
      </c>
      <c r="D813" s="9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R813" s="9">
        <v>0</v>
      </c>
      <c r="S813" s="9">
        <v>2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AE813" s="9">
        <f>IFERROR(VLOOKUP($A813,pivot!$A:$G,計算式2026!AE$1,FALSE),0)</f>
        <v>0</v>
      </c>
      <c r="AF813" s="9">
        <f>IFERROR(VLOOKUP($A813,pivot!$A:$I,計算式2026!AF$1,FALSE),0)</f>
        <v>0</v>
      </c>
      <c r="AI813" s="9">
        <f>IFERROR(VLOOKUP($A813,pivot!$A:$I,計算式2026!AI$1,FALSE),0)</f>
        <v>0</v>
      </c>
      <c r="AJ813" s="9">
        <f>IFERROR(VLOOKUP($A813,pivot!$A:$I,計算式2026!AJ$1,FALSE),0)</f>
        <v>0</v>
      </c>
      <c r="AK813" s="9">
        <f>IFERROR(VLOOKUP($A813,pivot!$A:$I,計算式2026!AK$1,FALSE),0)</f>
        <v>0</v>
      </c>
      <c r="AL813" s="9">
        <f>IFERROR(VLOOKUP($A813,pivot!$A:$I,計算式2026!AL$1,FALSE),0)</f>
        <v>0</v>
      </c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</row>
    <row r="814" spans="1:59" s="9" customFormat="1">
      <c r="A814" s="8" t="s">
        <v>2093</v>
      </c>
      <c r="B814" s="8" t="s">
        <v>2604</v>
      </c>
      <c r="C814" s="9">
        <v>0</v>
      </c>
      <c r="D814" s="9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R814" s="9">
        <v>0</v>
      </c>
      <c r="S814" s="9">
        <v>1</v>
      </c>
      <c r="T814" s="9">
        <v>0</v>
      </c>
      <c r="U814" s="9">
        <v>1</v>
      </c>
      <c r="V814" s="9">
        <v>2</v>
      </c>
      <c r="W814" s="9">
        <v>0</v>
      </c>
      <c r="X814" s="9">
        <v>0</v>
      </c>
      <c r="AE814" s="9">
        <f>IFERROR(VLOOKUP($A814,pivot!$A:$G,計算式2026!AE$1,FALSE),0)</f>
        <v>0</v>
      </c>
      <c r="AF814" s="9">
        <f>IFERROR(VLOOKUP($A814,pivot!$A:$I,計算式2026!AF$1,FALSE),0)</f>
        <v>0</v>
      </c>
      <c r="AI814" s="9">
        <f>IFERROR(VLOOKUP($A814,pivot!$A:$I,計算式2026!AI$1,FALSE),0)</f>
        <v>0</v>
      </c>
      <c r="AJ814" s="9">
        <f>IFERROR(VLOOKUP($A814,pivot!$A:$I,計算式2026!AJ$1,FALSE),0)</f>
        <v>0</v>
      </c>
      <c r="AK814" s="9">
        <f>IFERROR(VLOOKUP($A814,pivot!$A:$I,計算式2026!AK$1,FALSE),0)</f>
        <v>0</v>
      </c>
      <c r="AL814" s="9">
        <f>IFERROR(VLOOKUP($A814,pivot!$A:$I,計算式2026!AL$1,FALSE),0)</f>
        <v>0</v>
      </c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</row>
    <row r="815" spans="1:59" s="9" customFormat="1">
      <c r="A815" s="8" t="s">
        <v>2743</v>
      </c>
      <c r="B815" s="8" t="s">
        <v>2604</v>
      </c>
      <c r="C815" s="9">
        <v>0</v>
      </c>
      <c r="D815" s="9">
        <v>4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R815" s="9">
        <v>2</v>
      </c>
      <c r="S815" s="9">
        <v>3</v>
      </c>
      <c r="T815" s="9">
        <v>1</v>
      </c>
      <c r="U815" s="9">
        <v>3</v>
      </c>
      <c r="V815" s="9">
        <v>3</v>
      </c>
      <c r="W815" s="9">
        <v>0</v>
      </c>
      <c r="X815" s="9">
        <v>2</v>
      </c>
      <c r="AE815" s="9">
        <f>IFERROR(VLOOKUP($A815,pivot!$A:$G,計算式2026!AE$1,FALSE),0)</f>
        <v>0</v>
      </c>
      <c r="AF815" s="9">
        <f>IFERROR(VLOOKUP($A815,pivot!$A:$I,計算式2026!AF$1,FALSE),0)</f>
        <v>0</v>
      </c>
      <c r="AI815" s="9">
        <f>IFERROR(VLOOKUP($A815,pivot!$A:$I,計算式2026!AI$1,FALSE),0)</f>
        <v>0</v>
      </c>
      <c r="AJ815" s="9">
        <f>IFERROR(VLOOKUP($A815,pivot!$A:$I,計算式2026!AJ$1,FALSE),0)</f>
        <v>0</v>
      </c>
      <c r="AK815" s="9">
        <f>IFERROR(VLOOKUP($A815,pivot!$A:$I,計算式2026!AK$1,FALSE),0)</f>
        <v>0</v>
      </c>
      <c r="AL815" s="9">
        <f>IFERROR(VLOOKUP($A815,pivot!$A:$I,計算式2026!AL$1,FALSE),0)</f>
        <v>0</v>
      </c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</row>
    <row r="816" spans="1:59" s="9" customFormat="1">
      <c r="A816" s="8" t="s">
        <v>535</v>
      </c>
      <c r="B816" s="8" t="s">
        <v>2604</v>
      </c>
      <c r="C816" s="9">
        <v>0</v>
      </c>
      <c r="D816" s="9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AE816" s="9">
        <f>IFERROR(VLOOKUP($A816,pivot!$A:$G,計算式2026!AE$1,FALSE),0)</f>
        <v>0</v>
      </c>
      <c r="AF816" s="9">
        <f>IFERROR(VLOOKUP($A816,pivot!$A:$I,計算式2026!AF$1,FALSE),0)</f>
        <v>0</v>
      </c>
      <c r="AI816" s="9">
        <f>IFERROR(VLOOKUP($A816,pivot!$A:$I,計算式2026!AI$1,FALSE),0)</f>
        <v>0</v>
      </c>
      <c r="AJ816" s="9">
        <f>IFERROR(VLOOKUP($A816,pivot!$A:$I,計算式2026!AJ$1,FALSE),0)</f>
        <v>0</v>
      </c>
      <c r="AK816" s="9">
        <f>IFERROR(VLOOKUP($A816,pivot!$A:$I,計算式2026!AK$1,FALSE),0)</f>
        <v>0</v>
      </c>
      <c r="AL816" s="9">
        <f>IFERROR(VLOOKUP($A816,pivot!$A:$I,計算式2026!AL$1,FALSE),0)</f>
        <v>0</v>
      </c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</row>
    <row r="817" spans="1:59" s="9" customFormat="1">
      <c r="A817" s="8" t="s">
        <v>2094</v>
      </c>
      <c r="B817" s="8" t="s">
        <v>2604</v>
      </c>
      <c r="C817" s="9">
        <v>0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R817" s="9">
        <v>0</v>
      </c>
      <c r="S817" s="9">
        <v>2</v>
      </c>
      <c r="T817" s="9">
        <v>0</v>
      </c>
      <c r="U817" s="9">
        <v>0</v>
      </c>
      <c r="V817" s="9">
        <v>1</v>
      </c>
      <c r="W817" s="9">
        <v>0</v>
      </c>
      <c r="X817" s="9">
        <v>2</v>
      </c>
      <c r="AE817" s="9">
        <f>IFERROR(VLOOKUP($A817,pivot!$A:$G,計算式2026!AE$1,FALSE),0)</f>
        <v>0</v>
      </c>
      <c r="AF817" s="9">
        <f>IFERROR(VLOOKUP($A817,pivot!$A:$I,計算式2026!AF$1,FALSE),0)</f>
        <v>0</v>
      </c>
      <c r="AI817" s="9">
        <f>IFERROR(VLOOKUP($A817,pivot!$A:$I,計算式2026!AI$1,FALSE),0)</f>
        <v>0</v>
      </c>
      <c r="AJ817" s="9">
        <f>IFERROR(VLOOKUP($A817,pivot!$A:$I,計算式2026!AJ$1,FALSE),0)</f>
        <v>0</v>
      </c>
      <c r="AK817" s="9">
        <f>IFERROR(VLOOKUP($A817,pivot!$A:$I,計算式2026!AK$1,FALSE),0)</f>
        <v>0</v>
      </c>
      <c r="AL817" s="9">
        <f>IFERROR(VLOOKUP($A817,pivot!$A:$I,計算式2026!AL$1,FALSE),0)</f>
        <v>0</v>
      </c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</row>
    <row r="818" spans="1:59" s="9" customFormat="1">
      <c r="A818" s="8" t="s">
        <v>536</v>
      </c>
      <c r="B818" s="8" t="s">
        <v>2604</v>
      </c>
      <c r="C818" s="9">
        <v>23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R818" s="9">
        <v>2</v>
      </c>
      <c r="S818" s="9">
        <v>3</v>
      </c>
      <c r="T818" s="9">
        <v>2</v>
      </c>
      <c r="U818" s="9">
        <v>2</v>
      </c>
      <c r="V818" s="9">
        <v>3</v>
      </c>
      <c r="W818" s="9">
        <v>0</v>
      </c>
      <c r="X818" s="9">
        <v>2</v>
      </c>
      <c r="AE818" s="9">
        <f>IFERROR(VLOOKUP($A818,pivot!$A:$G,計算式2026!AE$1,FALSE),0)</f>
        <v>0</v>
      </c>
      <c r="AF818" s="9">
        <f>IFERROR(VLOOKUP($A818,pivot!$A:$I,計算式2026!AF$1,FALSE),0)</f>
        <v>0</v>
      </c>
      <c r="AI818" s="9">
        <f>IFERROR(VLOOKUP($A818,pivot!$A:$I,計算式2026!AI$1,FALSE),0)</f>
        <v>0</v>
      </c>
      <c r="AJ818" s="9">
        <f>IFERROR(VLOOKUP($A818,pivot!$A:$I,計算式2026!AJ$1,FALSE),0)</f>
        <v>0</v>
      </c>
      <c r="AK818" s="9">
        <f>IFERROR(VLOOKUP($A818,pivot!$A:$I,計算式2026!AK$1,FALSE),0)</f>
        <v>0</v>
      </c>
      <c r="AL818" s="9">
        <f>IFERROR(VLOOKUP($A818,pivot!$A:$I,計算式2026!AL$1,FALSE),0)</f>
        <v>0</v>
      </c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</row>
    <row r="819" spans="1:59" s="9" customFormat="1">
      <c r="A819" s="8" t="s">
        <v>1599</v>
      </c>
      <c r="B819" s="8" t="s">
        <v>2604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R819" s="9">
        <v>2</v>
      </c>
      <c r="S819" s="9">
        <v>2</v>
      </c>
      <c r="T819" s="9">
        <v>0</v>
      </c>
      <c r="U819" s="9">
        <v>1</v>
      </c>
      <c r="V819" s="9">
        <v>2</v>
      </c>
      <c r="W819" s="9">
        <v>0</v>
      </c>
      <c r="X819" s="9">
        <v>0</v>
      </c>
      <c r="AE819" s="9">
        <f>IFERROR(VLOOKUP($A819,pivot!$A:$G,計算式2026!AE$1,FALSE),0)</f>
        <v>0</v>
      </c>
      <c r="AF819" s="9">
        <f>IFERROR(VLOOKUP($A819,pivot!$A:$I,計算式2026!AF$1,FALSE),0)</f>
        <v>0</v>
      </c>
      <c r="AI819" s="9">
        <f>IFERROR(VLOOKUP($A819,pivot!$A:$I,計算式2026!AI$1,FALSE),0)</f>
        <v>0</v>
      </c>
      <c r="AJ819" s="9">
        <f>IFERROR(VLOOKUP($A819,pivot!$A:$I,計算式2026!AJ$1,FALSE),0)</f>
        <v>0</v>
      </c>
      <c r="AK819" s="9">
        <f>IFERROR(VLOOKUP($A819,pivot!$A:$I,計算式2026!AK$1,FALSE),0)</f>
        <v>0</v>
      </c>
      <c r="AL819" s="9">
        <f>IFERROR(VLOOKUP($A819,pivot!$A:$I,計算式2026!AL$1,FALSE),0)</f>
        <v>0</v>
      </c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</row>
    <row r="820" spans="1:59" s="9" customFormat="1">
      <c r="A820" s="8" t="s">
        <v>537</v>
      </c>
      <c r="B820" s="8" t="s">
        <v>2604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R820" s="9">
        <v>2</v>
      </c>
      <c r="S820" s="9">
        <v>1</v>
      </c>
      <c r="T820" s="9">
        <v>0</v>
      </c>
      <c r="U820" s="9">
        <v>0</v>
      </c>
      <c r="V820" s="9">
        <v>0</v>
      </c>
      <c r="W820" s="9">
        <v>1</v>
      </c>
      <c r="X820" s="9">
        <v>1</v>
      </c>
      <c r="AE820" s="9">
        <f>IFERROR(VLOOKUP($A820,pivot!$A:$G,計算式2026!AE$1,FALSE),0)</f>
        <v>0</v>
      </c>
      <c r="AF820" s="9">
        <f>IFERROR(VLOOKUP($A820,pivot!$A:$I,計算式2026!AF$1,FALSE),0)</f>
        <v>0</v>
      </c>
      <c r="AI820" s="9">
        <f>IFERROR(VLOOKUP($A820,pivot!$A:$I,計算式2026!AI$1,FALSE),0)</f>
        <v>0</v>
      </c>
      <c r="AJ820" s="9">
        <f>IFERROR(VLOOKUP($A820,pivot!$A:$I,計算式2026!AJ$1,FALSE),0)</f>
        <v>0</v>
      </c>
      <c r="AK820" s="9">
        <f>IFERROR(VLOOKUP($A820,pivot!$A:$I,計算式2026!AK$1,FALSE),0)</f>
        <v>0</v>
      </c>
      <c r="AL820" s="9">
        <f>IFERROR(VLOOKUP($A820,pivot!$A:$I,計算式2026!AL$1,FALSE),0)</f>
        <v>0</v>
      </c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</row>
    <row r="821" spans="1:59" s="9" customFormat="1">
      <c r="A821" s="8" t="s">
        <v>538</v>
      </c>
      <c r="B821" s="8" t="s">
        <v>2604</v>
      </c>
      <c r="C821" s="9">
        <v>21</v>
      </c>
      <c r="D821" s="9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R821" s="9">
        <v>2</v>
      </c>
      <c r="S821" s="9">
        <v>3</v>
      </c>
      <c r="T821" s="9">
        <v>1</v>
      </c>
      <c r="U821" s="9">
        <v>2</v>
      </c>
      <c r="V821" s="9">
        <v>3</v>
      </c>
      <c r="W821" s="9">
        <v>1</v>
      </c>
      <c r="X821" s="9">
        <v>2</v>
      </c>
      <c r="AE821" s="9">
        <f>IFERROR(VLOOKUP($A821,pivot!$A:$G,計算式2026!AE$1,FALSE),0)</f>
        <v>0</v>
      </c>
      <c r="AF821" s="9">
        <f>IFERROR(VLOOKUP($A821,pivot!$A:$I,計算式2026!AF$1,FALSE),0)</f>
        <v>0</v>
      </c>
      <c r="AI821" s="9">
        <f>IFERROR(VLOOKUP($A821,pivot!$A:$I,計算式2026!AI$1,FALSE),0)</f>
        <v>0</v>
      </c>
      <c r="AJ821" s="9">
        <f>IFERROR(VLOOKUP($A821,pivot!$A:$I,計算式2026!AJ$1,FALSE),0)</f>
        <v>0</v>
      </c>
      <c r="AK821" s="9">
        <f>IFERROR(VLOOKUP($A821,pivot!$A:$I,計算式2026!AK$1,FALSE),0)</f>
        <v>0</v>
      </c>
      <c r="AL821" s="9">
        <f>IFERROR(VLOOKUP($A821,pivot!$A:$I,計算式2026!AL$1,FALSE),0)</f>
        <v>0</v>
      </c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</row>
    <row r="822" spans="1:59" s="9" customFormat="1">
      <c r="A822" s="8" t="s">
        <v>539</v>
      </c>
      <c r="B822" s="8" t="s">
        <v>2604</v>
      </c>
      <c r="C822" s="9">
        <v>18</v>
      </c>
      <c r="D822" s="9">
        <v>1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R822" s="9">
        <v>2</v>
      </c>
      <c r="S822" s="9">
        <v>3</v>
      </c>
      <c r="T822" s="9">
        <v>1</v>
      </c>
      <c r="U822" s="9">
        <v>3</v>
      </c>
      <c r="V822" s="9">
        <v>3</v>
      </c>
      <c r="W822" s="9">
        <v>1</v>
      </c>
      <c r="X822" s="9">
        <v>2</v>
      </c>
      <c r="AE822" s="9">
        <f>IFERROR(VLOOKUP($A822,pivot!$A:$G,計算式2026!AE$1,FALSE),0)</f>
        <v>0</v>
      </c>
      <c r="AF822" s="9">
        <f>IFERROR(VLOOKUP($A822,pivot!$A:$I,計算式2026!AF$1,FALSE),0)</f>
        <v>0</v>
      </c>
      <c r="AI822" s="9">
        <f>IFERROR(VLOOKUP($A822,pivot!$A:$I,計算式2026!AI$1,FALSE),0)</f>
        <v>0</v>
      </c>
      <c r="AJ822" s="9">
        <f>IFERROR(VLOOKUP($A822,pivot!$A:$I,計算式2026!AJ$1,FALSE),0)</f>
        <v>0</v>
      </c>
      <c r="AK822" s="9">
        <f>IFERROR(VLOOKUP($A822,pivot!$A:$I,計算式2026!AK$1,FALSE),0)</f>
        <v>0</v>
      </c>
      <c r="AL822" s="9">
        <f>IFERROR(VLOOKUP($A822,pivot!$A:$I,計算式2026!AL$1,FALSE),0)</f>
        <v>0</v>
      </c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</row>
    <row r="823" spans="1:59" s="9" customFormat="1">
      <c r="A823" s="8" t="s">
        <v>540</v>
      </c>
      <c r="B823" s="8" t="s">
        <v>2604</v>
      </c>
      <c r="C823" s="9">
        <v>7</v>
      </c>
      <c r="D823" s="9">
        <v>4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R823" s="9">
        <v>2</v>
      </c>
      <c r="S823" s="9">
        <v>3</v>
      </c>
      <c r="T823" s="9">
        <v>1</v>
      </c>
      <c r="U823" s="9">
        <v>2</v>
      </c>
      <c r="V823" s="9">
        <v>3</v>
      </c>
      <c r="W823" s="9">
        <v>1</v>
      </c>
      <c r="X823" s="9">
        <v>3</v>
      </c>
      <c r="AE823" s="9">
        <f>IFERROR(VLOOKUP($A823,pivot!$A:$G,計算式2026!AE$1,FALSE),0)</f>
        <v>0</v>
      </c>
      <c r="AF823" s="9">
        <f>IFERROR(VLOOKUP($A823,pivot!$A:$I,計算式2026!AF$1,FALSE),0)</f>
        <v>0</v>
      </c>
      <c r="AI823" s="9">
        <f>IFERROR(VLOOKUP($A823,pivot!$A:$I,計算式2026!AI$1,FALSE),0)</f>
        <v>0</v>
      </c>
      <c r="AJ823" s="9">
        <f>IFERROR(VLOOKUP($A823,pivot!$A:$I,計算式2026!AJ$1,FALSE),0)</f>
        <v>0</v>
      </c>
      <c r="AK823" s="9">
        <f>IFERROR(VLOOKUP($A823,pivot!$A:$I,計算式2026!AK$1,FALSE),0)</f>
        <v>0</v>
      </c>
      <c r="AL823" s="9">
        <f>IFERROR(VLOOKUP($A823,pivot!$A:$I,計算式2026!AL$1,FALSE),0)</f>
        <v>0</v>
      </c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</row>
    <row r="824" spans="1:59" s="9" customFormat="1">
      <c r="A824" s="8" t="s">
        <v>1665</v>
      </c>
      <c r="B824" s="8" t="s">
        <v>2604</v>
      </c>
      <c r="C824" s="9">
        <v>0</v>
      </c>
      <c r="D824" s="9">
        <v>1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R824" s="9">
        <v>1</v>
      </c>
      <c r="S824" s="9">
        <v>3</v>
      </c>
      <c r="T824" s="9">
        <v>1</v>
      </c>
      <c r="U824" s="9">
        <v>2</v>
      </c>
      <c r="V824" s="9">
        <v>2</v>
      </c>
      <c r="W824" s="9">
        <v>0</v>
      </c>
      <c r="X824" s="9">
        <v>2</v>
      </c>
      <c r="AE824" s="9">
        <f>IFERROR(VLOOKUP($A824,pivot!$A:$G,計算式2026!AE$1,FALSE),0)</f>
        <v>0</v>
      </c>
      <c r="AF824" s="9">
        <f>IFERROR(VLOOKUP($A824,pivot!$A:$I,計算式2026!AF$1,FALSE),0)</f>
        <v>0</v>
      </c>
      <c r="AI824" s="9">
        <f>IFERROR(VLOOKUP($A824,pivot!$A:$I,計算式2026!AI$1,FALSE),0)</f>
        <v>0</v>
      </c>
      <c r="AJ824" s="9">
        <f>IFERROR(VLOOKUP($A824,pivot!$A:$I,計算式2026!AJ$1,FALSE),0)</f>
        <v>0</v>
      </c>
      <c r="AK824" s="9">
        <f>IFERROR(VLOOKUP($A824,pivot!$A:$I,計算式2026!AK$1,FALSE),0)</f>
        <v>0</v>
      </c>
      <c r="AL824" s="9">
        <f>IFERROR(VLOOKUP($A824,pivot!$A:$I,計算式2026!AL$1,FALSE),0)</f>
        <v>0</v>
      </c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</row>
    <row r="825" spans="1:59" s="9" customFormat="1">
      <c r="A825" s="8" t="s">
        <v>541</v>
      </c>
      <c r="B825" s="8" t="s">
        <v>2604</v>
      </c>
      <c r="C825" s="9">
        <v>62</v>
      </c>
      <c r="D825" s="9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R825" s="9">
        <v>2</v>
      </c>
      <c r="S825" s="9">
        <v>3</v>
      </c>
      <c r="T825" s="9">
        <v>1</v>
      </c>
      <c r="U825" s="9">
        <v>2</v>
      </c>
      <c r="V825" s="9">
        <v>4</v>
      </c>
      <c r="W825" s="9">
        <v>1</v>
      </c>
      <c r="X825" s="9">
        <v>2</v>
      </c>
      <c r="AE825" s="9">
        <f>IFERROR(VLOOKUP($A825,pivot!$A:$G,計算式2026!AE$1,FALSE),0)</f>
        <v>0</v>
      </c>
      <c r="AF825" s="9">
        <f>IFERROR(VLOOKUP($A825,pivot!$A:$I,計算式2026!AF$1,FALSE),0)</f>
        <v>0</v>
      </c>
      <c r="AI825" s="9">
        <f>IFERROR(VLOOKUP($A825,pivot!$A:$I,計算式2026!AI$1,FALSE),0)</f>
        <v>0</v>
      </c>
      <c r="AJ825" s="9">
        <f>IFERROR(VLOOKUP($A825,pivot!$A:$I,計算式2026!AJ$1,FALSE),0)</f>
        <v>0</v>
      </c>
      <c r="AK825" s="9">
        <f>IFERROR(VLOOKUP($A825,pivot!$A:$I,計算式2026!AK$1,FALSE),0)</f>
        <v>0</v>
      </c>
      <c r="AL825" s="9">
        <f>IFERROR(VLOOKUP($A825,pivot!$A:$I,計算式2026!AL$1,FALSE),0)</f>
        <v>0</v>
      </c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</row>
    <row r="826" spans="1:59" s="9" customFormat="1">
      <c r="A826" s="8" t="s">
        <v>542</v>
      </c>
      <c r="B826" s="8" t="s">
        <v>2604</v>
      </c>
      <c r="C826" s="9">
        <v>13</v>
      </c>
      <c r="D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R826" s="9">
        <v>1</v>
      </c>
      <c r="S826" s="9">
        <v>4</v>
      </c>
      <c r="T826" s="9">
        <v>3</v>
      </c>
      <c r="U826" s="9">
        <v>2</v>
      </c>
      <c r="V826" s="9">
        <v>3</v>
      </c>
      <c r="W826" s="9">
        <v>1</v>
      </c>
      <c r="X826" s="9">
        <v>3</v>
      </c>
      <c r="AE826" s="9">
        <f>IFERROR(VLOOKUP($A826,pivot!$A:$G,計算式2026!AE$1,FALSE),0)</f>
        <v>0</v>
      </c>
      <c r="AF826" s="9">
        <f>IFERROR(VLOOKUP($A826,pivot!$A:$I,計算式2026!AF$1,FALSE),0)</f>
        <v>0</v>
      </c>
      <c r="AI826" s="9">
        <f>IFERROR(VLOOKUP($A826,pivot!$A:$I,計算式2026!AI$1,FALSE),0)</f>
        <v>0</v>
      </c>
      <c r="AJ826" s="9">
        <f>IFERROR(VLOOKUP($A826,pivot!$A:$I,計算式2026!AJ$1,FALSE),0)</f>
        <v>0</v>
      </c>
      <c r="AK826" s="9">
        <f>IFERROR(VLOOKUP($A826,pivot!$A:$I,計算式2026!AK$1,FALSE),0)</f>
        <v>0</v>
      </c>
      <c r="AL826" s="9">
        <f>IFERROR(VLOOKUP($A826,pivot!$A:$I,計算式2026!AL$1,FALSE),0)</f>
        <v>0</v>
      </c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</row>
    <row r="827" spans="1:59" s="9" customFormat="1">
      <c r="A827" s="8" t="s">
        <v>543</v>
      </c>
      <c r="B827" s="8" t="s">
        <v>2604</v>
      </c>
      <c r="C827" s="9">
        <v>0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AE827" s="9">
        <f>IFERROR(VLOOKUP($A827,pivot!$A:$G,計算式2026!AE$1,FALSE),0)</f>
        <v>0</v>
      </c>
      <c r="AF827" s="9">
        <f>IFERROR(VLOOKUP($A827,pivot!$A:$I,計算式2026!AF$1,FALSE),0)</f>
        <v>0</v>
      </c>
      <c r="AI827" s="9">
        <f>IFERROR(VLOOKUP($A827,pivot!$A:$I,計算式2026!AI$1,FALSE),0)</f>
        <v>0</v>
      </c>
      <c r="AJ827" s="9">
        <f>IFERROR(VLOOKUP($A827,pivot!$A:$I,計算式2026!AJ$1,FALSE),0)</f>
        <v>0</v>
      </c>
      <c r="AK827" s="9">
        <f>IFERROR(VLOOKUP($A827,pivot!$A:$I,計算式2026!AK$1,FALSE),0)</f>
        <v>0</v>
      </c>
      <c r="AL827" s="9">
        <f>IFERROR(VLOOKUP($A827,pivot!$A:$I,計算式2026!AL$1,FALSE),0)</f>
        <v>0</v>
      </c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</row>
    <row r="828" spans="1:59" s="9" customFormat="1">
      <c r="A828" s="8" t="s">
        <v>544</v>
      </c>
      <c r="B828" s="8" t="s">
        <v>2604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R828" s="9">
        <v>2</v>
      </c>
      <c r="S828" s="9">
        <v>2</v>
      </c>
      <c r="T828" s="9">
        <v>0</v>
      </c>
      <c r="U828" s="9">
        <v>2</v>
      </c>
      <c r="V828" s="9">
        <v>2</v>
      </c>
      <c r="W828" s="9">
        <v>0</v>
      </c>
      <c r="X828" s="9">
        <v>1</v>
      </c>
      <c r="AE828" s="9">
        <f>IFERROR(VLOOKUP($A828,pivot!$A:$G,計算式2026!AE$1,FALSE),0)</f>
        <v>0</v>
      </c>
      <c r="AF828" s="9">
        <f>IFERROR(VLOOKUP($A828,pivot!$A:$I,計算式2026!AF$1,FALSE),0)</f>
        <v>0</v>
      </c>
      <c r="AI828" s="9">
        <f>IFERROR(VLOOKUP($A828,pivot!$A:$I,計算式2026!AI$1,FALSE),0)</f>
        <v>0</v>
      </c>
      <c r="AJ828" s="9">
        <f>IFERROR(VLOOKUP($A828,pivot!$A:$I,計算式2026!AJ$1,FALSE),0)</f>
        <v>0</v>
      </c>
      <c r="AK828" s="9">
        <f>IFERROR(VLOOKUP($A828,pivot!$A:$I,計算式2026!AK$1,FALSE),0)</f>
        <v>0</v>
      </c>
      <c r="AL828" s="9">
        <f>IFERROR(VLOOKUP($A828,pivot!$A:$I,計算式2026!AL$1,FALSE),0)</f>
        <v>0</v>
      </c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</row>
    <row r="829" spans="1:59" s="9" customFormat="1">
      <c r="A829" s="8" t="s">
        <v>545</v>
      </c>
      <c r="B829" s="8" t="s">
        <v>2604</v>
      </c>
      <c r="C829" s="9">
        <v>26</v>
      </c>
      <c r="D829" s="9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R829" s="9">
        <v>1</v>
      </c>
      <c r="S829" s="9">
        <v>3</v>
      </c>
      <c r="T829" s="9">
        <v>1</v>
      </c>
      <c r="U829" s="9">
        <v>2</v>
      </c>
      <c r="V829" s="9">
        <v>2</v>
      </c>
      <c r="W829" s="9">
        <v>1</v>
      </c>
      <c r="X829" s="9">
        <v>3</v>
      </c>
      <c r="AE829" s="9">
        <f>IFERROR(VLOOKUP($A829,pivot!$A:$G,計算式2026!AE$1,FALSE),0)</f>
        <v>0</v>
      </c>
      <c r="AF829" s="9">
        <f>IFERROR(VLOOKUP($A829,pivot!$A:$I,計算式2026!AF$1,FALSE),0)</f>
        <v>0</v>
      </c>
      <c r="AI829" s="9">
        <f>IFERROR(VLOOKUP($A829,pivot!$A:$I,計算式2026!AI$1,FALSE),0)</f>
        <v>0</v>
      </c>
      <c r="AJ829" s="9">
        <f>IFERROR(VLOOKUP($A829,pivot!$A:$I,計算式2026!AJ$1,FALSE),0)</f>
        <v>0</v>
      </c>
      <c r="AK829" s="9">
        <f>IFERROR(VLOOKUP($A829,pivot!$A:$I,計算式2026!AK$1,FALSE),0)</f>
        <v>0</v>
      </c>
      <c r="AL829" s="9">
        <f>IFERROR(VLOOKUP($A829,pivot!$A:$I,計算式2026!AL$1,FALSE),0)</f>
        <v>0</v>
      </c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</row>
    <row r="830" spans="1:59" s="9" customFormat="1">
      <c r="A830" s="8" t="s">
        <v>546</v>
      </c>
      <c r="B830" s="8" t="s">
        <v>2604</v>
      </c>
      <c r="C830" s="9">
        <v>0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R830" s="9">
        <v>0</v>
      </c>
      <c r="S830" s="9">
        <v>2</v>
      </c>
      <c r="T830" s="9">
        <v>0</v>
      </c>
      <c r="U830" s="9">
        <v>0</v>
      </c>
      <c r="V830" s="9">
        <v>1</v>
      </c>
      <c r="W830" s="9">
        <v>0</v>
      </c>
      <c r="X830" s="9">
        <v>0</v>
      </c>
      <c r="AE830" s="9">
        <f>IFERROR(VLOOKUP($A830,pivot!$A:$G,計算式2026!AE$1,FALSE),0)</f>
        <v>0</v>
      </c>
      <c r="AF830" s="9">
        <f>IFERROR(VLOOKUP($A830,pivot!$A:$I,計算式2026!AF$1,FALSE),0)</f>
        <v>0</v>
      </c>
      <c r="AI830" s="9">
        <f>IFERROR(VLOOKUP($A830,pivot!$A:$I,計算式2026!AI$1,FALSE),0)</f>
        <v>0</v>
      </c>
      <c r="AJ830" s="9">
        <f>IFERROR(VLOOKUP($A830,pivot!$A:$I,計算式2026!AJ$1,FALSE),0)</f>
        <v>0</v>
      </c>
      <c r="AK830" s="9">
        <f>IFERROR(VLOOKUP($A830,pivot!$A:$I,計算式2026!AK$1,FALSE),0)</f>
        <v>0</v>
      </c>
      <c r="AL830" s="9">
        <f>IFERROR(VLOOKUP($A830,pivot!$A:$I,計算式2026!AL$1,FALSE),0)</f>
        <v>0</v>
      </c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</row>
    <row r="831" spans="1:59" s="9" customFormat="1">
      <c r="A831" s="8" t="s">
        <v>547</v>
      </c>
      <c r="B831" s="8" t="s">
        <v>2604</v>
      </c>
      <c r="C831" s="9">
        <v>56</v>
      </c>
      <c r="D831" s="9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R831" s="9">
        <v>2</v>
      </c>
      <c r="S831" s="9">
        <v>3</v>
      </c>
      <c r="T831" s="9">
        <v>1</v>
      </c>
      <c r="U831" s="9">
        <v>2</v>
      </c>
      <c r="V831" s="9">
        <v>2</v>
      </c>
      <c r="W831" s="9">
        <v>1</v>
      </c>
      <c r="X831" s="9">
        <v>3</v>
      </c>
      <c r="AE831" s="9">
        <f>IFERROR(VLOOKUP($A831,pivot!$A:$G,計算式2026!AE$1,FALSE),0)</f>
        <v>0</v>
      </c>
      <c r="AF831" s="9">
        <f>IFERROR(VLOOKUP($A831,pivot!$A:$I,計算式2026!AF$1,FALSE),0)</f>
        <v>0</v>
      </c>
      <c r="AI831" s="9">
        <f>IFERROR(VLOOKUP($A831,pivot!$A:$I,計算式2026!AI$1,FALSE),0)</f>
        <v>0</v>
      </c>
      <c r="AJ831" s="9">
        <f>IFERROR(VLOOKUP($A831,pivot!$A:$I,計算式2026!AJ$1,FALSE),0)</f>
        <v>0</v>
      </c>
      <c r="AK831" s="9">
        <f>IFERROR(VLOOKUP($A831,pivot!$A:$I,計算式2026!AK$1,FALSE),0)</f>
        <v>0</v>
      </c>
      <c r="AL831" s="9">
        <f>IFERROR(VLOOKUP($A831,pivot!$A:$I,計算式2026!AL$1,FALSE),0)</f>
        <v>0</v>
      </c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</row>
    <row r="832" spans="1:59" s="9" customFormat="1">
      <c r="A832" s="8" t="s">
        <v>548</v>
      </c>
      <c r="B832" s="8" t="s">
        <v>2604</v>
      </c>
      <c r="C832" s="9">
        <v>4</v>
      </c>
      <c r="D832" s="9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R832" s="9">
        <v>2</v>
      </c>
      <c r="S832" s="9">
        <v>3</v>
      </c>
      <c r="T832" s="9">
        <v>0</v>
      </c>
      <c r="U832" s="9">
        <v>2</v>
      </c>
      <c r="V832" s="9">
        <v>2</v>
      </c>
      <c r="W832" s="9">
        <v>1</v>
      </c>
      <c r="X832" s="9">
        <v>3</v>
      </c>
      <c r="AE832" s="9">
        <f>IFERROR(VLOOKUP($A832,pivot!$A:$G,計算式2026!AE$1,FALSE),0)</f>
        <v>0</v>
      </c>
      <c r="AF832" s="9">
        <f>IFERROR(VLOOKUP($A832,pivot!$A:$I,計算式2026!AF$1,FALSE),0)</f>
        <v>0</v>
      </c>
      <c r="AI832" s="9">
        <f>IFERROR(VLOOKUP($A832,pivot!$A:$I,計算式2026!AI$1,FALSE),0)</f>
        <v>0</v>
      </c>
      <c r="AJ832" s="9">
        <f>IFERROR(VLOOKUP($A832,pivot!$A:$I,計算式2026!AJ$1,FALSE),0)</f>
        <v>0</v>
      </c>
      <c r="AK832" s="9">
        <f>IFERROR(VLOOKUP($A832,pivot!$A:$I,計算式2026!AK$1,FALSE),0)</f>
        <v>0</v>
      </c>
      <c r="AL832" s="9">
        <f>IFERROR(VLOOKUP($A832,pivot!$A:$I,計算式2026!AL$1,FALSE),0)</f>
        <v>0</v>
      </c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</row>
    <row r="833" spans="1:59" s="9" customFormat="1">
      <c r="A833" s="8" t="s">
        <v>549</v>
      </c>
      <c r="B833" s="8" t="s">
        <v>2604</v>
      </c>
      <c r="C833" s="9">
        <v>0</v>
      </c>
      <c r="D833" s="9">
        <v>9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R833" s="9">
        <v>1</v>
      </c>
      <c r="S833" s="9">
        <v>3</v>
      </c>
      <c r="T833" s="9">
        <v>2</v>
      </c>
      <c r="U833" s="9">
        <v>2</v>
      </c>
      <c r="V833" s="9">
        <v>2</v>
      </c>
      <c r="W833" s="9">
        <v>1</v>
      </c>
      <c r="X833" s="9">
        <v>3</v>
      </c>
      <c r="AE833" s="9">
        <f>IFERROR(VLOOKUP($A833,pivot!$A:$G,計算式2026!AE$1,FALSE),0)</f>
        <v>0</v>
      </c>
      <c r="AF833" s="9">
        <f>IFERROR(VLOOKUP($A833,pivot!$A:$I,計算式2026!AF$1,FALSE),0)</f>
        <v>0</v>
      </c>
      <c r="AI833" s="9">
        <f>IFERROR(VLOOKUP($A833,pivot!$A:$I,計算式2026!AI$1,FALSE),0)</f>
        <v>0</v>
      </c>
      <c r="AJ833" s="9">
        <f>IFERROR(VLOOKUP($A833,pivot!$A:$I,計算式2026!AJ$1,FALSE),0)</f>
        <v>0</v>
      </c>
      <c r="AK833" s="9">
        <f>IFERROR(VLOOKUP($A833,pivot!$A:$I,計算式2026!AK$1,FALSE),0)</f>
        <v>0</v>
      </c>
      <c r="AL833" s="9">
        <f>IFERROR(VLOOKUP($A833,pivot!$A:$I,計算式2026!AL$1,FALSE),0)</f>
        <v>0</v>
      </c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</row>
    <row r="834" spans="1:59" s="9" customFormat="1">
      <c r="A834" s="8" t="s">
        <v>2095</v>
      </c>
      <c r="B834" s="8" t="s">
        <v>2604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R834" s="9">
        <v>0</v>
      </c>
      <c r="S834" s="9">
        <v>3</v>
      </c>
      <c r="T834" s="9">
        <v>0</v>
      </c>
      <c r="U834" s="9">
        <v>2</v>
      </c>
      <c r="V834" s="9">
        <v>2</v>
      </c>
      <c r="W834" s="9">
        <v>1</v>
      </c>
      <c r="X834" s="9">
        <v>2</v>
      </c>
      <c r="AE834" s="9">
        <f>IFERROR(VLOOKUP($A834,pivot!$A:$G,計算式2026!AE$1,FALSE),0)</f>
        <v>0</v>
      </c>
      <c r="AF834" s="9">
        <f>IFERROR(VLOOKUP($A834,pivot!$A:$I,計算式2026!AF$1,FALSE),0)</f>
        <v>0</v>
      </c>
      <c r="AI834" s="9">
        <f>IFERROR(VLOOKUP($A834,pivot!$A:$I,計算式2026!AI$1,FALSE),0)</f>
        <v>0</v>
      </c>
      <c r="AJ834" s="9">
        <f>IFERROR(VLOOKUP($A834,pivot!$A:$I,計算式2026!AJ$1,FALSE),0)</f>
        <v>0</v>
      </c>
      <c r="AK834" s="9">
        <f>IFERROR(VLOOKUP($A834,pivot!$A:$I,計算式2026!AK$1,FALSE),0)</f>
        <v>0</v>
      </c>
      <c r="AL834" s="9">
        <f>IFERROR(VLOOKUP($A834,pivot!$A:$I,計算式2026!AL$1,FALSE),0)</f>
        <v>0</v>
      </c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</row>
    <row r="835" spans="1:59" s="9" customFormat="1">
      <c r="A835" s="8" t="s">
        <v>1600</v>
      </c>
      <c r="B835" s="8" t="s">
        <v>2604</v>
      </c>
      <c r="C835" s="9">
        <v>0</v>
      </c>
      <c r="D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R835" s="9">
        <v>1</v>
      </c>
      <c r="S835" s="9">
        <v>1</v>
      </c>
      <c r="T835" s="9">
        <v>0</v>
      </c>
      <c r="U835" s="9">
        <v>1</v>
      </c>
      <c r="V835" s="9">
        <v>0</v>
      </c>
      <c r="W835" s="9">
        <v>0</v>
      </c>
      <c r="X835" s="9">
        <v>0</v>
      </c>
      <c r="AE835" s="9">
        <f>IFERROR(VLOOKUP($A835,pivot!$A:$G,計算式2026!AE$1,FALSE),0)</f>
        <v>0</v>
      </c>
      <c r="AF835" s="9">
        <f>IFERROR(VLOOKUP($A835,pivot!$A:$I,計算式2026!AF$1,FALSE),0)</f>
        <v>0</v>
      </c>
      <c r="AI835" s="9">
        <f>IFERROR(VLOOKUP($A835,pivot!$A:$I,計算式2026!AI$1,FALSE),0)</f>
        <v>0</v>
      </c>
      <c r="AJ835" s="9">
        <f>IFERROR(VLOOKUP($A835,pivot!$A:$I,計算式2026!AJ$1,FALSE),0)</f>
        <v>0</v>
      </c>
      <c r="AK835" s="9">
        <f>IFERROR(VLOOKUP($A835,pivot!$A:$I,計算式2026!AK$1,FALSE),0)</f>
        <v>0</v>
      </c>
      <c r="AL835" s="9">
        <f>IFERROR(VLOOKUP($A835,pivot!$A:$I,計算式2026!AL$1,FALSE),0)</f>
        <v>0</v>
      </c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</row>
    <row r="836" spans="1:59" s="9" customFormat="1">
      <c r="A836" s="8" t="s">
        <v>2096</v>
      </c>
      <c r="B836" s="8" t="s">
        <v>2596</v>
      </c>
      <c r="C836" s="9">
        <v>0</v>
      </c>
      <c r="D836" s="9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R836" s="9">
        <v>0</v>
      </c>
      <c r="S836" s="9">
        <v>3</v>
      </c>
      <c r="T836" s="9">
        <v>0</v>
      </c>
      <c r="U836" s="9">
        <v>0</v>
      </c>
      <c r="V836" s="9">
        <v>2</v>
      </c>
      <c r="W836" s="9">
        <v>1</v>
      </c>
      <c r="X836" s="9">
        <v>2</v>
      </c>
      <c r="AE836" s="9">
        <f>IFERROR(VLOOKUP($A836,pivot!$A:$G,計算式2026!AE$1,FALSE),0)</f>
        <v>0</v>
      </c>
      <c r="AF836" s="9">
        <f>IFERROR(VLOOKUP($A836,pivot!$A:$I,計算式2026!AF$1,FALSE),0)</f>
        <v>0</v>
      </c>
      <c r="AI836" s="9">
        <f>IFERROR(VLOOKUP($A836,pivot!$A:$I,計算式2026!AI$1,FALSE),0)</f>
        <v>0</v>
      </c>
      <c r="AJ836" s="9">
        <f>IFERROR(VLOOKUP($A836,pivot!$A:$I,計算式2026!AJ$1,FALSE),0)</f>
        <v>0</v>
      </c>
      <c r="AK836" s="9">
        <f>IFERROR(VLOOKUP($A836,pivot!$A:$I,計算式2026!AK$1,FALSE),0)</f>
        <v>0</v>
      </c>
      <c r="AL836" s="9">
        <f>IFERROR(VLOOKUP($A836,pivot!$A:$I,計算式2026!AL$1,FALSE),0)</f>
        <v>0</v>
      </c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</row>
    <row r="837" spans="1:59" s="9" customFormat="1">
      <c r="A837" s="8" t="s">
        <v>1601</v>
      </c>
      <c r="B837" s="8" t="s">
        <v>2596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R837" s="9">
        <v>2</v>
      </c>
      <c r="S837" s="9">
        <v>2</v>
      </c>
      <c r="T837" s="9">
        <v>1</v>
      </c>
      <c r="U837" s="9">
        <v>1</v>
      </c>
      <c r="V837" s="9">
        <v>1</v>
      </c>
      <c r="W837" s="9">
        <v>0</v>
      </c>
      <c r="X837" s="9">
        <v>2</v>
      </c>
      <c r="AE837" s="9">
        <f>IFERROR(VLOOKUP($A837,pivot!$A:$G,計算式2026!AE$1,FALSE),0)</f>
        <v>0</v>
      </c>
      <c r="AF837" s="9">
        <f>IFERROR(VLOOKUP($A837,pivot!$A:$I,計算式2026!AF$1,FALSE),0)</f>
        <v>0</v>
      </c>
      <c r="AI837" s="9">
        <f>IFERROR(VLOOKUP($A837,pivot!$A:$I,計算式2026!AI$1,FALSE),0)</f>
        <v>0</v>
      </c>
      <c r="AJ837" s="9">
        <f>IFERROR(VLOOKUP($A837,pivot!$A:$I,計算式2026!AJ$1,FALSE),0)</f>
        <v>0</v>
      </c>
      <c r="AK837" s="9">
        <f>IFERROR(VLOOKUP($A837,pivot!$A:$I,計算式2026!AK$1,FALSE),0)</f>
        <v>0</v>
      </c>
      <c r="AL837" s="9">
        <f>IFERROR(VLOOKUP($A837,pivot!$A:$I,計算式2026!AL$1,FALSE),0)</f>
        <v>0</v>
      </c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</row>
    <row r="838" spans="1:59" s="9" customFormat="1">
      <c r="A838" s="8" t="s">
        <v>2097</v>
      </c>
      <c r="B838" s="8" t="s">
        <v>2596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R838" s="9">
        <v>0</v>
      </c>
      <c r="S838" s="9">
        <v>2</v>
      </c>
      <c r="T838" s="9">
        <v>1</v>
      </c>
      <c r="U838" s="9">
        <v>0</v>
      </c>
      <c r="V838" s="9">
        <v>1</v>
      </c>
      <c r="W838" s="9">
        <v>0</v>
      </c>
      <c r="X838" s="9">
        <v>3</v>
      </c>
      <c r="AE838" s="9">
        <f>IFERROR(VLOOKUP($A838,pivot!$A:$G,計算式2026!AE$1,FALSE),0)</f>
        <v>0</v>
      </c>
      <c r="AF838" s="9">
        <f>IFERROR(VLOOKUP($A838,pivot!$A:$I,計算式2026!AF$1,FALSE),0)</f>
        <v>0</v>
      </c>
      <c r="AI838" s="9">
        <f>IFERROR(VLOOKUP($A838,pivot!$A:$I,計算式2026!AI$1,FALSE),0)</f>
        <v>0</v>
      </c>
      <c r="AJ838" s="9">
        <f>IFERROR(VLOOKUP($A838,pivot!$A:$I,計算式2026!AJ$1,FALSE),0)</f>
        <v>0</v>
      </c>
      <c r="AK838" s="9">
        <f>IFERROR(VLOOKUP($A838,pivot!$A:$I,計算式2026!AK$1,FALSE),0)</f>
        <v>0</v>
      </c>
      <c r="AL838" s="9">
        <f>IFERROR(VLOOKUP($A838,pivot!$A:$I,計算式2026!AL$1,FALSE),0)</f>
        <v>0</v>
      </c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</row>
    <row r="839" spans="1:59" s="9" customFormat="1">
      <c r="A839" s="8" t="s">
        <v>2667</v>
      </c>
      <c r="B839" s="8" t="s">
        <v>2596</v>
      </c>
      <c r="C839" s="9">
        <v>1</v>
      </c>
      <c r="D839" s="9">
        <v>14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R839" s="9">
        <v>3</v>
      </c>
      <c r="S839" s="9">
        <v>4</v>
      </c>
      <c r="T839" s="9">
        <v>1</v>
      </c>
      <c r="U839" s="9">
        <v>2</v>
      </c>
      <c r="V839" s="9">
        <v>3</v>
      </c>
      <c r="W839" s="9">
        <v>0</v>
      </c>
      <c r="X839" s="9">
        <v>2</v>
      </c>
      <c r="AE839" s="9">
        <f>IFERROR(VLOOKUP($A839,pivot!$A:$G,計算式2026!AE$1,FALSE),0)</f>
        <v>0</v>
      </c>
      <c r="AF839" s="9">
        <f>IFERROR(VLOOKUP($A839,pivot!$A:$I,計算式2026!AF$1,FALSE),0)</f>
        <v>0</v>
      </c>
      <c r="AI839" s="9">
        <f>IFERROR(VLOOKUP($A839,pivot!$A:$I,計算式2026!AI$1,FALSE),0)</f>
        <v>0</v>
      </c>
      <c r="AJ839" s="9">
        <f>IFERROR(VLOOKUP($A839,pivot!$A:$I,計算式2026!AJ$1,FALSE),0)</f>
        <v>0</v>
      </c>
      <c r="AK839" s="9">
        <f>IFERROR(VLOOKUP($A839,pivot!$A:$I,計算式2026!AK$1,FALSE),0)</f>
        <v>0</v>
      </c>
      <c r="AL839" s="9">
        <f>IFERROR(VLOOKUP($A839,pivot!$A:$I,計算式2026!AL$1,FALSE),0)</f>
        <v>0</v>
      </c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</row>
    <row r="840" spans="1:59" s="9" customFormat="1">
      <c r="A840" s="8" t="s">
        <v>2098</v>
      </c>
      <c r="B840" s="8" t="s">
        <v>2596</v>
      </c>
      <c r="C840" s="9">
        <v>0</v>
      </c>
      <c r="D840" s="9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R840" s="9">
        <v>3</v>
      </c>
      <c r="S840" s="9">
        <v>2</v>
      </c>
      <c r="T840" s="9">
        <v>0</v>
      </c>
      <c r="U840" s="9">
        <v>0</v>
      </c>
      <c r="V840" s="9">
        <v>1</v>
      </c>
      <c r="W840" s="9">
        <v>1</v>
      </c>
      <c r="X840" s="9">
        <v>2</v>
      </c>
      <c r="AE840" s="9">
        <f>IFERROR(VLOOKUP($A840,pivot!$A:$G,計算式2026!AE$1,FALSE),0)</f>
        <v>0</v>
      </c>
      <c r="AF840" s="9">
        <f>IFERROR(VLOOKUP($A840,pivot!$A:$I,計算式2026!AF$1,FALSE),0)</f>
        <v>0</v>
      </c>
      <c r="AI840" s="9">
        <f>IFERROR(VLOOKUP($A840,pivot!$A:$I,計算式2026!AI$1,FALSE),0)</f>
        <v>0</v>
      </c>
      <c r="AJ840" s="9">
        <f>IFERROR(VLOOKUP($A840,pivot!$A:$I,計算式2026!AJ$1,FALSE),0)</f>
        <v>0</v>
      </c>
      <c r="AK840" s="9">
        <f>IFERROR(VLOOKUP($A840,pivot!$A:$I,計算式2026!AK$1,FALSE),0)</f>
        <v>0</v>
      </c>
      <c r="AL840" s="9">
        <f>IFERROR(VLOOKUP($A840,pivot!$A:$I,計算式2026!AL$1,FALSE),0)</f>
        <v>0</v>
      </c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</row>
    <row r="841" spans="1:59" s="9" customFormat="1">
      <c r="A841" s="8" t="s">
        <v>550</v>
      </c>
      <c r="B841" s="8" t="s">
        <v>2596</v>
      </c>
      <c r="C841" s="9">
        <v>0</v>
      </c>
      <c r="D841" s="9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R841" s="9">
        <v>2</v>
      </c>
      <c r="S841" s="9">
        <v>3</v>
      </c>
      <c r="T841" s="9">
        <v>1</v>
      </c>
      <c r="U841" s="9">
        <v>0</v>
      </c>
      <c r="V841" s="9">
        <v>2</v>
      </c>
      <c r="W841" s="9">
        <v>0</v>
      </c>
      <c r="X841" s="9">
        <v>1</v>
      </c>
      <c r="AE841" s="9">
        <f>IFERROR(VLOOKUP($A841,pivot!$A:$G,計算式2026!AE$1,FALSE),0)</f>
        <v>0</v>
      </c>
      <c r="AF841" s="9">
        <f>IFERROR(VLOOKUP($A841,pivot!$A:$I,計算式2026!AF$1,FALSE),0)</f>
        <v>0</v>
      </c>
      <c r="AI841" s="9">
        <f>IFERROR(VLOOKUP($A841,pivot!$A:$I,計算式2026!AI$1,FALSE),0)</f>
        <v>0</v>
      </c>
      <c r="AJ841" s="9">
        <f>IFERROR(VLOOKUP($A841,pivot!$A:$I,計算式2026!AJ$1,FALSE),0)</f>
        <v>0</v>
      </c>
      <c r="AK841" s="9">
        <f>IFERROR(VLOOKUP($A841,pivot!$A:$I,計算式2026!AK$1,FALSE),0)</f>
        <v>0</v>
      </c>
      <c r="AL841" s="9">
        <f>IFERROR(VLOOKUP($A841,pivot!$A:$I,計算式2026!AL$1,FALSE),0)</f>
        <v>0</v>
      </c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</row>
    <row r="842" spans="1:59" s="9" customFormat="1">
      <c r="A842" s="8" t="s">
        <v>1602</v>
      </c>
      <c r="B842" s="8" t="s">
        <v>2596</v>
      </c>
      <c r="C842" s="9">
        <v>0</v>
      </c>
      <c r="D842" s="9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R842" s="9">
        <v>1</v>
      </c>
      <c r="S842" s="9">
        <v>1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AE842" s="9">
        <f>IFERROR(VLOOKUP($A842,pivot!$A:$G,計算式2026!AE$1,FALSE),0)</f>
        <v>0</v>
      </c>
      <c r="AF842" s="9">
        <f>IFERROR(VLOOKUP($A842,pivot!$A:$I,計算式2026!AF$1,FALSE),0)</f>
        <v>0</v>
      </c>
      <c r="AI842" s="9">
        <f>IFERROR(VLOOKUP($A842,pivot!$A:$I,計算式2026!AI$1,FALSE),0)</f>
        <v>0</v>
      </c>
      <c r="AJ842" s="9">
        <f>IFERROR(VLOOKUP($A842,pivot!$A:$I,計算式2026!AJ$1,FALSE),0)</f>
        <v>0</v>
      </c>
      <c r="AK842" s="9">
        <f>IFERROR(VLOOKUP($A842,pivot!$A:$I,計算式2026!AK$1,FALSE),0)</f>
        <v>0</v>
      </c>
      <c r="AL842" s="9">
        <f>IFERROR(VLOOKUP($A842,pivot!$A:$I,計算式2026!AL$1,FALSE),0)</f>
        <v>0</v>
      </c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</row>
    <row r="843" spans="1:59" s="9" customFormat="1">
      <c r="A843" s="8" t="s">
        <v>551</v>
      </c>
      <c r="B843" s="8" t="s">
        <v>2596</v>
      </c>
      <c r="C843" s="9">
        <v>0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1</v>
      </c>
      <c r="AE843" s="9">
        <f>IFERROR(VLOOKUP($A843,pivot!$A:$G,計算式2026!AE$1,FALSE),0)</f>
        <v>0</v>
      </c>
      <c r="AF843" s="9">
        <f>IFERROR(VLOOKUP($A843,pivot!$A:$I,計算式2026!AF$1,FALSE),0)</f>
        <v>0</v>
      </c>
      <c r="AI843" s="9">
        <f>IFERROR(VLOOKUP($A843,pivot!$A:$I,計算式2026!AI$1,FALSE),0)</f>
        <v>0</v>
      </c>
      <c r="AJ843" s="9">
        <f>IFERROR(VLOOKUP($A843,pivot!$A:$I,計算式2026!AJ$1,FALSE),0)</f>
        <v>0</v>
      </c>
      <c r="AK843" s="9">
        <f>IFERROR(VLOOKUP($A843,pivot!$A:$I,計算式2026!AK$1,FALSE),0)</f>
        <v>0</v>
      </c>
      <c r="AL843" s="9">
        <f>IFERROR(VLOOKUP($A843,pivot!$A:$I,計算式2026!AL$1,FALSE),0)</f>
        <v>0</v>
      </c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</row>
    <row r="844" spans="1:59" s="9" customFormat="1">
      <c r="A844" s="8" t="s">
        <v>552</v>
      </c>
      <c r="B844" s="8" t="s">
        <v>2596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R844" s="9">
        <v>2</v>
      </c>
      <c r="S844" s="9">
        <v>3</v>
      </c>
      <c r="T844" s="9">
        <v>2</v>
      </c>
      <c r="U844" s="9">
        <v>2</v>
      </c>
      <c r="V844" s="9">
        <v>3</v>
      </c>
      <c r="W844" s="9">
        <v>0</v>
      </c>
      <c r="X844" s="9">
        <v>2</v>
      </c>
      <c r="AE844" s="9">
        <f>IFERROR(VLOOKUP($A844,pivot!$A:$G,計算式2026!AE$1,FALSE),0)</f>
        <v>0</v>
      </c>
      <c r="AF844" s="9">
        <f>IFERROR(VLOOKUP($A844,pivot!$A:$I,計算式2026!AF$1,FALSE),0)</f>
        <v>0</v>
      </c>
      <c r="AI844" s="9">
        <f>IFERROR(VLOOKUP($A844,pivot!$A:$I,計算式2026!AI$1,FALSE),0)</f>
        <v>0</v>
      </c>
      <c r="AJ844" s="9">
        <f>IFERROR(VLOOKUP($A844,pivot!$A:$I,計算式2026!AJ$1,FALSE),0)</f>
        <v>0</v>
      </c>
      <c r="AK844" s="9">
        <f>IFERROR(VLOOKUP($A844,pivot!$A:$I,計算式2026!AK$1,FALSE),0)</f>
        <v>0</v>
      </c>
      <c r="AL844" s="9">
        <f>IFERROR(VLOOKUP($A844,pivot!$A:$I,計算式2026!AL$1,FALSE),0)</f>
        <v>0</v>
      </c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</row>
    <row r="845" spans="1:59" s="9" customFormat="1">
      <c r="A845" s="8" t="s">
        <v>553</v>
      </c>
      <c r="B845" s="8" t="s">
        <v>2596</v>
      </c>
      <c r="C845" s="9">
        <v>30</v>
      </c>
      <c r="D845" s="9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R845" s="9">
        <v>2</v>
      </c>
      <c r="S845" s="9">
        <v>4</v>
      </c>
      <c r="T845" s="9">
        <v>1</v>
      </c>
      <c r="U845" s="9">
        <v>2</v>
      </c>
      <c r="V845" s="9">
        <v>3</v>
      </c>
      <c r="W845" s="9">
        <v>0</v>
      </c>
      <c r="X845" s="9">
        <v>3</v>
      </c>
      <c r="AE845" s="9">
        <f>IFERROR(VLOOKUP($A845,pivot!$A:$G,計算式2026!AE$1,FALSE),0)</f>
        <v>0</v>
      </c>
      <c r="AF845" s="9">
        <f>IFERROR(VLOOKUP($A845,pivot!$A:$I,計算式2026!AF$1,FALSE),0)</f>
        <v>0</v>
      </c>
      <c r="AI845" s="9">
        <f>IFERROR(VLOOKUP($A845,pivot!$A:$I,計算式2026!AI$1,FALSE),0)</f>
        <v>0</v>
      </c>
      <c r="AJ845" s="9">
        <f>IFERROR(VLOOKUP($A845,pivot!$A:$I,計算式2026!AJ$1,FALSE),0)</f>
        <v>0</v>
      </c>
      <c r="AK845" s="9">
        <f>IFERROR(VLOOKUP($A845,pivot!$A:$I,計算式2026!AK$1,FALSE),0)</f>
        <v>0</v>
      </c>
      <c r="AL845" s="9">
        <f>IFERROR(VLOOKUP($A845,pivot!$A:$I,計算式2026!AL$1,FALSE),0)</f>
        <v>0</v>
      </c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</row>
    <row r="846" spans="1:59" s="9" customFormat="1">
      <c r="A846" s="8" t="s">
        <v>554</v>
      </c>
      <c r="B846" s="8" t="s">
        <v>2596</v>
      </c>
      <c r="C846" s="9">
        <v>0</v>
      </c>
      <c r="D846" s="9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R846" s="9">
        <v>0</v>
      </c>
      <c r="S846" s="9">
        <v>2</v>
      </c>
      <c r="T846" s="9">
        <v>1</v>
      </c>
      <c r="U846" s="9">
        <v>0</v>
      </c>
      <c r="V846" s="9">
        <v>1</v>
      </c>
      <c r="W846" s="9">
        <v>0</v>
      </c>
      <c r="X846" s="9">
        <v>2</v>
      </c>
      <c r="AE846" s="9">
        <f>IFERROR(VLOOKUP($A846,pivot!$A:$G,計算式2026!AE$1,FALSE),0)</f>
        <v>0</v>
      </c>
      <c r="AF846" s="9">
        <f>IFERROR(VLOOKUP($A846,pivot!$A:$I,計算式2026!AF$1,FALSE),0)</f>
        <v>0</v>
      </c>
      <c r="AI846" s="9">
        <f>IFERROR(VLOOKUP($A846,pivot!$A:$I,計算式2026!AI$1,FALSE),0)</f>
        <v>0</v>
      </c>
      <c r="AJ846" s="9">
        <f>IFERROR(VLOOKUP($A846,pivot!$A:$I,計算式2026!AJ$1,FALSE),0)</f>
        <v>0</v>
      </c>
      <c r="AK846" s="9">
        <f>IFERROR(VLOOKUP($A846,pivot!$A:$I,計算式2026!AK$1,FALSE),0)</f>
        <v>0</v>
      </c>
      <c r="AL846" s="9">
        <f>IFERROR(VLOOKUP($A846,pivot!$A:$I,計算式2026!AL$1,FALSE),0)</f>
        <v>0</v>
      </c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</row>
    <row r="847" spans="1:59" s="9" customFormat="1">
      <c r="A847" s="8" t="s">
        <v>1666</v>
      </c>
      <c r="B847" s="8" t="s">
        <v>2596</v>
      </c>
      <c r="C847" s="9">
        <v>0</v>
      </c>
      <c r="D847" s="9">
        <v>10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R847" s="9">
        <v>2</v>
      </c>
      <c r="S847" s="9">
        <v>4</v>
      </c>
      <c r="T847" s="9">
        <v>1</v>
      </c>
      <c r="U847" s="9">
        <v>3</v>
      </c>
      <c r="V847" s="9">
        <v>3</v>
      </c>
      <c r="W847" s="9">
        <v>1</v>
      </c>
      <c r="X847" s="9">
        <v>2</v>
      </c>
      <c r="AE847" s="9">
        <f>IFERROR(VLOOKUP($A847,pivot!$A:$G,計算式2026!AE$1,FALSE),0)</f>
        <v>0</v>
      </c>
      <c r="AF847" s="9">
        <f>IFERROR(VLOOKUP($A847,pivot!$A:$I,計算式2026!AF$1,FALSE),0)</f>
        <v>0</v>
      </c>
      <c r="AI847" s="9">
        <f>IFERROR(VLOOKUP($A847,pivot!$A:$I,計算式2026!AI$1,FALSE),0)</f>
        <v>0</v>
      </c>
      <c r="AJ847" s="9">
        <f>IFERROR(VLOOKUP($A847,pivot!$A:$I,計算式2026!AJ$1,FALSE),0)</f>
        <v>0</v>
      </c>
      <c r="AK847" s="9">
        <f>IFERROR(VLOOKUP($A847,pivot!$A:$I,計算式2026!AK$1,FALSE),0)</f>
        <v>0</v>
      </c>
      <c r="AL847" s="9">
        <f>IFERROR(VLOOKUP($A847,pivot!$A:$I,計算式2026!AL$1,FALSE),0)</f>
        <v>0</v>
      </c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</row>
    <row r="848" spans="1:59" s="9" customFormat="1">
      <c r="A848" s="8" t="s">
        <v>555</v>
      </c>
      <c r="B848" s="8" t="s">
        <v>2596</v>
      </c>
      <c r="C848" s="9">
        <v>0</v>
      </c>
      <c r="D848" s="9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R848" s="9">
        <v>2</v>
      </c>
      <c r="S848" s="9">
        <v>3</v>
      </c>
      <c r="T848" s="9">
        <v>2</v>
      </c>
      <c r="U848" s="9">
        <v>1</v>
      </c>
      <c r="V848" s="9">
        <v>3</v>
      </c>
      <c r="W848" s="9">
        <v>0</v>
      </c>
      <c r="X848" s="9">
        <v>3</v>
      </c>
      <c r="AE848" s="9">
        <f>IFERROR(VLOOKUP($A848,pivot!$A:$G,計算式2026!AE$1,FALSE),0)</f>
        <v>0</v>
      </c>
      <c r="AF848" s="9">
        <f>IFERROR(VLOOKUP($A848,pivot!$A:$I,計算式2026!AF$1,FALSE),0)</f>
        <v>0</v>
      </c>
      <c r="AI848" s="9">
        <f>IFERROR(VLOOKUP($A848,pivot!$A:$I,計算式2026!AI$1,FALSE),0)</f>
        <v>0</v>
      </c>
      <c r="AJ848" s="9">
        <f>IFERROR(VLOOKUP($A848,pivot!$A:$I,計算式2026!AJ$1,FALSE),0)</f>
        <v>0</v>
      </c>
      <c r="AK848" s="9">
        <f>IFERROR(VLOOKUP($A848,pivot!$A:$I,計算式2026!AK$1,FALSE),0)</f>
        <v>0</v>
      </c>
      <c r="AL848" s="9">
        <f>IFERROR(VLOOKUP($A848,pivot!$A:$I,計算式2026!AL$1,FALSE),0)</f>
        <v>0</v>
      </c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</row>
    <row r="849" spans="1:59" s="9" customFormat="1">
      <c r="A849" s="8" t="s">
        <v>556</v>
      </c>
      <c r="B849" s="8" t="s">
        <v>2596</v>
      </c>
      <c r="C849" s="9">
        <v>0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R849" s="9">
        <v>0</v>
      </c>
      <c r="S849" s="9">
        <v>1</v>
      </c>
      <c r="T849" s="9">
        <v>0</v>
      </c>
      <c r="U849" s="9">
        <v>0</v>
      </c>
      <c r="V849" s="9">
        <v>1</v>
      </c>
      <c r="W849" s="9">
        <v>0</v>
      </c>
      <c r="X849" s="9">
        <v>0</v>
      </c>
      <c r="AE849" s="9">
        <f>IFERROR(VLOOKUP($A849,pivot!$A:$G,計算式2026!AE$1,FALSE),0)</f>
        <v>0</v>
      </c>
      <c r="AF849" s="9">
        <f>IFERROR(VLOOKUP($A849,pivot!$A:$I,計算式2026!AF$1,FALSE),0)</f>
        <v>0</v>
      </c>
      <c r="AI849" s="9">
        <f>IFERROR(VLOOKUP($A849,pivot!$A:$I,計算式2026!AI$1,FALSE),0)</f>
        <v>0</v>
      </c>
      <c r="AJ849" s="9">
        <f>IFERROR(VLOOKUP($A849,pivot!$A:$I,計算式2026!AJ$1,FALSE),0)</f>
        <v>0</v>
      </c>
      <c r="AK849" s="9">
        <f>IFERROR(VLOOKUP($A849,pivot!$A:$I,計算式2026!AK$1,FALSE),0)</f>
        <v>0</v>
      </c>
      <c r="AL849" s="9">
        <f>IFERROR(VLOOKUP($A849,pivot!$A:$I,計算式2026!AL$1,FALSE),0)</f>
        <v>0</v>
      </c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</row>
    <row r="850" spans="1:59" s="9" customFormat="1">
      <c r="A850" s="8" t="s">
        <v>557</v>
      </c>
      <c r="B850" s="8" t="s">
        <v>2596</v>
      </c>
      <c r="C850" s="9">
        <v>0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R850" s="9">
        <v>2</v>
      </c>
      <c r="S850" s="9">
        <v>4</v>
      </c>
      <c r="T850" s="9">
        <v>3</v>
      </c>
      <c r="U850" s="9">
        <v>3</v>
      </c>
      <c r="V850" s="9">
        <v>4</v>
      </c>
      <c r="W850" s="9">
        <v>0</v>
      </c>
      <c r="X850" s="9">
        <v>2</v>
      </c>
      <c r="AE850" s="9">
        <f>IFERROR(VLOOKUP($A850,pivot!$A:$G,計算式2026!AE$1,FALSE),0)</f>
        <v>0</v>
      </c>
      <c r="AF850" s="9">
        <f>IFERROR(VLOOKUP($A850,pivot!$A:$I,計算式2026!AF$1,FALSE),0)</f>
        <v>0</v>
      </c>
      <c r="AI850" s="9">
        <f>IFERROR(VLOOKUP($A850,pivot!$A:$I,計算式2026!AI$1,FALSE),0)</f>
        <v>0</v>
      </c>
      <c r="AJ850" s="9">
        <f>IFERROR(VLOOKUP($A850,pivot!$A:$I,計算式2026!AJ$1,FALSE),0)</f>
        <v>0</v>
      </c>
      <c r="AK850" s="9">
        <f>IFERROR(VLOOKUP($A850,pivot!$A:$I,計算式2026!AK$1,FALSE),0)</f>
        <v>0</v>
      </c>
      <c r="AL850" s="9">
        <f>IFERROR(VLOOKUP($A850,pivot!$A:$I,計算式2026!AL$1,FALSE),0)</f>
        <v>0</v>
      </c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</row>
    <row r="851" spans="1:59" s="9" customFormat="1">
      <c r="A851" s="8" t="s">
        <v>558</v>
      </c>
      <c r="B851" s="8" t="s">
        <v>2596</v>
      </c>
      <c r="C851" s="9">
        <v>4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R851" s="9">
        <v>2</v>
      </c>
      <c r="S851" s="9">
        <v>4</v>
      </c>
      <c r="T851" s="9">
        <v>1</v>
      </c>
      <c r="U851" s="9">
        <v>2</v>
      </c>
      <c r="V851" s="9">
        <v>3</v>
      </c>
      <c r="W851" s="9">
        <v>1</v>
      </c>
      <c r="X851" s="9">
        <v>2</v>
      </c>
      <c r="AE851" s="9">
        <f>IFERROR(VLOOKUP($A851,pivot!$A:$G,計算式2026!AE$1,FALSE),0)</f>
        <v>0</v>
      </c>
      <c r="AF851" s="9">
        <f>IFERROR(VLOOKUP($A851,pivot!$A:$I,計算式2026!AF$1,FALSE),0)</f>
        <v>0</v>
      </c>
      <c r="AI851" s="9">
        <f>IFERROR(VLOOKUP($A851,pivot!$A:$I,計算式2026!AI$1,FALSE),0)</f>
        <v>0</v>
      </c>
      <c r="AJ851" s="9">
        <f>IFERROR(VLOOKUP($A851,pivot!$A:$I,計算式2026!AJ$1,FALSE),0)</f>
        <v>0</v>
      </c>
      <c r="AK851" s="9">
        <f>IFERROR(VLOOKUP($A851,pivot!$A:$I,計算式2026!AK$1,FALSE),0)</f>
        <v>0</v>
      </c>
      <c r="AL851" s="9">
        <f>IFERROR(VLOOKUP($A851,pivot!$A:$I,計算式2026!AL$1,FALSE),0)</f>
        <v>0</v>
      </c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</row>
    <row r="852" spans="1:59" s="9" customFormat="1">
      <c r="A852" s="8" t="s">
        <v>559</v>
      </c>
      <c r="B852" s="8" t="s">
        <v>2596</v>
      </c>
      <c r="C852" s="9">
        <v>0</v>
      </c>
      <c r="D852" s="9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1</v>
      </c>
      <c r="W852" s="9">
        <v>0</v>
      </c>
      <c r="X852" s="9">
        <v>2</v>
      </c>
      <c r="AE852" s="9">
        <f>IFERROR(VLOOKUP($A852,pivot!$A:$G,計算式2026!AE$1,FALSE),0)</f>
        <v>0</v>
      </c>
      <c r="AF852" s="9">
        <f>IFERROR(VLOOKUP($A852,pivot!$A:$I,計算式2026!AF$1,FALSE),0)</f>
        <v>0</v>
      </c>
      <c r="AI852" s="9">
        <f>IFERROR(VLOOKUP($A852,pivot!$A:$I,計算式2026!AI$1,FALSE),0)</f>
        <v>0</v>
      </c>
      <c r="AJ852" s="9">
        <f>IFERROR(VLOOKUP($A852,pivot!$A:$I,計算式2026!AJ$1,FALSE),0)</f>
        <v>0</v>
      </c>
      <c r="AK852" s="9">
        <f>IFERROR(VLOOKUP($A852,pivot!$A:$I,計算式2026!AK$1,FALSE),0)</f>
        <v>0</v>
      </c>
      <c r="AL852" s="9">
        <f>IFERROR(VLOOKUP($A852,pivot!$A:$I,計算式2026!AL$1,FALSE),0)</f>
        <v>0</v>
      </c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</row>
    <row r="853" spans="1:59" s="9" customFormat="1">
      <c r="A853" s="8" t="s">
        <v>560</v>
      </c>
      <c r="B853" s="8" t="s">
        <v>2596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R853" s="9">
        <v>1</v>
      </c>
      <c r="S853" s="9">
        <v>2</v>
      </c>
      <c r="T853" s="9">
        <v>1</v>
      </c>
      <c r="U853" s="9">
        <v>1</v>
      </c>
      <c r="V853" s="9">
        <v>1</v>
      </c>
      <c r="W853" s="9">
        <v>1</v>
      </c>
      <c r="X853" s="9">
        <v>2</v>
      </c>
      <c r="AE853" s="9">
        <f>IFERROR(VLOOKUP($A853,pivot!$A:$G,計算式2026!AE$1,FALSE),0)</f>
        <v>0</v>
      </c>
      <c r="AF853" s="9">
        <f>IFERROR(VLOOKUP($A853,pivot!$A:$I,計算式2026!AF$1,FALSE),0)</f>
        <v>0</v>
      </c>
      <c r="AI853" s="9">
        <f>IFERROR(VLOOKUP($A853,pivot!$A:$I,計算式2026!AI$1,FALSE),0)</f>
        <v>0</v>
      </c>
      <c r="AJ853" s="9">
        <f>IFERROR(VLOOKUP($A853,pivot!$A:$I,計算式2026!AJ$1,FALSE),0)</f>
        <v>0</v>
      </c>
      <c r="AK853" s="9">
        <f>IFERROR(VLOOKUP($A853,pivot!$A:$I,計算式2026!AK$1,FALSE),0)</f>
        <v>0</v>
      </c>
      <c r="AL853" s="9">
        <f>IFERROR(VLOOKUP($A853,pivot!$A:$I,計算式2026!AL$1,FALSE),0)</f>
        <v>0</v>
      </c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</row>
    <row r="854" spans="1:59" s="9" customFormat="1">
      <c r="A854" s="8" t="s">
        <v>561</v>
      </c>
      <c r="B854" s="8" t="s">
        <v>2596</v>
      </c>
      <c r="C854" s="9">
        <v>0</v>
      </c>
      <c r="D854" s="9">
        <v>1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R854" s="9">
        <v>1</v>
      </c>
      <c r="S854" s="9">
        <v>3</v>
      </c>
      <c r="T854" s="9">
        <v>1</v>
      </c>
      <c r="U854" s="9">
        <v>2</v>
      </c>
      <c r="V854" s="9">
        <v>3</v>
      </c>
      <c r="W854" s="9">
        <v>1</v>
      </c>
      <c r="X854" s="9">
        <v>2</v>
      </c>
      <c r="AE854" s="9">
        <f>IFERROR(VLOOKUP($A854,pivot!$A:$G,計算式2026!AE$1,FALSE),0)</f>
        <v>0</v>
      </c>
      <c r="AF854" s="9">
        <f>IFERROR(VLOOKUP($A854,pivot!$A:$I,計算式2026!AF$1,FALSE),0)</f>
        <v>0</v>
      </c>
      <c r="AI854" s="9">
        <f>IFERROR(VLOOKUP($A854,pivot!$A:$I,計算式2026!AI$1,FALSE),0)</f>
        <v>0</v>
      </c>
      <c r="AJ854" s="9">
        <f>IFERROR(VLOOKUP($A854,pivot!$A:$I,計算式2026!AJ$1,FALSE),0)</f>
        <v>0</v>
      </c>
      <c r="AK854" s="9">
        <f>IFERROR(VLOOKUP($A854,pivot!$A:$I,計算式2026!AK$1,FALSE),0)</f>
        <v>0</v>
      </c>
      <c r="AL854" s="9">
        <f>IFERROR(VLOOKUP($A854,pivot!$A:$I,計算式2026!AL$1,FALSE),0)</f>
        <v>0</v>
      </c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</row>
    <row r="855" spans="1:59" s="9" customFormat="1">
      <c r="A855" s="8" t="s">
        <v>562</v>
      </c>
      <c r="B855" s="8" t="s">
        <v>2596</v>
      </c>
      <c r="C855" s="9">
        <v>0</v>
      </c>
      <c r="D855" s="9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R855" s="9">
        <v>0</v>
      </c>
      <c r="S855" s="9">
        <v>2</v>
      </c>
      <c r="T855" s="9">
        <v>1</v>
      </c>
      <c r="U855" s="9">
        <v>1</v>
      </c>
      <c r="V855" s="9">
        <v>2</v>
      </c>
      <c r="W855" s="9">
        <v>0</v>
      </c>
      <c r="X855" s="9">
        <v>0</v>
      </c>
      <c r="AE855" s="9">
        <f>IFERROR(VLOOKUP($A855,pivot!$A:$G,計算式2026!AE$1,FALSE),0)</f>
        <v>0</v>
      </c>
      <c r="AF855" s="9">
        <f>IFERROR(VLOOKUP($A855,pivot!$A:$I,計算式2026!AF$1,FALSE),0)</f>
        <v>0</v>
      </c>
      <c r="AI855" s="9">
        <f>IFERROR(VLOOKUP($A855,pivot!$A:$I,計算式2026!AI$1,FALSE),0)</f>
        <v>0</v>
      </c>
      <c r="AJ855" s="9">
        <f>IFERROR(VLOOKUP($A855,pivot!$A:$I,計算式2026!AJ$1,FALSE),0)</f>
        <v>0</v>
      </c>
      <c r="AK855" s="9">
        <f>IFERROR(VLOOKUP($A855,pivot!$A:$I,計算式2026!AK$1,FALSE),0)</f>
        <v>0</v>
      </c>
      <c r="AL855" s="9">
        <f>IFERROR(VLOOKUP($A855,pivot!$A:$I,計算式2026!AL$1,FALSE),0)</f>
        <v>0</v>
      </c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</row>
    <row r="856" spans="1:59" s="9" customFormat="1">
      <c r="A856" s="8" t="s">
        <v>2099</v>
      </c>
      <c r="B856" s="8" t="s">
        <v>2596</v>
      </c>
      <c r="C856" s="9">
        <v>0</v>
      </c>
      <c r="D856" s="9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R856" s="9">
        <v>0</v>
      </c>
      <c r="S856" s="9">
        <v>1</v>
      </c>
      <c r="T856" s="9">
        <v>0</v>
      </c>
      <c r="U856" s="9">
        <v>0</v>
      </c>
      <c r="V856" s="9">
        <v>1</v>
      </c>
      <c r="W856" s="9">
        <v>1</v>
      </c>
      <c r="X856" s="9">
        <v>1</v>
      </c>
      <c r="AE856" s="9">
        <f>IFERROR(VLOOKUP($A856,pivot!$A:$G,計算式2026!AE$1,FALSE),0)</f>
        <v>0</v>
      </c>
      <c r="AF856" s="9">
        <f>IFERROR(VLOOKUP($A856,pivot!$A:$I,計算式2026!AF$1,FALSE),0)</f>
        <v>0</v>
      </c>
      <c r="AI856" s="9">
        <f>IFERROR(VLOOKUP($A856,pivot!$A:$I,計算式2026!AI$1,FALSE),0)</f>
        <v>0</v>
      </c>
      <c r="AJ856" s="9">
        <f>IFERROR(VLOOKUP($A856,pivot!$A:$I,計算式2026!AJ$1,FALSE),0)</f>
        <v>0</v>
      </c>
      <c r="AK856" s="9">
        <f>IFERROR(VLOOKUP($A856,pivot!$A:$I,計算式2026!AK$1,FALSE),0)</f>
        <v>0</v>
      </c>
      <c r="AL856" s="9">
        <f>IFERROR(VLOOKUP($A856,pivot!$A:$I,計算式2026!AL$1,FALSE),0)</f>
        <v>0</v>
      </c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</row>
    <row r="857" spans="1:59" s="9" customFormat="1">
      <c r="A857" s="8" t="s">
        <v>1603</v>
      </c>
      <c r="B857" s="8" t="s">
        <v>2596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R857" s="9">
        <v>0</v>
      </c>
      <c r="S857" s="9">
        <v>1</v>
      </c>
      <c r="T857" s="9">
        <v>0</v>
      </c>
      <c r="U857" s="9">
        <v>0</v>
      </c>
      <c r="V857" s="9">
        <v>2</v>
      </c>
      <c r="W857" s="9">
        <v>1</v>
      </c>
      <c r="X857" s="9">
        <v>2</v>
      </c>
      <c r="AE857" s="9">
        <f>IFERROR(VLOOKUP($A857,pivot!$A:$G,計算式2026!AE$1,FALSE),0)</f>
        <v>0</v>
      </c>
      <c r="AF857" s="9">
        <f>IFERROR(VLOOKUP($A857,pivot!$A:$I,計算式2026!AF$1,FALSE),0)</f>
        <v>0</v>
      </c>
      <c r="AI857" s="9">
        <f>IFERROR(VLOOKUP($A857,pivot!$A:$I,計算式2026!AI$1,FALSE),0)</f>
        <v>0</v>
      </c>
      <c r="AJ857" s="9">
        <f>IFERROR(VLOOKUP($A857,pivot!$A:$I,計算式2026!AJ$1,FALSE),0)</f>
        <v>0</v>
      </c>
      <c r="AK857" s="9">
        <f>IFERROR(VLOOKUP($A857,pivot!$A:$I,計算式2026!AK$1,FALSE),0)</f>
        <v>0</v>
      </c>
      <c r="AL857" s="9">
        <f>IFERROR(VLOOKUP($A857,pivot!$A:$I,計算式2026!AL$1,FALSE),0)</f>
        <v>0</v>
      </c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</row>
    <row r="858" spans="1:59" s="9" customFormat="1">
      <c r="A858" s="8" t="s">
        <v>563</v>
      </c>
      <c r="B858" s="8" t="s">
        <v>2600</v>
      </c>
      <c r="C858" s="9">
        <v>0</v>
      </c>
      <c r="D858" s="9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R858" s="9">
        <v>0</v>
      </c>
      <c r="S858" s="9">
        <v>2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AE858" s="9">
        <f>IFERROR(VLOOKUP($A858,pivot!$A:$G,計算式2026!AE$1,FALSE),0)</f>
        <v>0</v>
      </c>
      <c r="AF858" s="9">
        <f>IFERROR(VLOOKUP($A858,pivot!$A:$I,計算式2026!AF$1,FALSE),0)</f>
        <v>0</v>
      </c>
      <c r="AI858" s="9">
        <f>IFERROR(VLOOKUP($A858,pivot!$A:$I,計算式2026!AI$1,FALSE),0)</f>
        <v>0</v>
      </c>
      <c r="AJ858" s="9">
        <f>IFERROR(VLOOKUP($A858,pivot!$A:$I,計算式2026!AJ$1,FALSE),0)</f>
        <v>0</v>
      </c>
      <c r="AK858" s="9">
        <f>IFERROR(VLOOKUP($A858,pivot!$A:$I,計算式2026!AK$1,FALSE),0)</f>
        <v>0</v>
      </c>
      <c r="AL858" s="9">
        <f>IFERROR(VLOOKUP($A858,pivot!$A:$I,計算式2026!AL$1,FALSE),0)</f>
        <v>0</v>
      </c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</row>
    <row r="859" spans="1:59" s="9" customFormat="1">
      <c r="A859" s="8" t="s">
        <v>1604</v>
      </c>
      <c r="B859" s="8" t="s">
        <v>2600</v>
      </c>
      <c r="C859" s="9">
        <v>0</v>
      </c>
      <c r="D859" s="9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R859" s="9">
        <v>1</v>
      </c>
      <c r="S859" s="9">
        <v>1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AE859" s="9">
        <f>IFERROR(VLOOKUP($A859,pivot!$A:$G,計算式2026!AE$1,FALSE),0)</f>
        <v>0</v>
      </c>
      <c r="AF859" s="9">
        <f>IFERROR(VLOOKUP($A859,pivot!$A:$I,計算式2026!AF$1,FALSE),0)</f>
        <v>0</v>
      </c>
      <c r="AI859" s="9">
        <f>IFERROR(VLOOKUP($A859,pivot!$A:$I,計算式2026!AI$1,FALSE),0)</f>
        <v>0</v>
      </c>
      <c r="AJ859" s="9">
        <f>IFERROR(VLOOKUP($A859,pivot!$A:$I,計算式2026!AJ$1,FALSE),0)</f>
        <v>0</v>
      </c>
      <c r="AK859" s="9">
        <f>IFERROR(VLOOKUP($A859,pivot!$A:$I,計算式2026!AK$1,FALSE),0)</f>
        <v>0</v>
      </c>
      <c r="AL859" s="9">
        <f>IFERROR(VLOOKUP($A859,pivot!$A:$I,計算式2026!AL$1,FALSE),0)</f>
        <v>0</v>
      </c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</row>
    <row r="860" spans="1:59" s="9" customFormat="1">
      <c r="A860" s="8" t="s">
        <v>2100</v>
      </c>
      <c r="B860" s="8" t="s">
        <v>2600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R860" s="9">
        <v>1</v>
      </c>
      <c r="S860" s="9">
        <v>3</v>
      </c>
      <c r="T860" s="9">
        <v>1</v>
      </c>
      <c r="U860" s="9">
        <v>2</v>
      </c>
      <c r="V860" s="9">
        <v>3</v>
      </c>
      <c r="W860" s="9">
        <v>1</v>
      </c>
      <c r="X860" s="9">
        <v>2</v>
      </c>
      <c r="AE860" s="9">
        <f>IFERROR(VLOOKUP($A860,pivot!$A:$G,計算式2026!AE$1,FALSE),0)</f>
        <v>0</v>
      </c>
      <c r="AF860" s="9">
        <f>IFERROR(VLOOKUP($A860,pivot!$A:$I,計算式2026!AF$1,FALSE),0)</f>
        <v>0</v>
      </c>
      <c r="AI860" s="9">
        <f>IFERROR(VLOOKUP($A860,pivot!$A:$I,計算式2026!AI$1,FALSE),0)</f>
        <v>0</v>
      </c>
      <c r="AJ860" s="9">
        <f>IFERROR(VLOOKUP($A860,pivot!$A:$I,計算式2026!AJ$1,FALSE),0)</f>
        <v>0</v>
      </c>
      <c r="AK860" s="9">
        <f>IFERROR(VLOOKUP($A860,pivot!$A:$I,計算式2026!AK$1,FALSE),0)</f>
        <v>0</v>
      </c>
      <c r="AL860" s="9">
        <f>IFERROR(VLOOKUP($A860,pivot!$A:$I,計算式2026!AL$1,FALSE),0)</f>
        <v>0</v>
      </c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</row>
    <row r="861" spans="1:59" s="9" customFormat="1">
      <c r="A861" s="8" t="s">
        <v>2744</v>
      </c>
      <c r="B861" s="8" t="s">
        <v>2600</v>
      </c>
      <c r="C861" s="9">
        <v>1</v>
      </c>
      <c r="D861" s="9">
        <v>35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R861" s="9">
        <v>2</v>
      </c>
      <c r="S861" s="9">
        <v>3</v>
      </c>
      <c r="T861" s="9">
        <v>2</v>
      </c>
      <c r="U861" s="9">
        <v>2</v>
      </c>
      <c r="V861" s="9">
        <v>3</v>
      </c>
      <c r="W861" s="9">
        <v>0</v>
      </c>
      <c r="X861" s="9">
        <v>2</v>
      </c>
      <c r="AE861" s="9">
        <f>IFERROR(VLOOKUP($A861,pivot!$A:$G,計算式2026!AE$1,FALSE),0)</f>
        <v>0</v>
      </c>
      <c r="AF861" s="9">
        <f>IFERROR(VLOOKUP($A861,pivot!$A:$I,計算式2026!AF$1,FALSE),0)</f>
        <v>0</v>
      </c>
      <c r="AI861" s="9">
        <f>IFERROR(VLOOKUP($A861,pivot!$A:$I,計算式2026!AI$1,FALSE),0)</f>
        <v>0</v>
      </c>
      <c r="AJ861" s="9">
        <f>IFERROR(VLOOKUP($A861,pivot!$A:$I,計算式2026!AJ$1,FALSE),0)</f>
        <v>0</v>
      </c>
      <c r="AK861" s="9">
        <f>IFERROR(VLOOKUP($A861,pivot!$A:$I,計算式2026!AK$1,FALSE),0)</f>
        <v>0</v>
      </c>
      <c r="AL861" s="9">
        <f>IFERROR(VLOOKUP($A861,pivot!$A:$I,計算式2026!AL$1,FALSE),0)</f>
        <v>0</v>
      </c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</row>
    <row r="862" spans="1:59" s="9" customFormat="1">
      <c r="A862" s="8" t="s">
        <v>2101</v>
      </c>
      <c r="B862" s="8" t="s">
        <v>2600</v>
      </c>
      <c r="C862" s="9">
        <v>1</v>
      </c>
      <c r="D862" s="9">
        <v>3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R862" s="9">
        <v>2</v>
      </c>
      <c r="S862" s="9">
        <v>3</v>
      </c>
      <c r="T862" s="9">
        <v>2</v>
      </c>
      <c r="U862" s="9">
        <v>2</v>
      </c>
      <c r="V862" s="9">
        <v>3</v>
      </c>
      <c r="W862" s="9">
        <v>1</v>
      </c>
      <c r="X862" s="9">
        <v>3</v>
      </c>
      <c r="AE862" s="9">
        <f>IFERROR(VLOOKUP($A862,pivot!$A:$G,計算式2026!AE$1,FALSE),0)</f>
        <v>0</v>
      </c>
      <c r="AF862" s="9">
        <f>IFERROR(VLOOKUP($A862,pivot!$A:$I,計算式2026!AF$1,FALSE),0)</f>
        <v>0</v>
      </c>
      <c r="AI862" s="9">
        <f>IFERROR(VLOOKUP($A862,pivot!$A:$I,計算式2026!AI$1,FALSE),0)</f>
        <v>0</v>
      </c>
      <c r="AJ862" s="9">
        <f>IFERROR(VLOOKUP($A862,pivot!$A:$I,計算式2026!AJ$1,FALSE),0)</f>
        <v>0</v>
      </c>
      <c r="AK862" s="9">
        <f>IFERROR(VLOOKUP($A862,pivot!$A:$I,計算式2026!AK$1,FALSE),0)</f>
        <v>0</v>
      </c>
      <c r="AL862" s="9">
        <f>IFERROR(VLOOKUP($A862,pivot!$A:$I,計算式2026!AL$1,FALSE),0)</f>
        <v>0</v>
      </c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</row>
    <row r="863" spans="1:59" s="9" customFormat="1">
      <c r="A863" s="8" t="s">
        <v>564</v>
      </c>
      <c r="B863" s="8" t="s">
        <v>2600</v>
      </c>
      <c r="C863" s="9">
        <v>0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R863" s="9">
        <v>2</v>
      </c>
      <c r="S863" s="9">
        <v>2</v>
      </c>
      <c r="T863" s="9">
        <v>0</v>
      </c>
      <c r="U863" s="9">
        <v>0</v>
      </c>
      <c r="V863" s="9">
        <v>1</v>
      </c>
      <c r="W863" s="9">
        <v>0</v>
      </c>
      <c r="X863" s="9">
        <v>0</v>
      </c>
      <c r="AE863" s="9">
        <f>IFERROR(VLOOKUP($A863,pivot!$A:$G,計算式2026!AE$1,FALSE),0)</f>
        <v>0</v>
      </c>
      <c r="AF863" s="9">
        <f>IFERROR(VLOOKUP($A863,pivot!$A:$I,計算式2026!AF$1,FALSE),0)</f>
        <v>0</v>
      </c>
      <c r="AI863" s="9">
        <f>IFERROR(VLOOKUP($A863,pivot!$A:$I,計算式2026!AI$1,FALSE),0)</f>
        <v>0</v>
      </c>
      <c r="AJ863" s="9">
        <f>IFERROR(VLOOKUP($A863,pivot!$A:$I,計算式2026!AJ$1,FALSE),0)</f>
        <v>0</v>
      </c>
      <c r="AK863" s="9">
        <f>IFERROR(VLOOKUP($A863,pivot!$A:$I,計算式2026!AK$1,FALSE),0)</f>
        <v>0</v>
      </c>
      <c r="AL863" s="9">
        <f>IFERROR(VLOOKUP($A863,pivot!$A:$I,計算式2026!AL$1,FALSE),0)</f>
        <v>0</v>
      </c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</row>
    <row r="864" spans="1:59" s="9" customFormat="1">
      <c r="A864" s="8" t="s">
        <v>1605</v>
      </c>
      <c r="B864" s="8" t="s">
        <v>2600</v>
      </c>
      <c r="C864" s="9">
        <v>0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R864" s="9">
        <v>2</v>
      </c>
      <c r="S864" s="9">
        <v>2</v>
      </c>
      <c r="T864" s="9">
        <v>0</v>
      </c>
      <c r="U864" s="9">
        <v>0</v>
      </c>
      <c r="V864" s="9">
        <v>2</v>
      </c>
      <c r="W864" s="9">
        <v>0</v>
      </c>
      <c r="X864" s="9">
        <v>0</v>
      </c>
      <c r="AE864" s="9">
        <f>IFERROR(VLOOKUP($A864,pivot!$A:$G,計算式2026!AE$1,FALSE),0)</f>
        <v>0</v>
      </c>
      <c r="AF864" s="9">
        <f>IFERROR(VLOOKUP($A864,pivot!$A:$I,計算式2026!AF$1,FALSE),0)</f>
        <v>0</v>
      </c>
      <c r="AI864" s="9">
        <f>IFERROR(VLOOKUP($A864,pivot!$A:$I,計算式2026!AI$1,FALSE),0)</f>
        <v>0</v>
      </c>
      <c r="AJ864" s="9">
        <f>IFERROR(VLOOKUP($A864,pivot!$A:$I,計算式2026!AJ$1,FALSE),0)</f>
        <v>0</v>
      </c>
      <c r="AK864" s="9">
        <f>IFERROR(VLOOKUP($A864,pivot!$A:$I,計算式2026!AK$1,FALSE),0)</f>
        <v>0</v>
      </c>
      <c r="AL864" s="9">
        <f>IFERROR(VLOOKUP($A864,pivot!$A:$I,計算式2026!AL$1,FALSE),0)</f>
        <v>0</v>
      </c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</row>
    <row r="865" spans="1:59" s="9" customFormat="1">
      <c r="A865" s="8" t="s">
        <v>565</v>
      </c>
      <c r="B865" s="8" t="s">
        <v>2600</v>
      </c>
      <c r="C865" s="9">
        <v>0</v>
      </c>
      <c r="D865" s="9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1</v>
      </c>
      <c r="X865" s="9">
        <v>0</v>
      </c>
      <c r="AE865" s="9">
        <f>IFERROR(VLOOKUP($A865,pivot!$A:$G,計算式2026!AE$1,FALSE),0)</f>
        <v>0</v>
      </c>
      <c r="AF865" s="9">
        <f>IFERROR(VLOOKUP($A865,pivot!$A:$I,計算式2026!AF$1,FALSE),0)</f>
        <v>0</v>
      </c>
      <c r="AI865" s="9">
        <f>IFERROR(VLOOKUP($A865,pivot!$A:$I,計算式2026!AI$1,FALSE),0)</f>
        <v>0</v>
      </c>
      <c r="AJ865" s="9">
        <f>IFERROR(VLOOKUP($A865,pivot!$A:$I,計算式2026!AJ$1,FALSE),0)</f>
        <v>0</v>
      </c>
      <c r="AK865" s="9">
        <f>IFERROR(VLOOKUP($A865,pivot!$A:$I,計算式2026!AK$1,FALSE),0)</f>
        <v>0</v>
      </c>
      <c r="AL865" s="9">
        <f>IFERROR(VLOOKUP($A865,pivot!$A:$I,計算式2026!AL$1,FALSE),0)</f>
        <v>0</v>
      </c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</row>
    <row r="866" spans="1:59" s="9" customFormat="1">
      <c r="A866" s="8" t="s">
        <v>566</v>
      </c>
      <c r="B866" s="8" t="s">
        <v>2600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R866" s="9">
        <v>2</v>
      </c>
      <c r="S866" s="9">
        <v>3</v>
      </c>
      <c r="T866" s="9">
        <v>2</v>
      </c>
      <c r="U866" s="9">
        <v>3</v>
      </c>
      <c r="V866" s="9">
        <v>3</v>
      </c>
      <c r="W866" s="9">
        <v>1</v>
      </c>
      <c r="X866" s="9">
        <v>2</v>
      </c>
      <c r="AE866" s="9">
        <f>IFERROR(VLOOKUP($A866,pivot!$A:$G,計算式2026!AE$1,FALSE),0)</f>
        <v>0</v>
      </c>
      <c r="AF866" s="9">
        <f>IFERROR(VLOOKUP($A866,pivot!$A:$I,計算式2026!AF$1,FALSE),0)</f>
        <v>0</v>
      </c>
      <c r="AI866" s="9">
        <f>IFERROR(VLOOKUP($A866,pivot!$A:$I,計算式2026!AI$1,FALSE),0)</f>
        <v>0</v>
      </c>
      <c r="AJ866" s="9">
        <f>IFERROR(VLOOKUP($A866,pivot!$A:$I,計算式2026!AJ$1,FALSE),0)</f>
        <v>0</v>
      </c>
      <c r="AK866" s="9">
        <f>IFERROR(VLOOKUP($A866,pivot!$A:$I,計算式2026!AK$1,FALSE),0)</f>
        <v>0</v>
      </c>
      <c r="AL866" s="9">
        <f>IFERROR(VLOOKUP($A866,pivot!$A:$I,計算式2026!AL$1,FALSE),0)</f>
        <v>0</v>
      </c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</row>
    <row r="867" spans="1:59" s="9" customFormat="1">
      <c r="A867" s="8" t="s">
        <v>567</v>
      </c>
      <c r="B867" s="8" t="s">
        <v>2600</v>
      </c>
      <c r="C867" s="9">
        <v>31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R867" s="9">
        <v>3</v>
      </c>
      <c r="S867" s="9">
        <v>4</v>
      </c>
      <c r="T867" s="9">
        <v>1</v>
      </c>
      <c r="U867" s="9">
        <v>2</v>
      </c>
      <c r="V867" s="9">
        <v>3</v>
      </c>
      <c r="W867" s="9">
        <v>1</v>
      </c>
      <c r="X867" s="9">
        <v>3</v>
      </c>
      <c r="AE867" s="9">
        <f>IFERROR(VLOOKUP($A867,pivot!$A:$G,計算式2026!AE$1,FALSE),0)</f>
        <v>0</v>
      </c>
      <c r="AF867" s="9">
        <f>IFERROR(VLOOKUP($A867,pivot!$A:$I,計算式2026!AF$1,FALSE),0)</f>
        <v>0</v>
      </c>
      <c r="AI867" s="9">
        <f>IFERROR(VLOOKUP($A867,pivot!$A:$I,計算式2026!AI$1,FALSE),0)</f>
        <v>0</v>
      </c>
      <c r="AJ867" s="9">
        <f>IFERROR(VLOOKUP($A867,pivot!$A:$I,計算式2026!AJ$1,FALSE),0)</f>
        <v>0</v>
      </c>
      <c r="AK867" s="9">
        <f>IFERROR(VLOOKUP($A867,pivot!$A:$I,計算式2026!AK$1,FALSE),0)</f>
        <v>0</v>
      </c>
      <c r="AL867" s="9">
        <f>IFERROR(VLOOKUP($A867,pivot!$A:$I,計算式2026!AL$1,FALSE),0)</f>
        <v>0</v>
      </c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</row>
    <row r="868" spans="1:59" s="9" customFormat="1">
      <c r="A868" s="8" t="s">
        <v>568</v>
      </c>
      <c r="B868" s="8" t="s">
        <v>2600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R868" s="9">
        <v>1</v>
      </c>
      <c r="S868" s="9">
        <v>3</v>
      </c>
      <c r="T868" s="9">
        <v>1</v>
      </c>
      <c r="U868" s="9">
        <v>0</v>
      </c>
      <c r="V868" s="9">
        <v>1</v>
      </c>
      <c r="W868" s="9">
        <v>1</v>
      </c>
      <c r="X868" s="9">
        <v>0</v>
      </c>
      <c r="AE868" s="9">
        <f>IFERROR(VLOOKUP($A868,pivot!$A:$G,計算式2026!AE$1,FALSE),0)</f>
        <v>0</v>
      </c>
      <c r="AF868" s="9">
        <f>IFERROR(VLOOKUP($A868,pivot!$A:$I,計算式2026!AF$1,FALSE),0)</f>
        <v>0</v>
      </c>
      <c r="AI868" s="9">
        <f>IFERROR(VLOOKUP($A868,pivot!$A:$I,計算式2026!AI$1,FALSE),0)</f>
        <v>0</v>
      </c>
      <c r="AJ868" s="9">
        <f>IFERROR(VLOOKUP($A868,pivot!$A:$I,計算式2026!AJ$1,FALSE),0)</f>
        <v>0</v>
      </c>
      <c r="AK868" s="9">
        <f>IFERROR(VLOOKUP($A868,pivot!$A:$I,計算式2026!AK$1,FALSE),0)</f>
        <v>0</v>
      </c>
      <c r="AL868" s="9">
        <f>IFERROR(VLOOKUP($A868,pivot!$A:$I,計算式2026!AL$1,FALSE),0)</f>
        <v>0</v>
      </c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</row>
    <row r="869" spans="1:59" s="9" customFormat="1">
      <c r="A869" s="8" t="s">
        <v>1667</v>
      </c>
      <c r="B869" s="8" t="s">
        <v>2600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R869" s="9">
        <v>2</v>
      </c>
      <c r="S869" s="9">
        <v>3</v>
      </c>
      <c r="T869" s="9">
        <v>1</v>
      </c>
      <c r="U869" s="9">
        <v>2</v>
      </c>
      <c r="V869" s="9">
        <v>2</v>
      </c>
      <c r="W869" s="9">
        <v>1</v>
      </c>
      <c r="X869" s="9">
        <v>2</v>
      </c>
      <c r="AE869" s="9">
        <f>IFERROR(VLOOKUP($A869,pivot!$A:$G,計算式2026!AE$1,FALSE),0)</f>
        <v>0</v>
      </c>
      <c r="AF869" s="9">
        <f>IFERROR(VLOOKUP($A869,pivot!$A:$I,計算式2026!AF$1,FALSE),0)</f>
        <v>0</v>
      </c>
      <c r="AI869" s="9">
        <f>IFERROR(VLOOKUP($A869,pivot!$A:$I,計算式2026!AI$1,FALSE),0)</f>
        <v>0</v>
      </c>
      <c r="AJ869" s="9">
        <f>IFERROR(VLOOKUP($A869,pivot!$A:$I,計算式2026!AJ$1,FALSE),0)</f>
        <v>0</v>
      </c>
      <c r="AK869" s="9">
        <f>IFERROR(VLOOKUP($A869,pivot!$A:$I,計算式2026!AK$1,FALSE),0)</f>
        <v>0</v>
      </c>
      <c r="AL869" s="9">
        <f>IFERROR(VLOOKUP($A869,pivot!$A:$I,計算式2026!AL$1,FALSE),0)</f>
        <v>0</v>
      </c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</row>
    <row r="870" spans="1:59" s="9" customFormat="1">
      <c r="A870" s="8" t="s">
        <v>569</v>
      </c>
      <c r="B870" s="8" t="s">
        <v>2600</v>
      </c>
      <c r="C870" s="9">
        <v>0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R870" s="9">
        <v>2</v>
      </c>
      <c r="S870" s="9">
        <v>2</v>
      </c>
      <c r="T870" s="9">
        <v>0</v>
      </c>
      <c r="U870" s="9">
        <v>0</v>
      </c>
      <c r="V870" s="9">
        <v>3</v>
      </c>
      <c r="W870" s="9">
        <v>0</v>
      </c>
      <c r="X870" s="9">
        <v>1</v>
      </c>
      <c r="AE870" s="9">
        <f>IFERROR(VLOOKUP($A870,pivot!$A:$G,計算式2026!AE$1,FALSE),0)</f>
        <v>0</v>
      </c>
      <c r="AF870" s="9">
        <f>IFERROR(VLOOKUP($A870,pivot!$A:$I,計算式2026!AF$1,FALSE),0)</f>
        <v>0</v>
      </c>
      <c r="AI870" s="9">
        <f>IFERROR(VLOOKUP($A870,pivot!$A:$I,計算式2026!AI$1,FALSE),0)</f>
        <v>0</v>
      </c>
      <c r="AJ870" s="9">
        <f>IFERROR(VLOOKUP($A870,pivot!$A:$I,計算式2026!AJ$1,FALSE),0)</f>
        <v>0</v>
      </c>
      <c r="AK870" s="9">
        <f>IFERROR(VLOOKUP($A870,pivot!$A:$I,計算式2026!AK$1,FALSE),0)</f>
        <v>0</v>
      </c>
      <c r="AL870" s="9">
        <f>IFERROR(VLOOKUP($A870,pivot!$A:$I,計算式2026!AL$1,FALSE),0)</f>
        <v>0</v>
      </c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</row>
    <row r="871" spans="1:59" s="9" customFormat="1">
      <c r="A871" s="8" t="s">
        <v>570</v>
      </c>
      <c r="B871" s="8" t="s">
        <v>2600</v>
      </c>
      <c r="C871" s="9">
        <v>0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R871" s="9">
        <v>0</v>
      </c>
      <c r="S871" s="9">
        <v>2</v>
      </c>
      <c r="T871" s="9">
        <v>2</v>
      </c>
      <c r="U871" s="9">
        <v>0</v>
      </c>
      <c r="V871" s="9">
        <v>2</v>
      </c>
      <c r="W871" s="9">
        <v>0</v>
      </c>
      <c r="X871" s="9">
        <v>2</v>
      </c>
      <c r="AE871" s="9">
        <f>IFERROR(VLOOKUP($A871,pivot!$A:$G,計算式2026!AE$1,FALSE),0)</f>
        <v>0</v>
      </c>
      <c r="AF871" s="9">
        <f>IFERROR(VLOOKUP($A871,pivot!$A:$I,計算式2026!AF$1,FALSE),0)</f>
        <v>0</v>
      </c>
      <c r="AI871" s="9">
        <f>IFERROR(VLOOKUP($A871,pivot!$A:$I,計算式2026!AI$1,FALSE),0)</f>
        <v>0</v>
      </c>
      <c r="AJ871" s="9">
        <f>IFERROR(VLOOKUP($A871,pivot!$A:$I,計算式2026!AJ$1,FALSE),0)</f>
        <v>0</v>
      </c>
      <c r="AK871" s="9">
        <f>IFERROR(VLOOKUP($A871,pivot!$A:$I,計算式2026!AK$1,FALSE),0)</f>
        <v>0</v>
      </c>
      <c r="AL871" s="9">
        <f>IFERROR(VLOOKUP($A871,pivot!$A:$I,計算式2026!AL$1,FALSE),0)</f>
        <v>0</v>
      </c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</row>
    <row r="872" spans="1:59" s="9" customFormat="1">
      <c r="A872" s="8" t="s">
        <v>571</v>
      </c>
      <c r="B872" s="8" t="s">
        <v>2600</v>
      </c>
      <c r="C872" s="9">
        <v>0</v>
      </c>
      <c r="D872" s="9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R872" s="9">
        <v>0</v>
      </c>
      <c r="S872" s="9">
        <v>3</v>
      </c>
      <c r="T872" s="9">
        <v>1</v>
      </c>
      <c r="U872" s="9">
        <v>0</v>
      </c>
      <c r="V872" s="9">
        <v>3</v>
      </c>
      <c r="W872" s="9">
        <v>1</v>
      </c>
      <c r="X872" s="9">
        <v>2</v>
      </c>
      <c r="AE872" s="9">
        <f>IFERROR(VLOOKUP($A872,pivot!$A:$G,計算式2026!AE$1,FALSE),0)</f>
        <v>0</v>
      </c>
      <c r="AF872" s="9">
        <f>IFERROR(VLOOKUP($A872,pivot!$A:$I,計算式2026!AF$1,FALSE),0)</f>
        <v>0</v>
      </c>
      <c r="AI872" s="9">
        <f>IFERROR(VLOOKUP($A872,pivot!$A:$I,計算式2026!AI$1,FALSE),0)</f>
        <v>0</v>
      </c>
      <c r="AJ872" s="9">
        <f>IFERROR(VLOOKUP($A872,pivot!$A:$I,計算式2026!AJ$1,FALSE),0)</f>
        <v>0</v>
      </c>
      <c r="AK872" s="9">
        <f>IFERROR(VLOOKUP($A872,pivot!$A:$I,計算式2026!AK$1,FALSE),0)</f>
        <v>0</v>
      </c>
      <c r="AL872" s="9">
        <f>IFERROR(VLOOKUP($A872,pivot!$A:$I,計算式2026!AL$1,FALSE),0)</f>
        <v>0</v>
      </c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</row>
    <row r="873" spans="1:59" s="9" customFormat="1">
      <c r="A873" s="8" t="s">
        <v>572</v>
      </c>
      <c r="B873" s="8" t="s">
        <v>2600</v>
      </c>
      <c r="C873" s="9">
        <v>26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R873" s="9">
        <v>3</v>
      </c>
      <c r="S873" s="9">
        <v>2</v>
      </c>
      <c r="T873" s="9">
        <v>1</v>
      </c>
      <c r="U873" s="9">
        <v>2</v>
      </c>
      <c r="V873" s="9">
        <v>2</v>
      </c>
      <c r="W873" s="9">
        <v>1</v>
      </c>
      <c r="X873" s="9">
        <v>2</v>
      </c>
      <c r="AE873" s="9">
        <f>IFERROR(VLOOKUP($A873,pivot!$A:$G,計算式2026!AE$1,FALSE),0)</f>
        <v>0</v>
      </c>
      <c r="AF873" s="9">
        <f>IFERROR(VLOOKUP($A873,pivot!$A:$I,計算式2026!AF$1,FALSE),0)</f>
        <v>0</v>
      </c>
      <c r="AI873" s="9">
        <f>IFERROR(VLOOKUP($A873,pivot!$A:$I,計算式2026!AI$1,FALSE),0)</f>
        <v>0</v>
      </c>
      <c r="AJ873" s="9">
        <f>IFERROR(VLOOKUP($A873,pivot!$A:$I,計算式2026!AJ$1,FALSE),0)</f>
        <v>0</v>
      </c>
      <c r="AK873" s="9">
        <f>IFERROR(VLOOKUP($A873,pivot!$A:$I,計算式2026!AK$1,FALSE),0)</f>
        <v>0</v>
      </c>
      <c r="AL873" s="9">
        <f>IFERROR(VLOOKUP($A873,pivot!$A:$I,計算式2026!AL$1,FALSE),0)</f>
        <v>0</v>
      </c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</row>
    <row r="874" spans="1:59" s="9" customFormat="1">
      <c r="A874" s="8" t="s">
        <v>573</v>
      </c>
      <c r="B874" s="8" t="s">
        <v>2600</v>
      </c>
      <c r="C874" s="9">
        <v>0</v>
      </c>
      <c r="D874" s="9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R874" s="9">
        <v>0</v>
      </c>
      <c r="S874" s="9">
        <v>2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AE874" s="9">
        <f>IFERROR(VLOOKUP($A874,pivot!$A:$G,計算式2026!AE$1,FALSE),0)</f>
        <v>0</v>
      </c>
      <c r="AF874" s="9">
        <f>IFERROR(VLOOKUP($A874,pivot!$A:$I,計算式2026!AF$1,FALSE),0)</f>
        <v>0</v>
      </c>
      <c r="AI874" s="9">
        <f>IFERROR(VLOOKUP($A874,pivot!$A:$I,計算式2026!AI$1,FALSE),0)</f>
        <v>0</v>
      </c>
      <c r="AJ874" s="9">
        <f>IFERROR(VLOOKUP($A874,pivot!$A:$I,計算式2026!AJ$1,FALSE),0)</f>
        <v>0</v>
      </c>
      <c r="AK874" s="9">
        <f>IFERROR(VLOOKUP($A874,pivot!$A:$I,計算式2026!AK$1,FALSE),0)</f>
        <v>0</v>
      </c>
      <c r="AL874" s="9">
        <f>IFERROR(VLOOKUP($A874,pivot!$A:$I,計算式2026!AL$1,FALSE),0)</f>
        <v>0</v>
      </c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</row>
    <row r="875" spans="1:59" s="9" customFormat="1">
      <c r="A875" s="8" t="s">
        <v>574</v>
      </c>
      <c r="B875" s="8" t="s">
        <v>2600</v>
      </c>
      <c r="C875" s="9">
        <v>5</v>
      </c>
      <c r="D875" s="9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R875" s="9">
        <v>2</v>
      </c>
      <c r="S875" s="9">
        <v>3</v>
      </c>
      <c r="T875" s="9">
        <v>1</v>
      </c>
      <c r="U875" s="9">
        <v>2</v>
      </c>
      <c r="V875" s="9">
        <v>3</v>
      </c>
      <c r="W875" s="9">
        <v>1</v>
      </c>
      <c r="X875" s="9">
        <v>2</v>
      </c>
      <c r="AE875" s="9">
        <f>IFERROR(VLOOKUP($A875,pivot!$A:$G,計算式2026!AE$1,FALSE),0)</f>
        <v>0</v>
      </c>
      <c r="AF875" s="9">
        <f>IFERROR(VLOOKUP($A875,pivot!$A:$I,計算式2026!AF$1,FALSE),0)</f>
        <v>0</v>
      </c>
      <c r="AI875" s="9">
        <f>IFERROR(VLOOKUP($A875,pivot!$A:$I,計算式2026!AI$1,FALSE),0)</f>
        <v>0</v>
      </c>
      <c r="AJ875" s="9">
        <f>IFERROR(VLOOKUP($A875,pivot!$A:$I,計算式2026!AJ$1,FALSE),0)</f>
        <v>0</v>
      </c>
      <c r="AK875" s="9">
        <f>IFERROR(VLOOKUP($A875,pivot!$A:$I,計算式2026!AK$1,FALSE),0)</f>
        <v>0</v>
      </c>
      <c r="AL875" s="9">
        <f>IFERROR(VLOOKUP($A875,pivot!$A:$I,計算式2026!AL$1,FALSE),0)</f>
        <v>0</v>
      </c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</row>
    <row r="876" spans="1:59" s="9" customFormat="1">
      <c r="A876" s="8" t="s">
        <v>575</v>
      </c>
      <c r="B876" s="8" t="s">
        <v>2600</v>
      </c>
      <c r="C876" s="9">
        <v>3</v>
      </c>
      <c r="D876" s="9">
        <v>2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R876" s="9">
        <v>2</v>
      </c>
      <c r="S876" s="9">
        <v>3</v>
      </c>
      <c r="T876" s="9">
        <v>2</v>
      </c>
      <c r="U876" s="9">
        <v>2</v>
      </c>
      <c r="V876" s="9">
        <v>3</v>
      </c>
      <c r="W876" s="9">
        <v>1</v>
      </c>
      <c r="X876" s="9">
        <v>2</v>
      </c>
      <c r="AE876" s="9">
        <f>IFERROR(VLOOKUP($A876,pivot!$A:$G,計算式2026!AE$1,FALSE),0)</f>
        <v>0</v>
      </c>
      <c r="AF876" s="9">
        <f>IFERROR(VLOOKUP($A876,pivot!$A:$I,計算式2026!AF$1,FALSE),0)</f>
        <v>0</v>
      </c>
      <c r="AI876" s="9">
        <f>IFERROR(VLOOKUP($A876,pivot!$A:$I,計算式2026!AI$1,FALSE),0)</f>
        <v>0</v>
      </c>
      <c r="AJ876" s="9">
        <f>IFERROR(VLOOKUP($A876,pivot!$A:$I,計算式2026!AJ$1,FALSE),0)</f>
        <v>0</v>
      </c>
      <c r="AK876" s="9">
        <f>IFERROR(VLOOKUP($A876,pivot!$A:$I,計算式2026!AK$1,FALSE),0)</f>
        <v>0</v>
      </c>
      <c r="AL876" s="9">
        <f>IFERROR(VLOOKUP($A876,pivot!$A:$I,計算式2026!AL$1,FALSE),0)</f>
        <v>0</v>
      </c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</row>
    <row r="877" spans="1:59" s="9" customFormat="1">
      <c r="A877" s="8" t="s">
        <v>576</v>
      </c>
      <c r="B877" s="8" t="s">
        <v>2600</v>
      </c>
      <c r="C877" s="9">
        <v>0</v>
      </c>
      <c r="D877" s="9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R877" s="9">
        <v>3</v>
      </c>
      <c r="S877" s="9">
        <v>3</v>
      </c>
      <c r="T877" s="9">
        <v>2</v>
      </c>
      <c r="U877" s="9">
        <v>1</v>
      </c>
      <c r="V877" s="9">
        <v>2</v>
      </c>
      <c r="W877" s="9">
        <v>3</v>
      </c>
      <c r="X877" s="9">
        <v>2</v>
      </c>
      <c r="AE877" s="9">
        <f>IFERROR(VLOOKUP($A877,pivot!$A:$G,計算式2026!AE$1,FALSE),0)</f>
        <v>0</v>
      </c>
      <c r="AF877" s="9">
        <f>IFERROR(VLOOKUP($A877,pivot!$A:$I,計算式2026!AF$1,FALSE),0)</f>
        <v>0</v>
      </c>
      <c r="AI877" s="9">
        <f>IFERROR(VLOOKUP($A877,pivot!$A:$I,計算式2026!AI$1,FALSE),0)</f>
        <v>0</v>
      </c>
      <c r="AJ877" s="9">
        <f>IFERROR(VLOOKUP($A877,pivot!$A:$I,計算式2026!AJ$1,FALSE),0)</f>
        <v>0</v>
      </c>
      <c r="AK877" s="9">
        <f>IFERROR(VLOOKUP($A877,pivot!$A:$I,計算式2026!AK$1,FALSE),0)</f>
        <v>0</v>
      </c>
      <c r="AL877" s="9">
        <f>IFERROR(VLOOKUP($A877,pivot!$A:$I,計算式2026!AL$1,FALSE),0)</f>
        <v>0</v>
      </c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</row>
    <row r="878" spans="1:59" s="9" customFormat="1">
      <c r="A878" s="8" t="s">
        <v>2102</v>
      </c>
      <c r="B878" s="8" t="s">
        <v>2600</v>
      </c>
      <c r="C878" s="9">
        <v>0</v>
      </c>
      <c r="D878" s="9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R878" s="9">
        <v>0</v>
      </c>
      <c r="S878" s="9">
        <v>2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AE878" s="9">
        <f>IFERROR(VLOOKUP($A878,pivot!$A:$G,計算式2026!AE$1,FALSE),0)</f>
        <v>0</v>
      </c>
      <c r="AF878" s="9">
        <f>IFERROR(VLOOKUP($A878,pivot!$A:$I,計算式2026!AF$1,FALSE),0)</f>
        <v>0</v>
      </c>
      <c r="AI878" s="9">
        <f>IFERROR(VLOOKUP($A878,pivot!$A:$I,計算式2026!AI$1,FALSE),0)</f>
        <v>0</v>
      </c>
      <c r="AJ878" s="9">
        <f>IFERROR(VLOOKUP($A878,pivot!$A:$I,計算式2026!AJ$1,FALSE),0)</f>
        <v>0</v>
      </c>
      <c r="AK878" s="9">
        <f>IFERROR(VLOOKUP($A878,pivot!$A:$I,計算式2026!AK$1,FALSE),0)</f>
        <v>0</v>
      </c>
      <c r="AL878" s="9">
        <f>IFERROR(VLOOKUP($A878,pivot!$A:$I,計算式2026!AL$1,FALSE),0)</f>
        <v>0</v>
      </c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</row>
    <row r="879" spans="1:59" s="9" customFormat="1">
      <c r="A879" s="8" t="s">
        <v>1606</v>
      </c>
      <c r="B879" s="8" t="s">
        <v>2600</v>
      </c>
      <c r="C879" s="9">
        <v>0</v>
      </c>
      <c r="D879" s="9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R879" s="9">
        <v>2</v>
      </c>
      <c r="S879" s="9">
        <v>3</v>
      </c>
      <c r="T879" s="9">
        <v>1</v>
      </c>
      <c r="U879" s="9">
        <v>0</v>
      </c>
      <c r="V879" s="9">
        <v>3</v>
      </c>
      <c r="W879" s="9">
        <v>0</v>
      </c>
      <c r="X879" s="9">
        <v>0</v>
      </c>
      <c r="AE879" s="9">
        <f>IFERROR(VLOOKUP($A879,pivot!$A:$G,計算式2026!AE$1,FALSE),0)</f>
        <v>0</v>
      </c>
      <c r="AF879" s="9">
        <f>IFERROR(VLOOKUP($A879,pivot!$A:$I,計算式2026!AF$1,FALSE),0)</f>
        <v>0</v>
      </c>
      <c r="AI879" s="9">
        <f>IFERROR(VLOOKUP($A879,pivot!$A:$I,計算式2026!AI$1,FALSE),0)</f>
        <v>0</v>
      </c>
      <c r="AJ879" s="9">
        <f>IFERROR(VLOOKUP($A879,pivot!$A:$I,計算式2026!AJ$1,FALSE),0)</f>
        <v>0</v>
      </c>
      <c r="AK879" s="9">
        <f>IFERROR(VLOOKUP($A879,pivot!$A:$I,計算式2026!AK$1,FALSE),0)</f>
        <v>0</v>
      </c>
      <c r="AL879" s="9">
        <f>IFERROR(VLOOKUP($A879,pivot!$A:$I,計算式2026!AL$1,FALSE),0)</f>
        <v>0</v>
      </c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</row>
    <row r="880" spans="1:59" s="9" customFormat="1">
      <c r="A880" s="8" t="s">
        <v>577</v>
      </c>
      <c r="B880" s="8" t="s">
        <v>578</v>
      </c>
      <c r="C880" s="9">
        <v>4</v>
      </c>
      <c r="D880" s="9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1</v>
      </c>
      <c r="AE880" s="9">
        <f>IFERROR(VLOOKUP($A880,pivot!$A:$G,計算式2026!AE$1,FALSE),0)</f>
        <v>0</v>
      </c>
      <c r="AF880" s="9">
        <f>IFERROR(VLOOKUP($A880,pivot!$A:$I,計算式2026!AF$1,FALSE),0)</f>
        <v>0</v>
      </c>
      <c r="AI880" s="9">
        <f>IFERROR(VLOOKUP($A880,pivot!$A:$I,計算式2026!AI$1,FALSE),0)</f>
        <v>0</v>
      </c>
      <c r="AJ880" s="9">
        <f>IFERROR(VLOOKUP($A880,pivot!$A:$I,計算式2026!AJ$1,FALSE),0)</f>
        <v>0</v>
      </c>
      <c r="AK880" s="9">
        <f>IFERROR(VLOOKUP($A880,pivot!$A:$I,計算式2026!AK$1,FALSE),0)</f>
        <v>0</v>
      </c>
      <c r="AL880" s="9">
        <f>IFERROR(VLOOKUP($A880,pivot!$A:$I,計算式2026!AL$1,FALSE),0)</f>
        <v>0</v>
      </c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</row>
    <row r="881" spans="1:59" s="9" customFormat="1">
      <c r="A881" s="8" t="s">
        <v>579</v>
      </c>
      <c r="B881" s="8" t="s">
        <v>580</v>
      </c>
      <c r="C881" s="9">
        <v>8</v>
      </c>
      <c r="D881" s="9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R881" s="9">
        <v>1</v>
      </c>
      <c r="S881" s="9">
        <v>2</v>
      </c>
      <c r="T881" s="9">
        <v>1</v>
      </c>
      <c r="U881" s="9">
        <v>0</v>
      </c>
      <c r="V881" s="9">
        <v>2</v>
      </c>
      <c r="W881" s="9">
        <v>1</v>
      </c>
      <c r="X881" s="9">
        <v>1</v>
      </c>
      <c r="AE881" s="9">
        <f>IFERROR(VLOOKUP($A881,pivot!$A:$G,計算式2026!AE$1,FALSE),0)</f>
        <v>0</v>
      </c>
      <c r="AF881" s="9">
        <f>IFERROR(VLOOKUP($A881,pivot!$A:$I,計算式2026!AF$1,FALSE),0)</f>
        <v>0</v>
      </c>
      <c r="AI881" s="9">
        <f>IFERROR(VLOOKUP($A881,pivot!$A:$I,計算式2026!AI$1,FALSE),0)</f>
        <v>0</v>
      </c>
      <c r="AJ881" s="9">
        <f>IFERROR(VLOOKUP($A881,pivot!$A:$I,計算式2026!AJ$1,FALSE),0)</f>
        <v>0</v>
      </c>
      <c r="AK881" s="9">
        <f>IFERROR(VLOOKUP($A881,pivot!$A:$I,計算式2026!AK$1,FALSE),0)</f>
        <v>0</v>
      </c>
      <c r="AL881" s="9">
        <f>IFERROR(VLOOKUP($A881,pivot!$A:$I,計算式2026!AL$1,FALSE),0)</f>
        <v>0</v>
      </c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</row>
    <row r="882" spans="1:59" s="9" customFormat="1">
      <c r="A882" s="8" t="s">
        <v>581</v>
      </c>
      <c r="B882" s="8" t="s">
        <v>580</v>
      </c>
      <c r="C882" s="9">
        <v>0</v>
      </c>
      <c r="D882" s="9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R882" s="9">
        <v>1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AE882" s="9">
        <f>IFERROR(VLOOKUP($A882,pivot!$A:$G,計算式2026!AE$1,FALSE),0)</f>
        <v>0</v>
      </c>
      <c r="AF882" s="9">
        <f>IFERROR(VLOOKUP($A882,pivot!$A:$I,計算式2026!AF$1,FALSE),0)</f>
        <v>0</v>
      </c>
      <c r="AI882" s="9">
        <f>IFERROR(VLOOKUP($A882,pivot!$A:$I,計算式2026!AI$1,FALSE),0)</f>
        <v>0</v>
      </c>
      <c r="AJ882" s="9">
        <f>IFERROR(VLOOKUP($A882,pivot!$A:$I,計算式2026!AJ$1,FALSE),0)</f>
        <v>0</v>
      </c>
      <c r="AK882" s="9">
        <f>IFERROR(VLOOKUP($A882,pivot!$A:$I,計算式2026!AK$1,FALSE),0)</f>
        <v>0</v>
      </c>
      <c r="AL882" s="9">
        <f>IFERROR(VLOOKUP($A882,pivot!$A:$I,計算式2026!AL$1,FALSE),0)</f>
        <v>0</v>
      </c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</row>
    <row r="883" spans="1:59" s="9" customFormat="1">
      <c r="A883" s="8" t="s">
        <v>582</v>
      </c>
      <c r="B883" s="8" t="s">
        <v>580</v>
      </c>
      <c r="C883" s="9">
        <v>5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R883" s="9">
        <v>1</v>
      </c>
      <c r="S883" s="9">
        <v>2</v>
      </c>
      <c r="T883" s="9">
        <v>1</v>
      </c>
      <c r="U883" s="9">
        <v>0</v>
      </c>
      <c r="V883" s="9">
        <v>2</v>
      </c>
      <c r="W883" s="9">
        <v>1</v>
      </c>
      <c r="X883" s="9">
        <v>1</v>
      </c>
      <c r="AE883" s="9">
        <f>IFERROR(VLOOKUP($A883,pivot!$A:$G,計算式2026!AE$1,FALSE),0)</f>
        <v>0</v>
      </c>
      <c r="AF883" s="9">
        <f>IFERROR(VLOOKUP($A883,pivot!$A:$I,計算式2026!AF$1,FALSE),0)</f>
        <v>0</v>
      </c>
      <c r="AI883" s="9">
        <f>IFERROR(VLOOKUP($A883,pivot!$A:$I,計算式2026!AI$1,FALSE),0)</f>
        <v>0</v>
      </c>
      <c r="AJ883" s="9">
        <f>IFERROR(VLOOKUP($A883,pivot!$A:$I,計算式2026!AJ$1,FALSE),0)</f>
        <v>0</v>
      </c>
      <c r="AK883" s="9">
        <f>IFERROR(VLOOKUP($A883,pivot!$A:$I,計算式2026!AK$1,FALSE),0)</f>
        <v>0</v>
      </c>
      <c r="AL883" s="9">
        <f>IFERROR(VLOOKUP($A883,pivot!$A:$I,計算式2026!AL$1,FALSE),0)</f>
        <v>0</v>
      </c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</row>
    <row r="884" spans="1:59" s="9" customFormat="1">
      <c r="A884" s="8" t="s">
        <v>2103</v>
      </c>
      <c r="B884" s="8" t="s">
        <v>580</v>
      </c>
      <c r="C884" s="9">
        <v>0</v>
      </c>
      <c r="D884" s="9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R884" s="9">
        <v>0</v>
      </c>
      <c r="S884" s="9">
        <v>1</v>
      </c>
      <c r="T884" s="9">
        <v>-1</v>
      </c>
      <c r="U884" s="9">
        <v>0</v>
      </c>
      <c r="V884" s="9">
        <v>2</v>
      </c>
      <c r="W884" s="9">
        <v>0</v>
      </c>
      <c r="X884" s="9">
        <v>0</v>
      </c>
      <c r="AE884" s="9">
        <f>IFERROR(VLOOKUP($A884,pivot!$A:$G,計算式2026!AE$1,FALSE),0)</f>
        <v>0</v>
      </c>
      <c r="AF884" s="9">
        <f>IFERROR(VLOOKUP($A884,pivot!$A:$I,計算式2026!AF$1,FALSE),0)</f>
        <v>0</v>
      </c>
      <c r="AI884" s="9">
        <f>IFERROR(VLOOKUP($A884,pivot!$A:$I,計算式2026!AI$1,FALSE),0)</f>
        <v>0</v>
      </c>
      <c r="AJ884" s="9">
        <f>IFERROR(VLOOKUP($A884,pivot!$A:$I,計算式2026!AJ$1,FALSE),0)</f>
        <v>0</v>
      </c>
      <c r="AK884" s="9">
        <f>IFERROR(VLOOKUP($A884,pivot!$A:$I,計算式2026!AK$1,FALSE),0)</f>
        <v>0</v>
      </c>
      <c r="AL884" s="9">
        <f>IFERROR(VLOOKUP($A884,pivot!$A:$I,計算式2026!AL$1,FALSE),0)</f>
        <v>0</v>
      </c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</row>
    <row r="885" spans="1:59" s="9" customFormat="1">
      <c r="A885" s="8" t="s">
        <v>583</v>
      </c>
      <c r="B885" s="8" t="s">
        <v>584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R885" s="9">
        <v>1</v>
      </c>
      <c r="S885" s="9">
        <v>2</v>
      </c>
      <c r="T885" s="9">
        <v>1</v>
      </c>
      <c r="U885" s="9">
        <v>0</v>
      </c>
      <c r="V885" s="9">
        <v>2</v>
      </c>
      <c r="W885" s="9">
        <v>0</v>
      </c>
      <c r="X885" s="9">
        <v>1</v>
      </c>
      <c r="AE885" s="9">
        <f>IFERROR(VLOOKUP($A885,pivot!$A:$G,計算式2026!AE$1,FALSE),0)</f>
        <v>0</v>
      </c>
      <c r="AF885" s="9">
        <f>IFERROR(VLOOKUP($A885,pivot!$A:$I,計算式2026!AF$1,FALSE),0)</f>
        <v>0</v>
      </c>
      <c r="AI885" s="9">
        <f>IFERROR(VLOOKUP($A885,pivot!$A:$I,計算式2026!AI$1,FALSE),0)</f>
        <v>0</v>
      </c>
      <c r="AJ885" s="9">
        <f>IFERROR(VLOOKUP($A885,pivot!$A:$I,計算式2026!AJ$1,FALSE),0)</f>
        <v>0</v>
      </c>
      <c r="AK885" s="9">
        <f>IFERROR(VLOOKUP($A885,pivot!$A:$I,計算式2026!AK$1,FALSE),0)</f>
        <v>0</v>
      </c>
      <c r="AL885" s="9">
        <f>IFERROR(VLOOKUP($A885,pivot!$A:$I,計算式2026!AL$1,FALSE),0)</f>
        <v>0</v>
      </c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</row>
    <row r="886" spans="1:59" s="9" customFormat="1">
      <c r="A886" s="8" t="s">
        <v>585</v>
      </c>
      <c r="B886" s="8" t="s">
        <v>584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R886" s="9">
        <v>0</v>
      </c>
      <c r="S886" s="9">
        <v>1</v>
      </c>
      <c r="T886" s="9">
        <v>0</v>
      </c>
      <c r="U886" s="9">
        <v>0</v>
      </c>
      <c r="V886" s="9">
        <v>1</v>
      </c>
      <c r="W886" s="9">
        <v>0</v>
      </c>
      <c r="X886" s="9">
        <v>1</v>
      </c>
      <c r="AE886" s="9">
        <f>IFERROR(VLOOKUP($A886,pivot!$A:$G,計算式2026!AE$1,FALSE),0)</f>
        <v>0</v>
      </c>
      <c r="AF886" s="9">
        <f>IFERROR(VLOOKUP($A886,pivot!$A:$I,計算式2026!AF$1,FALSE),0)</f>
        <v>0</v>
      </c>
      <c r="AI886" s="9">
        <f>IFERROR(VLOOKUP($A886,pivot!$A:$I,計算式2026!AI$1,FALSE),0)</f>
        <v>0</v>
      </c>
      <c r="AJ886" s="9">
        <f>IFERROR(VLOOKUP($A886,pivot!$A:$I,計算式2026!AJ$1,FALSE),0)</f>
        <v>0</v>
      </c>
      <c r="AK886" s="9">
        <f>IFERROR(VLOOKUP($A886,pivot!$A:$I,計算式2026!AK$1,FALSE),0)</f>
        <v>0</v>
      </c>
      <c r="AL886" s="9">
        <f>IFERROR(VLOOKUP($A886,pivot!$A:$I,計算式2026!AL$1,FALSE),0)</f>
        <v>0</v>
      </c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</row>
    <row r="887" spans="1:59" s="9" customFormat="1">
      <c r="A887" s="8" t="s">
        <v>586</v>
      </c>
      <c r="B887" s="8" t="s">
        <v>584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R887" s="9">
        <v>1</v>
      </c>
      <c r="S887" s="9">
        <v>2</v>
      </c>
      <c r="T887" s="9">
        <v>2</v>
      </c>
      <c r="U887" s="9">
        <v>0</v>
      </c>
      <c r="V887" s="9">
        <v>2</v>
      </c>
      <c r="W887" s="9">
        <v>1</v>
      </c>
      <c r="X887" s="9">
        <v>1</v>
      </c>
      <c r="AE887" s="9">
        <f>IFERROR(VLOOKUP($A887,pivot!$A:$G,計算式2026!AE$1,FALSE),0)</f>
        <v>0</v>
      </c>
      <c r="AF887" s="9">
        <f>IFERROR(VLOOKUP($A887,pivot!$A:$I,計算式2026!AF$1,FALSE),0)</f>
        <v>0</v>
      </c>
      <c r="AI887" s="9">
        <f>IFERROR(VLOOKUP($A887,pivot!$A:$I,計算式2026!AI$1,FALSE),0)</f>
        <v>0</v>
      </c>
      <c r="AJ887" s="9">
        <f>IFERROR(VLOOKUP($A887,pivot!$A:$I,計算式2026!AJ$1,FALSE),0)</f>
        <v>0</v>
      </c>
      <c r="AK887" s="9">
        <f>IFERROR(VLOOKUP($A887,pivot!$A:$I,計算式2026!AK$1,FALSE),0)</f>
        <v>0</v>
      </c>
      <c r="AL887" s="9">
        <f>IFERROR(VLOOKUP($A887,pivot!$A:$I,計算式2026!AL$1,FALSE),0)</f>
        <v>0</v>
      </c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</row>
    <row r="888" spans="1:59" s="9" customFormat="1">
      <c r="A888" s="8" t="s">
        <v>2104</v>
      </c>
      <c r="B888" s="8" t="s">
        <v>584</v>
      </c>
      <c r="C888" s="9">
        <v>0</v>
      </c>
      <c r="D888" s="9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R888" s="9">
        <v>1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1</v>
      </c>
      <c r="AE888" s="9">
        <f>IFERROR(VLOOKUP($A888,pivot!$A:$G,計算式2026!AE$1,FALSE),0)</f>
        <v>0</v>
      </c>
      <c r="AF888" s="9">
        <f>IFERROR(VLOOKUP($A888,pivot!$A:$I,計算式2026!AF$1,FALSE),0)</f>
        <v>0</v>
      </c>
      <c r="AI888" s="9">
        <f>IFERROR(VLOOKUP($A888,pivot!$A:$I,計算式2026!AI$1,FALSE),0)</f>
        <v>0</v>
      </c>
      <c r="AJ888" s="9">
        <f>IFERROR(VLOOKUP($A888,pivot!$A:$I,計算式2026!AJ$1,FALSE),0)</f>
        <v>0</v>
      </c>
      <c r="AK888" s="9">
        <f>IFERROR(VLOOKUP($A888,pivot!$A:$I,計算式2026!AK$1,FALSE),0)</f>
        <v>0</v>
      </c>
      <c r="AL888" s="9">
        <f>IFERROR(VLOOKUP($A888,pivot!$A:$I,計算式2026!AL$1,FALSE),0)</f>
        <v>0</v>
      </c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</row>
    <row r="889" spans="1:59" s="9" customFormat="1">
      <c r="A889" s="8" t="s">
        <v>587</v>
      </c>
      <c r="B889" s="8" t="s">
        <v>588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R889" s="9">
        <v>2</v>
      </c>
      <c r="S889" s="9">
        <v>2</v>
      </c>
      <c r="T889" s="9">
        <v>1</v>
      </c>
      <c r="U889" s="9">
        <v>0</v>
      </c>
      <c r="V889" s="9">
        <v>1</v>
      </c>
      <c r="W889" s="9">
        <v>1</v>
      </c>
      <c r="X889" s="9">
        <v>1</v>
      </c>
      <c r="AE889" s="9">
        <f>IFERROR(VLOOKUP($A889,pivot!$A:$G,計算式2026!AE$1,FALSE),0)</f>
        <v>0</v>
      </c>
      <c r="AF889" s="9">
        <f>IFERROR(VLOOKUP($A889,pivot!$A:$I,計算式2026!AF$1,FALSE),0)</f>
        <v>0</v>
      </c>
      <c r="AI889" s="9">
        <f>IFERROR(VLOOKUP($A889,pivot!$A:$I,計算式2026!AI$1,FALSE),0)</f>
        <v>0</v>
      </c>
      <c r="AJ889" s="9">
        <f>IFERROR(VLOOKUP($A889,pivot!$A:$I,計算式2026!AJ$1,FALSE),0)</f>
        <v>0</v>
      </c>
      <c r="AK889" s="9">
        <f>IFERROR(VLOOKUP($A889,pivot!$A:$I,計算式2026!AK$1,FALSE),0)</f>
        <v>0</v>
      </c>
      <c r="AL889" s="9">
        <f>IFERROR(VLOOKUP($A889,pivot!$A:$I,計算式2026!AL$1,FALSE),0)</f>
        <v>0</v>
      </c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</row>
    <row r="890" spans="1:59" s="9" customFormat="1">
      <c r="A890" s="8" t="s">
        <v>589</v>
      </c>
      <c r="B890" s="8" t="s">
        <v>588</v>
      </c>
      <c r="C890" s="9">
        <v>0</v>
      </c>
      <c r="D890" s="9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R890" s="9">
        <v>2</v>
      </c>
      <c r="S890" s="9">
        <v>2</v>
      </c>
      <c r="T890" s="9">
        <v>2</v>
      </c>
      <c r="U890" s="9">
        <v>0</v>
      </c>
      <c r="V890" s="9">
        <v>1</v>
      </c>
      <c r="W890" s="9">
        <v>1</v>
      </c>
      <c r="X890" s="9">
        <v>1</v>
      </c>
      <c r="AE890" s="9">
        <f>IFERROR(VLOOKUP($A890,pivot!$A:$G,計算式2026!AE$1,FALSE),0)</f>
        <v>0</v>
      </c>
      <c r="AF890" s="9">
        <f>IFERROR(VLOOKUP($A890,pivot!$A:$I,計算式2026!AF$1,FALSE),0)</f>
        <v>0</v>
      </c>
      <c r="AI890" s="9">
        <f>IFERROR(VLOOKUP($A890,pivot!$A:$I,計算式2026!AI$1,FALSE),0)</f>
        <v>0</v>
      </c>
      <c r="AJ890" s="9">
        <f>IFERROR(VLOOKUP($A890,pivot!$A:$I,計算式2026!AJ$1,FALSE),0)</f>
        <v>0</v>
      </c>
      <c r="AK890" s="9">
        <f>IFERROR(VLOOKUP($A890,pivot!$A:$I,計算式2026!AK$1,FALSE),0)</f>
        <v>0</v>
      </c>
      <c r="AL890" s="9">
        <f>IFERROR(VLOOKUP($A890,pivot!$A:$I,計算式2026!AL$1,FALSE),0)</f>
        <v>0</v>
      </c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</row>
    <row r="891" spans="1:59" s="9" customFormat="1">
      <c r="A891" s="8" t="s">
        <v>2105</v>
      </c>
      <c r="B891" s="8" t="s">
        <v>588</v>
      </c>
      <c r="C891" s="9">
        <v>0</v>
      </c>
      <c r="D891" s="9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R891" s="9">
        <v>0</v>
      </c>
      <c r="S891" s="9">
        <v>1</v>
      </c>
      <c r="T891" s="9">
        <v>1</v>
      </c>
      <c r="U891" s="9">
        <v>0</v>
      </c>
      <c r="V891" s="9">
        <v>0</v>
      </c>
      <c r="W891" s="9">
        <v>0</v>
      </c>
      <c r="X891" s="9">
        <v>1</v>
      </c>
      <c r="AE891" s="9">
        <f>IFERROR(VLOOKUP($A891,pivot!$A:$G,計算式2026!AE$1,FALSE),0)</f>
        <v>0</v>
      </c>
      <c r="AF891" s="9">
        <f>IFERROR(VLOOKUP($A891,pivot!$A:$I,計算式2026!AF$1,FALSE),0)</f>
        <v>0</v>
      </c>
      <c r="AI891" s="9">
        <f>IFERROR(VLOOKUP($A891,pivot!$A:$I,計算式2026!AI$1,FALSE),0)</f>
        <v>0</v>
      </c>
      <c r="AJ891" s="9">
        <f>IFERROR(VLOOKUP($A891,pivot!$A:$I,計算式2026!AJ$1,FALSE),0)</f>
        <v>0</v>
      </c>
      <c r="AK891" s="9">
        <f>IFERROR(VLOOKUP($A891,pivot!$A:$I,計算式2026!AK$1,FALSE),0)</f>
        <v>0</v>
      </c>
      <c r="AL891" s="9">
        <f>IFERROR(VLOOKUP($A891,pivot!$A:$I,計算式2026!AL$1,FALSE),0)</f>
        <v>0</v>
      </c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</row>
    <row r="892" spans="1:59" s="9" customFormat="1">
      <c r="A892" s="8" t="s">
        <v>1668</v>
      </c>
      <c r="B892" s="8" t="s">
        <v>2106</v>
      </c>
      <c r="C892" s="9">
        <v>1</v>
      </c>
      <c r="D892" s="9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R892" s="9">
        <v>1</v>
      </c>
      <c r="S892" s="9">
        <v>0</v>
      </c>
      <c r="T892" s="9">
        <v>1</v>
      </c>
      <c r="U892" s="9">
        <v>0</v>
      </c>
      <c r="V892" s="9">
        <v>0</v>
      </c>
      <c r="W892" s="9">
        <v>0</v>
      </c>
      <c r="X892" s="9">
        <v>1</v>
      </c>
      <c r="AE892" s="9">
        <f>IFERROR(VLOOKUP($A892,pivot!$A:$G,計算式2026!AE$1,FALSE),0)</f>
        <v>0</v>
      </c>
      <c r="AF892" s="9">
        <f>IFERROR(VLOOKUP($A892,pivot!$A:$I,計算式2026!AF$1,FALSE),0)</f>
        <v>0</v>
      </c>
      <c r="AI892" s="9">
        <f>IFERROR(VLOOKUP($A892,pivot!$A:$I,計算式2026!AI$1,FALSE),0)</f>
        <v>0</v>
      </c>
      <c r="AJ892" s="9">
        <f>IFERROR(VLOOKUP($A892,pivot!$A:$I,計算式2026!AJ$1,FALSE),0)</f>
        <v>0</v>
      </c>
      <c r="AK892" s="9">
        <f>IFERROR(VLOOKUP($A892,pivot!$A:$I,計算式2026!AK$1,FALSE),0)</f>
        <v>0</v>
      </c>
      <c r="AL892" s="9">
        <f>IFERROR(VLOOKUP($A892,pivot!$A:$I,計算式2026!AL$1,FALSE),0)</f>
        <v>0</v>
      </c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</row>
    <row r="893" spans="1:59" s="9" customFormat="1">
      <c r="A893" s="8" t="s">
        <v>2107</v>
      </c>
      <c r="B893" s="8" t="s">
        <v>2106</v>
      </c>
      <c r="C893" s="9">
        <v>0</v>
      </c>
      <c r="D893" s="9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1</v>
      </c>
      <c r="AE893" s="9">
        <f>IFERROR(VLOOKUP($A893,pivot!$A:$G,計算式2026!AE$1,FALSE),0)</f>
        <v>0</v>
      </c>
      <c r="AF893" s="9">
        <f>IFERROR(VLOOKUP($A893,pivot!$A:$I,計算式2026!AF$1,FALSE),0)</f>
        <v>0</v>
      </c>
      <c r="AI893" s="9">
        <f>IFERROR(VLOOKUP($A893,pivot!$A:$I,計算式2026!AI$1,FALSE),0)</f>
        <v>0</v>
      </c>
      <c r="AJ893" s="9">
        <f>IFERROR(VLOOKUP($A893,pivot!$A:$I,計算式2026!AJ$1,FALSE),0)</f>
        <v>0</v>
      </c>
      <c r="AK893" s="9">
        <f>IFERROR(VLOOKUP($A893,pivot!$A:$I,計算式2026!AK$1,FALSE),0)</f>
        <v>0</v>
      </c>
      <c r="AL893" s="9">
        <f>IFERROR(VLOOKUP($A893,pivot!$A:$I,計算式2026!AL$1,FALSE),0)</f>
        <v>0</v>
      </c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</row>
    <row r="894" spans="1:59" s="9" customFormat="1">
      <c r="A894" s="8" t="s">
        <v>1669</v>
      </c>
      <c r="B894" s="8" t="s">
        <v>2106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R894" s="9">
        <v>1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1</v>
      </c>
      <c r="AE894" s="9">
        <f>IFERROR(VLOOKUP($A894,pivot!$A:$G,計算式2026!AE$1,FALSE),0)</f>
        <v>0</v>
      </c>
      <c r="AF894" s="9">
        <f>IFERROR(VLOOKUP($A894,pivot!$A:$I,計算式2026!AF$1,FALSE),0)</f>
        <v>0</v>
      </c>
      <c r="AI894" s="9">
        <f>IFERROR(VLOOKUP($A894,pivot!$A:$I,計算式2026!AI$1,FALSE),0)</f>
        <v>0</v>
      </c>
      <c r="AJ894" s="9">
        <f>IFERROR(VLOOKUP($A894,pivot!$A:$I,計算式2026!AJ$1,FALSE),0)</f>
        <v>0</v>
      </c>
      <c r="AK894" s="9">
        <f>IFERROR(VLOOKUP($A894,pivot!$A:$I,計算式2026!AK$1,FALSE),0)</f>
        <v>0</v>
      </c>
      <c r="AL894" s="9">
        <f>IFERROR(VLOOKUP($A894,pivot!$A:$I,計算式2026!AL$1,FALSE),0)</f>
        <v>0</v>
      </c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</row>
    <row r="895" spans="1:59" s="9" customFormat="1">
      <c r="A895" s="8" t="s">
        <v>2108</v>
      </c>
      <c r="B895" s="8" t="s">
        <v>2106</v>
      </c>
      <c r="C895" s="9">
        <v>0</v>
      </c>
      <c r="D895" s="9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R895" s="9">
        <v>0</v>
      </c>
      <c r="S895" s="9">
        <v>0</v>
      </c>
      <c r="T895" s="9">
        <v>1</v>
      </c>
      <c r="U895" s="9">
        <v>0</v>
      </c>
      <c r="V895" s="9">
        <v>0</v>
      </c>
      <c r="W895" s="9">
        <v>0</v>
      </c>
      <c r="X895" s="9">
        <v>1</v>
      </c>
      <c r="AE895" s="9">
        <f>IFERROR(VLOOKUP($A895,pivot!$A:$G,計算式2026!AE$1,FALSE),0)</f>
        <v>0</v>
      </c>
      <c r="AF895" s="9">
        <f>IFERROR(VLOOKUP($A895,pivot!$A:$I,計算式2026!AF$1,FALSE),0)</f>
        <v>0</v>
      </c>
      <c r="AI895" s="9">
        <f>IFERROR(VLOOKUP($A895,pivot!$A:$I,計算式2026!AI$1,FALSE),0)</f>
        <v>0</v>
      </c>
      <c r="AJ895" s="9">
        <f>IFERROR(VLOOKUP($A895,pivot!$A:$I,計算式2026!AJ$1,FALSE),0)</f>
        <v>0</v>
      </c>
      <c r="AK895" s="9">
        <f>IFERROR(VLOOKUP($A895,pivot!$A:$I,計算式2026!AK$1,FALSE),0)</f>
        <v>0</v>
      </c>
      <c r="AL895" s="9">
        <f>IFERROR(VLOOKUP($A895,pivot!$A:$I,計算式2026!AL$1,FALSE),0)</f>
        <v>0</v>
      </c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</row>
    <row r="896" spans="1:59" s="9" customFormat="1">
      <c r="A896" s="8" t="s">
        <v>590</v>
      </c>
      <c r="B896" s="8" t="s">
        <v>591</v>
      </c>
      <c r="C896" s="9">
        <v>0</v>
      </c>
      <c r="D896" s="9">
        <v>3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R896" s="9">
        <v>0</v>
      </c>
      <c r="S896" s="9">
        <v>2</v>
      </c>
      <c r="T896" s="9">
        <v>1</v>
      </c>
      <c r="U896" s="9">
        <v>0</v>
      </c>
      <c r="V896" s="9">
        <v>2</v>
      </c>
      <c r="W896" s="9">
        <v>0</v>
      </c>
      <c r="X896" s="9">
        <v>0</v>
      </c>
      <c r="AE896" s="9">
        <f>IFERROR(VLOOKUP($A896,pivot!$A:$G,計算式2026!AE$1,FALSE),0)</f>
        <v>0</v>
      </c>
      <c r="AF896" s="9">
        <f>IFERROR(VLOOKUP($A896,pivot!$A:$I,計算式2026!AF$1,FALSE),0)</f>
        <v>0</v>
      </c>
      <c r="AI896" s="9">
        <f>IFERROR(VLOOKUP($A896,pivot!$A:$I,計算式2026!AI$1,FALSE),0)</f>
        <v>0</v>
      </c>
      <c r="AJ896" s="9">
        <f>IFERROR(VLOOKUP($A896,pivot!$A:$I,計算式2026!AJ$1,FALSE),0)</f>
        <v>0</v>
      </c>
      <c r="AK896" s="9">
        <f>IFERROR(VLOOKUP($A896,pivot!$A:$I,計算式2026!AK$1,FALSE),0)</f>
        <v>0</v>
      </c>
      <c r="AL896" s="9">
        <f>IFERROR(VLOOKUP($A896,pivot!$A:$I,計算式2026!AL$1,FALSE),0)</f>
        <v>0</v>
      </c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</row>
    <row r="897" spans="1:59" s="9" customFormat="1">
      <c r="A897" s="8" t="s">
        <v>2109</v>
      </c>
      <c r="B897" s="8" t="s">
        <v>2110</v>
      </c>
      <c r="C897" s="9">
        <v>7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R897" s="9">
        <v>0</v>
      </c>
      <c r="S897" s="9">
        <v>2</v>
      </c>
      <c r="T897" s="9">
        <v>1</v>
      </c>
      <c r="U897" s="9">
        <v>0</v>
      </c>
      <c r="V897" s="9">
        <v>3</v>
      </c>
      <c r="W897" s="9">
        <v>1</v>
      </c>
      <c r="X897" s="9">
        <v>3</v>
      </c>
      <c r="AE897" s="9">
        <f>IFERROR(VLOOKUP($A897,pivot!$A:$G,計算式2026!AE$1,FALSE),0)</f>
        <v>0</v>
      </c>
      <c r="AF897" s="9">
        <f>IFERROR(VLOOKUP($A897,pivot!$A:$I,計算式2026!AF$1,FALSE),0)</f>
        <v>0</v>
      </c>
      <c r="AI897" s="9">
        <f>IFERROR(VLOOKUP($A897,pivot!$A:$I,計算式2026!AI$1,FALSE),0)</f>
        <v>0</v>
      </c>
      <c r="AJ897" s="9">
        <f>IFERROR(VLOOKUP($A897,pivot!$A:$I,計算式2026!AJ$1,FALSE),0)</f>
        <v>0</v>
      </c>
      <c r="AK897" s="9">
        <f>IFERROR(VLOOKUP($A897,pivot!$A:$I,計算式2026!AK$1,FALSE),0)</f>
        <v>0</v>
      </c>
      <c r="AL897" s="9">
        <f>IFERROR(VLOOKUP($A897,pivot!$A:$I,計算式2026!AL$1,FALSE),0)</f>
        <v>0</v>
      </c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</row>
    <row r="898" spans="1:59" s="9" customFormat="1">
      <c r="A898" s="8" t="s">
        <v>2111</v>
      </c>
      <c r="B898" s="8" t="s">
        <v>2110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R898" s="9">
        <v>0</v>
      </c>
      <c r="S898" s="9">
        <v>1</v>
      </c>
      <c r="T898" s="9">
        <v>1</v>
      </c>
      <c r="U898" s="9">
        <v>0</v>
      </c>
      <c r="V898" s="9">
        <v>3</v>
      </c>
      <c r="W898" s="9">
        <v>0</v>
      </c>
      <c r="X898" s="9">
        <v>2</v>
      </c>
      <c r="AE898" s="9">
        <f>IFERROR(VLOOKUP($A898,pivot!$A:$G,計算式2026!AE$1,FALSE),0)</f>
        <v>0</v>
      </c>
      <c r="AF898" s="9">
        <f>IFERROR(VLOOKUP($A898,pivot!$A:$I,計算式2026!AF$1,FALSE),0)</f>
        <v>0</v>
      </c>
      <c r="AI898" s="9">
        <f>IFERROR(VLOOKUP($A898,pivot!$A:$I,計算式2026!AI$1,FALSE),0)</f>
        <v>0</v>
      </c>
      <c r="AJ898" s="9">
        <f>IFERROR(VLOOKUP($A898,pivot!$A:$I,計算式2026!AJ$1,FALSE),0)</f>
        <v>0</v>
      </c>
      <c r="AK898" s="9">
        <f>IFERROR(VLOOKUP($A898,pivot!$A:$I,計算式2026!AK$1,FALSE),0)</f>
        <v>0</v>
      </c>
      <c r="AL898" s="9">
        <f>IFERROR(VLOOKUP($A898,pivot!$A:$I,計算式2026!AL$1,FALSE),0)</f>
        <v>0</v>
      </c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</row>
    <row r="899" spans="1:59" s="9" customFormat="1">
      <c r="A899" s="8" t="s">
        <v>2618</v>
      </c>
      <c r="B899" s="8" t="s">
        <v>2616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R899" s="9">
        <v>0</v>
      </c>
      <c r="S899" s="9">
        <v>2</v>
      </c>
      <c r="T899" s="9">
        <v>0</v>
      </c>
      <c r="U899" s="9">
        <v>0</v>
      </c>
      <c r="V899" s="9">
        <v>1</v>
      </c>
      <c r="W899" s="9">
        <v>1</v>
      </c>
      <c r="X899" s="9">
        <v>1</v>
      </c>
      <c r="AE899" s="9">
        <f>IFERROR(VLOOKUP($A899,pivot!$A:$G,計算式2026!AE$1,FALSE),0)</f>
        <v>0</v>
      </c>
      <c r="AF899" s="9">
        <f>IFERROR(VLOOKUP($A899,pivot!$A:$I,計算式2026!AF$1,FALSE),0)</f>
        <v>0</v>
      </c>
      <c r="AI899" s="9">
        <f>IFERROR(VLOOKUP($A899,pivot!$A:$I,計算式2026!AI$1,FALSE),0)</f>
        <v>0</v>
      </c>
      <c r="AJ899" s="9">
        <f>IFERROR(VLOOKUP($A899,pivot!$A:$I,計算式2026!AJ$1,FALSE),0)</f>
        <v>0</v>
      </c>
      <c r="AK899" s="9">
        <f>IFERROR(VLOOKUP($A899,pivot!$A:$I,計算式2026!AK$1,FALSE),0)</f>
        <v>0</v>
      </c>
      <c r="AL899" s="9">
        <f>IFERROR(VLOOKUP($A899,pivot!$A:$I,計算式2026!AL$1,FALSE),0)</f>
        <v>0</v>
      </c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</row>
    <row r="900" spans="1:59" s="9" customFormat="1">
      <c r="A900" s="8" t="s">
        <v>2630</v>
      </c>
      <c r="B900" s="8" t="s">
        <v>2616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R900" s="9">
        <v>0</v>
      </c>
      <c r="S900" s="9">
        <v>0</v>
      </c>
      <c r="T900" s="9">
        <v>1</v>
      </c>
      <c r="U900" s="9">
        <v>0</v>
      </c>
      <c r="V900" s="9">
        <v>0</v>
      </c>
      <c r="W900" s="9">
        <v>2</v>
      </c>
      <c r="X900" s="9">
        <v>0</v>
      </c>
      <c r="AE900" s="9">
        <f>IFERROR(VLOOKUP($A900,pivot!$A:$G,計算式2026!AE$1,FALSE),0)</f>
        <v>0</v>
      </c>
      <c r="AF900" s="9">
        <f>IFERROR(VLOOKUP($A900,pivot!$A:$I,計算式2026!AF$1,FALSE),0)</f>
        <v>0</v>
      </c>
      <c r="AI900" s="9">
        <f>IFERROR(VLOOKUP($A900,pivot!$A:$I,計算式2026!AI$1,FALSE),0)</f>
        <v>1</v>
      </c>
      <c r="AJ900" s="9">
        <f>IFERROR(VLOOKUP($A900,pivot!$A:$I,計算式2026!AJ$1,FALSE),0)</f>
        <v>0</v>
      </c>
      <c r="AK900" s="9">
        <f>IFERROR(VLOOKUP($A900,pivot!$A:$I,計算式2026!AK$1,FALSE),0)</f>
        <v>0</v>
      </c>
      <c r="AL900" s="9">
        <f>IFERROR(VLOOKUP($A900,pivot!$A:$I,計算式2026!AL$1,FALSE),0)</f>
        <v>0</v>
      </c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</row>
    <row r="901" spans="1:59" s="9" customFormat="1">
      <c r="A901" s="8" t="s">
        <v>2745</v>
      </c>
      <c r="B901" s="8" t="s">
        <v>2616</v>
      </c>
      <c r="C901" s="9">
        <v>0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1</v>
      </c>
      <c r="X901" s="9">
        <v>0</v>
      </c>
      <c r="AE901" s="9">
        <f>IFERROR(VLOOKUP($A901,pivot!$A:$G,計算式2026!AE$1,FALSE),0)</f>
        <v>0</v>
      </c>
      <c r="AF901" s="9">
        <f>IFERROR(VLOOKUP($A901,pivot!$A:$I,計算式2026!AF$1,FALSE),0)</f>
        <v>0</v>
      </c>
      <c r="AI901" s="9">
        <f>IFERROR(VLOOKUP($A901,pivot!$A:$I,計算式2026!AI$1,FALSE),0)</f>
        <v>0</v>
      </c>
      <c r="AJ901" s="9">
        <f>IFERROR(VLOOKUP($A901,pivot!$A:$I,計算式2026!AJ$1,FALSE),0)</f>
        <v>0</v>
      </c>
      <c r="AK901" s="9">
        <f>IFERROR(VLOOKUP($A901,pivot!$A:$I,計算式2026!AK$1,FALSE),0)</f>
        <v>0</v>
      </c>
      <c r="AL901" s="9">
        <f>IFERROR(VLOOKUP($A901,pivot!$A:$I,計算式2026!AL$1,FALSE),0)</f>
        <v>0</v>
      </c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</row>
    <row r="902" spans="1:59" s="9" customFormat="1">
      <c r="A902" s="8" t="s">
        <v>2746</v>
      </c>
      <c r="B902" s="8" t="s">
        <v>2603</v>
      </c>
      <c r="C902" s="9">
        <v>68</v>
      </c>
      <c r="D902" s="9">
        <v>21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R902" s="9">
        <v>3</v>
      </c>
      <c r="S902" s="9">
        <v>7</v>
      </c>
      <c r="T902" s="9">
        <v>1</v>
      </c>
      <c r="U902" s="9">
        <v>3</v>
      </c>
      <c r="V902" s="9">
        <v>6</v>
      </c>
      <c r="W902" s="9">
        <v>1</v>
      </c>
      <c r="X902" s="9">
        <v>2</v>
      </c>
      <c r="AE902" s="9">
        <f>IFERROR(VLOOKUP($A902,pivot!$A:$G,計算式2026!AE$1,FALSE),0)</f>
        <v>0</v>
      </c>
      <c r="AF902" s="9">
        <f>IFERROR(VLOOKUP($A902,pivot!$A:$I,計算式2026!AF$1,FALSE),0)</f>
        <v>0</v>
      </c>
      <c r="AI902" s="9">
        <f>IFERROR(VLOOKUP($A902,pivot!$A:$I,計算式2026!AI$1,FALSE),0)</f>
        <v>0</v>
      </c>
      <c r="AJ902" s="9">
        <f>IFERROR(VLOOKUP($A902,pivot!$A:$I,計算式2026!AJ$1,FALSE),0)</f>
        <v>0</v>
      </c>
      <c r="AK902" s="9">
        <f>IFERROR(VLOOKUP($A902,pivot!$A:$I,計算式2026!AK$1,FALSE),0)</f>
        <v>0</v>
      </c>
      <c r="AL902" s="9">
        <f>IFERROR(VLOOKUP($A902,pivot!$A:$I,計算式2026!AL$1,FALSE),0)</f>
        <v>0</v>
      </c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</row>
    <row r="903" spans="1:59" s="9" customFormat="1">
      <c r="A903" s="8" t="s">
        <v>2747</v>
      </c>
      <c r="B903" s="8" t="s">
        <v>2603</v>
      </c>
      <c r="C903" s="9">
        <v>15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R903" s="9">
        <v>3</v>
      </c>
      <c r="S903" s="9">
        <v>5</v>
      </c>
      <c r="T903" s="9">
        <v>1</v>
      </c>
      <c r="U903" s="9">
        <v>3</v>
      </c>
      <c r="V903" s="9">
        <v>5</v>
      </c>
      <c r="W903" s="9">
        <v>0</v>
      </c>
      <c r="X903" s="9">
        <v>2</v>
      </c>
      <c r="AE903" s="9">
        <f>IFERROR(VLOOKUP($A903,pivot!$A:$G,計算式2026!AE$1,FALSE),0)</f>
        <v>0</v>
      </c>
      <c r="AF903" s="9">
        <f>IFERROR(VLOOKUP($A903,pivot!$A:$I,計算式2026!AF$1,FALSE),0)</f>
        <v>0</v>
      </c>
      <c r="AI903" s="9">
        <f>IFERROR(VLOOKUP($A903,pivot!$A:$I,計算式2026!AI$1,FALSE),0)</f>
        <v>0</v>
      </c>
      <c r="AJ903" s="9">
        <f>IFERROR(VLOOKUP($A903,pivot!$A:$I,計算式2026!AJ$1,FALSE),0)</f>
        <v>0</v>
      </c>
      <c r="AK903" s="9">
        <f>IFERROR(VLOOKUP($A903,pivot!$A:$I,計算式2026!AK$1,FALSE),0)</f>
        <v>0</v>
      </c>
      <c r="AL903" s="9">
        <f>IFERROR(VLOOKUP($A903,pivot!$A:$I,計算式2026!AL$1,FALSE),0)</f>
        <v>0</v>
      </c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</row>
    <row r="904" spans="1:59" s="9" customFormat="1">
      <c r="A904" s="8" t="s">
        <v>2748</v>
      </c>
      <c r="B904" s="8" t="s">
        <v>2603</v>
      </c>
      <c r="C904" s="9">
        <v>10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R904" s="9">
        <v>3</v>
      </c>
      <c r="S904" s="9">
        <v>4</v>
      </c>
      <c r="T904" s="9">
        <v>2</v>
      </c>
      <c r="U904" s="9">
        <v>3</v>
      </c>
      <c r="V904" s="9">
        <v>4</v>
      </c>
      <c r="W904" s="9">
        <v>0</v>
      </c>
      <c r="X904" s="9">
        <v>2</v>
      </c>
      <c r="AE904" s="9">
        <f>IFERROR(VLOOKUP($A904,pivot!$A:$G,計算式2026!AE$1,FALSE),0)</f>
        <v>0</v>
      </c>
      <c r="AF904" s="9">
        <f>IFERROR(VLOOKUP($A904,pivot!$A:$I,計算式2026!AF$1,FALSE),0)</f>
        <v>0</v>
      </c>
      <c r="AI904" s="9">
        <f>IFERROR(VLOOKUP($A904,pivot!$A:$I,計算式2026!AI$1,FALSE),0)</f>
        <v>0</v>
      </c>
      <c r="AJ904" s="9">
        <f>IFERROR(VLOOKUP($A904,pivot!$A:$I,計算式2026!AJ$1,FALSE),0)</f>
        <v>0</v>
      </c>
      <c r="AK904" s="9">
        <f>IFERROR(VLOOKUP($A904,pivot!$A:$I,計算式2026!AK$1,FALSE),0)</f>
        <v>0</v>
      </c>
      <c r="AL904" s="9">
        <f>IFERROR(VLOOKUP($A904,pivot!$A:$I,計算式2026!AL$1,FALSE),0)</f>
        <v>0</v>
      </c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</row>
    <row r="905" spans="1:59" s="9" customFormat="1">
      <c r="A905" s="8" t="s">
        <v>2749</v>
      </c>
      <c r="B905" s="8" t="s">
        <v>2603</v>
      </c>
      <c r="C905" s="9">
        <v>42</v>
      </c>
      <c r="D905" s="9">
        <v>34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R905" s="9">
        <v>3</v>
      </c>
      <c r="S905" s="9">
        <v>4</v>
      </c>
      <c r="T905" s="9">
        <v>1</v>
      </c>
      <c r="U905" s="9">
        <v>3</v>
      </c>
      <c r="V905" s="9">
        <v>4</v>
      </c>
      <c r="W905" s="9">
        <v>2</v>
      </c>
      <c r="X905" s="9">
        <v>2</v>
      </c>
      <c r="AE905" s="9">
        <f>IFERROR(VLOOKUP($A905,pivot!$A:$G,計算式2026!AE$1,FALSE),0)</f>
        <v>0</v>
      </c>
      <c r="AF905" s="9">
        <f>IFERROR(VLOOKUP($A905,pivot!$A:$I,計算式2026!AF$1,FALSE),0)</f>
        <v>0</v>
      </c>
      <c r="AI905" s="9">
        <f>IFERROR(VLOOKUP($A905,pivot!$A:$I,計算式2026!AI$1,FALSE),0)</f>
        <v>0</v>
      </c>
      <c r="AJ905" s="9">
        <f>IFERROR(VLOOKUP($A905,pivot!$A:$I,計算式2026!AJ$1,FALSE),0)</f>
        <v>0</v>
      </c>
      <c r="AK905" s="9">
        <f>IFERROR(VLOOKUP($A905,pivot!$A:$I,計算式2026!AK$1,FALSE),0)</f>
        <v>0</v>
      </c>
      <c r="AL905" s="9">
        <f>IFERROR(VLOOKUP($A905,pivot!$A:$I,計算式2026!AL$1,FALSE),0)</f>
        <v>0</v>
      </c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</row>
    <row r="906" spans="1:59" s="9" customFormat="1">
      <c r="A906" s="8" t="s">
        <v>2660</v>
      </c>
      <c r="B906" s="8" t="s">
        <v>2603</v>
      </c>
      <c r="C906" s="9">
        <v>53</v>
      </c>
      <c r="D906" s="9">
        <v>32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R906" s="9">
        <v>3</v>
      </c>
      <c r="S906" s="9">
        <v>6</v>
      </c>
      <c r="T906" s="9">
        <v>2</v>
      </c>
      <c r="U906" s="9">
        <v>3</v>
      </c>
      <c r="V906" s="9">
        <v>5</v>
      </c>
      <c r="W906" s="9">
        <v>1</v>
      </c>
      <c r="X906" s="9">
        <v>2</v>
      </c>
      <c r="AE906" s="9">
        <f>IFERROR(VLOOKUP($A906,pivot!$A:$G,計算式2026!AE$1,FALSE),0)</f>
        <v>0</v>
      </c>
      <c r="AF906" s="9">
        <f>IFERROR(VLOOKUP($A906,pivot!$A:$I,計算式2026!AF$1,FALSE),0)</f>
        <v>0</v>
      </c>
      <c r="AI906" s="9">
        <f>IFERROR(VLOOKUP($A906,pivot!$A:$I,計算式2026!AI$1,FALSE),0)</f>
        <v>0</v>
      </c>
      <c r="AJ906" s="9">
        <f>IFERROR(VLOOKUP($A906,pivot!$A:$I,計算式2026!AJ$1,FALSE),0)</f>
        <v>0</v>
      </c>
      <c r="AK906" s="9">
        <f>IFERROR(VLOOKUP($A906,pivot!$A:$I,計算式2026!AK$1,FALSE),0)</f>
        <v>0</v>
      </c>
      <c r="AL906" s="9">
        <f>IFERROR(VLOOKUP($A906,pivot!$A:$I,計算式2026!AL$1,FALSE),0)</f>
        <v>0</v>
      </c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</row>
    <row r="907" spans="1:59" s="9" customFormat="1">
      <c r="A907" s="8" t="s">
        <v>2750</v>
      </c>
      <c r="B907" s="8" t="s">
        <v>2603</v>
      </c>
      <c r="C907" s="9">
        <v>8</v>
      </c>
      <c r="D907" s="9">
        <v>3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R907" s="9">
        <v>3</v>
      </c>
      <c r="S907" s="9">
        <v>5</v>
      </c>
      <c r="T907" s="9">
        <v>2</v>
      </c>
      <c r="U907" s="9">
        <v>3</v>
      </c>
      <c r="V907" s="9">
        <v>5</v>
      </c>
      <c r="W907" s="9">
        <v>2</v>
      </c>
      <c r="X907" s="9">
        <v>2</v>
      </c>
      <c r="AE907" s="9">
        <f>IFERROR(VLOOKUP($A907,pivot!$A:$G,計算式2026!AE$1,FALSE),0)</f>
        <v>0</v>
      </c>
      <c r="AF907" s="9">
        <f>IFERROR(VLOOKUP($A907,pivot!$A:$I,計算式2026!AF$1,FALSE),0)</f>
        <v>0</v>
      </c>
      <c r="AI907" s="9">
        <f>IFERROR(VLOOKUP($A907,pivot!$A:$I,計算式2026!AI$1,FALSE),0)</f>
        <v>0</v>
      </c>
      <c r="AJ907" s="9">
        <f>IFERROR(VLOOKUP($A907,pivot!$A:$I,計算式2026!AJ$1,FALSE),0)</f>
        <v>0</v>
      </c>
      <c r="AK907" s="9">
        <f>IFERROR(VLOOKUP($A907,pivot!$A:$I,計算式2026!AK$1,FALSE),0)</f>
        <v>0</v>
      </c>
      <c r="AL907" s="9">
        <f>IFERROR(VLOOKUP($A907,pivot!$A:$I,計算式2026!AL$1,FALSE),0)</f>
        <v>0</v>
      </c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</row>
    <row r="908" spans="1:59" s="9" customFormat="1">
      <c r="A908" s="8" t="s">
        <v>2751</v>
      </c>
      <c r="B908" s="8" t="s">
        <v>2597</v>
      </c>
      <c r="C908" s="9">
        <v>64</v>
      </c>
      <c r="D908" s="9">
        <v>31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R908" s="9">
        <v>3</v>
      </c>
      <c r="S908" s="9">
        <v>3</v>
      </c>
      <c r="T908" s="9">
        <v>1</v>
      </c>
      <c r="U908" s="9">
        <v>3</v>
      </c>
      <c r="V908" s="9">
        <v>3</v>
      </c>
      <c r="W908" s="9">
        <v>2</v>
      </c>
      <c r="X908" s="9">
        <v>3</v>
      </c>
      <c r="AE908" s="9">
        <f>IFERROR(VLOOKUP($A908,pivot!$A:$G,計算式2026!AE$1,FALSE),0)</f>
        <v>0</v>
      </c>
      <c r="AF908" s="9">
        <f>IFERROR(VLOOKUP($A908,pivot!$A:$I,計算式2026!AF$1,FALSE),0)</f>
        <v>0</v>
      </c>
      <c r="AI908" s="9">
        <f>IFERROR(VLOOKUP($A908,pivot!$A:$I,計算式2026!AI$1,FALSE),0)</f>
        <v>0</v>
      </c>
      <c r="AJ908" s="9">
        <f>IFERROR(VLOOKUP($A908,pivot!$A:$I,計算式2026!AJ$1,FALSE),0)</f>
        <v>0</v>
      </c>
      <c r="AK908" s="9">
        <f>IFERROR(VLOOKUP($A908,pivot!$A:$I,計算式2026!AK$1,FALSE),0)</f>
        <v>0</v>
      </c>
      <c r="AL908" s="9">
        <f>IFERROR(VLOOKUP($A908,pivot!$A:$I,計算式2026!AL$1,FALSE),0)</f>
        <v>0</v>
      </c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</row>
    <row r="909" spans="1:59" s="9" customFormat="1">
      <c r="A909" s="8" t="s">
        <v>2690</v>
      </c>
      <c r="B909" s="8" t="s">
        <v>2597</v>
      </c>
      <c r="C909" s="9">
        <v>19</v>
      </c>
      <c r="D909" s="9">
        <v>3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R909" s="9">
        <v>3</v>
      </c>
      <c r="S909" s="9">
        <v>4</v>
      </c>
      <c r="T909" s="9">
        <v>2</v>
      </c>
      <c r="U909" s="9">
        <v>3</v>
      </c>
      <c r="V909" s="9">
        <v>3</v>
      </c>
      <c r="W909" s="9">
        <v>2</v>
      </c>
      <c r="X909" s="9">
        <v>2</v>
      </c>
      <c r="AE909" s="9">
        <f>IFERROR(VLOOKUP($A909,pivot!$A:$G,計算式2026!AE$1,FALSE),0)</f>
        <v>0</v>
      </c>
      <c r="AF909" s="9">
        <f>IFERROR(VLOOKUP($A909,pivot!$A:$I,計算式2026!AF$1,FALSE),0)</f>
        <v>0</v>
      </c>
      <c r="AI909" s="9">
        <f>IFERROR(VLOOKUP($A909,pivot!$A:$I,計算式2026!AI$1,FALSE),0)</f>
        <v>0</v>
      </c>
      <c r="AJ909" s="9">
        <f>IFERROR(VLOOKUP($A909,pivot!$A:$I,計算式2026!AJ$1,FALSE),0)</f>
        <v>0</v>
      </c>
      <c r="AK909" s="9">
        <f>IFERROR(VLOOKUP($A909,pivot!$A:$I,計算式2026!AK$1,FALSE),0)</f>
        <v>0</v>
      </c>
      <c r="AL909" s="9">
        <f>IFERROR(VLOOKUP($A909,pivot!$A:$I,計算式2026!AL$1,FALSE),0)</f>
        <v>0</v>
      </c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</row>
    <row r="910" spans="1:59" s="9" customFormat="1">
      <c r="A910" s="8" t="s">
        <v>2683</v>
      </c>
      <c r="B910" s="8" t="s">
        <v>2597</v>
      </c>
      <c r="C910" s="9">
        <v>24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R910" s="9">
        <v>3</v>
      </c>
      <c r="S910" s="9">
        <v>4</v>
      </c>
      <c r="T910" s="9">
        <v>2</v>
      </c>
      <c r="U910" s="9">
        <v>3</v>
      </c>
      <c r="V910" s="9">
        <v>4</v>
      </c>
      <c r="W910" s="9">
        <v>0</v>
      </c>
      <c r="X910" s="9">
        <v>2</v>
      </c>
      <c r="AE910" s="9">
        <f>IFERROR(VLOOKUP($A910,pivot!$A:$G,計算式2026!AE$1,FALSE),0)</f>
        <v>0</v>
      </c>
      <c r="AF910" s="9">
        <f>IFERROR(VLOOKUP($A910,pivot!$A:$I,計算式2026!AF$1,FALSE),0)</f>
        <v>0</v>
      </c>
      <c r="AI910" s="9">
        <f>IFERROR(VLOOKUP($A910,pivot!$A:$I,計算式2026!AI$1,FALSE),0)</f>
        <v>0</v>
      </c>
      <c r="AJ910" s="9">
        <f>IFERROR(VLOOKUP($A910,pivot!$A:$I,計算式2026!AJ$1,FALSE),0)</f>
        <v>0</v>
      </c>
      <c r="AK910" s="9">
        <f>IFERROR(VLOOKUP($A910,pivot!$A:$I,計算式2026!AK$1,FALSE),0)</f>
        <v>0</v>
      </c>
      <c r="AL910" s="9">
        <f>IFERROR(VLOOKUP($A910,pivot!$A:$I,計算式2026!AL$1,FALSE),0)</f>
        <v>0</v>
      </c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</row>
    <row r="911" spans="1:59" s="9" customFormat="1">
      <c r="A911" s="8" t="s">
        <v>2663</v>
      </c>
      <c r="B911" s="8" t="s">
        <v>2597</v>
      </c>
      <c r="C911" s="9">
        <v>47</v>
      </c>
      <c r="D911" s="9">
        <v>37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R911" s="9">
        <v>3</v>
      </c>
      <c r="S911" s="9">
        <v>5</v>
      </c>
      <c r="T911" s="9">
        <v>3</v>
      </c>
      <c r="U911" s="9">
        <v>3</v>
      </c>
      <c r="V911" s="9">
        <v>6</v>
      </c>
      <c r="W911" s="9">
        <v>1</v>
      </c>
      <c r="X911" s="9">
        <v>4</v>
      </c>
      <c r="AE911" s="9">
        <f>IFERROR(VLOOKUP($A911,pivot!$A:$G,計算式2026!AE$1,FALSE),0)</f>
        <v>0</v>
      </c>
      <c r="AF911" s="9">
        <f>IFERROR(VLOOKUP($A911,pivot!$A:$I,計算式2026!AF$1,FALSE),0)</f>
        <v>0</v>
      </c>
      <c r="AI911" s="9">
        <f>IFERROR(VLOOKUP($A911,pivot!$A:$I,計算式2026!AI$1,FALSE),0)</f>
        <v>0</v>
      </c>
      <c r="AJ911" s="9">
        <f>IFERROR(VLOOKUP($A911,pivot!$A:$I,計算式2026!AJ$1,FALSE),0)</f>
        <v>0</v>
      </c>
      <c r="AK911" s="9">
        <f>IFERROR(VLOOKUP($A911,pivot!$A:$I,計算式2026!AK$1,FALSE),0)</f>
        <v>0</v>
      </c>
      <c r="AL911" s="9">
        <f>IFERROR(VLOOKUP($A911,pivot!$A:$I,計算式2026!AL$1,FALSE),0)</f>
        <v>0</v>
      </c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</row>
    <row r="912" spans="1:59" s="9" customFormat="1">
      <c r="A912" s="8" t="s">
        <v>2752</v>
      </c>
      <c r="B912" s="8" t="s">
        <v>2597</v>
      </c>
      <c r="C912" s="9">
        <v>25</v>
      </c>
      <c r="D912" s="9">
        <v>54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R912" s="9">
        <v>3</v>
      </c>
      <c r="S912" s="9">
        <v>4</v>
      </c>
      <c r="T912" s="9">
        <v>2</v>
      </c>
      <c r="U912" s="9">
        <v>3</v>
      </c>
      <c r="V912" s="9">
        <v>3</v>
      </c>
      <c r="W912" s="9">
        <v>2</v>
      </c>
      <c r="X912" s="9">
        <v>3</v>
      </c>
      <c r="AE912" s="9">
        <f>IFERROR(VLOOKUP($A912,pivot!$A:$G,計算式2026!AE$1,FALSE),0)</f>
        <v>0</v>
      </c>
      <c r="AF912" s="9">
        <f>IFERROR(VLOOKUP($A912,pivot!$A:$I,計算式2026!AF$1,FALSE),0)</f>
        <v>0</v>
      </c>
      <c r="AI912" s="9">
        <f>IFERROR(VLOOKUP($A912,pivot!$A:$I,計算式2026!AI$1,FALSE),0)</f>
        <v>0</v>
      </c>
      <c r="AJ912" s="9">
        <f>IFERROR(VLOOKUP($A912,pivot!$A:$I,計算式2026!AJ$1,FALSE),0)</f>
        <v>0</v>
      </c>
      <c r="AK912" s="9">
        <f>IFERROR(VLOOKUP($A912,pivot!$A:$I,計算式2026!AK$1,FALSE),0)</f>
        <v>0</v>
      </c>
      <c r="AL912" s="9">
        <f>IFERROR(VLOOKUP($A912,pivot!$A:$I,計算式2026!AL$1,FALSE),0)</f>
        <v>0</v>
      </c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</row>
    <row r="913" spans="1:59" s="9" customFormat="1">
      <c r="A913" s="8" t="s">
        <v>2753</v>
      </c>
      <c r="B913" s="8" t="s">
        <v>2597</v>
      </c>
      <c r="C913" s="9">
        <v>7</v>
      </c>
      <c r="D913" s="9">
        <v>2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R913" s="9">
        <v>3</v>
      </c>
      <c r="S913" s="9">
        <v>7</v>
      </c>
      <c r="T913" s="9">
        <v>1</v>
      </c>
      <c r="U913" s="9">
        <v>3</v>
      </c>
      <c r="V913" s="9">
        <v>5</v>
      </c>
      <c r="W913" s="9">
        <v>2</v>
      </c>
      <c r="X913" s="9">
        <v>3</v>
      </c>
      <c r="AE913" s="9">
        <f>IFERROR(VLOOKUP($A913,pivot!$A:$G,計算式2026!AE$1,FALSE),0)</f>
        <v>0</v>
      </c>
      <c r="AF913" s="9">
        <f>IFERROR(VLOOKUP($A913,pivot!$A:$I,計算式2026!AF$1,FALSE),0)</f>
        <v>0</v>
      </c>
      <c r="AI913" s="9">
        <f>IFERROR(VLOOKUP($A913,pivot!$A:$I,計算式2026!AI$1,FALSE),0)</f>
        <v>0</v>
      </c>
      <c r="AJ913" s="9">
        <f>IFERROR(VLOOKUP($A913,pivot!$A:$I,計算式2026!AJ$1,FALSE),0)</f>
        <v>0</v>
      </c>
      <c r="AK913" s="9">
        <f>IFERROR(VLOOKUP($A913,pivot!$A:$I,計算式2026!AK$1,FALSE),0)</f>
        <v>0</v>
      </c>
      <c r="AL913" s="9">
        <f>IFERROR(VLOOKUP($A913,pivot!$A:$I,計算式2026!AL$1,FALSE),0)</f>
        <v>0</v>
      </c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</row>
    <row r="914" spans="1:59" s="9" customFormat="1">
      <c r="A914" s="8" t="s">
        <v>2112</v>
      </c>
      <c r="B914" s="8" t="s">
        <v>2113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R914" s="9">
        <v>0</v>
      </c>
      <c r="S914" s="9">
        <v>0</v>
      </c>
      <c r="T914" s="9">
        <v>1</v>
      </c>
      <c r="U914" s="9">
        <v>0</v>
      </c>
      <c r="V914" s="9">
        <v>0</v>
      </c>
      <c r="W914" s="9">
        <v>0</v>
      </c>
      <c r="X914" s="9">
        <v>1</v>
      </c>
      <c r="AE914" s="9">
        <f>IFERROR(VLOOKUP($A914,pivot!$A:$G,計算式2026!AE$1,FALSE),0)</f>
        <v>0</v>
      </c>
      <c r="AF914" s="9">
        <f>IFERROR(VLOOKUP($A914,pivot!$A:$I,計算式2026!AF$1,FALSE),0)</f>
        <v>0</v>
      </c>
      <c r="AI914" s="9">
        <f>IFERROR(VLOOKUP($A914,pivot!$A:$I,計算式2026!AI$1,FALSE),0)</f>
        <v>0</v>
      </c>
      <c r="AJ914" s="9">
        <f>IFERROR(VLOOKUP($A914,pivot!$A:$I,計算式2026!AJ$1,FALSE),0)</f>
        <v>0</v>
      </c>
      <c r="AK914" s="9">
        <f>IFERROR(VLOOKUP($A914,pivot!$A:$I,計算式2026!AK$1,FALSE),0)</f>
        <v>0</v>
      </c>
      <c r="AL914" s="9">
        <f>IFERROR(VLOOKUP($A914,pivot!$A:$I,計算式2026!AL$1,FALSE),0)</f>
        <v>0</v>
      </c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</row>
    <row r="915" spans="1:59" s="9" customFormat="1">
      <c r="A915" s="8" t="s">
        <v>2114</v>
      </c>
      <c r="B915" s="8" t="s">
        <v>2113</v>
      </c>
      <c r="C915" s="9">
        <v>0</v>
      </c>
      <c r="D915" s="9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R915" s="9">
        <v>0</v>
      </c>
      <c r="S915" s="9">
        <v>0</v>
      </c>
      <c r="T915" s="9">
        <v>1</v>
      </c>
      <c r="U915" s="9">
        <v>0</v>
      </c>
      <c r="V915" s="9">
        <v>0</v>
      </c>
      <c r="W915" s="9">
        <v>0</v>
      </c>
      <c r="X915" s="9">
        <v>1</v>
      </c>
      <c r="AE915" s="9">
        <f>IFERROR(VLOOKUP($A915,pivot!$A:$G,計算式2026!AE$1,FALSE),0)</f>
        <v>0</v>
      </c>
      <c r="AF915" s="9">
        <f>IFERROR(VLOOKUP($A915,pivot!$A:$I,計算式2026!AF$1,FALSE),0)</f>
        <v>0</v>
      </c>
      <c r="AI915" s="9">
        <f>IFERROR(VLOOKUP($A915,pivot!$A:$I,計算式2026!AI$1,FALSE),0)</f>
        <v>0</v>
      </c>
      <c r="AJ915" s="9">
        <f>IFERROR(VLOOKUP($A915,pivot!$A:$I,計算式2026!AJ$1,FALSE),0)</f>
        <v>0</v>
      </c>
      <c r="AK915" s="9">
        <f>IFERROR(VLOOKUP($A915,pivot!$A:$I,計算式2026!AK$1,FALSE),0)</f>
        <v>0</v>
      </c>
      <c r="AL915" s="9">
        <f>IFERROR(VLOOKUP($A915,pivot!$A:$I,計算式2026!AL$1,FALSE),0)</f>
        <v>0</v>
      </c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</row>
    <row r="916" spans="1:59" s="9" customFormat="1">
      <c r="A916" s="8" t="s">
        <v>2115</v>
      </c>
      <c r="B916" s="8" t="s">
        <v>2113</v>
      </c>
      <c r="C916" s="9">
        <v>1</v>
      </c>
      <c r="D916" s="9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R916" s="9">
        <v>0</v>
      </c>
      <c r="S916" s="9">
        <v>1</v>
      </c>
      <c r="T916" s="9">
        <v>1</v>
      </c>
      <c r="U916" s="9">
        <v>1</v>
      </c>
      <c r="V916" s="9">
        <v>1</v>
      </c>
      <c r="W916" s="9">
        <v>0</v>
      </c>
      <c r="X916" s="9">
        <v>2</v>
      </c>
      <c r="AE916" s="9">
        <f>IFERROR(VLOOKUP($A916,pivot!$A:$G,計算式2026!AE$1,FALSE),0)</f>
        <v>0</v>
      </c>
      <c r="AF916" s="9">
        <f>IFERROR(VLOOKUP($A916,pivot!$A:$I,計算式2026!AF$1,FALSE),0)</f>
        <v>0</v>
      </c>
      <c r="AI916" s="9">
        <f>IFERROR(VLOOKUP($A916,pivot!$A:$I,計算式2026!AI$1,FALSE),0)</f>
        <v>0</v>
      </c>
      <c r="AJ916" s="9">
        <f>IFERROR(VLOOKUP($A916,pivot!$A:$I,計算式2026!AJ$1,FALSE),0)</f>
        <v>0</v>
      </c>
      <c r="AK916" s="9">
        <f>IFERROR(VLOOKUP($A916,pivot!$A:$I,計算式2026!AK$1,FALSE),0)</f>
        <v>0</v>
      </c>
      <c r="AL916" s="9">
        <f>IFERROR(VLOOKUP($A916,pivot!$A:$I,計算式2026!AL$1,FALSE),0)</f>
        <v>0</v>
      </c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</row>
    <row r="917" spans="1:59" s="9" customFormat="1">
      <c r="A917" s="8" t="s">
        <v>2116</v>
      </c>
      <c r="B917" s="8" t="s">
        <v>2117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R917" s="9">
        <v>0</v>
      </c>
      <c r="S917" s="9">
        <v>0</v>
      </c>
      <c r="T917" s="9">
        <v>1</v>
      </c>
      <c r="U917" s="9">
        <v>0</v>
      </c>
      <c r="V917" s="9">
        <v>0</v>
      </c>
      <c r="W917" s="9">
        <v>0</v>
      </c>
      <c r="X917" s="9">
        <v>1</v>
      </c>
      <c r="AE917" s="9">
        <f>IFERROR(VLOOKUP($A917,pivot!$A:$G,計算式2026!AE$1,FALSE),0)</f>
        <v>0</v>
      </c>
      <c r="AF917" s="9">
        <f>IFERROR(VLOOKUP($A917,pivot!$A:$I,計算式2026!AF$1,FALSE),0)</f>
        <v>0</v>
      </c>
      <c r="AI917" s="9">
        <f>IFERROR(VLOOKUP($A917,pivot!$A:$I,計算式2026!AI$1,FALSE),0)</f>
        <v>0</v>
      </c>
      <c r="AJ917" s="9">
        <f>IFERROR(VLOOKUP($A917,pivot!$A:$I,計算式2026!AJ$1,FALSE),0)</f>
        <v>0</v>
      </c>
      <c r="AK917" s="9">
        <f>IFERROR(VLOOKUP($A917,pivot!$A:$I,計算式2026!AK$1,FALSE),0)</f>
        <v>0</v>
      </c>
      <c r="AL917" s="9">
        <f>IFERROR(VLOOKUP($A917,pivot!$A:$I,計算式2026!AL$1,FALSE),0)</f>
        <v>0</v>
      </c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</row>
    <row r="918" spans="1:59" s="9" customFormat="1">
      <c r="A918" s="8" t="s">
        <v>2118</v>
      </c>
      <c r="B918" s="8" t="s">
        <v>2117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1</v>
      </c>
      <c r="AE918" s="9">
        <f>IFERROR(VLOOKUP($A918,pivot!$A:$G,計算式2026!AE$1,FALSE),0)</f>
        <v>0</v>
      </c>
      <c r="AF918" s="9">
        <f>IFERROR(VLOOKUP($A918,pivot!$A:$I,計算式2026!AF$1,FALSE),0)</f>
        <v>0</v>
      </c>
      <c r="AI918" s="9">
        <f>IFERROR(VLOOKUP($A918,pivot!$A:$I,計算式2026!AI$1,FALSE),0)</f>
        <v>0</v>
      </c>
      <c r="AJ918" s="9">
        <f>IFERROR(VLOOKUP($A918,pivot!$A:$I,計算式2026!AJ$1,FALSE),0)</f>
        <v>0</v>
      </c>
      <c r="AK918" s="9">
        <f>IFERROR(VLOOKUP($A918,pivot!$A:$I,計算式2026!AK$1,FALSE),0)</f>
        <v>0</v>
      </c>
      <c r="AL918" s="9">
        <f>IFERROR(VLOOKUP($A918,pivot!$A:$I,計算式2026!AL$1,FALSE),0)</f>
        <v>0</v>
      </c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</row>
    <row r="919" spans="1:59" s="9" customFormat="1">
      <c r="A919" s="8" t="s">
        <v>2119</v>
      </c>
      <c r="B919" s="8" t="s">
        <v>2117</v>
      </c>
      <c r="C919" s="9">
        <v>0</v>
      </c>
      <c r="D919" s="9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R919" s="9">
        <v>0</v>
      </c>
      <c r="S919" s="9">
        <v>0</v>
      </c>
      <c r="T919" s="9">
        <v>1</v>
      </c>
      <c r="U919" s="9">
        <v>0</v>
      </c>
      <c r="V919" s="9">
        <v>0</v>
      </c>
      <c r="W919" s="9">
        <v>0</v>
      </c>
      <c r="X919" s="9">
        <v>2</v>
      </c>
      <c r="AE919" s="9">
        <f>IFERROR(VLOOKUP($A919,pivot!$A:$G,計算式2026!AE$1,FALSE),0)</f>
        <v>0</v>
      </c>
      <c r="AF919" s="9">
        <f>IFERROR(VLOOKUP($A919,pivot!$A:$I,計算式2026!AF$1,FALSE),0)</f>
        <v>0</v>
      </c>
      <c r="AI919" s="9">
        <f>IFERROR(VLOOKUP($A919,pivot!$A:$I,計算式2026!AI$1,FALSE),0)</f>
        <v>0</v>
      </c>
      <c r="AJ919" s="9">
        <f>IFERROR(VLOOKUP($A919,pivot!$A:$I,計算式2026!AJ$1,FALSE),0)</f>
        <v>0</v>
      </c>
      <c r="AK919" s="9">
        <f>IFERROR(VLOOKUP($A919,pivot!$A:$I,計算式2026!AK$1,FALSE),0)</f>
        <v>0</v>
      </c>
      <c r="AL919" s="9">
        <f>IFERROR(VLOOKUP($A919,pivot!$A:$I,計算式2026!AL$1,FALSE),0)</f>
        <v>0</v>
      </c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</row>
    <row r="920" spans="1:59" s="9" customFormat="1">
      <c r="A920" s="8" t="s">
        <v>2754</v>
      </c>
      <c r="B920" s="8" t="s">
        <v>2755</v>
      </c>
      <c r="C920" s="9">
        <v>1</v>
      </c>
      <c r="D920" s="9">
        <v>18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R920" s="9">
        <v>1</v>
      </c>
      <c r="S920" s="9">
        <v>2</v>
      </c>
      <c r="T920" s="9">
        <v>1</v>
      </c>
      <c r="U920" s="9">
        <v>0</v>
      </c>
      <c r="V920" s="9">
        <v>2</v>
      </c>
      <c r="W920" s="9">
        <v>0</v>
      </c>
      <c r="X920" s="9">
        <v>1</v>
      </c>
      <c r="AE920" s="9">
        <f>IFERROR(VLOOKUP($A920,pivot!$A:$G,計算式2026!AE$1,FALSE),0)</f>
        <v>0</v>
      </c>
      <c r="AF920" s="9">
        <f>IFERROR(VLOOKUP($A920,pivot!$A:$I,計算式2026!AF$1,FALSE),0)</f>
        <v>0</v>
      </c>
      <c r="AI920" s="9">
        <f>IFERROR(VLOOKUP($A920,pivot!$A:$I,計算式2026!AI$1,FALSE),0)</f>
        <v>0</v>
      </c>
      <c r="AJ920" s="9">
        <f>IFERROR(VLOOKUP($A920,pivot!$A:$I,計算式2026!AJ$1,FALSE),0)</f>
        <v>0</v>
      </c>
      <c r="AK920" s="9">
        <f>IFERROR(VLOOKUP($A920,pivot!$A:$I,計算式2026!AK$1,FALSE),0)</f>
        <v>0</v>
      </c>
      <c r="AL920" s="9">
        <f>IFERROR(VLOOKUP($A920,pivot!$A:$I,計算式2026!AL$1,FALSE),0)</f>
        <v>0</v>
      </c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</row>
    <row r="921" spans="1:59" s="9" customFormat="1">
      <c r="A921" s="8" t="s">
        <v>2756</v>
      </c>
      <c r="B921" s="8" t="s">
        <v>2757</v>
      </c>
      <c r="C921" s="9">
        <v>0</v>
      </c>
      <c r="D921" s="9">
        <v>8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R921" s="9">
        <v>1</v>
      </c>
      <c r="S921" s="9">
        <v>2</v>
      </c>
      <c r="T921" s="9">
        <v>2</v>
      </c>
      <c r="U921" s="9">
        <v>0</v>
      </c>
      <c r="V921" s="9">
        <v>2</v>
      </c>
      <c r="W921" s="9">
        <v>0</v>
      </c>
      <c r="X921" s="9">
        <v>1</v>
      </c>
      <c r="AE921" s="9">
        <f>IFERROR(VLOOKUP($A921,pivot!$A:$G,計算式2026!AE$1,FALSE),0)</f>
        <v>0</v>
      </c>
      <c r="AF921" s="9">
        <f>IFERROR(VLOOKUP($A921,pivot!$A:$I,計算式2026!AF$1,FALSE),0)</f>
        <v>0</v>
      </c>
      <c r="AI921" s="9">
        <f>IFERROR(VLOOKUP($A921,pivot!$A:$I,計算式2026!AI$1,FALSE),0)</f>
        <v>0</v>
      </c>
      <c r="AJ921" s="9">
        <f>IFERROR(VLOOKUP($A921,pivot!$A:$I,計算式2026!AJ$1,FALSE),0)</f>
        <v>0</v>
      </c>
      <c r="AK921" s="9">
        <f>IFERROR(VLOOKUP($A921,pivot!$A:$I,計算式2026!AK$1,FALSE),0)</f>
        <v>0</v>
      </c>
      <c r="AL921" s="9">
        <f>IFERROR(VLOOKUP($A921,pivot!$A:$I,計算式2026!AL$1,FALSE),0)</f>
        <v>0</v>
      </c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</row>
    <row r="922" spans="1:59" s="9" customFormat="1">
      <c r="A922" s="8" t="s">
        <v>2656</v>
      </c>
      <c r="B922" s="8" t="s">
        <v>2113</v>
      </c>
      <c r="C922" s="9">
        <v>0</v>
      </c>
      <c r="D922" s="9">
        <v>37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R922" s="9">
        <v>0</v>
      </c>
      <c r="S922" s="9">
        <v>2</v>
      </c>
      <c r="T922" s="9">
        <v>0</v>
      </c>
      <c r="U922" s="9">
        <v>2</v>
      </c>
      <c r="V922" s="9">
        <v>1</v>
      </c>
      <c r="W922" s="9">
        <v>0</v>
      </c>
      <c r="X922" s="9">
        <v>1</v>
      </c>
      <c r="AE922" s="9">
        <f>IFERROR(VLOOKUP($A922,pivot!$A:$G,計算式2026!AE$1,FALSE),0)</f>
        <v>0</v>
      </c>
      <c r="AF922" s="9">
        <f>IFERROR(VLOOKUP($A922,pivot!$A:$I,計算式2026!AF$1,FALSE),0)</f>
        <v>0</v>
      </c>
      <c r="AI922" s="9">
        <f>IFERROR(VLOOKUP($A922,pivot!$A:$I,計算式2026!AI$1,FALSE),0)</f>
        <v>0</v>
      </c>
      <c r="AJ922" s="9">
        <f>IFERROR(VLOOKUP($A922,pivot!$A:$I,計算式2026!AJ$1,FALSE),0)</f>
        <v>0</v>
      </c>
      <c r="AK922" s="9">
        <f>IFERROR(VLOOKUP($A922,pivot!$A:$I,計算式2026!AK$1,FALSE),0)</f>
        <v>0</v>
      </c>
      <c r="AL922" s="9">
        <f>IFERROR(VLOOKUP($A922,pivot!$A:$I,計算式2026!AL$1,FALSE),0)</f>
        <v>0</v>
      </c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</row>
    <row r="923" spans="1:59" s="9" customFormat="1">
      <c r="A923" s="8" t="s">
        <v>2658</v>
      </c>
      <c r="B923" s="8" t="s">
        <v>2117</v>
      </c>
      <c r="C923" s="9">
        <v>1</v>
      </c>
      <c r="D923" s="9">
        <v>24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R923" s="9">
        <v>0</v>
      </c>
      <c r="S923" s="9">
        <v>2</v>
      </c>
      <c r="T923" s="9">
        <v>0</v>
      </c>
      <c r="U923" s="9">
        <v>2</v>
      </c>
      <c r="V923" s="9">
        <v>1</v>
      </c>
      <c r="W923" s="9">
        <v>0</v>
      </c>
      <c r="X923" s="9">
        <v>1</v>
      </c>
      <c r="AE923" s="9">
        <f>IFERROR(VLOOKUP($A923,pivot!$A:$G,計算式2026!AE$1,FALSE),0)</f>
        <v>0</v>
      </c>
      <c r="AF923" s="9">
        <f>IFERROR(VLOOKUP($A923,pivot!$A:$I,計算式2026!AF$1,FALSE),0)</f>
        <v>0</v>
      </c>
      <c r="AI923" s="9">
        <f>IFERROR(VLOOKUP($A923,pivot!$A:$I,計算式2026!AI$1,FALSE),0)</f>
        <v>0</v>
      </c>
      <c r="AJ923" s="9">
        <f>IFERROR(VLOOKUP($A923,pivot!$A:$I,計算式2026!AJ$1,FALSE),0)</f>
        <v>0</v>
      </c>
      <c r="AK923" s="9">
        <f>IFERROR(VLOOKUP($A923,pivot!$A:$I,計算式2026!AK$1,FALSE),0)</f>
        <v>0</v>
      </c>
      <c r="AL923" s="9">
        <f>IFERROR(VLOOKUP($A923,pivot!$A:$I,計算式2026!AL$1,FALSE),0)</f>
        <v>0</v>
      </c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</row>
    <row r="924" spans="1:59" s="9" customFormat="1">
      <c r="A924" s="8" t="s">
        <v>592</v>
      </c>
      <c r="B924" s="8" t="s">
        <v>593</v>
      </c>
      <c r="C924" s="9">
        <v>1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R924" s="9">
        <v>0</v>
      </c>
      <c r="S924" s="9">
        <v>0</v>
      </c>
      <c r="T924" s="9">
        <v>1</v>
      </c>
      <c r="U924" s="9">
        <v>0</v>
      </c>
      <c r="V924" s="9">
        <v>0</v>
      </c>
      <c r="W924" s="9">
        <v>0</v>
      </c>
      <c r="X924" s="9">
        <v>0</v>
      </c>
      <c r="AE924" s="9">
        <f>IFERROR(VLOOKUP($A924,pivot!$A:$G,計算式2026!AE$1,FALSE),0)</f>
        <v>0</v>
      </c>
      <c r="AF924" s="9">
        <f>IFERROR(VLOOKUP($A924,pivot!$A:$I,計算式2026!AF$1,FALSE),0)</f>
        <v>0</v>
      </c>
      <c r="AI924" s="9">
        <f>IFERROR(VLOOKUP($A924,pivot!$A:$I,計算式2026!AI$1,FALSE),0)</f>
        <v>0</v>
      </c>
      <c r="AJ924" s="9">
        <f>IFERROR(VLOOKUP($A924,pivot!$A:$I,計算式2026!AJ$1,FALSE),0)</f>
        <v>0</v>
      </c>
      <c r="AK924" s="9">
        <f>IFERROR(VLOOKUP($A924,pivot!$A:$I,計算式2026!AK$1,FALSE),0)</f>
        <v>0</v>
      </c>
      <c r="AL924" s="9">
        <f>IFERROR(VLOOKUP($A924,pivot!$A:$I,計算式2026!AL$1,FALSE),0)</f>
        <v>0</v>
      </c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</row>
    <row r="925" spans="1:59" s="9" customFormat="1">
      <c r="A925" s="8" t="s">
        <v>594</v>
      </c>
      <c r="B925" s="8" t="s">
        <v>595</v>
      </c>
      <c r="C925" s="9">
        <v>2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AE925" s="9">
        <f>IFERROR(VLOOKUP($A925,pivot!$A:$G,計算式2026!AE$1,FALSE),0)</f>
        <v>0</v>
      </c>
      <c r="AF925" s="9">
        <f>IFERROR(VLOOKUP($A925,pivot!$A:$I,計算式2026!AF$1,FALSE),0)</f>
        <v>0</v>
      </c>
      <c r="AI925" s="9">
        <f>IFERROR(VLOOKUP($A925,pivot!$A:$I,計算式2026!AI$1,FALSE),0)</f>
        <v>0</v>
      </c>
      <c r="AJ925" s="9">
        <f>IFERROR(VLOOKUP($A925,pivot!$A:$I,計算式2026!AJ$1,FALSE),0)</f>
        <v>0</v>
      </c>
      <c r="AK925" s="9">
        <f>IFERROR(VLOOKUP($A925,pivot!$A:$I,計算式2026!AK$1,FALSE),0)</f>
        <v>0</v>
      </c>
      <c r="AL925" s="9">
        <f>IFERROR(VLOOKUP($A925,pivot!$A:$I,計算式2026!AL$1,FALSE),0)</f>
        <v>0</v>
      </c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</row>
    <row r="926" spans="1:59" s="9" customFormat="1">
      <c r="A926" s="8" t="s">
        <v>2758</v>
      </c>
      <c r="B926" s="8" t="s">
        <v>597</v>
      </c>
      <c r="C926" s="9">
        <v>1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AE926" s="9">
        <f>IFERROR(VLOOKUP($A926,pivot!$A:$G,計算式2026!AE$1,FALSE),0)</f>
        <v>0</v>
      </c>
      <c r="AF926" s="9">
        <f>IFERROR(VLOOKUP($A926,pivot!$A:$I,計算式2026!AF$1,FALSE),0)</f>
        <v>0</v>
      </c>
      <c r="AI926" s="9">
        <f>IFERROR(VLOOKUP($A926,pivot!$A:$I,計算式2026!AI$1,FALSE),0)</f>
        <v>0</v>
      </c>
      <c r="AJ926" s="9">
        <f>IFERROR(VLOOKUP($A926,pivot!$A:$I,計算式2026!AJ$1,FALSE),0)</f>
        <v>0</v>
      </c>
      <c r="AK926" s="9">
        <f>IFERROR(VLOOKUP($A926,pivot!$A:$I,計算式2026!AK$1,FALSE),0)</f>
        <v>0</v>
      </c>
      <c r="AL926" s="9">
        <f>IFERROR(VLOOKUP($A926,pivot!$A:$I,計算式2026!AL$1,FALSE),0)</f>
        <v>0</v>
      </c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</row>
    <row r="927" spans="1:59" s="9" customFormat="1">
      <c r="A927" s="8" t="s">
        <v>596</v>
      </c>
      <c r="B927" s="8" t="s">
        <v>597</v>
      </c>
      <c r="C927" s="9">
        <v>1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AE927" s="9">
        <f>IFERROR(VLOOKUP($A927,pivot!$A:$G,計算式2026!AE$1,FALSE),0)</f>
        <v>0</v>
      </c>
      <c r="AF927" s="9">
        <f>IFERROR(VLOOKUP($A927,pivot!$A:$I,計算式2026!AF$1,FALSE),0)</f>
        <v>0</v>
      </c>
      <c r="AI927" s="9">
        <f>IFERROR(VLOOKUP($A927,pivot!$A:$I,計算式2026!AI$1,FALSE),0)</f>
        <v>0</v>
      </c>
      <c r="AJ927" s="9">
        <f>IFERROR(VLOOKUP($A927,pivot!$A:$I,計算式2026!AJ$1,FALSE),0)</f>
        <v>0</v>
      </c>
      <c r="AK927" s="9">
        <f>IFERROR(VLOOKUP($A927,pivot!$A:$I,計算式2026!AK$1,FALSE),0)</f>
        <v>0</v>
      </c>
      <c r="AL927" s="9">
        <f>IFERROR(VLOOKUP($A927,pivot!$A:$I,計算式2026!AL$1,FALSE),0)</f>
        <v>0</v>
      </c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</row>
    <row r="928" spans="1:59" s="9" customFormat="1">
      <c r="A928" s="8" t="s">
        <v>2759</v>
      </c>
      <c r="B928" s="8" t="s">
        <v>2760</v>
      </c>
      <c r="C928" s="9">
        <v>1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AE928" s="9">
        <f>IFERROR(VLOOKUP($A928,pivot!$A:$G,計算式2026!AE$1,FALSE),0)</f>
        <v>0</v>
      </c>
      <c r="AF928" s="9">
        <f>IFERROR(VLOOKUP($A928,pivot!$A:$I,計算式2026!AF$1,FALSE),0)</f>
        <v>0</v>
      </c>
      <c r="AI928" s="9">
        <f>IFERROR(VLOOKUP($A928,pivot!$A:$I,計算式2026!AI$1,FALSE),0)</f>
        <v>0</v>
      </c>
      <c r="AJ928" s="9">
        <f>IFERROR(VLOOKUP($A928,pivot!$A:$I,計算式2026!AJ$1,FALSE),0)</f>
        <v>0</v>
      </c>
      <c r="AK928" s="9">
        <f>IFERROR(VLOOKUP($A928,pivot!$A:$I,計算式2026!AK$1,FALSE),0)</f>
        <v>0</v>
      </c>
      <c r="AL928" s="9">
        <f>IFERROR(VLOOKUP($A928,pivot!$A:$I,計算式2026!AL$1,FALSE),0)</f>
        <v>0</v>
      </c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</row>
    <row r="929" spans="1:59" s="9" customFormat="1">
      <c r="A929" s="8" t="s">
        <v>2761</v>
      </c>
      <c r="B929" s="8" t="s">
        <v>598</v>
      </c>
      <c r="C929" s="9">
        <v>1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AE929" s="9">
        <f>IFERROR(VLOOKUP($A929,pivot!$A:$G,計算式2026!AE$1,FALSE),0)</f>
        <v>0</v>
      </c>
      <c r="AF929" s="9">
        <f>IFERROR(VLOOKUP($A929,pivot!$A:$I,計算式2026!AF$1,FALSE),0)</f>
        <v>0</v>
      </c>
      <c r="AI929" s="9">
        <f>IFERROR(VLOOKUP($A929,pivot!$A:$I,計算式2026!AI$1,FALSE),0)</f>
        <v>0</v>
      </c>
      <c r="AJ929" s="9">
        <f>IFERROR(VLOOKUP($A929,pivot!$A:$I,計算式2026!AJ$1,FALSE),0)</f>
        <v>0</v>
      </c>
      <c r="AK929" s="9">
        <f>IFERROR(VLOOKUP($A929,pivot!$A:$I,計算式2026!AK$1,FALSE),0)</f>
        <v>0</v>
      </c>
      <c r="AL929" s="9">
        <f>IFERROR(VLOOKUP($A929,pivot!$A:$I,計算式2026!AL$1,FALSE),0)</f>
        <v>0</v>
      </c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</row>
    <row r="930" spans="1:59" s="9" customFormat="1">
      <c r="A930" s="8" t="s">
        <v>1670</v>
      </c>
      <c r="B930" s="8" t="s">
        <v>598</v>
      </c>
      <c r="C930" s="9">
        <v>1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AE930" s="9">
        <f>IFERROR(VLOOKUP($A930,pivot!$A:$G,計算式2026!AE$1,FALSE),0)</f>
        <v>0</v>
      </c>
      <c r="AF930" s="9">
        <f>IFERROR(VLOOKUP($A930,pivot!$A:$I,計算式2026!AF$1,FALSE),0)</f>
        <v>0</v>
      </c>
      <c r="AI930" s="9">
        <f>IFERROR(VLOOKUP($A930,pivot!$A:$I,計算式2026!AI$1,FALSE),0)</f>
        <v>0</v>
      </c>
      <c r="AJ930" s="9">
        <f>IFERROR(VLOOKUP($A930,pivot!$A:$I,計算式2026!AJ$1,FALSE),0)</f>
        <v>0</v>
      </c>
      <c r="AK930" s="9">
        <f>IFERROR(VLOOKUP($A930,pivot!$A:$I,計算式2026!AK$1,FALSE),0)</f>
        <v>0</v>
      </c>
      <c r="AL930" s="9">
        <f>IFERROR(VLOOKUP($A930,pivot!$A:$I,計算式2026!AL$1,FALSE),0)</f>
        <v>0</v>
      </c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</row>
    <row r="931" spans="1:59" s="9" customFormat="1">
      <c r="A931" s="8" t="s">
        <v>599</v>
      </c>
      <c r="B931" s="8" t="s">
        <v>600</v>
      </c>
      <c r="C931" s="9">
        <v>1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AE931" s="9">
        <f>IFERROR(VLOOKUP($A931,pivot!$A:$G,計算式2026!AE$1,FALSE),0)</f>
        <v>0</v>
      </c>
      <c r="AF931" s="9">
        <f>IFERROR(VLOOKUP($A931,pivot!$A:$I,計算式2026!AF$1,FALSE),0)</f>
        <v>0</v>
      </c>
      <c r="AI931" s="9">
        <f>IFERROR(VLOOKUP($A931,pivot!$A:$I,計算式2026!AI$1,FALSE),0)</f>
        <v>0</v>
      </c>
      <c r="AJ931" s="9">
        <f>IFERROR(VLOOKUP($A931,pivot!$A:$I,計算式2026!AJ$1,FALSE),0)</f>
        <v>0</v>
      </c>
      <c r="AK931" s="9">
        <f>IFERROR(VLOOKUP($A931,pivot!$A:$I,計算式2026!AK$1,FALSE),0)</f>
        <v>0</v>
      </c>
      <c r="AL931" s="9">
        <f>IFERROR(VLOOKUP($A931,pivot!$A:$I,計算式2026!AL$1,FALSE),0)</f>
        <v>0</v>
      </c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</row>
    <row r="932" spans="1:59" s="9" customFormat="1">
      <c r="A932" s="8" t="s">
        <v>2762</v>
      </c>
      <c r="B932" s="8" t="s">
        <v>602</v>
      </c>
      <c r="C932" s="9">
        <v>1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AE932" s="9">
        <f>IFERROR(VLOOKUP($A932,pivot!$A:$G,計算式2026!AE$1,FALSE),0)</f>
        <v>0</v>
      </c>
      <c r="AF932" s="9">
        <f>IFERROR(VLOOKUP($A932,pivot!$A:$I,計算式2026!AF$1,FALSE),0)</f>
        <v>0</v>
      </c>
      <c r="AI932" s="9">
        <f>IFERROR(VLOOKUP($A932,pivot!$A:$I,計算式2026!AI$1,FALSE),0)</f>
        <v>0</v>
      </c>
      <c r="AJ932" s="9">
        <f>IFERROR(VLOOKUP($A932,pivot!$A:$I,計算式2026!AJ$1,FALSE),0)</f>
        <v>0</v>
      </c>
      <c r="AK932" s="9">
        <f>IFERROR(VLOOKUP($A932,pivot!$A:$I,計算式2026!AK$1,FALSE),0)</f>
        <v>0</v>
      </c>
      <c r="AL932" s="9">
        <f>IFERROR(VLOOKUP($A932,pivot!$A:$I,計算式2026!AL$1,FALSE),0)</f>
        <v>0</v>
      </c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</row>
    <row r="933" spans="1:59" s="9" customFormat="1">
      <c r="A933" s="8" t="s">
        <v>601</v>
      </c>
      <c r="B933" s="8" t="s">
        <v>602</v>
      </c>
      <c r="C933" s="9">
        <v>1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R933" s="9">
        <v>0</v>
      </c>
      <c r="S933" s="9">
        <v>0</v>
      </c>
      <c r="T933" s="9">
        <v>1</v>
      </c>
      <c r="U933" s="9">
        <v>0</v>
      </c>
      <c r="V933" s="9">
        <v>0</v>
      </c>
      <c r="W933" s="9">
        <v>0</v>
      </c>
      <c r="X933" s="9">
        <v>0</v>
      </c>
      <c r="AE933" s="9">
        <f>IFERROR(VLOOKUP($A933,pivot!$A:$G,計算式2026!AE$1,FALSE),0)</f>
        <v>0</v>
      </c>
      <c r="AF933" s="9">
        <f>IFERROR(VLOOKUP($A933,pivot!$A:$I,計算式2026!AF$1,FALSE),0)</f>
        <v>0</v>
      </c>
      <c r="AI933" s="9">
        <f>IFERROR(VLOOKUP($A933,pivot!$A:$I,計算式2026!AI$1,FALSE),0)</f>
        <v>0</v>
      </c>
      <c r="AJ933" s="9">
        <f>IFERROR(VLOOKUP($A933,pivot!$A:$I,計算式2026!AJ$1,FALSE),0)</f>
        <v>1</v>
      </c>
      <c r="AK933" s="9">
        <f>IFERROR(VLOOKUP($A933,pivot!$A:$I,計算式2026!AK$1,FALSE),0)</f>
        <v>0</v>
      </c>
      <c r="AL933" s="9">
        <f>IFERROR(VLOOKUP($A933,pivot!$A:$I,計算式2026!AL$1,FALSE),0)</f>
        <v>0</v>
      </c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</row>
    <row r="934" spans="1:59" s="9" customFormat="1">
      <c r="A934" s="8" t="s">
        <v>603</v>
      </c>
      <c r="B934" s="8" t="s">
        <v>604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R934" s="9">
        <v>0</v>
      </c>
      <c r="S934" s="9">
        <v>0</v>
      </c>
      <c r="T934" s="9">
        <v>1</v>
      </c>
      <c r="U934" s="9">
        <v>0</v>
      </c>
      <c r="V934" s="9">
        <v>0</v>
      </c>
      <c r="W934" s="9">
        <v>0</v>
      </c>
      <c r="X934" s="9">
        <v>0</v>
      </c>
      <c r="AE934" s="9">
        <f>IFERROR(VLOOKUP($A934,pivot!$A:$G,計算式2026!AE$1,FALSE),0)</f>
        <v>0</v>
      </c>
      <c r="AF934" s="9">
        <f>IFERROR(VLOOKUP($A934,pivot!$A:$I,計算式2026!AF$1,FALSE),0)</f>
        <v>0</v>
      </c>
      <c r="AI934" s="9">
        <f>IFERROR(VLOOKUP($A934,pivot!$A:$I,計算式2026!AI$1,FALSE),0)</f>
        <v>0</v>
      </c>
      <c r="AJ934" s="9">
        <f>IFERROR(VLOOKUP($A934,pivot!$A:$I,計算式2026!AJ$1,FALSE),0)</f>
        <v>0</v>
      </c>
      <c r="AK934" s="9">
        <f>IFERROR(VLOOKUP($A934,pivot!$A:$I,計算式2026!AK$1,FALSE),0)</f>
        <v>0</v>
      </c>
      <c r="AL934" s="9">
        <f>IFERROR(VLOOKUP($A934,pivot!$A:$I,計算式2026!AL$1,FALSE),0)</f>
        <v>0</v>
      </c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</row>
    <row r="935" spans="1:59" s="9" customFormat="1">
      <c r="A935" s="8" t="s">
        <v>605</v>
      </c>
      <c r="B935" s="8" t="s">
        <v>606</v>
      </c>
      <c r="C935" s="9">
        <v>0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AE935" s="9">
        <f>IFERROR(VLOOKUP($A935,pivot!$A:$G,計算式2026!AE$1,FALSE),0)</f>
        <v>0</v>
      </c>
      <c r="AF935" s="9">
        <f>IFERROR(VLOOKUP($A935,pivot!$A:$I,計算式2026!AF$1,FALSE),0)</f>
        <v>0</v>
      </c>
      <c r="AI935" s="9">
        <f>IFERROR(VLOOKUP($A935,pivot!$A:$I,計算式2026!AI$1,FALSE),0)</f>
        <v>0</v>
      </c>
      <c r="AJ935" s="9">
        <f>IFERROR(VLOOKUP($A935,pivot!$A:$I,計算式2026!AJ$1,FALSE),0)</f>
        <v>0</v>
      </c>
      <c r="AK935" s="9">
        <f>IFERROR(VLOOKUP($A935,pivot!$A:$I,計算式2026!AK$1,FALSE),0)</f>
        <v>0</v>
      </c>
      <c r="AL935" s="9">
        <f>IFERROR(VLOOKUP($A935,pivot!$A:$I,計算式2026!AL$1,FALSE),0)</f>
        <v>0</v>
      </c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</row>
    <row r="936" spans="1:59" s="9" customFormat="1">
      <c r="A936" s="8" t="s">
        <v>607</v>
      </c>
      <c r="B936" s="8" t="s">
        <v>608</v>
      </c>
      <c r="C936" s="9">
        <v>1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AE936" s="9">
        <f>IFERROR(VLOOKUP($A936,pivot!$A:$G,計算式2026!AE$1,FALSE),0)</f>
        <v>0</v>
      </c>
      <c r="AF936" s="9">
        <f>IFERROR(VLOOKUP($A936,pivot!$A:$I,計算式2026!AF$1,FALSE),0)</f>
        <v>0</v>
      </c>
      <c r="AI936" s="9">
        <f>IFERROR(VLOOKUP($A936,pivot!$A:$I,計算式2026!AI$1,FALSE),0)</f>
        <v>0</v>
      </c>
      <c r="AJ936" s="9">
        <f>IFERROR(VLOOKUP($A936,pivot!$A:$I,計算式2026!AJ$1,FALSE),0)</f>
        <v>0</v>
      </c>
      <c r="AK936" s="9">
        <f>IFERROR(VLOOKUP($A936,pivot!$A:$I,計算式2026!AK$1,FALSE),0)</f>
        <v>0</v>
      </c>
      <c r="AL936" s="9">
        <f>IFERROR(VLOOKUP($A936,pivot!$A:$I,計算式2026!AL$1,FALSE),0)</f>
        <v>0</v>
      </c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</row>
    <row r="937" spans="1:59" s="9" customFormat="1">
      <c r="A937" s="8" t="s">
        <v>609</v>
      </c>
      <c r="B937" s="8" t="s">
        <v>610</v>
      </c>
      <c r="C937" s="9">
        <v>1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AE937" s="9">
        <f>IFERROR(VLOOKUP($A937,pivot!$A:$G,計算式2026!AE$1,FALSE),0)</f>
        <v>0</v>
      </c>
      <c r="AF937" s="9">
        <f>IFERROR(VLOOKUP($A937,pivot!$A:$I,計算式2026!AF$1,FALSE),0)</f>
        <v>0</v>
      </c>
      <c r="AI937" s="9">
        <f>IFERROR(VLOOKUP($A937,pivot!$A:$I,計算式2026!AI$1,FALSE),0)</f>
        <v>0</v>
      </c>
      <c r="AJ937" s="9">
        <f>IFERROR(VLOOKUP($A937,pivot!$A:$I,計算式2026!AJ$1,FALSE),0)</f>
        <v>0</v>
      </c>
      <c r="AK937" s="9">
        <f>IFERROR(VLOOKUP($A937,pivot!$A:$I,計算式2026!AK$1,FALSE),0)</f>
        <v>0</v>
      </c>
      <c r="AL937" s="9">
        <f>IFERROR(VLOOKUP($A937,pivot!$A:$I,計算式2026!AL$1,FALSE),0)</f>
        <v>0</v>
      </c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</row>
    <row r="938" spans="1:59" s="9" customFormat="1">
      <c r="A938" s="8" t="s">
        <v>611</v>
      </c>
      <c r="B938" s="8" t="s">
        <v>612</v>
      </c>
      <c r="C938" s="9">
        <v>1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AE938" s="9">
        <f>IFERROR(VLOOKUP($A938,pivot!$A:$G,計算式2026!AE$1,FALSE),0)</f>
        <v>0</v>
      </c>
      <c r="AF938" s="9">
        <f>IFERROR(VLOOKUP($A938,pivot!$A:$I,計算式2026!AF$1,FALSE),0)</f>
        <v>0</v>
      </c>
      <c r="AI938" s="9">
        <f>IFERROR(VLOOKUP($A938,pivot!$A:$I,計算式2026!AI$1,FALSE),0)</f>
        <v>0</v>
      </c>
      <c r="AJ938" s="9">
        <f>IFERROR(VLOOKUP($A938,pivot!$A:$I,計算式2026!AJ$1,FALSE),0)</f>
        <v>0</v>
      </c>
      <c r="AK938" s="9">
        <f>IFERROR(VLOOKUP($A938,pivot!$A:$I,計算式2026!AK$1,FALSE),0)</f>
        <v>0</v>
      </c>
      <c r="AL938" s="9">
        <f>IFERROR(VLOOKUP($A938,pivot!$A:$I,計算式2026!AL$1,FALSE),0)</f>
        <v>0</v>
      </c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</row>
    <row r="939" spans="1:59" s="9" customFormat="1">
      <c r="A939" s="8" t="s">
        <v>613</v>
      </c>
      <c r="B939" s="8" t="s">
        <v>614</v>
      </c>
      <c r="C939" s="9">
        <v>2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AE939" s="9">
        <f>IFERROR(VLOOKUP($A939,pivot!$A:$G,計算式2026!AE$1,FALSE),0)</f>
        <v>0</v>
      </c>
      <c r="AF939" s="9">
        <f>IFERROR(VLOOKUP($A939,pivot!$A:$I,計算式2026!AF$1,FALSE),0)</f>
        <v>0</v>
      </c>
      <c r="AI939" s="9">
        <f>IFERROR(VLOOKUP($A939,pivot!$A:$I,計算式2026!AI$1,FALSE),0)</f>
        <v>0</v>
      </c>
      <c r="AJ939" s="9">
        <f>IFERROR(VLOOKUP($A939,pivot!$A:$I,計算式2026!AJ$1,FALSE),0)</f>
        <v>0</v>
      </c>
      <c r="AK939" s="9">
        <f>IFERROR(VLOOKUP($A939,pivot!$A:$I,計算式2026!AK$1,FALSE),0)</f>
        <v>0</v>
      </c>
      <c r="AL939" s="9">
        <f>IFERROR(VLOOKUP($A939,pivot!$A:$I,計算式2026!AL$1,FALSE),0)</f>
        <v>0</v>
      </c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</row>
    <row r="940" spans="1:59" s="9" customFormat="1">
      <c r="A940" s="8" t="s">
        <v>615</v>
      </c>
      <c r="B940" s="8" t="s">
        <v>616</v>
      </c>
      <c r="C940" s="9">
        <v>3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AE940" s="9">
        <f>IFERROR(VLOOKUP($A940,pivot!$A:$G,計算式2026!AE$1,FALSE),0)</f>
        <v>0</v>
      </c>
      <c r="AF940" s="9">
        <f>IFERROR(VLOOKUP($A940,pivot!$A:$I,計算式2026!AF$1,FALSE),0)</f>
        <v>0</v>
      </c>
      <c r="AI940" s="9">
        <f>IFERROR(VLOOKUP($A940,pivot!$A:$I,計算式2026!AI$1,FALSE),0)</f>
        <v>0</v>
      </c>
      <c r="AJ940" s="9">
        <f>IFERROR(VLOOKUP($A940,pivot!$A:$I,計算式2026!AJ$1,FALSE),0)</f>
        <v>0</v>
      </c>
      <c r="AK940" s="9">
        <f>IFERROR(VLOOKUP($A940,pivot!$A:$I,計算式2026!AK$1,FALSE),0)</f>
        <v>0</v>
      </c>
      <c r="AL940" s="9">
        <f>IFERROR(VLOOKUP($A940,pivot!$A:$I,計算式2026!AL$1,FALSE),0)</f>
        <v>0</v>
      </c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</row>
    <row r="941" spans="1:59" s="9" customFormat="1">
      <c r="A941" s="8" t="s">
        <v>2120</v>
      </c>
      <c r="B941" s="8" t="s">
        <v>617</v>
      </c>
      <c r="C941" s="9">
        <v>0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1</v>
      </c>
      <c r="W941" s="9">
        <v>0</v>
      </c>
      <c r="X941" s="9">
        <v>0</v>
      </c>
      <c r="AE941" s="9">
        <f>IFERROR(VLOOKUP($A941,pivot!$A:$G,計算式2026!AE$1,FALSE),0)</f>
        <v>0</v>
      </c>
      <c r="AF941" s="9">
        <f>IFERROR(VLOOKUP($A941,pivot!$A:$I,計算式2026!AF$1,FALSE),0)</f>
        <v>0</v>
      </c>
      <c r="AI941" s="9">
        <f>IFERROR(VLOOKUP($A941,pivot!$A:$I,計算式2026!AI$1,FALSE),0)</f>
        <v>0</v>
      </c>
      <c r="AJ941" s="9">
        <f>IFERROR(VLOOKUP($A941,pivot!$A:$I,計算式2026!AJ$1,FALSE),0)</f>
        <v>0</v>
      </c>
      <c r="AK941" s="9">
        <f>IFERROR(VLOOKUP($A941,pivot!$A:$I,計算式2026!AK$1,FALSE),0)</f>
        <v>0</v>
      </c>
      <c r="AL941" s="9">
        <f>IFERROR(VLOOKUP($A941,pivot!$A:$I,計算式2026!AL$1,FALSE),0)</f>
        <v>0</v>
      </c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</row>
    <row r="942" spans="1:59" s="9" customFormat="1">
      <c r="A942" s="8" t="s">
        <v>2763</v>
      </c>
      <c r="B942" s="8" t="s">
        <v>618</v>
      </c>
      <c r="C942" s="9">
        <v>2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AE942" s="9">
        <f>IFERROR(VLOOKUP($A942,pivot!$A:$G,計算式2026!AE$1,FALSE),0)</f>
        <v>0</v>
      </c>
      <c r="AF942" s="9">
        <f>IFERROR(VLOOKUP($A942,pivot!$A:$I,計算式2026!AF$1,FALSE),0)</f>
        <v>0</v>
      </c>
      <c r="AI942" s="9">
        <f>IFERROR(VLOOKUP($A942,pivot!$A:$I,計算式2026!AI$1,FALSE),0)</f>
        <v>0</v>
      </c>
      <c r="AJ942" s="9">
        <f>IFERROR(VLOOKUP($A942,pivot!$A:$I,計算式2026!AJ$1,FALSE),0)</f>
        <v>0</v>
      </c>
      <c r="AK942" s="9">
        <f>IFERROR(VLOOKUP($A942,pivot!$A:$I,計算式2026!AK$1,FALSE),0)</f>
        <v>0</v>
      </c>
      <c r="AL942" s="9">
        <f>IFERROR(VLOOKUP($A942,pivot!$A:$I,計算式2026!AL$1,FALSE),0)</f>
        <v>0</v>
      </c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</row>
    <row r="943" spans="1:59" s="9" customFormat="1">
      <c r="A943" s="8" t="s">
        <v>619</v>
      </c>
      <c r="B943" s="8" t="s">
        <v>618</v>
      </c>
      <c r="C943" s="9">
        <v>0</v>
      </c>
      <c r="D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R943" s="9">
        <v>1</v>
      </c>
      <c r="S943" s="9">
        <v>2</v>
      </c>
      <c r="T943" s="9">
        <v>0</v>
      </c>
      <c r="U943" s="9">
        <v>0</v>
      </c>
      <c r="V943" s="9">
        <v>1</v>
      </c>
      <c r="W943" s="9">
        <v>0</v>
      </c>
      <c r="X943" s="9">
        <v>1</v>
      </c>
      <c r="AE943" s="9">
        <f>IFERROR(VLOOKUP($A943,pivot!$A:$G,計算式2026!AE$1,FALSE),0)</f>
        <v>0</v>
      </c>
      <c r="AF943" s="9">
        <f>IFERROR(VLOOKUP($A943,pivot!$A:$I,計算式2026!AF$1,FALSE),0)</f>
        <v>0</v>
      </c>
      <c r="AI943" s="9">
        <f>IFERROR(VLOOKUP($A943,pivot!$A:$I,計算式2026!AI$1,FALSE),0)</f>
        <v>0</v>
      </c>
      <c r="AJ943" s="9">
        <f>IFERROR(VLOOKUP($A943,pivot!$A:$I,計算式2026!AJ$1,FALSE),0)</f>
        <v>0</v>
      </c>
      <c r="AK943" s="9">
        <f>IFERROR(VLOOKUP($A943,pivot!$A:$I,計算式2026!AK$1,FALSE),0)</f>
        <v>0</v>
      </c>
      <c r="AL943" s="9">
        <f>IFERROR(VLOOKUP($A943,pivot!$A:$I,計算式2026!AL$1,FALSE),0)</f>
        <v>0</v>
      </c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</row>
    <row r="944" spans="1:59" s="9" customFormat="1">
      <c r="A944" s="8" t="s">
        <v>2121</v>
      </c>
      <c r="B944" s="8" t="s">
        <v>618</v>
      </c>
      <c r="C944" s="9">
        <v>0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R944" s="9">
        <v>0</v>
      </c>
      <c r="S944" s="9">
        <v>1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AE944" s="9">
        <f>IFERROR(VLOOKUP($A944,pivot!$A:$G,計算式2026!AE$1,FALSE),0)</f>
        <v>0</v>
      </c>
      <c r="AF944" s="9">
        <f>IFERROR(VLOOKUP($A944,pivot!$A:$I,計算式2026!AF$1,FALSE),0)</f>
        <v>0</v>
      </c>
      <c r="AI944" s="9">
        <f>IFERROR(VLOOKUP($A944,pivot!$A:$I,計算式2026!AI$1,FALSE),0)</f>
        <v>0</v>
      </c>
      <c r="AJ944" s="9">
        <f>IFERROR(VLOOKUP($A944,pivot!$A:$I,計算式2026!AJ$1,FALSE),0)</f>
        <v>0</v>
      </c>
      <c r="AK944" s="9">
        <f>IFERROR(VLOOKUP($A944,pivot!$A:$I,計算式2026!AK$1,FALSE),0)</f>
        <v>0</v>
      </c>
      <c r="AL944" s="9">
        <f>IFERROR(VLOOKUP($A944,pivot!$A:$I,計算式2026!AL$1,FALSE),0)</f>
        <v>0</v>
      </c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</row>
    <row r="945" spans="1:59" s="9" customFormat="1">
      <c r="A945" s="8" t="s">
        <v>620</v>
      </c>
      <c r="B945" s="8" t="s">
        <v>618</v>
      </c>
      <c r="C945" s="9">
        <v>0</v>
      </c>
      <c r="D945" s="9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R945" s="9">
        <v>1</v>
      </c>
      <c r="S945" s="9">
        <v>0</v>
      </c>
      <c r="T945" s="9">
        <v>0</v>
      </c>
      <c r="U945" s="9">
        <v>0</v>
      </c>
      <c r="V945" s="9">
        <v>2</v>
      </c>
      <c r="W945" s="9">
        <v>0</v>
      </c>
      <c r="X945" s="9">
        <v>0</v>
      </c>
      <c r="AE945" s="9">
        <f>IFERROR(VLOOKUP($A945,pivot!$A:$G,計算式2026!AE$1,FALSE),0)</f>
        <v>0</v>
      </c>
      <c r="AF945" s="9">
        <f>IFERROR(VLOOKUP($A945,pivot!$A:$I,計算式2026!AF$1,FALSE),0)</f>
        <v>0</v>
      </c>
      <c r="AI945" s="9">
        <f>IFERROR(VLOOKUP($A945,pivot!$A:$I,計算式2026!AI$1,FALSE),0)</f>
        <v>0</v>
      </c>
      <c r="AJ945" s="9">
        <f>IFERROR(VLOOKUP($A945,pivot!$A:$I,計算式2026!AJ$1,FALSE),0)</f>
        <v>0</v>
      </c>
      <c r="AK945" s="9">
        <f>IFERROR(VLOOKUP($A945,pivot!$A:$I,計算式2026!AK$1,FALSE),0)</f>
        <v>0</v>
      </c>
      <c r="AL945" s="9">
        <f>IFERROR(VLOOKUP($A945,pivot!$A:$I,計算式2026!AL$1,FALSE),0)</f>
        <v>0</v>
      </c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</row>
    <row r="946" spans="1:59" s="9" customFormat="1">
      <c r="A946" s="8" t="s">
        <v>2122</v>
      </c>
      <c r="B946" s="8" t="s">
        <v>618</v>
      </c>
      <c r="C946" s="9">
        <v>0</v>
      </c>
      <c r="D946" s="9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R946" s="9">
        <v>0</v>
      </c>
      <c r="S946" s="9">
        <v>2</v>
      </c>
      <c r="T946" s="9">
        <v>0</v>
      </c>
      <c r="U946" s="9">
        <v>0</v>
      </c>
      <c r="V946" s="9">
        <v>1</v>
      </c>
      <c r="W946" s="9">
        <v>0</v>
      </c>
      <c r="X946" s="9">
        <v>0</v>
      </c>
      <c r="AE946" s="9">
        <f>IFERROR(VLOOKUP($A946,pivot!$A:$G,計算式2026!AE$1,FALSE),0)</f>
        <v>0</v>
      </c>
      <c r="AF946" s="9">
        <f>IFERROR(VLOOKUP($A946,pivot!$A:$I,計算式2026!AF$1,FALSE),0)</f>
        <v>0</v>
      </c>
      <c r="AI946" s="9">
        <f>IFERROR(VLOOKUP($A946,pivot!$A:$I,計算式2026!AI$1,FALSE),0)</f>
        <v>0</v>
      </c>
      <c r="AJ946" s="9">
        <f>IFERROR(VLOOKUP($A946,pivot!$A:$I,計算式2026!AJ$1,FALSE),0)</f>
        <v>0</v>
      </c>
      <c r="AK946" s="9">
        <f>IFERROR(VLOOKUP($A946,pivot!$A:$I,計算式2026!AK$1,FALSE),0)</f>
        <v>0</v>
      </c>
      <c r="AL946" s="9">
        <f>IFERROR(VLOOKUP($A946,pivot!$A:$I,計算式2026!AL$1,FALSE),0)</f>
        <v>0</v>
      </c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</row>
    <row r="947" spans="1:59" s="9" customFormat="1">
      <c r="A947" s="8" t="s">
        <v>621</v>
      </c>
      <c r="B947" s="8" t="s">
        <v>618</v>
      </c>
      <c r="C947" s="9">
        <v>0</v>
      </c>
      <c r="D947" s="9">
        <v>4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R947" s="9">
        <v>2</v>
      </c>
      <c r="S947" s="9">
        <v>3</v>
      </c>
      <c r="T947" s="9">
        <v>2</v>
      </c>
      <c r="U947" s="9">
        <v>2</v>
      </c>
      <c r="V947" s="9">
        <v>3</v>
      </c>
      <c r="W947" s="9">
        <v>0</v>
      </c>
      <c r="X947" s="9">
        <v>1</v>
      </c>
      <c r="AE947" s="9">
        <f>IFERROR(VLOOKUP($A947,pivot!$A:$G,計算式2026!AE$1,FALSE),0)</f>
        <v>0</v>
      </c>
      <c r="AF947" s="9">
        <f>IFERROR(VLOOKUP($A947,pivot!$A:$I,計算式2026!AF$1,FALSE),0)</f>
        <v>0</v>
      </c>
      <c r="AI947" s="9">
        <f>IFERROR(VLOOKUP($A947,pivot!$A:$I,計算式2026!AI$1,FALSE),0)</f>
        <v>0</v>
      </c>
      <c r="AJ947" s="9">
        <f>IFERROR(VLOOKUP($A947,pivot!$A:$I,計算式2026!AJ$1,FALSE),0)</f>
        <v>0</v>
      </c>
      <c r="AK947" s="9">
        <f>IFERROR(VLOOKUP($A947,pivot!$A:$I,計算式2026!AK$1,FALSE),0)</f>
        <v>0</v>
      </c>
      <c r="AL947" s="9">
        <f>IFERROR(VLOOKUP($A947,pivot!$A:$I,計算式2026!AL$1,FALSE),0)</f>
        <v>0</v>
      </c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</row>
    <row r="948" spans="1:59" s="9" customFormat="1">
      <c r="A948" s="8" t="s">
        <v>622</v>
      </c>
      <c r="B948" s="8" t="s">
        <v>618</v>
      </c>
      <c r="C948" s="9">
        <v>0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1</v>
      </c>
      <c r="W948" s="9">
        <v>0</v>
      </c>
      <c r="X948" s="9">
        <v>0</v>
      </c>
      <c r="AE948" s="9">
        <f>IFERROR(VLOOKUP($A948,pivot!$A:$G,計算式2026!AE$1,FALSE),0)</f>
        <v>0</v>
      </c>
      <c r="AF948" s="9">
        <f>IFERROR(VLOOKUP($A948,pivot!$A:$I,計算式2026!AF$1,FALSE),0)</f>
        <v>0</v>
      </c>
      <c r="AI948" s="9">
        <f>IFERROR(VLOOKUP($A948,pivot!$A:$I,計算式2026!AI$1,FALSE),0)</f>
        <v>0</v>
      </c>
      <c r="AJ948" s="9">
        <f>IFERROR(VLOOKUP($A948,pivot!$A:$I,計算式2026!AJ$1,FALSE),0)</f>
        <v>0</v>
      </c>
      <c r="AK948" s="9">
        <f>IFERROR(VLOOKUP($A948,pivot!$A:$I,計算式2026!AK$1,FALSE),0)</f>
        <v>0</v>
      </c>
      <c r="AL948" s="9">
        <f>IFERROR(VLOOKUP($A948,pivot!$A:$I,計算式2026!AL$1,FALSE),0)</f>
        <v>0</v>
      </c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</row>
    <row r="949" spans="1:59" s="9" customFormat="1">
      <c r="A949" s="8" t="s">
        <v>623</v>
      </c>
      <c r="B949" s="8" t="s">
        <v>618</v>
      </c>
      <c r="C949" s="9">
        <v>0</v>
      </c>
      <c r="D949" s="9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R949" s="9">
        <v>2</v>
      </c>
      <c r="S949" s="9">
        <v>2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AE949" s="9">
        <f>IFERROR(VLOOKUP($A949,pivot!$A:$G,計算式2026!AE$1,FALSE),0)</f>
        <v>0</v>
      </c>
      <c r="AF949" s="9">
        <f>IFERROR(VLOOKUP($A949,pivot!$A:$I,計算式2026!AF$1,FALSE),0)</f>
        <v>0</v>
      </c>
      <c r="AI949" s="9">
        <f>IFERROR(VLOOKUP($A949,pivot!$A:$I,計算式2026!AI$1,FALSE),0)</f>
        <v>0</v>
      </c>
      <c r="AJ949" s="9">
        <f>IFERROR(VLOOKUP($A949,pivot!$A:$I,計算式2026!AJ$1,FALSE),0)</f>
        <v>0</v>
      </c>
      <c r="AK949" s="9">
        <f>IFERROR(VLOOKUP($A949,pivot!$A:$I,計算式2026!AK$1,FALSE),0)</f>
        <v>0</v>
      </c>
      <c r="AL949" s="9">
        <f>IFERROR(VLOOKUP($A949,pivot!$A:$I,計算式2026!AL$1,FALSE),0)</f>
        <v>0</v>
      </c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</row>
    <row r="950" spans="1:59" s="9" customFormat="1">
      <c r="A950" s="8" t="s">
        <v>2123</v>
      </c>
      <c r="B950" s="8" t="s">
        <v>624</v>
      </c>
      <c r="C950" s="9">
        <v>0</v>
      </c>
      <c r="D950" s="9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R950" s="9">
        <v>0</v>
      </c>
      <c r="S950" s="9">
        <v>2</v>
      </c>
      <c r="T950" s="9">
        <v>0</v>
      </c>
      <c r="U950" s="9">
        <v>0</v>
      </c>
      <c r="V950" s="9">
        <v>1</v>
      </c>
      <c r="W950" s="9">
        <v>0</v>
      </c>
      <c r="X950" s="9">
        <v>0</v>
      </c>
      <c r="AE950" s="9">
        <f>IFERROR(VLOOKUP($A950,pivot!$A:$G,計算式2026!AE$1,FALSE),0)</f>
        <v>0</v>
      </c>
      <c r="AF950" s="9">
        <f>IFERROR(VLOOKUP($A950,pivot!$A:$I,計算式2026!AF$1,FALSE),0)</f>
        <v>0</v>
      </c>
      <c r="AI950" s="9">
        <f>IFERROR(VLOOKUP($A950,pivot!$A:$I,計算式2026!AI$1,FALSE),0)</f>
        <v>0</v>
      </c>
      <c r="AJ950" s="9">
        <f>IFERROR(VLOOKUP($A950,pivot!$A:$I,計算式2026!AJ$1,FALSE),0)</f>
        <v>0</v>
      </c>
      <c r="AK950" s="9">
        <f>IFERROR(VLOOKUP($A950,pivot!$A:$I,計算式2026!AK$1,FALSE),0)</f>
        <v>0</v>
      </c>
      <c r="AL950" s="9">
        <f>IFERROR(VLOOKUP($A950,pivot!$A:$I,計算式2026!AL$1,FALSE),0)</f>
        <v>0</v>
      </c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</row>
    <row r="951" spans="1:59" s="9" customFormat="1">
      <c r="A951" s="8" t="s">
        <v>2124</v>
      </c>
      <c r="B951" s="8" t="s">
        <v>624</v>
      </c>
      <c r="C951" s="9">
        <v>0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R951" s="9">
        <v>2</v>
      </c>
      <c r="S951" s="9">
        <v>1</v>
      </c>
      <c r="T951" s="9">
        <v>0</v>
      </c>
      <c r="U951" s="9">
        <v>0</v>
      </c>
      <c r="V951" s="9">
        <v>2</v>
      </c>
      <c r="W951" s="9">
        <v>0</v>
      </c>
      <c r="X951" s="9">
        <v>0</v>
      </c>
      <c r="AE951" s="9">
        <f>IFERROR(VLOOKUP($A951,pivot!$A:$G,計算式2026!AE$1,FALSE),0)</f>
        <v>0</v>
      </c>
      <c r="AF951" s="9">
        <f>IFERROR(VLOOKUP($A951,pivot!$A:$I,計算式2026!AF$1,FALSE),0)</f>
        <v>0</v>
      </c>
      <c r="AI951" s="9">
        <f>IFERROR(VLOOKUP($A951,pivot!$A:$I,計算式2026!AI$1,FALSE),0)</f>
        <v>0</v>
      </c>
      <c r="AJ951" s="9">
        <f>IFERROR(VLOOKUP($A951,pivot!$A:$I,計算式2026!AJ$1,FALSE),0)</f>
        <v>0</v>
      </c>
      <c r="AK951" s="9">
        <f>IFERROR(VLOOKUP($A951,pivot!$A:$I,計算式2026!AK$1,FALSE),0)</f>
        <v>0</v>
      </c>
      <c r="AL951" s="9">
        <f>IFERROR(VLOOKUP($A951,pivot!$A:$I,計算式2026!AL$1,FALSE),0)</f>
        <v>0</v>
      </c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</row>
    <row r="952" spans="1:59" s="9" customFormat="1">
      <c r="A952" s="8" t="s">
        <v>2125</v>
      </c>
      <c r="B952" s="8" t="s">
        <v>2126</v>
      </c>
      <c r="C952" s="9">
        <v>0</v>
      </c>
      <c r="D952" s="9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R952" s="9">
        <v>0</v>
      </c>
      <c r="S952" s="9">
        <v>1</v>
      </c>
      <c r="T952" s="9">
        <v>0</v>
      </c>
      <c r="U952" s="9">
        <v>0</v>
      </c>
      <c r="V952" s="9">
        <v>2</v>
      </c>
      <c r="W952" s="9">
        <v>0</v>
      </c>
      <c r="X952" s="9">
        <v>1</v>
      </c>
      <c r="AE952" s="9">
        <f>IFERROR(VLOOKUP($A952,pivot!$A:$G,計算式2026!AE$1,FALSE),0)</f>
        <v>0</v>
      </c>
      <c r="AF952" s="9">
        <f>IFERROR(VLOOKUP($A952,pivot!$A:$I,計算式2026!AF$1,FALSE),0)</f>
        <v>0</v>
      </c>
      <c r="AI952" s="9">
        <f>IFERROR(VLOOKUP($A952,pivot!$A:$I,計算式2026!AI$1,FALSE),0)</f>
        <v>0</v>
      </c>
      <c r="AJ952" s="9">
        <f>IFERROR(VLOOKUP($A952,pivot!$A:$I,計算式2026!AJ$1,FALSE),0)</f>
        <v>0</v>
      </c>
      <c r="AK952" s="9">
        <f>IFERROR(VLOOKUP($A952,pivot!$A:$I,計算式2026!AK$1,FALSE),0)</f>
        <v>0</v>
      </c>
      <c r="AL952" s="9">
        <f>IFERROR(VLOOKUP($A952,pivot!$A:$I,計算式2026!AL$1,FALSE),0)</f>
        <v>0</v>
      </c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</row>
    <row r="953" spans="1:59" s="9" customFormat="1">
      <c r="A953" s="8" t="s">
        <v>2127</v>
      </c>
      <c r="B953" s="8" t="s">
        <v>2126</v>
      </c>
      <c r="C953" s="9">
        <v>0</v>
      </c>
      <c r="D953" s="9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R953" s="9">
        <v>0</v>
      </c>
      <c r="S953" s="9">
        <v>0</v>
      </c>
      <c r="T953" s="9">
        <v>1</v>
      </c>
      <c r="U953" s="9">
        <v>0</v>
      </c>
      <c r="V953" s="9">
        <v>0</v>
      </c>
      <c r="W953" s="9">
        <v>0</v>
      </c>
      <c r="X953" s="9">
        <v>0</v>
      </c>
      <c r="AE953" s="9">
        <f>IFERROR(VLOOKUP($A953,pivot!$A:$G,計算式2026!AE$1,FALSE),0)</f>
        <v>0</v>
      </c>
      <c r="AF953" s="9">
        <f>IFERROR(VLOOKUP($A953,pivot!$A:$I,計算式2026!AF$1,FALSE),0)</f>
        <v>0</v>
      </c>
      <c r="AI953" s="9">
        <f>IFERROR(VLOOKUP($A953,pivot!$A:$I,計算式2026!AI$1,FALSE),0)</f>
        <v>0</v>
      </c>
      <c r="AJ953" s="9">
        <f>IFERROR(VLOOKUP($A953,pivot!$A:$I,計算式2026!AJ$1,FALSE),0)</f>
        <v>0</v>
      </c>
      <c r="AK953" s="9">
        <f>IFERROR(VLOOKUP($A953,pivot!$A:$I,計算式2026!AK$1,FALSE),0)</f>
        <v>0</v>
      </c>
      <c r="AL953" s="9">
        <f>IFERROR(VLOOKUP($A953,pivot!$A:$I,計算式2026!AL$1,FALSE),0)</f>
        <v>0</v>
      </c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</row>
    <row r="954" spans="1:59" s="9" customFormat="1">
      <c r="A954" s="8" t="s">
        <v>2764</v>
      </c>
      <c r="B954" s="8" t="s">
        <v>2126</v>
      </c>
      <c r="C954" s="9">
        <v>0</v>
      </c>
      <c r="D954" s="9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AE954" s="9">
        <f>IFERROR(VLOOKUP($A954,pivot!$A:$G,計算式2026!AE$1,FALSE),0)</f>
        <v>0</v>
      </c>
      <c r="AF954" s="9">
        <f>IFERROR(VLOOKUP($A954,pivot!$A:$I,計算式2026!AF$1,FALSE),0)</f>
        <v>0</v>
      </c>
      <c r="AI954" s="9">
        <f>IFERROR(VLOOKUP($A954,pivot!$A:$I,計算式2026!AI$1,FALSE),0)</f>
        <v>0</v>
      </c>
      <c r="AJ954" s="9">
        <f>IFERROR(VLOOKUP($A954,pivot!$A:$I,計算式2026!AJ$1,FALSE),0)</f>
        <v>0</v>
      </c>
      <c r="AK954" s="9">
        <f>IFERROR(VLOOKUP($A954,pivot!$A:$I,計算式2026!AK$1,FALSE),0)</f>
        <v>0</v>
      </c>
      <c r="AL954" s="9">
        <f>IFERROR(VLOOKUP($A954,pivot!$A:$I,計算式2026!AL$1,FALSE),0)</f>
        <v>0</v>
      </c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</row>
    <row r="955" spans="1:59" s="9" customFormat="1">
      <c r="A955" s="8" t="s">
        <v>2128</v>
      </c>
      <c r="B955" s="8" t="s">
        <v>2126</v>
      </c>
      <c r="C955" s="9">
        <v>1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R955" s="9">
        <v>0</v>
      </c>
      <c r="S955" s="9">
        <v>2</v>
      </c>
      <c r="T955" s="9">
        <v>2</v>
      </c>
      <c r="U955" s="9">
        <v>0</v>
      </c>
      <c r="V955" s="9">
        <v>1</v>
      </c>
      <c r="W955" s="9">
        <v>0</v>
      </c>
      <c r="X955" s="9">
        <v>2</v>
      </c>
      <c r="AE955" s="9">
        <f>IFERROR(VLOOKUP($A955,pivot!$A:$G,計算式2026!AE$1,FALSE),0)</f>
        <v>0</v>
      </c>
      <c r="AF955" s="9">
        <f>IFERROR(VLOOKUP($A955,pivot!$A:$I,計算式2026!AF$1,FALSE),0)</f>
        <v>0</v>
      </c>
      <c r="AI955" s="9">
        <f>IFERROR(VLOOKUP($A955,pivot!$A:$I,計算式2026!AI$1,FALSE),0)</f>
        <v>0</v>
      </c>
      <c r="AJ955" s="9">
        <f>IFERROR(VLOOKUP($A955,pivot!$A:$I,計算式2026!AJ$1,FALSE),0)</f>
        <v>0</v>
      </c>
      <c r="AK955" s="9">
        <f>IFERROR(VLOOKUP($A955,pivot!$A:$I,計算式2026!AK$1,FALSE),0)</f>
        <v>0</v>
      </c>
      <c r="AL955" s="9">
        <f>IFERROR(VLOOKUP($A955,pivot!$A:$I,計算式2026!AL$1,FALSE),0)</f>
        <v>0</v>
      </c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</row>
    <row r="956" spans="1:59" s="9" customFormat="1">
      <c r="A956" s="8" t="s">
        <v>2129</v>
      </c>
      <c r="B956" s="8" t="s">
        <v>2126</v>
      </c>
      <c r="C956" s="9">
        <v>0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R956" s="9">
        <v>0</v>
      </c>
      <c r="S956" s="9">
        <v>2</v>
      </c>
      <c r="T956" s="9">
        <v>0</v>
      </c>
      <c r="U956" s="9">
        <v>0</v>
      </c>
      <c r="V956" s="9">
        <v>1</v>
      </c>
      <c r="W956" s="9">
        <v>0</v>
      </c>
      <c r="X956" s="9">
        <v>0</v>
      </c>
      <c r="AE956" s="9">
        <f>IFERROR(VLOOKUP($A956,pivot!$A:$G,計算式2026!AE$1,FALSE),0)</f>
        <v>0</v>
      </c>
      <c r="AF956" s="9">
        <f>IFERROR(VLOOKUP($A956,pivot!$A:$I,計算式2026!AF$1,FALSE),0)</f>
        <v>0</v>
      </c>
      <c r="AI956" s="9">
        <f>IFERROR(VLOOKUP($A956,pivot!$A:$I,計算式2026!AI$1,FALSE),0)</f>
        <v>0</v>
      </c>
      <c r="AJ956" s="9">
        <f>IFERROR(VLOOKUP($A956,pivot!$A:$I,計算式2026!AJ$1,FALSE),0)</f>
        <v>0</v>
      </c>
      <c r="AK956" s="9">
        <f>IFERROR(VLOOKUP($A956,pivot!$A:$I,計算式2026!AK$1,FALSE),0)</f>
        <v>0</v>
      </c>
      <c r="AL956" s="9">
        <f>IFERROR(VLOOKUP($A956,pivot!$A:$I,計算式2026!AL$1,FALSE),0)</f>
        <v>0</v>
      </c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</row>
    <row r="957" spans="1:59" s="9" customFormat="1">
      <c r="A957" s="8" t="s">
        <v>2130</v>
      </c>
      <c r="B957" s="8" t="s">
        <v>625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R957" s="9">
        <v>0</v>
      </c>
      <c r="S957" s="9">
        <v>3</v>
      </c>
      <c r="T957" s="9">
        <v>1</v>
      </c>
      <c r="U957" s="9">
        <v>0</v>
      </c>
      <c r="V957" s="9">
        <v>4</v>
      </c>
      <c r="W957" s="9">
        <v>0</v>
      </c>
      <c r="X957" s="9">
        <v>1</v>
      </c>
      <c r="AE957" s="9">
        <f>IFERROR(VLOOKUP($A957,pivot!$A:$G,計算式2026!AE$1,FALSE),0)</f>
        <v>0</v>
      </c>
      <c r="AF957" s="9">
        <f>IFERROR(VLOOKUP($A957,pivot!$A:$I,計算式2026!AF$1,FALSE),0)</f>
        <v>0</v>
      </c>
      <c r="AI957" s="9">
        <f>IFERROR(VLOOKUP($A957,pivot!$A:$I,計算式2026!AI$1,FALSE),0)</f>
        <v>0</v>
      </c>
      <c r="AJ957" s="9">
        <f>IFERROR(VLOOKUP($A957,pivot!$A:$I,計算式2026!AJ$1,FALSE),0)</f>
        <v>0</v>
      </c>
      <c r="AK957" s="9">
        <f>IFERROR(VLOOKUP($A957,pivot!$A:$I,計算式2026!AK$1,FALSE),0)</f>
        <v>0</v>
      </c>
      <c r="AL957" s="9">
        <f>IFERROR(VLOOKUP($A957,pivot!$A:$I,計算式2026!AL$1,FALSE),0)</f>
        <v>0</v>
      </c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</row>
    <row r="958" spans="1:59" s="9" customFormat="1">
      <c r="A958" s="8" t="s">
        <v>2131</v>
      </c>
      <c r="B958" s="8" t="s">
        <v>625</v>
      </c>
      <c r="C958" s="9">
        <v>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R958" s="9">
        <v>0</v>
      </c>
      <c r="S958" s="9">
        <v>1</v>
      </c>
      <c r="T958" s="9">
        <v>0</v>
      </c>
      <c r="U958" s="9">
        <v>0</v>
      </c>
      <c r="V958" s="9">
        <v>4</v>
      </c>
      <c r="W958" s="9">
        <v>1</v>
      </c>
      <c r="X958" s="9">
        <v>1</v>
      </c>
      <c r="AE958" s="9">
        <f>IFERROR(VLOOKUP($A958,pivot!$A:$G,計算式2026!AE$1,FALSE),0)</f>
        <v>0</v>
      </c>
      <c r="AF958" s="9">
        <f>IFERROR(VLOOKUP($A958,pivot!$A:$I,計算式2026!AF$1,FALSE),0)</f>
        <v>0</v>
      </c>
      <c r="AI958" s="9">
        <f>IFERROR(VLOOKUP($A958,pivot!$A:$I,計算式2026!AI$1,FALSE),0)</f>
        <v>0</v>
      </c>
      <c r="AJ958" s="9">
        <f>IFERROR(VLOOKUP($A958,pivot!$A:$I,計算式2026!AJ$1,FALSE),0)</f>
        <v>0</v>
      </c>
      <c r="AK958" s="9">
        <f>IFERROR(VLOOKUP($A958,pivot!$A:$I,計算式2026!AK$1,FALSE),0)</f>
        <v>0</v>
      </c>
      <c r="AL958" s="9">
        <f>IFERROR(VLOOKUP($A958,pivot!$A:$I,計算式2026!AL$1,FALSE),0)</f>
        <v>0</v>
      </c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</row>
    <row r="959" spans="1:59" s="9" customFormat="1">
      <c r="A959" s="8" t="s">
        <v>1673</v>
      </c>
      <c r="B959" s="8" t="s">
        <v>2132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1</v>
      </c>
      <c r="AE959" s="9">
        <f>IFERROR(VLOOKUP($A959,pivot!$A:$G,計算式2026!AE$1,FALSE),0)</f>
        <v>0</v>
      </c>
      <c r="AF959" s="9">
        <f>IFERROR(VLOOKUP($A959,pivot!$A:$I,計算式2026!AF$1,FALSE),0)</f>
        <v>0</v>
      </c>
      <c r="AI959" s="9">
        <f>IFERROR(VLOOKUP($A959,pivot!$A:$I,計算式2026!AI$1,FALSE),0)</f>
        <v>0</v>
      </c>
      <c r="AJ959" s="9">
        <f>IFERROR(VLOOKUP($A959,pivot!$A:$I,計算式2026!AJ$1,FALSE),0)</f>
        <v>0</v>
      </c>
      <c r="AK959" s="9">
        <f>IFERROR(VLOOKUP($A959,pivot!$A:$I,計算式2026!AK$1,FALSE),0)</f>
        <v>0</v>
      </c>
      <c r="AL959" s="9">
        <f>IFERROR(VLOOKUP($A959,pivot!$A:$I,計算式2026!AL$1,FALSE),0)</f>
        <v>0</v>
      </c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</row>
    <row r="960" spans="1:59" s="9" customFormat="1">
      <c r="A960" s="8" t="s">
        <v>1674</v>
      </c>
      <c r="B960" s="8" t="s">
        <v>2132</v>
      </c>
      <c r="C960" s="9">
        <v>0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1</v>
      </c>
      <c r="X960" s="9">
        <v>1</v>
      </c>
      <c r="AE960" s="9">
        <f>IFERROR(VLOOKUP($A960,pivot!$A:$G,計算式2026!AE$1,FALSE),0)</f>
        <v>0</v>
      </c>
      <c r="AF960" s="9">
        <f>IFERROR(VLOOKUP($A960,pivot!$A:$I,計算式2026!AF$1,FALSE),0)</f>
        <v>0</v>
      </c>
      <c r="AI960" s="9">
        <f>IFERROR(VLOOKUP($A960,pivot!$A:$I,計算式2026!AI$1,FALSE),0)</f>
        <v>0</v>
      </c>
      <c r="AJ960" s="9">
        <f>IFERROR(VLOOKUP($A960,pivot!$A:$I,計算式2026!AJ$1,FALSE),0)</f>
        <v>0</v>
      </c>
      <c r="AK960" s="9">
        <f>IFERROR(VLOOKUP($A960,pivot!$A:$I,計算式2026!AK$1,FALSE),0)</f>
        <v>0</v>
      </c>
      <c r="AL960" s="9">
        <f>IFERROR(VLOOKUP($A960,pivot!$A:$I,計算式2026!AL$1,FALSE),0)</f>
        <v>0</v>
      </c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</row>
    <row r="961" spans="1:59" s="9" customFormat="1">
      <c r="A961" s="8" t="s">
        <v>1675</v>
      </c>
      <c r="B961" s="8" t="s">
        <v>2132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1</v>
      </c>
      <c r="AE961" s="9">
        <f>IFERROR(VLOOKUP($A961,pivot!$A:$G,計算式2026!AE$1,FALSE),0)</f>
        <v>0</v>
      </c>
      <c r="AF961" s="9">
        <f>IFERROR(VLOOKUP($A961,pivot!$A:$I,計算式2026!AF$1,FALSE),0)</f>
        <v>0</v>
      </c>
      <c r="AI961" s="9">
        <f>IFERROR(VLOOKUP($A961,pivot!$A:$I,計算式2026!AI$1,FALSE),0)</f>
        <v>0</v>
      </c>
      <c r="AJ961" s="9">
        <f>IFERROR(VLOOKUP($A961,pivot!$A:$I,計算式2026!AJ$1,FALSE),0)</f>
        <v>0</v>
      </c>
      <c r="AK961" s="9">
        <f>IFERROR(VLOOKUP($A961,pivot!$A:$I,計算式2026!AK$1,FALSE),0)</f>
        <v>0</v>
      </c>
      <c r="AL961" s="9">
        <f>IFERROR(VLOOKUP($A961,pivot!$A:$I,計算式2026!AL$1,FALSE),0)</f>
        <v>0</v>
      </c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</row>
    <row r="962" spans="1:59" s="9" customFormat="1">
      <c r="A962" s="8" t="s">
        <v>1676</v>
      </c>
      <c r="B962" s="8" t="s">
        <v>2132</v>
      </c>
      <c r="C962" s="9">
        <v>2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1</v>
      </c>
      <c r="AE962" s="9">
        <f>IFERROR(VLOOKUP($A962,pivot!$A:$G,計算式2026!AE$1,FALSE),0)</f>
        <v>0</v>
      </c>
      <c r="AF962" s="9">
        <f>IFERROR(VLOOKUP($A962,pivot!$A:$I,計算式2026!AF$1,FALSE),0)</f>
        <v>0</v>
      </c>
      <c r="AI962" s="9">
        <f>IFERROR(VLOOKUP($A962,pivot!$A:$I,計算式2026!AI$1,FALSE),0)</f>
        <v>0</v>
      </c>
      <c r="AJ962" s="9">
        <f>IFERROR(VLOOKUP($A962,pivot!$A:$I,計算式2026!AJ$1,FALSE),0)</f>
        <v>0</v>
      </c>
      <c r="AK962" s="9">
        <f>IFERROR(VLOOKUP($A962,pivot!$A:$I,計算式2026!AK$1,FALSE),0)</f>
        <v>0</v>
      </c>
      <c r="AL962" s="9">
        <f>IFERROR(VLOOKUP($A962,pivot!$A:$I,計算式2026!AL$1,FALSE),0)</f>
        <v>0</v>
      </c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</row>
    <row r="963" spans="1:59" s="9" customFormat="1">
      <c r="A963" s="8" t="s">
        <v>2133</v>
      </c>
      <c r="B963" s="8" t="s">
        <v>626</v>
      </c>
      <c r="C963" s="9">
        <v>0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1</v>
      </c>
      <c r="AE963" s="9">
        <f>IFERROR(VLOOKUP($A963,pivot!$A:$G,計算式2026!AE$1,FALSE),0)</f>
        <v>0</v>
      </c>
      <c r="AF963" s="9">
        <f>IFERROR(VLOOKUP($A963,pivot!$A:$I,計算式2026!AF$1,FALSE),0)</f>
        <v>0</v>
      </c>
      <c r="AI963" s="9">
        <f>IFERROR(VLOOKUP($A963,pivot!$A:$I,計算式2026!AI$1,FALSE),0)</f>
        <v>0</v>
      </c>
      <c r="AJ963" s="9">
        <f>IFERROR(VLOOKUP($A963,pivot!$A:$I,計算式2026!AJ$1,FALSE),0)</f>
        <v>0</v>
      </c>
      <c r="AK963" s="9">
        <f>IFERROR(VLOOKUP($A963,pivot!$A:$I,計算式2026!AK$1,FALSE),0)</f>
        <v>0</v>
      </c>
      <c r="AL963" s="9">
        <f>IFERROR(VLOOKUP($A963,pivot!$A:$I,計算式2026!AL$1,FALSE),0)</f>
        <v>0</v>
      </c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</row>
    <row r="964" spans="1:59" s="9" customFormat="1">
      <c r="A964" s="8" t="s">
        <v>627</v>
      </c>
      <c r="B964" s="8" t="s">
        <v>626</v>
      </c>
      <c r="C964" s="9">
        <v>0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R964" s="9">
        <v>0</v>
      </c>
      <c r="S964" s="9">
        <v>0</v>
      </c>
      <c r="T964" s="9">
        <v>1</v>
      </c>
      <c r="U964" s="9">
        <v>0</v>
      </c>
      <c r="V964" s="9">
        <v>0</v>
      </c>
      <c r="W964" s="9">
        <v>0</v>
      </c>
      <c r="X964" s="9">
        <v>0</v>
      </c>
      <c r="AE964" s="9">
        <f>IFERROR(VLOOKUP($A964,pivot!$A:$G,計算式2026!AE$1,FALSE),0)</f>
        <v>0</v>
      </c>
      <c r="AF964" s="9">
        <f>IFERROR(VLOOKUP($A964,pivot!$A:$I,計算式2026!AF$1,FALSE),0)</f>
        <v>0</v>
      </c>
      <c r="AI964" s="9">
        <f>IFERROR(VLOOKUP($A964,pivot!$A:$I,計算式2026!AI$1,FALSE),0)</f>
        <v>0</v>
      </c>
      <c r="AJ964" s="9">
        <f>IFERROR(VLOOKUP($A964,pivot!$A:$I,計算式2026!AJ$1,FALSE),0)</f>
        <v>0</v>
      </c>
      <c r="AK964" s="9">
        <f>IFERROR(VLOOKUP($A964,pivot!$A:$I,計算式2026!AK$1,FALSE),0)</f>
        <v>0</v>
      </c>
      <c r="AL964" s="9">
        <f>IFERROR(VLOOKUP($A964,pivot!$A:$I,計算式2026!AL$1,FALSE),0)</f>
        <v>0</v>
      </c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</row>
    <row r="965" spans="1:59" s="9" customFormat="1">
      <c r="A965" s="8" t="s">
        <v>628</v>
      </c>
      <c r="B965" s="8" t="s">
        <v>626</v>
      </c>
      <c r="C965" s="9">
        <v>0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R965" s="9">
        <v>0</v>
      </c>
      <c r="S965" s="9">
        <v>0</v>
      </c>
      <c r="T965" s="9">
        <v>1</v>
      </c>
      <c r="U965" s="9">
        <v>0</v>
      </c>
      <c r="V965" s="9">
        <v>0</v>
      </c>
      <c r="W965" s="9">
        <v>0</v>
      </c>
      <c r="X965" s="9">
        <v>0</v>
      </c>
      <c r="AE965" s="9">
        <f>IFERROR(VLOOKUP($A965,pivot!$A:$G,計算式2026!AE$1,FALSE),0)</f>
        <v>0</v>
      </c>
      <c r="AF965" s="9">
        <f>IFERROR(VLOOKUP($A965,pivot!$A:$I,計算式2026!AF$1,FALSE),0)</f>
        <v>0</v>
      </c>
      <c r="AI965" s="9">
        <f>IFERROR(VLOOKUP($A965,pivot!$A:$I,計算式2026!AI$1,FALSE),0)</f>
        <v>0</v>
      </c>
      <c r="AJ965" s="9">
        <f>IFERROR(VLOOKUP($A965,pivot!$A:$I,計算式2026!AJ$1,FALSE),0)</f>
        <v>0</v>
      </c>
      <c r="AK965" s="9">
        <f>IFERROR(VLOOKUP($A965,pivot!$A:$I,計算式2026!AK$1,FALSE),0)</f>
        <v>0</v>
      </c>
      <c r="AL965" s="9">
        <f>IFERROR(VLOOKUP($A965,pivot!$A:$I,計算式2026!AL$1,FALSE),0)</f>
        <v>0</v>
      </c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</row>
    <row r="966" spans="1:59" s="9" customFormat="1">
      <c r="A966" s="8" t="s">
        <v>629</v>
      </c>
      <c r="B966" s="8" t="s">
        <v>630</v>
      </c>
      <c r="C966" s="9">
        <v>13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R966" s="9">
        <v>2</v>
      </c>
      <c r="S966" s="9">
        <v>2</v>
      </c>
      <c r="T966" s="9">
        <v>1</v>
      </c>
      <c r="U966" s="9">
        <v>0</v>
      </c>
      <c r="V966" s="9">
        <v>2</v>
      </c>
      <c r="W966" s="9">
        <v>0</v>
      </c>
      <c r="X966" s="9">
        <v>2</v>
      </c>
      <c r="AE966" s="9">
        <f>IFERROR(VLOOKUP($A966,pivot!$A:$G,計算式2026!AE$1,FALSE),0)</f>
        <v>0</v>
      </c>
      <c r="AF966" s="9">
        <f>IFERROR(VLOOKUP($A966,pivot!$A:$I,計算式2026!AF$1,FALSE),0)</f>
        <v>0</v>
      </c>
      <c r="AI966" s="9">
        <f>IFERROR(VLOOKUP($A966,pivot!$A:$I,計算式2026!AI$1,FALSE),0)</f>
        <v>0</v>
      </c>
      <c r="AJ966" s="9">
        <f>IFERROR(VLOOKUP($A966,pivot!$A:$I,計算式2026!AJ$1,FALSE),0)</f>
        <v>0</v>
      </c>
      <c r="AK966" s="9">
        <f>IFERROR(VLOOKUP($A966,pivot!$A:$I,計算式2026!AK$1,FALSE),0)</f>
        <v>0</v>
      </c>
      <c r="AL966" s="9">
        <f>IFERROR(VLOOKUP($A966,pivot!$A:$I,計算式2026!AL$1,FALSE),0)</f>
        <v>0</v>
      </c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</row>
    <row r="967" spans="1:59" s="9" customFormat="1">
      <c r="A967" s="8" t="s">
        <v>2765</v>
      </c>
      <c r="B967" s="8" t="s">
        <v>631</v>
      </c>
      <c r="C967" s="9">
        <v>1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AE967" s="9">
        <f>IFERROR(VLOOKUP($A967,pivot!$A:$G,計算式2026!AE$1,FALSE),0)</f>
        <v>0</v>
      </c>
      <c r="AF967" s="9">
        <f>IFERROR(VLOOKUP($A967,pivot!$A:$I,計算式2026!AF$1,FALSE),0)</f>
        <v>0</v>
      </c>
      <c r="AI967" s="9">
        <f>IFERROR(VLOOKUP($A967,pivot!$A:$I,計算式2026!AI$1,FALSE),0)</f>
        <v>0</v>
      </c>
      <c r="AJ967" s="9">
        <f>IFERROR(VLOOKUP($A967,pivot!$A:$I,計算式2026!AJ$1,FALSE),0)</f>
        <v>0</v>
      </c>
      <c r="AK967" s="9">
        <f>IFERROR(VLOOKUP($A967,pivot!$A:$I,計算式2026!AK$1,FALSE),0)</f>
        <v>0</v>
      </c>
      <c r="AL967" s="9">
        <f>IFERROR(VLOOKUP($A967,pivot!$A:$I,計算式2026!AL$1,FALSE),0)</f>
        <v>0</v>
      </c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</row>
    <row r="968" spans="1:59" s="9" customFormat="1">
      <c r="A968" s="8">
        <v>77280249110</v>
      </c>
      <c r="B968" s="8" t="s">
        <v>632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1</v>
      </c>
      <c r="W968" s="9">
        <v>0</v>
      </c>
      <c r="X968" s="9">
        <v>1</v>
      </c>
      <c r="AE968" s="9">
        <f>IFERROR(VLOOKUP($A968,pivot!$A:$G,計算式2026!AE$1,FALSE),0)</f>
        <v>0</v>
      </c>
      <c r="AF968" s="9">
        <f>IFERROR(VLOOKUP($A968,pivot!$A:$I,計算式2026!AF$1,FALSE),0)</f>
        <v>0</v>
      </c>
      <c r="AI968" s="9">
        <f>IFERROR(VLOOKUP($A968,pivot!$A:$I,計算式2026!AI$1,FALSE),0)</f>
        <v>0</v>
      </c>
      <c r="AJ968" s="9">
        <f>IFERROR(VLOOKUP($A968,pivot!$A:$I,計算式2026!AJ$1,FALSE),0)</f>
        <v>0</v>
      </c>
      <c r="AK968" s="9">
        <f>IFERROR(VLOOKUP($A968,pivot!$A:$I,計算式2026!AK$1,FALSE),0)</f>
        <v>0</v>
      </c>
      <c r="AL968" s="9">
        <f>IFERROR(VLOOKUP($A968,pivot!$A:$I,計算式2026!AL$1,FALSE),0)</f>
        <v>0</v>
      </c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</row>
    <row r="969" spans="1:59" s="9" customFormat="1">
      <c r="A969" s="8">
        <v>7728024995</v>
      </c>
      <c r="B969" s="8" t="s">
        <v>632</v>
      </c>
      <c r="C969" s="9">
        <v>1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R969" s="9">
        <v>0</v>
      </c>
      <c r="S969" s="9">
        <v>0</v>
      </c>
      <c r="T969" s="9">
        <v>1</v>
      </c>
      <c r="U969" s="9">
        <v>0</v>
      </c>
      <c r="V969" s="9">
        <v>0</v>
      </c>
      <c r="W969" s="9">
        <v>1</v>
      </c>
      <c r="X969" s="9">
        <v>1</v>
      </c>
      <c r="AE969" s="9">
        <f>IFERROR(VLOOKUP($A969,pivot!$A:$G,計算式2026!AE$1,FALSE),0)</f>
        <v>0</v>
      </c>
      <c r="AF969" s="9">
        <f>IFERROR(VLOOKUP($A969,pivot!$A:$I,計算式2026!AF$1,FALSE),0)</f>
        <v>0</v>
      </c>
      <c r="AI969" s="9">
        <f>IFERROR(VLOOKUP($A969,pivot!$A:$I,計算式2026!AI$1,FALSE),0)</f>
        <v>0</v>
      </c>
      <c r="AJ969" s="9">
        <f>IFERROR(VLOOKUP($A969,pivot!$A:$I,計算式2026!AJ$1,FALSE),0)</f>
        <v>0</v>
      </c>
      <c r="AK969" s="9">
        <f>IFERROR(VLOOKUP($A969,pivot!$A:$I,計算式2026!AK$1,FALSE),0)</f>
        <v>0</v>
      </c>
      <c r="AL969" s="9">
        <f>IFERROR(VLOOKUP($A969,pivot!$A:$I,計算式2026!AL$1,FALSE),0)</f>
        <v>0</v>
      </c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</row>
    <row r="970" spans="1:59" s="9" customFormat="1">
      <c r="A970" s="8" t="s">
        <v>634</v>
      </c>
      <c r="B970" s="8" t="s">
        <v>633</v>
      </c>
      <c r="C970" s="9">
        <v>5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1</v>
      </c>
      <c r="AE970" s="9">
        <f>IFERROR(VLOOKUP($A970,pivot!$A:$G,計算式2026!AE$1,FALSE),0)</f>
        <v>0</v>
      </c>
      <c r="AF970" s="9">
        <f>IFERROR(VLOOKUP($A970,pivot!$A:$I,計算式2026!AF$1,FALSE),0)</f>
        <v>0</v>
      </c>
      <c r="AI970" s="9">
        <f>IFERROR(VLOOKUP($A970,pivot!$A:$I,計算式2026!AI$1,FALSE),0)</f>
        <v>0</v>
      </c>
      <c r="AJ970" s="9">
        <f>IFERROR(VLOOKUP($A970,pivot!$A:$I,計算式2026!AJ$1,FALSE),0)</f>
        <v>0</v>
      </c>
      <c r="AK970" s="9">
        <f>IFERROR(VLOOKUP($A970,pivot!$A:$I,計算式2026!AK$1,FALSE),0)</f>
        <v>0</v>
      </c>
      <c r="AL970" s="9">
        <f>IFERROR(VLOOKUP($A970,pivot!$A:$I,計算式2026!AL$1,FALSE),0)</f>
        <v>0</v>
      </c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</row>
    <row r="971" spans="1:59" s="9" customFormat="1">
      <c r="A971" s="8" t="s">
        <v>2134</v>
      </c>
      <c r="B971" s="8" t="s">
        <v>633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1</v>
      </c>
      <c r="AE971" s="9">
        <f>IFERROR(VLOOKUP($A971,pivot!$A:$G,計算式2026!AE$1,FALSE),0)</f>
        <v>0</v>
      </c>
      <c r="AF971" s="9">
        <f>IFERROR(VLOOKUP($A971,pivot!$A:$I,計算式2026!AF$1,FALSE),0)</f>
        <v>0</v>
      </c>
      <c r="AI971" s="9">
        <f>IFERROR(VLOOKUP($A971,pivot!$A:$I,計算式2026!AI$1,FALSE),0)</f>
        <v>0</v>
      </c>
      <c r="AJ971" s="9">
        <f>IFERROR(VLOOKUP($A971,pivot!$A:$I,計算式2026!AJ$1,FALSE),0)</f>
        <v>0</v>
      </c>
      <c r="AK971" s="9">
        <f>IFERROR(VLOOKUP($A971,pivot!$A:$I,計算式2026!AK$1,FALSE),0)</f>
        <v>0</v>
      </c>
      <c r="AL971" s="9">
        <f>IFERROR(VLOOKUP($A971,pivot!$A:$I,計算式2026!AL$1,FALSE),0)</f>
        <v>0</v>
      </c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</row>
    <row r="972" spans="1:59" s="9" customFormat="1">
      <c r="A972" s="8" t="s">
        <v>635</v>
      </c>
      <c r="B972" s="8" t="s">
        <v>636</v>
      </c>
      <c r="C972" s="9">
        <v>0</v>
      </c>
      <c r="D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R972" s="9">
        <v>0</v>
      </c>
      <c r="S972" s="9">
        <v>0</v>
      </c>
      <c r="T972" s="9">
        <v>1</v>
      </c>
      <c r="U972" s="9">
        <v>0</v>
      </c>
      <c r="V972" s="9">
        <v>0</v>
      </c>
      <c r="W972" s="9">
        <v>2</v>
      </c>
      <c r="X972" s="9">
        <v>2</v>
      </c>
      <c r="AE972" s="9">
        <f>IFERROR(VLOOKUP($A972,pivot!$A:$G,計算式2026!AE$1,FALSE),0)</f>
        <v>0</v>
      </c>
      <c r="AF972" s="9">
        <f>IFERROR(VLOOKUP($A972,pivot!$A:$I,計算式2026!AF$1,FALSE),0)</f>
        <v>0</v>
      </c>
      <c r="AI972" s="9">
        <f>IFERROR(VLOOKUP($A972,pivot!$A:$I,計算式2026!AI$1,FALSE),0)</f>
        <v>0</v>
      </c>
      <c r="AJ972" s="9">
        <f>IFERROR(VLOOKUP($A972,pivot!$A:$I,計算式2026!AJ$1,FALSE),0)</f>
        <v>0</v>
      </c>
      <c r="AK972" s="9">
        <f>IFERROR(VLOOKUP($A972,pivot!$A:$I,計算式2026!AK$1,FALSE),0)</f>
        <v>0</v>
      </c>
      <c r="AL972" s="9">
        <f>IFERROR(VLOOKUP($A972,pivot!$A:$I,計算式2026!AL$1,FALSE),0)</f>
        <v>0</v>
      </c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</row>
    <row r="973" spans="1:59" s="9" customFormat="1">
      <c r="A973" s="8" t="s">
        <v>637</v>
      </c>
      <c r="B973" s="8" t="s">
        <v>636</v>
      </c>
      <c r="C973" s="9">
        <v>0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2</v>
      </c>
      <c r="AE973" s="9">
        <f>IFERROR(VLOOKUP($A973,pivot!$A:$G,計算式2026!AE$1,FALSE),0)</f>
        <v>0</v>
      </c>
      <c r="AF973" s="9">
        <f>IFERROR(VLOOKUP($A973,pivot!$A:$I,計算式2026!AF$1,FALSE),0)</f>
        <v>0</v>
      </c>
      <c r="AI973" s="9">
        <f>IFERROR(VLOOKUP($A973,pivot!$A:$I,計算式2026!AI$1,FALSE),0)</f>
        <v>0</v>
      </c>
      <c r="AJ973" s="9">
        <f>IFERROR(VLOOKUP($A973,pivot!$A:$I,計算式2026!AJ$1,FALSE),0)</f>
        <v>0</v>
      </c>
      <c r="AK973" s="9">
        <f>IFERROR(VLOOKUP($A973,pivot!$A:$I,計算式2026!AK$1,FALSE),0)</f>
        <v>0</v>
      </c>
      <c r="AL973" s="9">
        <f>IFERROR(VLOOKUP($A973,pivot!$A:$I,計算式2026!AL$1,FALSE),0)</f>
        <v>0</v>
      </c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</row>
    <row r="974" spans="1:59" s="9" customFormat="1">
      <c r="A974" s="8" t="s">
        <v>638</v>
      </c>
      <c r="B974" s="8" t="s">
        <v>636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R974" s="9">
        <v>0</v>
      </c>
      <c r="S974" s="9">
        <v>0</v>
      </c>
      <c r="T974" s="9">
        <v>1</v>
      </c>
      <c r="U974" s="9">
        <v>0</v>
      </c>
      <c r="V974" s="9">
        <v>0</v>
      </c>
      <c r="W974" s="9">
        <v>2</v>
      </c>
      <c r="X974" s="9">
        <v>1</v>
      </c>
      <c r="AE974" s="9">
        <f>IFERROR(VLOOKUP($A974,pivot!$A:$G,計算式2026!AE$1,FALSE),0)</f>
        <v>0</v>
      </c>
      <c r="AF974" s="9">
        <f>IFERROR(VLOOKUP($A974,pivot!$A:$I,計算式2026!AF$1,FALSE),0)</f>
        <v>0</v>
      </c>
      <c r="AI974" s="9">
        <f>IFERROR(VLOOKUP($A974,pivot!$A:$I,計算式2026!AI$1,FALSE),0)</f>
        <v>0</v>
      </c>
      <c r="AJ974" s="9">
        <f>IFERROR(VLOOKUP($A974,pivot!$A:$I,計算式2026!AJ$1,FALSE),0)</f>
        <v>0</v>
      </c>
      <c r="AK974" s="9">
        <f>IFERROR(VLOOKUP($A974,pivot!$A:$I,計算式2026!AK$1,FALSE),0)</f>
        <v>0</v>
      </c>
      <c r="AL974" s="9">
        <f>IFERROR(VLOOKUP($A974,pivot!$A:$I,計算式2026!AL$1,FALSE),0)</f>
        <v>0</v>
      </c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</row>
    <row r="975" spans="1:59" s="9" customFormat="1">
      <c r="A975" s="8" t="s">
        <v>639</v>
      </c>
      <c r="B975" s="8" t="s">
        <v>636</v>
      </c>
      <c r="C975" s="9">
        <v>0</v>
      </c>
      <c r="D975" s="9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1</v>
      </c>
      <c r="AE975" s="9">
        <f>IFERROR(VLOOKUP($A975,pivot!$A:$G,計算式2026!AE$1,FALSE),0)</f>
        <v>0</v>
      </c>
      <c r="AF975" s="9">
        <f>IFERROR(VLOOKUP($A975,pivot!$A:$I,計算式2026!AF$1,FALSE),0)</f>
        <v>0</v>
      </c>
      <c r="AI975" s="9">
        <f>IFERROR(VLOOKUP($A975,pivot!$A:$I,計算式2026!AI$1,FALSE),0)</f>
        <v>0</v>
      </c>
      <c r="AJ975" s="9">
        <f>IFERROR(VLOOKUP($A975,pivot!$A:$I,計算式2026!AJ$1,FALSE),0)</f>
        <v>0</v>
      </c>
      <c r="AK975" s="9">
        <f>IFERROR(VLOOKUP($A975,pivot!$A:$I,計算式2026!AK$1,FALSE),0)</f>
        <v>0</v>
      </c>
      <c r="AL975" s="9">
        <f>IFERROR(VLOOKUP($A975,pivot!$A:$I,計算式2026!AL$1,FALSE),0)</f>
        <v>0</v>
      </c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</row>
    <row r="976" spans="1:59" s="9" customFormat="1">
      <c r="A976" s="8" t="s">
        <v>640</v>
      </c>
      <c r="B976" s="8" t="s">
        <v>641</v>
      </c>
      <c r="C976" s="9">
        <v>0</v>
      </c>
      <c r="D976" s="9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1</v>
      </c>
      <c r="AE976" s="9">
        <f>IFERROR(VLOOKUP($A976,pivot!$A:$G,計算式2026!AE$1,FALSE),0)</f>
        <v>0</v>
      </c>
      <c r="AF976" s="9">
        <f>IFERROR(VLOOKUP($A976,pivot!$A:$I,計算式2026!AF$1,FALSE),0)</f>
        <v>0</v>
      </c>
      <c r="AI976" s="9">
        <f>IFERROR(VLOOKUP($A976,pivot!$A:$I,計算式2026!AI$1,FALSE),0)</f>
        <v>0</v>
      </c>
      <c r="AJ976" s="9">
        <f>IFERROR(VLOOKUP($A976,pivot!$A:$I,計算式2026!AJ$1,FALSE),0)</f>
        <v>0</v>
      </c>
      <c r="AK976" s="9">
        <f>IFERROR(VLOOKUP($A976,pivot!$A:$I,計算式2026!AK$1,FALSE),0)</f>
        <v>0</v>
      </c>
      <c r="AL976" s="9">
        <f>IFERROR(VLOOKUP($A976,pivot!$A:$I,計算式2026!AL$1,FALSE),0)</f>
        <v>0</v>
      </c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</row>
    <row r="977" spans="1:59" s="9" customFormat="1">
      <c r="A977" s="8" t="s">
        <v>642</v>
      </c>
      <c r="B977" s="8" t="s">
        <v>641</v>
      </c>
      <c r="C977" s="9">
        <v>0</v>
      </c>
      <c r="D977" s="9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1</v>
      </c>
      <c r="AE977" s="9">
        <f>IFERROR(VLOOKUP($A977,pivot!$A:$G,計算式2026!AE$1,FALSE),0)</f>
        <v>0</v>
      </c>
      <c r="AF977" s="9">
        <f>IFERROR(VLOOKUP($A977,pivot!$A:$I,計算式2026!AF$1,FALSE),0)</f>
        <v>0</v>
      </c>
      <c r="AI977" s="9">
        <f>IFERROR(VLOOKUP($A977,pivot!$A:$I,計算式2026!AI$1,FALSE),0)</f>
        <v>0</v>
      </c>
      <c r="AJ977" s="9">
        <f>IFERROR(VLOOKUP($A977,pivot!$A:$I,計算式2026!AJ$1,FALSE),0)</f>
        <v>0</v>
      </c>
      <c r="AK977" s="9">
        <f>IFERROR(VLOOKUP($A977,pivot!$A:$I,計算式2026!AK$1,FALSE),0)</f>
        <v>0</v>
      </c>
      <c r="AL977" s="9">
        <f>IFERROR(VLOOKUP($A977,pivot!$A:$I,計算式2026!AL$1,FALSE),0)</f>
        <v>0</v>
      </c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</row>
    <row r="978" spans="1:59" s="9" customFormat="1">
      <c r="A978" s="8" t="s">
        <v>2135</v>
      </c>
      <c r="B978" s="8" t="s">
        <v>641</v>
      </c>
      <c r="C978" s="9">
        <v>0</v>
      </c>
      <c r="D978" s="9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1</v>
      </c>
      <c r="AE978" s="9">
        <f>IFERROR(VLOOKUP($A978,pivot!$A:$G,計算式2026!AE$1,FALSE),0)</f>
        <v>0</v>
      </c>
      <c r="AF978" s="9">
        <f>IFERROR(VLOOKUP($A978,pivot!$A:$I,計算式2026!AF$1,FALSE),0)</f>
        <v>0</v>
      </c>
      <c r="AI978" s="9">
        <f>IFERROR(VLOOKUP($A978,pivot!$A:$I,計算式2026!AI$1,FALSE),0)</f>
        <v>0</v>
      </c>
      <c r="AJ978" s="9">
        <f>IFERROR(VLOOKUP($A978,pivot!$A:$I,計算式2026!AJ$1,FALSE),0)</f>
        <v>0</v>
      </c>
      <c r="AK978" s="9">
        <f>IFERROR(VLOOKUP($A978,pivot!$A:$I,計算式2026!AK$1,FALSE),0)</f>
        <v>0</v>
      </c>
      <c r="AL978" s="9">
        <f>IFERROR(VLOOKUP($A978,pivot!$A:$I,計算式2026!AL$1,FALSE),0)</f>
        <v>0</v>
      </c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</row>
    <row r="979" spans="1:59" s="9" customFormat="1">
      <c r="A979" s="8" t="s">
        <v>643</v>
      </c>
      <c r="B979" s="8" t="s">
        <v>641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1</v>
      </c>
      <c r="AE979" s="9">
        <f>IFERROR(VLOOKUP($A979,pivot!$A:$G,計算式2026!AE$1,FALSE),0)</f>
        <v>0</v>
      </c>
      <c r="AF979" s="9">
        <f>IFERROR(VLOOKUP($A979,pivot!$A:$I,計算式2026!AF$1,FALSE),0)</f>
        <v>0</v>
      </c>
      <c r="AI979" s="9">
        <f>IFERROR(VLOOKUP($A979,pivot!$A:$I,計算式2026!AI$1,FALSE),0)</f>
        <v>0</v>
      </c>
      <c r="AJ979" s="9">
        <f>IFERROR(VLOOKUP($A979,pivot!$A:$I,計算式2026!AJ$1,FALSE),0)</f>
        <v>0</v>
      </c>
      <c r="AK979" s="9">
        <f>IFERROR(VLOOKUP($A979,pivot!$A:$I,計算式2026!AK$1,FALSE),0)</f>
        <v>0</v>
      </c>
      <c r="AL979" s="9">
        <f>IFERROR(VLOOKUP($A979,pivot!$A:$I,計算式2026!AL$1,FALSE),0)</f>
        <v>0</v>
      </c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</row>
    <row r="980" spans="1:59" s="9" customFormat="1">
      <c r="A980" s="8" t="s">
        <v>1487</v>
      </c>
      <c r="B980" s="8" t="s">
        <v>645</v>
      </c>
      <c r="C980" s="9">
        <v>0</v>
      </c>
      <c r="D980" s="9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AE980" s="9">
        <f>IFERROR(VLOOKUP($A980,pivot!$A:$G,計算式2026!AE$1,FALSE),0)</f>
        <v>0</v>
      </c>
      <c r="AF980" s="9">
        <f>IFERROR(VLOOKUP($A980,pivot!$A:$I,計算式2026!AF$1,FALSE),0)</f>
        <v>0</v>
      </c>
      <c r="AI980" s="9">
        <f>IFERROR(VLOOKUP($A980,pivot!$A:$I,計算式2026!AI$1,FALSE),0)</f>
        <v>0</v>
      </c>
      <c r="AJ980" s="9">
        <f>IFERROR(VLOOKUP($A980,pivot!$A:$I,計算式2026!AJ$1,FALSE),0)</f>
        <v>0</v>
      </c>
      <c r="AK980" s="9">
        <f>IFERROR(VLOOKUP($A980,pivot!$A:$I,計算式2026!AK$1,FALSE),0)</f>
        <v>0</v>
      </c>
      <c r="AL980" s="9">
        <f>IFERROR(VLOOKUP($A980,pivot!$A:$I,計算式2026!AL$1,FALSE),0)</f>
        <v>0</v>
      </c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</row>
    <row r="981" spans="1:59" s="9" customFormat="1">
      <c r="A981" s="8" t="s">
        <v>644</v>
      </c>
      <c r="B981" s="8" t="s">
        <v>645</v>
      </c>
      <c r="C981" s="9">
        <v>34</v>
      </c>
      <c r="D981" s="9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R981" s="9">
        <v>1</v>
      </c>
      <c r="S981" s="9">
        <v>2</v>
      </c>
      <c r="T981" s="9">
        <v>1</v>
      </c>
      <c r="U981" s="9">
        <v>0</v>
      </c>
      <c r="V981" s="9">
        <v>3</v>
      </c>
      <c r="W981" s="9">
        <v>0</v>
      </c>
      <c r="X981" s="9">
        <v>1</v>
      </c>
      <c r="AE981" s="9">
        <f>IFERROR(VLOOKUP($A981,pivot!$A:$G,計算式2026!AE$1,FALSE),0)</f>
        <v>0</v>
      </c>
      <c r="AF981" s="9">
        <f>IFERROR(VLOOKUP($A981,pivot!$A:$I,計算式2026!AF$1,FALSE),0)</f>
        <v>0</v>
      </c>
      <c r="AI981" s="9">
        <f>IFERROR(VLOOKUP($A981,pivot!$A:$I,計算式2026!AI$1,FALSE),0)</f>
        <v>0</v>
      </c>
      <c r="AJ981" s="9">
        <f>IFERROR(VLOOKUP($A981,pivot!$A:$I,計算式2026!AJ$1,FALSE),0)</f>
        <v>0</v>
      </c>
      <c r="AK981" s="9">
        <f>IFERROR(VLOOKUP($A981,pivot!$A:$I,計算式2026!AK$1,FALSE),0)</f>
        <v>0</v>
      </c>
      <c r="AL981" s="9">
        <f>IFERROR(VLOOKUP($A981,pivot!$A:$I,計算式2026!AL$1,FALSE),0)</f>
        <v>0</v>
      </c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</row>
    <row r="982" spans="1:59" s="9" customFormat="1">
      <c r="A982" s="8" t="s">
        <v>646</v>
      </c>
      <c r="B982" s="8" t="s">
        <v>645</v>
      </c>
      <c r="C982" s="9">
        <v>0</v>
      </c>
      <c r="D982" s="9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1</v>
      </c>
      <c r="AE982" s="9">
        <f>IFERROR(VLOOKUP($A982,pivot!$A:$G,計算式2026!AE$1,FALSE),0)</f>
        <v>0</v>
      </c>
      <c r="AF982" s="9">
        <f>IFERROR(VLOOKUP($A982,pivot!$A:$I,計算式2026!AF$1,FALSE),0)</f>
        <v>0</v>
      </c>
      <c r="AI982" s="9">
        <f>IFERROR(VLOOKUP($A982,pivot!$A:$I,計算式2026!AI$1,FALSE),0)</f>
        <v>0</v>
      </c>
      <c r="AJ982" s="9">
        <f>IFERROR(VLOOKUP($A982,pivot!$A:$I,計算式2026!AJ$1,FALSE),0)</f>
        <v>0</v>
      </c>
      <c r="AK982" s="9">
        <f>IFERROR(VLOOKUP($A982,pivot!$A:$I,計算式2026!AK$1,FALSE),0)</f>
        <v>0</v>
      </c>
      <c r="AL982" s="9">
        <f>IFERROR(VLOOKUP($A982,pivot!$A:$I,計算式2026!AL$1,FALSE),0)</f>
        <v>0</v>
      </c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</row>
    <row r="983" spans="1:59" s="9" customFormat="1">
      <c r="A983" s="8" t="s">
        <v>2136</v>
      </c>
      <c r="B983" s="8" t="s">
        <v>645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1</v>
      </c>
      <c r="AE983" s="9">
        <f>IFERROR(VLOOKUP($A983,pivot!$A:$G,計算式2026!AE$1,FALSE),0)</f>
        <v>0</v>
      </c>
      <c r="AF983" s="9">
        <f>IFERROR(VLOOKUP($A983,pivot!$A:$I,計算式2026!AF$1,FALSE),0)</f>
        <v>0</v>
      </c>
      <c r="AI983" s="9">
        <f>IFERROR(VLOOKUP($A983,pivot!$A:$I,計算式2026!AI$1,FALSE),0)</f>
        <v>0</v>
      </c>
      <c r="AJ983" s="9">
        <f>IFERROR(VLOOKUP($A983,pivot!$A:$I,計算式2026!AJ$1,FALSE),0)</f>
        <v>0</v>
      </c>
      <c r="AK983" s="9">
        <f>IFERROR(VLOOKUP($A983,pivot!$A:$I,計算式2026!AK$1,FALSE),0)</f>
        <v>0</v>
      </c>
      <c r="AL983" s="9">
        <f>IFERROR(VLOOKUP($A983,pivot!$A:$I,計算式2026!AL$1,FALSE),0)</f>
        <v>0</v>
      </c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</row>
    <row r="984" spans="1:59" s="9" customFormat="1">
      <c r="A984" s="8" t="s">
        <v>647</v>
      </c>
      <c r="B984" s="8" t="s">
        <v>645</v>
      </c>
      <c r="C984" s="9">
        <v>0</v>
      </c>
      <c r="D984" s="9">
        <v>5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R984" s="9">
        <v>1</v>
      </c>
      <c r="S984" s="9">
        <v>3</v>
      </c>
      <c r="T984" s="9">
        <v>2</v>
      </c>
      <c r="U984" s="9">
        <v>0</v>
      </c>
      <c r="V984" s="9">
        <v>3</v>
      </c>
      <c r="W984" s="9">
        <v>0</v>
      </c>
      <c r="X984" s="9">
        <v>1</v>
      </c>
      <c r="AE984" s="9">
        <f>IFERROR(VLOOKUP($A984,pivot!$A:$G,計算式2026!AE$1,FALSE),0)</f>
        <v>0</v>
      </c>
      <c r="AF984" s="9">
        <f>IFERROR(VLOOKUP($A984,pivot!$A:$I,計算式2026!AF$1,FALSE),0)</f>
        <v>0</v>
      </c>
      <c r="AI984" s="9">
        <f>IFERROR(VLOOKUP($A984,pivot!$A:$I,計算式2026!AI$1,FALSE),0)</f>
        <v>0</v>
      </c>
      <c r="AJ984" s="9">
        <f>IFERROR(VLOOKUP($A984,pivot!$A:$I,計算式2026!AJ$1,FALSE),0)</f>
        <v>0</v>
      </c>
      <c r="AK984" s="9">
        <f>IFERROR(VLOOKUP($A984,pivot!$A:$I,計算式2026!AK$1,FALSE),0)</f>
        <v>0</v>
      </c>
      <c r="AL984" s="9">
        <f>IFERROR(VLOOKUP($A984,pivot!$A:$I,計算式2026!AL$1,FALSE),0)</f>
        <v>0</v>
      </c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</row>
    <row r="985" spans="1:59" s="9" customFormat="1">
      <c r="A985" s="8" t="s">
        <v>648</v>
      </c>
      <c r="B985" s="8" t="s">
        <v>645</v>
      </c>
      <c r="C985" s="9">
        <v>42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R985" s="9">
        <v>2</v>
      </c>
      <c r="S985" s="9">
        <v>3</v>
      </c>
      <c r="T985" s="9">
        <v>1</v>
      </c>
      <c r="U985" s="9">
        <v>0</v>
      </c>
      <c r="V985" s="9">
        <v>3</v>
      </c>
      <c r="W985" s="9">
        <v>0</v>
      </c>
      <c r="X985" s="9">
        <v>1</v>
      </c>
      <c r="AE985" s="9">
        <f>IFERROR(VLOOKUP($A985,pivot!$A:$G,計算式2026!AE$1,FALSE),0)</f>
        <v>0</v>
      </c>
      <c r="AF985" s="9">
        <f>IFERROR(VLOOKUP($A985,pivot!$A:$I,計算式2026!AF$1,FALSE),0)</f>
        <v>0</v>
      </c>
      <c r="AI985" s="9">
        <f>IFERROR(VLOOKUP($A985,pivot!$A:$I,計算式2026!AI$1,FALSE),0)</f>
        <v>0</v>
      </c>
      <c r="AJ985" s="9">
        <f>IFERROR(VLOOKUP($A985,pivot!$A:$I,計算式2026!AJ$1,FALSE),0)</f>
        <v>0</v>
      </c>
      <c r="AK985" s="9">
        <f>IFERROR(VLOOKUP($A985,pivot!$A:$I,計算式2026!AK$1,FALSE),0)</f>
        <v>1</v>
      </c>
      <c r="AL985" s="9">
        <f>IFERROR(VLOOKUP($A985,pivot!$A:$I,計算式2026!AL$1,FALSE),0)</f>
        <v>0</v>
      </c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</row>
    <row r="986" spans="1:59" s="9" customFormat="1">
      <c r="A986" s="8" t="s">
        <v>2137</v>
      </c>
      <c r="B986" s="8" t="s">
        <v>645</v>
      </c>
      <c r="C986" s="9">
        <v>0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R986" s="9">
        <v>1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AE986" s="9">
        <f>IFERROR(VLOOKUP($A986,pivot!$A:$G,計算式2026!AE$1,FALSE),0)</f>
        <v>0</v>
      </c>
      <c r="AF986" s="9">
        <f>IFERROR(VLOOKUP($A986,pivot!$A:$I,計算式2026!AF$1,FALSE),0)</f>
        <v>0</v>
      </c>
      <c r="AI986" s="9">
        <f>IFERROR(VLOOKUP($A986,pivot!$A:$I,計算式2026!AI$1,FALSE),0)</f>
        <v>0</v>
      </c>
      <c r="AJ986" s="9">
        <f>IFERROR(VLOOKUP($A986,pivot!$A:$I,計算式2026!AJ$1,FALSE),0)</f>
        <v>0</v>
      </c>
      <c r="AK986" s="9">
        <f>IFERROR(VLOOKUP($A986,pivot!$A:$I,計算式2026!AK$1,FALSE),0)</f>
        <v>0</v>
      </c>
      <c r="AL986" s="9">
        <f>IFERROR(VLOOKUP($A986,pivot!$A:$I,計算式2026!AL$1,FALSE),0)</f>
        <v>0</v>
      </c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</row>
    <row r="987" spans="1:59" s="9" customFormat="1">
      <c r="A987" s="8" t="s">
        <v>649</v>
      </c>
      <c r="B987" s="8" t="s">
        <v>645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R987" s="9">
        <v>0</v>
      </c>
      <c r="S987" s="9">
        <v>2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AE987" s="9">
        <f>IFERROR(VLOOKUP($A987,pivot!$A:$G,計算式2026!AE$1,FALSE),0)</f>
        <v>0</v>
      </c>
      <c r="AF987" s="9">
        <f>IFERROR(VLOOKUP($A987,pivot!$A:$I,計算式2026!AF$1,FALSE),0)</f>
        <v>0</v>
      </c>
      <c r="AI987" s="9">
        <f>IFERROR(VLOOKUP($A987,pivot!$A:$I,計算式2026!AI$1,FALSE),0)</f>
        <v>0</v>
      </c>
      <c r="AJ987" s="9">
        <f>IFERROR(VLOOKUP($A987,pivot!$A:$I,計算式2026!AJ$1,FALSE),0)</f>
        <v>1</v>
      </c>
      <c r="AK987" s="9">
        <f>IFERROR(VLOOKUP($A987,pivot!$A:$I,計算式2026!AK$1,FALSE),0)</f>
        <v>0</v>
      </c>
      <c r="AL987" s="9">
        <f>IFERROR(VLOOKUP($A987,pivot!$A:$I,計算式2026!AL$1,FALSE),0)</f>
        <v>0</v>
      </c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</row>
    <row r="988" spans="1:59" s="9" customFormat="1">
      <c r="A988" s="8" t="s">
        <v>651</v>
      </c>
      <c r="B988" s="8" t="s">
        <v>650</v>
      </c>
      <c r="C988" s="9">
        <v>0</v>
      </c>
      <c r="D988" s="9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1</v>
      </c>
      <c r="AE988" s="9">
        <f>IFERROR(VLOOKUP($A988,pivot!$A:$G,計算式2026!AE$1,FALSE),0)</f>
        <v>0</v>
      </c>
      <c r="AF988" s="9">
        <f>IFERROR(VLOOKUP($A988,pivot!$A:$I,計算式2026!AF$1,FALSE),0)</f>
        <v>0</v>
      </c>
      <c r="AI988" s="9">
        <f>IFERROR(VLOOKUP($A988,pivot!$A:$I,計算式2026!AI$1,FALSE),0)</f>
        <v>0</v>
      </c>
      <c r="AJ988" s="9">
        <f>IFERROR(VLOOKUP($A988,pivot!$A:$I,計算式2026!AJ$1,FALSE),0)</f>
        <v>0</v>
      </c>
      <c r="AK988" s="9">
        <f>IFERROR(VLOOKUP($A988,pivot!$A:$I,計算式2026!AK$1,FALSE),0)</f>
        <v>0</v>
      </c>
      <c r="AL988" s="9">
        <f>IFERROR(VLOOKUP($A988,pivot!$A:$I,計算式2026!AL$1,FALSE),0)</f>
        <v>0</v>
      </c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</row>
    <row r="989" spans="1:59" s="9" customFormat="1">
      <c r="A989" s="8" t="s">
        <v>1752</v>
      </c>
      <c r="B989" s="8" t="s">
        <v>652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1</v>
      </c>
      <c r="AE989" s="9">
        <f>IFERROR(VLOOKUP($A989,pivot!$A:$G,計算式2026!AE$1,FALSE),0)</f>
        <v>0</v>
      </c>
      <c r="AF989" s="9">
        <f>IFERROR(VLOOKUP($A989,pivot!$A:$I,計算式2026!AF$1,FALSE),0)</f>
        <v>0</v>
      </c>
      <c r="AI989" s="9">
        <f>IFERROR(VLOOKUP($A989,pivot!$A:$I,計算式2026!AI$1,FALSE),0)</f>
        <v>0</v>
      </c>
      <c r="AJ989" s="9">
        <f>IFERROR(VLOOKUP($A989,pivot!$A:$I,計算式2026!AJ$1,FALSE),0)</f>
        <v>0</v>
      </c>
      <c r="AK989" s="9">
        <f>IFERROR(VLOOKUP($A989,pivot!$A:$I,計算式2026!AK$1,FALSE),0)</f>
        <v>0</v>
      </c>
      <c r="AL989" s="9">
        <f>IFERROR(VLOOKUP($A989,pivot!$A:$I,計算式2026!AL$1,FALSE),0)</f>
        <v>0</v>
      </c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</row>
    <row r="990" spans="1:59" s="9" customFormat="1">
      <c r="A990" s="8" t="s">
        <v>653</v>
      </c>
      <c r="B990" s="8" t="s">
        <v>652</v>
      </c>
      <c r="C990" s="9">
        <v>0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R990" s="9">
        <v>0</v>
      </c>
      <c r="S990" s="9">
        <v>0</v>
      </c>
      <c r="T990" s="9">
        <v>1</v>
      </c>
      <c r="U990" s="9">
        <v>0</v>
      </c>
      <c r="V990" s="9">
        <v>0</v>
      </c>
      <c r="W990" s="9">
        <v>0</v>
      </c>
      <c r="X990" s="9">
        <v>0</v>
      </c>
      <c r="AE990" s="9">
        <f>IFERROR(VLOOKUP($A990,pivot!$A:$G,計算式2026!AE$1,FALSE),0)</f>
        <v>0</v>
      </c>
      <c r="AF990" s="9">
        <f>IFERROR(VLOOKUP($A990,pivot!$A:$I,計算式2026!AF$1,FALSE),0)</f>
        <v>0</v>
      </c>
      <c r="AI990" s="9">
        <f>IFERROR(VLOOKUP($A990,pivot!$A:$I,計算式2026!AI$1,FALSE),0)</f>
        <v>0</v>
      </c>
      <c r="AJ990" s="9">
        <f>IFERROR(VLOOKUP($A990,pivot!$A:$I,計算式2026!AJ$1,FALSE),0)</f>
        <v>0</v>
      </c>
      <c r="AK990" s="9">
        <f>IFERROR(VLOOKUP($A990,pivot!$A:$I,計算式2026!AK$1,FALSE),0)</f>
        <v>0</v>
      </c>
      <c r="AL990" s="9">
        <f>IFERROR(VLOOKUP($A990,pivot!$A:$I,計算式2026!AL$1,FALSE),0)</f>
        <v>0</v>
      </c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</row>
    <row r="991" spans="1:59" s="9" customFormat="1">
      <c r="A991" s="8" t="s">
        <v>654</v>
      </c>
      <c r="B991" s="8" t="s">
        <v>652</v>
      </c>
      <c r="C991" s="9">
        <v>0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R991" s="9">
        <v>0</v>
      </c>
      <c r="S991" s="9">
        <v>0</v>
      </c>
      <c r="T991" s="9">
        <v>1</v>
      </c>
      <c r="U991" s="9">
        <v>0</v>
      </c>
      <c r="V991" s="9">
        <v>0</v>
      </c>
      <c r="W991" s="9">
        <v>0</v>
      </c>
      <c r="X991" s="9">
        <v>0</v>
      </c>
      <c r="AE991" s="9">
        <f>IFERROR(VLOOKUP($A991,pivot!$A:$G,計算式2026!AE$1,FALSE),0)</f>
        <v>0</v>
      </c>
      <c r="AF991" s="9">
        <f>IFERROR(VLOOKUP($A991,pivot!$A:$I,計算式2026!AF$1,FALSE),0)</f>
        <v>0</v>
      </c>
      <c r="AI991" s="9">
        <f>IFERROR(VLOOKUP($A991,pivot!$A:$I,計算式2026!AI$1,FALSE),0)</f>
        <v>0</v>
      </c>
      <c r="AJ991" s="9">
        <f>IFERROR(VLOOKUP($A991,pivot!$A:$I,計算式2026!AJ$1,FALSE),0)</f>
        <v>0</v>
      </c>
      <c r="AK991" s="9">
        <f>IFERROR(VLOOKUP($A991,pivot!$A:$I,計算式2026!AK$1,FALSE),0)</f>
        <v>0</v>
      </c>
      <c r="AL991" s="9">
        <f>IFERROR(VLOOKUP($A991,pivot!$A:$I,計算式2026!AL$1,FALSE),0)</f>
        <v>0</v>
      </c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</row>
    <row r="992" spans="1:59" s="9" customFormat="1">
      <c r="A992" s="8" t="s">
        <v>1753</v>
      </c>
      <c r="B992" s="8" t="s">
        <v>652</v>
      </c>
      <c r="C992" s="9">
        <v>0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1</v>
      </c>
      <c r="AE992" s="9">
        <f>IFERROR(VLOOKUP($A992,pivot!$A:$G,計算式2026!AE$1,FALSE),0)</f>
        <v>0</v>
      </c>
      <c r="AF992" s="9">
        <f>IFERROR(VLOOKUP($A992,pivot!$A:$I,計算式2026!AF$1,FALSE),0)</f>
        <v>0</v>
      </c>
      <c r="AI992" s="9">
        <f>IFERROR(VLOOKUP($A992,pivot!$A:$I,計算式2026!AI$1,FALSE),0)</f>
        <v>0</v>
      </c>
      <c r="AJ992" s="9">
        <f>IFERROR(VLOOKUP($A992,pivot!$A:$I,計算式2026!AJ$1,FALSE),0)</f>
        <v>0</v>
      </c>
      <c r="AK992" s="9">
        <f>IFERROR(VLOOKUP($A992,pivot!$A:$I,計算式2026!AK$1,FALSE),0)</f>
        <v>0</v>
      </c>
      <c r="AL992" s="9">
        <f>IFERROR(VLOOKUP($A992,pivot!$A:$I,計算式2026!AL$1,FALSE),0)</f>
        <v>0</v>
      </c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</row>
    <row r="993" spans="1:59" s="9" customFormat="1">
      <c r="A993" s="8" t="s">
        <v>656</v>
      </c>
      <c r="B993" s="8" t="s">
        <v>655</v>
      </c>
      <c r="C993" s="9">
        <v>0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R993" s="9">
        <v>0</v>
      </c>
      <c r="S993" s="9">
        <v>0</v>
      </c>
      <c r="T993" s="9">
        <v>1</v>
      </c>
      <c r="U993" s="9">
        <v>0</v>
      </c>
      <c r="V993" s="9">
        <v>0</v>
      </c>
      <c r="W993" s="9">
        <v>0</v>
      </c>
      <c r="X993" s="9">
        <v>1</v>
      </c>
      <c r="AE993" s="9">
        <f>IFERROR(VLOOKUP($A993,pivot!$A:$G,計算式2026!AE$1,FALSE),0)</f>
        <v>0</v>
      </c>
      <c r="AF993" s="9">
        <f>IFERROR(VLOOKUP($A993,pivot!$A:$I,計算式2026!AF$1,FALSE),0)</f>
        <v>0</v>
      </c>
      <c r="AI993" s="9">
        <f>IFERROR(VLOOKUP($A993,pivot!$A:$I,計算式2026!AI$1,FALSE),0)</f>
        <v>0</v>
      </c>
      <c r="AJ993" s="9">
        <f>IFERROR(VLOOKUP($A993,pivot!$A:$I,計算式2026!AJ$1,FALSE),0)</f>
        <v>0</v>
      </c>
      <c r="AK993" s="9">
        <f>IFERROR(VLOOKUP($A993,pivot!$A:$I,計算式2026!AK$1,FALSE),0)</f>
        <v>0</v>
      </c>
      <c r="AL993" s="9">
        <f>IFERROR(VLOOKUP($A993,pivot!$A:$I,計算式2026!AL$1,FALSE),0)</f>
        <v>0</v>
      </c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</row>
    <row r="994" spans="1:59" s="9" customFormat="1">
      <c r="A994" s="8" t="s">
        <v>2766</v>
      </c>
      <c r="B994" s="8" t="s">
        <v>655</v>
      </c>
      <c r="C994" s="9">
        <v>0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R994" s="9">
        <v>3</v>
      </c>
      <c r="S994" s="9">
        <v>3</v>
      </c>
      <c r="T994" s="9">
        <v>1</v>
      </c>
      <c r="U994" s="9">
        <v>0</v>
      </c>
      <c r="V994" s="9">
        <v>3</v>
      </c>
      <c r="W994" s="9">
        <v>0</v>
      </c>
      <c r="X994" s="9">
        <v>2</v>
      </c>
      <c r="AE994" s="9">
        <f>IFERROR(VLOOKUP($A994,pivot!$A:$G,計算式2026!AE$1,FALSE),0)</f>
        <v>0</v>
      </c>
      <c r="AF994" s="9">
        <f>IFERROR(VLOOKUP($A994,pivot!$A:$I,計算式2026!AF$1,FALSE),0)</f>
        <v>0</v>
      </c>
      <c r="AI994" s="9">
        <f>IFERROR(VLOOKUP($A994,pivot!$A:$I,計算式2026!AI$1,FALSE),0)</f>
        <v>0</v>
      </c>
      <c r="AJ994" s="9">
        <f>IFERROR(VLOOKUP($A994,pivot!$A:$I,計算式2026!AJ$1,FALSE),0)</f>
        <v>0</v>
      </c>
      <c r="AK994" s="9">
        <f>IFERROR(VLOOKUP($A994,pivot!$A:$I,計算式2026!AK$1,FALSE),0)</f>
        <v>0</v>
      </c>
      <c r="AL994" s="9">
        <f>IFERROR(VLOOKUP($A994,pivot!$A:$I,計算式2026!AL$1,FALSE),0)</f>
        <v>0</v>
      </c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</row>
    <row r="995" spans="1:59" s="9" customFormat="1">
      <c r="A995" s="8" t="s">
        <v>2767</v>
      </c>
      <c r="B995" s="8" t="s">
        <v>655</v>
      </c>
      <c r="C995" s="9">
        <v>0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R995" s="9">
        <v>2</v>
      </c>
      <c r="S995" s="9">
        <v>1</v>
      </c>
      <c r="T995" s="9">
        <v>2</v>
      </c>
      <c r="U995" s="9">
        <v>0</v>
      </c>
      <c r="V995" s="9">
        <v>3</v>
      </c>
      <c r="W995" s="9">
        <v>0</v>
      </c>
      <c r="X995" s="9">
        <v>3</v>
      </c>
      <c r="AE995" s="9">
        <f>IFERROR(VLOOKUP($A995,pivot!$A:$G,計算式2026!AE$1,FALSE),0)</f>
        <v>0</v>
      </c>
      <c r="AF995" s="9">
        <f>IFERROR(VLOOKUP($A995,pivot!$A:$I,計算式2026!AF$1,FALSE),0)</f>
        <v>0</v>
      </c>
      <c r="AI995" s="9">
        <f>IFERROR(VLOOKUP($A995,pivot!$A:$I,計算式2026!AI$1,FALSE),0)</f>
        <v>0</v>
      </c>
      <c r="AJ995" s="9">
        <f>IFERROR(VLOOKUP($A995,pivot!$A:$I,計算式2026!AJ$1,FALSE),0)</f>
        <v>0</v>
      </c>
      <c r="AK995" s="9">
        <f>IFERROR(VLOOKUP($A995,pivot!$A:$I,計算式2026!AK$1,FALSE),0)</f>
        <v>0</v>
      </c>
      <c r="AL995" s="9">
        <f>IFERROR(VLOOKUP($A995,pivot!$A:$I,計算式2026!AL$1,FALSE),0)</f>
        <v>0</v>
      </c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</row>
    <row r="996" spans="1:59" s="9" customFormat="1">
      <c r="A996" s="8" t="s">
        <v>2693</v>
      </c>
      <c r="B996" s="8" t="s">
        <v>655</v>
      </c>
      <c r="C996" s="9">
        <v>0</v>
      </c>
      <c r="D996" s="9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R996" s="9">
        <v>2</v>
      </c>
      <c r="S996" s="9">
        <v>2</v>
      </c>
      <c r="T996" s="9">
        <v>1</v>
      </c>
      <c r="U996" s="9">
        <v>0</v>
      </c>
      <c r="V996" s="9">
        <v>0</v>
      </c>
      <c r="W996" s="9">
        <v>0</v>
      </c>
      <c r="X996" s="9">
        <v>2</v>
      </c>
      <c r="AE996" s="9">
        <f>IFERROR(VLOOKUP($A996,pivot!$A:$G,計算式2026!AE$1,FALSE),0)</f>
        <v>0</v>
      </c>
      <c r="AF996" s="9">
        <f>IFERROR(VLOOKUP($A996,pivot!$A:$I,計算式2026!AF$1,FALSE),0)</f>
        <v>0</v>
      </c>
      <c r="AI996" s="9">
        <f>IFERROR(VLOOKUP($A996,pivot!$A:$I,計算式2026!AI$1,FALSE),0)</f>
        <v>0</v>
      </c>
      <c r="AJ996" s="9">
        <f>IFERROR(VLOOKUP($A996,pivot!$A:$I,計算式2026!AJ$1,FALSE),0)</f>
        <v>0</v>
      </c>
      <c r="AK996" s="9">
        <f>IFERROR(VLOOKUP($A996,pivot!$A:$I,計算式2026!AK$1,FALSE),0)</f>
        <v>0</v>
      </c>
      <c r="AL996" s="9">
        <f>IFERROR(VLOOKUP($A996,pivot!$A:$I,計算式2026!AL$1,FALSE),0)</f>
        <v>0</v>
      </c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</row>
    <row r="997" spans="1:59" s="9" customFormat="1">
      <c r="A997" s="8" t="s">
        <v>657</v>
      </c>
      <c r="B997" s="8" t="s">
        <v>655</v>
      </c>
      <c r="C997" s="9">
        <v>0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1</v>
      </c>
      <c r="AE997" s="9">
        <f>IFERROR(VLOOKUP($A997,pivot!$A:$G,計算式2026!AE$1,FALSE),0)</f>
        <v>0</v>
      </c>
      <c r="AF997" s="9">
        <f>IFERROR(VLOOKUP($A997,pivot!$A:$I,計算式2026!AF$1,FALSE),0)</f>
        <v>0</v>
      </c>
      <c r="AI997" s="9">
        <f>IFERROR(VLOOKUP($A997,pivot!$A:$I,計算式2026!AI$1,FALSE),0)</f>
        <v>0</v>
      </c>
      <c r="AJ997" s="9">
        <f>IFERROR(VLOOKUP($A997,pivot!$A:$I,計算式2026!AJ$1,FALSE),0)</f>
        <v>0</v>
      </c>
      <c r="AK997" s="9">
        <f>IFERROR(VLOOKUP($A997,pivot!$A:$I,計算式2026!AK$1,FALSE),0)</f>
        <v>0</v>
      </c>
      <c r="AL997" s="9">
        <f>IFERROR(VLOOKUP($A997,pivot!$A:$I,計算式2026!AL$1,FALSE),0)</f>
        <v>0</v>
      </c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</row>
    <row r="998" spans="1:59" s="9" customFormat="1">
      <c r="A998" s="8" t="s">
        <v>2138</v>
      </c>
      <c r="B998" s="8" t="s">
        <v>655</v>
      </c>
      <c r="C998" s="9">
        <v>0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1</v>
      </c>
      <c r="AE998" s="9">
        <f>IFERROR(VLOOKUP($A998,pivot!$A:$G,計算式2026!AE$1,FALSE),0)</f>
        <v>0</v>
      </c>
      <c r="AF998" s="9">
        <f>IFERROR(VLOOKUP($A998,pivot!$A:$I,計算式2026!AF$1,FALSE),0)</f>
        <v>0</v>
      </c>
      <c r="AI998" s="9">
        <f>IFERROR(VLOOKUP($A998,pivot!$A:$I,計算式2026!AI$1,FALSE),0)</f>
        <v>0</v>
      </c>
      <c r="AJ998" s="9">
        <f>IFERROR(VLOOKUP($A998,pivot!$A:$I,計算式2026!AJ$1,FALSE),0)</f>
        <v>0</v>
      </c>
      <c r="AK998" s="9">
        <f>IFERROR(VLOOKUP($A998,pivot!$A:$I,計算式2026!AK$1,FALSE),0)</f>
        <v>0</v>
      </c>
      <c r="AL998" s="9">
        <f>IFERROR(VLOOKUP($A998,pivot!$A:$I,計算式2026!AL$1,FALSE),0)</f>
        <v>0</v>
      </c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</row>
    <row r="999" spans="1:59" s="9" customFormat="1">
      <c r="A999" s="8" t="s">
        <v>658</v>
      </c>
      <c r="B999" s="8" t="s">
        <v>659</v>
      </c>
      <c r="C999" s="9">
        <v>4</v>
      </c>
      <c r="D999" s="9">
        <v>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R999" s="9">
        <v>0</v>
      </c>
      <c r="S999" s="9">
        <v>0</v>
      </c>
      <c r="T999" s="9">
        <v>1</v>
      </c>
      <c r="U999" s="9">
        <v>3</v>
      </c>
      <c r="V999" s="9">
        <v>2</v>
      </c>
      <c r="W999" s="9">
        <v>0</v>
      </c>
      <c r="X999" s="9">
        <v>1</v>
      </c>
      <c r="AE999" s="9">
        <f>IFERROR(VLOOKUP($A999,pivot!$A:$G,計算式2026!AE$1,FALSE),0)</f>
        <v>0</v>
      </c>
      <c r="AF999" s="9">
        <f>IFERROR(VLOOKUP($A999,pivot!$A:$I,計算式2026!AF$1,FALSE),0)</f>
        <v>0</v>
      </c>
      <c r="AI999" s="9">
        <f>IFERROR(VLOOKUP($A999,pivot!$A:$I,計算式2026!AI$1,FALSE),0)</f>
        <v>0</v>
      </c>
      <c r="AJ999" s="9">
        <f>IFERROR(VLOOKUP($A999,pivot!$A:$I,計算式2026!AJ$1,FALSE),0)</f>
        <v>0</v>
      </c>
      <c r="AK999" s="9">
        <f>IFERROR(VLOOKUP($A999,pivot!$A:$I,計算式2026!AK$1,FALSE),0)</f>
        <v>0</v>
      </c>
      <c r="AL999" s="9">
        <f>IFERROR(VLOOKUP($A999,pivot!$A:$I,計算式2026!AL$1,FALSE),0)</f>
        <v>0</v>
      </c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</row>
    <row r="1000" spans="1:59" s="9" customFormat="1">
      <c r="A1000" s="8" t="s">
        <v>660</v>
      </c>
      <c r="B1000" s="8" t="s">
        <v>661</v>
      </c>
      <c r="C1000" s="9">
        <v>0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R1000" s="9">
        <v>2</v>
      </c>
      <c r="S1000" s="9">
        <v>2</v>
      </c>
      <c r="T1000" s="9">
        <v>0</v>
      </c>
      <c r="U1000" s="9">
        <v>0</v>
      </c>
      <c r="V1000" s="9">
        <v>2</v>
      </c>
      <c r="W1000" s="9">
        <v>0</v>
      </c>
      <c r="X1000" s="9">
        <v>0</v>
      </c>
      <c r="AE1000" s="9">
        <f>IFERROR(VLOOKUP($A1000,pivot!$A:$G,計算式2026!AE$1,FALSE),0)</f>
        <v>0</v>
      </c>
      <c r="AF1000" s="9">
        <f>IFERROR(VLOOKUP($A1000,pivot!$A:$I,計算式2026!AF$1,FALSE),0)</f>
        <v>0</v>
      </c>
      <c r="AI1000" s="9">
        <f>IFERROR(VLOOKUP($A1000,pivot!$A:$I,計算式2026!AI$1,FALSE),0)</f>
        <v>0</v>
      </c>
      <c r="AJ1000" s="9">
        <f>IFERROR(VLOOKUP($A1000,pivot!$A:$I,計算式2026!AJ$1,FALSE),0)</f>
        <v>0</v>
      </c>
      <c r="AK1000" s="9">
        <f>IFERROR(VLOOKUP($A1000,pivot!$A:$I,計算式2026!AK$1,FALSE),0)</f>
        <v>0</v>
      </c>
      <c r="AL1000" s="9">
        <f>IFERROR(VLOOKUP($A1000,pivot!$A:$I,計算式2026!AL$1,FALSE),0)</f>
        <v>0</v>
      </c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</row>
    <row r="1001" spans="1:59" s="9" customFormat="1">
      <c r="A1001" s="8" t="s">
        <v>662</v>
      </c>
      <c r="B1001" s="8" t="s">
        <v>661</v>
      </c>
      <c r="C1001" s="9">
        <v>0</v>
      </c>
      <c r="D1001" s="9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AE1001" s="9">
        <f>IFERROR(VLOOKUP($A1001,pivot!$A:$G,計算式2026!AE$1,FALSE),0)</f>
        <v>0</v>
      </c>
      <c r="AF1001" s="9">
        <f>IFERROR(VLOOKUP($A1001,pivot!$A:$I,計算式2026!AF$1,FALSE),0)</f>
        <v>0</v>
      </c>
      <c r="AI1001" s="9">
        <f>IFERROR(VLOOKUP($A1001,pivot!$A:$I,計算式2026!AI$1,FALSE),0)</f>
        <v>0</v>
      </c>
      <c r="AJ1001" s="9">
        <f>IFERROR(VLOOKUP($A1001,pivot!$A:$I,計算式2026!AJ$1,FALSE),0)</f>
        <v>0</v>
      </c>
      <c r="AK1001" s="9">
        <f>IFERROR(VLOOKUP($A1001,pivot!$A:$I,計算式2026!AK$1,FALSE),0)</f>
        <v>0</v>
      </c>
      <c r="AL1001" s="9">
        <f>IFERROR(VLOOKUP($A1001,pivot!$A:$I,計算式2026!AL$1,FALSE),0)</f>
        <v>0</v>
      </c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</row>
    <row r="1002" spans="1:59" s="9" customFormat="1">
      <c r="A1002" s="8" t="s">
        <v>2768</v>
      </c>
      <c r="B1002" s="8" t="s">
        <v>2769</v>
      </c>
      <c r="C1002" s="9">
        <v>0</v>
      </c>
      <c r="D1002" s="9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R1002" s="9">
        <v>3</v>
      </c>
      <c r="S1002" s="9">
        <v>2</v>
      </c>
      <c r="T1002" s="9">
        <v>1</v>
      </c>
      <c r="U1002" s="9">
        <v>0</v>
      </c>
      <c r="V1002" s="9">
        <v>2</v>
      </c>
      <c r="W1002" s="9">
        <v>0</v>
      </c>
      <c r="X1002" s="9">
        <v>1</v>
      </c>
      <c r="AE1002" s="9">
        <f>IFERROR(VLOOKUP($A1002,pivot!$A:$G,計算式2026!AE$1,FALSE),0)</f>
        <v>0</v>
      </c>
      <c r="AF1002" s="9">
        <f>IFERROR(VLOOKUP($A1002,pivot!$A:$I,計算式2026!AF$1,FALSE),0)</f>
        <v>0</v>
      </c>
      <c r="AI1002" s="9">
        <f>IFERROR(VLOOKUP($A1002,pivot!$A:$I,計算式2026!AI$1,FALSE),0)</f>
        <v>0</v>
      </c>
      <c r="AJ1002" s="9">
        <f>IFERROR(VLOOKUP($A1002,pivot!$A:$I,計算式2026!AJ$1,FALSE),0)</f>
        <v>0</v>
      </c>
      <c r="AK1002" s="9">
        <f>IFERROR(VLOOKUP($A1002,pivot!$A:$I,計算式2026!AK$1,FALSE),0)</f>
        <v>0</v>
      </c>
      <c r="AL1002" s="9">
        <f>IFERROR(VLOOKUP($A1002,pivot!$A:$I,計算式2026!AL$1,FALSE),0)</f>
        <v>0</v>
      </c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</row>
    <row r="1003" spans="1:59" s="9" customFormat="1">
      <c r="A1003" s="8" t="s">
        <v>2770</v>
      </c>
      <c r="B1003" s="8" t="s">
        <v>2769</v>
      </c>
      <c r="C1003" s="9">
        <v>0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R1003" s="9">
        <v>0</v>
      </c>
      <c r="S1003" s="9">
        <v>1</v>
      </c>
      <c r="T1003" s="9">
        <v>1</v>
      </c>
      <c r="U1003" s="9">
        <v>0</v>
      </c>
      <c r="V1003" s="9">
        <v>2</v>
      </c>
      <c r="W1003" s="9">
        <v>0</v>
      </c>
      <c r="X1003" s="9">
        <v>1</v>
      </c>
      <c r="AE1003" s="9">
        <f>IFERROR(VLOOKUP($A1003,pivot!$A:$G,計算式2026!AE$1,FALSE),0)</f>
        <v>0</v>
      </c>
      <c r="AF1003" s="9">
        <f>IFERROR(VLOOKUP($A1003,pivot!$A:$I,計算式2026!AF$1,FALSE),0)</f>
        <v>0</v>
      </c>
      <c r="AI1003" s="9">
        <f>IFERROR(VLOOKUP($A1003,pivot!$A:$I,計算式2026!AI$1,FALSE),0)</f>
        <v>0</v>
      </c>
      <c r="AJ1003" s="9">
        <f>IFERROR(VLOOKUP($A1003,pivot!$A:$I,計算式2026!AJ$1,FALSE),0)</f>
        <v>0</v>
      </c>
      <c r="AK1003" s="9">
        <f>IFERROR(VLOOKUP($A1003,pivot!$A:$I,計算式2026!AK$1,FALSE),0)</f>
        <v>0</v>
      </c>
      <c r="AL1003" s="9">
        <f>IFERROR(VLOOKUP($A1003,pivot!$A:$I,計算式2026!AL$1,FALSE),0)</f>
        <v>0</v>
      </c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</row>
    <row r="1004" spans="1:59" s="9" customFormat="1">
      <c r="A1004" s="8" t="s">
        <v>2771</v>
      </c>
      <c r="B1004" s="8" t="s">
        <v>2769</v>
      </c>
      <c r="C1004" s="9">
        <v>0</v>
      </c>
      <c r="D1004" s="9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R1004" s="9">
        <v>0</v>
      </c>
      <c r="S1004" s="9">
        <v>1</v>
      </c>
      <c r="T1004" s="9">
        <v>1</v>
      </c>
      <c r="U1004" s="9">
        <v>0</v>
      </c>
      <c r="V1004" s="9">
        <v>0</v>
      </c>
      <c r="W1004" s="9">
        <v>0</v>
      </c>
      <c r="X1004" s="9">
        <v>1</v>
      </c>
      <c r="AE1004" s="9">
        <f>IFERROR(VLOOKUP($A1004,pivot!$A:$G,計算式2026!AE$1,FALSE),0)</f>
        <v>0</v>
      </c>
      <c r="AF1004" s="9">
        <f>IFERROR(VLOOKUP($A1004,pivot!$A:$I,計算式2026!AF$1,FALSE),0)</f>
        <v>0</v>
      </c>
      <c r="AI1004" s="9">
        <f>IFERROR(VLOOKUP($A1004,pivot!$A:$I,計算式2026!AI$1,FALSE),0)</f>
        <v>0</v>
      </c>
      <c r="AJ1004" s="9">
        <f>IFERROR(VLOOKUP($A1004,pivot!$A:$I,計算式2026!AJ$1,FALSE),0)</f>
        <v>0</v>
      </c>
      <c r="AK1004" s="9">
        <f>IFERROR(VLOOKUP($A1004,pivot!$A:$I,計算式2026!AK$1,FALSE),0)</f>
        <v>0</v>
      </c>
      <c r="AL1004" s="9">
        <f>IFERROR(VLOOKUP($A1004,pivot!$A:$I,計算式2026!AL$1,FALSE),0)</f>
        <v>0</v>
      </c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</row>
    <row r="1005" spans="1:59" s="9" customFormat="1">
      <c r="A1005" s="8" t="s">
        <v>2772</v>
      </c>
      <c r="B1005" s="8" t="s">
        <v>2773</v>
      </c>
      <c r="C1005" s="9">
        <v>0</v>
      </c>
      <c r="D1005" s="9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R1005" s="9">
        <v>0</v>
      </c>
      <c r="S1005" s="9">
        <v>0</v>
      </c>
      <c r="T1005" s="9">
        <v>0</v>
      </c>
      <c r="U1005" s="9">
        <v>2</v>
      </c>
      <c r="V1005" s="9">
        <v>2</v>
      </c>
      <c r="W1005" s="9">
        <v>0</v>
      </c>
      <c r="X1005" s="9">
        <v>1</v>
      </c>
      <c r="AE1005" s="9">
        <f>IFERROR(VLOOKUP($A1005,pivot!$A:$G,計算式2026!AE$1,FALSE),0)</f>
        <v>0</v>
      </c>
      <c r="AF1005" s="9">
        <f>IFERROR(VLOOKUP($A1005,pivot!$A:$I,計算式2026!AF$1,FALSE),0)</f>
        <v>0</v>
      </c>
      <c r="AI1005" s="9">
        <f>IFERROR(VLOOKUP($A1005,pivot!$A:$I,計算式2026!AI$1,FALSE),0)</f>
        <v>0</v>
      </c>
      <c r="AJ1005" s="9">
        <f>IFERROR(VLOOKUP($A1005,pivot!$A:$I,計算式2026!AJ$1,FALSE),0)</f>
        <v>0</v>
      </c>
      <c r="AK1005" s="9">
        <f>IFERROR(VLOOKUP($A1005,pivot!$A:$I,計算式2026!AK$1,FALSE),0)</f>
        <v>0</v>
      </c>
      <c r="AL1005" s="9">
        <f>IFERROR(VLOOKUP($A1005,pivot!$A:$I,計算式2026!AL$1,FALSE),0)</f>
        <v>0</v>
      </c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</row>
    <row r="1006" spans="1:59" s="9" customFormat="1">
      <c r="A1006" s="8" t="s">
        <v>1754</v>
      </c>
      <c r="B1006" s="8" t="s">
        <v>2774</v>
      </c>
      <c r="C1006" s="9">
        <v>0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1</v>
      </c>
      <c r="W1006" s="9">
        <v>0</v>
      </c>
      <c r="X1006" s="9">
        <v>0</v>
      </c>
      <c r="AE1006" s="9">
        <f>IFERROR(VLOOKUP($A1006,pivot!$A:$G,計算式2026!AE$1,FALSE),0)</f>
        <v>0</v>
      </c>
      <c r="AF1006" s="9">
        <f>IFERROR(VLOOKUP($A1006,pivot!$A:$I,計算式2026!AF$1,FALSE),0)</f>
        <v>0</v>
      </c>
      <c r="AI1006" s="9">
        <f>IFERROR(VLOOKUP($A1006,pivot!$A:$I,計算式2026!AI$1,FALSE),0)</f>
        <v>0</v>
      </c>
      <c r="AJ1006" s="9">
        <f>IFERROR(VLOOKUP($A1006,pivot!$A:$I,計算式2026!AJ$1,FALSE),0)</f>
        <v>0</v>
      </c>
      <c r="AK1006" s="9">
        <f>IFERROR(VLOOKUP($A1006,pivot!$A:$I,計算式2026!AK$1,FALSE),0)</f>
        <v>0</v>
      </c>
      <c r="AL1006" s="9">
        <f>IFERROR(VLOOKUP($A1006,pivot!$A:$I,計算式2026!AL$1,FALSE),0)</f>
        <v>0</v>
      </c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</row>
    <row r="1007" spans="1:59" s="9" customFormat="1">
      <c r="A1007" s="8" t="s">
        <v>663</v>
      </c>
      <c r="B1007" s="8" t="s">
        <v>664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AE1007" s="9">
        <f>IFERROR(VLOOKUP($A1007,pivot!$A:$G,計算式2026!AE$1,FALSE),0)</f>
        <v>0</v>
      </c>
      <c r="AF1007" s="9">
        <f>IFERROR(VLOOKUP($A1007,pivot!$A:$I,計算式2026!AF$1,FALSE),0)</f>
        <v>0</v>
      </c>
      <c r="AI1007" s="9">
        <f>IFERROR(VLOOKUP($A1007,pivot!$A:$I,計算式2026!AI$1,FALSE),0)</f>
        <v>0</v>
      </c>
      <c r="AJ1007" s="9">
        <f>IFERROR(VLOOKUP($A1007,pivot!$A:$I,計算式2026!AJ$1,FALSE),0)</f>
        <v>0</v>
      </c>
      <c r="AK1007" s="9">
        <f>IFERROR(VLOOKUP($A1007,pivot!$A:$I,計算式2026!AK$1,FALSE),0)</f>
        <v>0</v>
      </c>
      <c r="AL1007" s="9">
        <f>IFERROR(VLOOKUP($A1007,pivot!$A:$I,計算式2026!AL$1,FALSE),0)</f>
        <v>0</v>
      </c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</row>
    <row r="1008" spans="1:59" s="9" customFormat="1">
      <c r="A1008" s="8" t="s">
        <v>1607</v>
      </c>
      <c r="B1008" s="8" t="s">
        <v>664</v>
      </c>
      <c r="C1008" s="9">
        <v>0</v>
      </c>
      <c r="D1008" s="9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R1008" s="9">
        <v>0</v>
      </c>
      <c r="S1008" s="9">
        <v>1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AE1008" s="9">
        <f>IFERROR(VLOOKUP($A1008,pivot!$A:$G,計算式2026!AE$1,FALSE),0)</f>
        <v>0</v>
      </c>
      <c r="AF1008" s="9">
        <f>IFERROR(VLOOKUP($A1008,pivot!$A:$I,計算式2026!AF$1,FALSE),0)</f>
        <v>0</v>
      </c>
      <c r="AI1008" s="9">
        <f>IFERROR(VLOOKUP($A1008,pivot!$A:$I,計算式2026!AI$1,FALSE),0)</f>
        <v>0</v>
      </c>
      <c r="AJ1008" s="9">
        <f>IFERROR(VLOOKUP($A1008,pivot!$A:$I,計算式2026!AJ$1,FALSE),0)</f>
        <v>0</v>
      </c>
      <c r="AK1008" s="9">
        <f>IFERROR(VLOOKUP($A1008,pivot!$A:$I,計算式2026!AK$1,FALSE),0)</f>
        <v>0</v>
      </c>
      <c r="AL1008" s="9">
        <f>IFERROR(VLOOKUP($A1008,pivot!$A:$I,計算式2026!AL$1,FALSE),0)</f>
        <v>0</v>
      </c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</row>
    <row r="1009" spans="1:59" s="9" customFormat="1">
      <c r="A1009" s="8" t="s">
        <v>665</v>
      </c>
      <c r="B1009" s="8" t="s">
        <v>664</v>
      </c>
      <c r="C1009" s="9">
        <v>22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R1009" s="9">
        <v>0</v>
      </c>
      <c r="S1009" s="9">
        <v>2</v>
      </c>
      <c r="T1009" s="9">
        <v>1</v>
      </c>
      <c r="U1009" s="9">
        <v>0</v>
      </c>
      <c r="V1009" s="9">
        <v>2</v>
      </c>
      <c r="W1009" s="9">
        <v>0</v>
      </c>
      <c r="X1009" s="9">
        <v>1</v>
      </c>
      <c r="AE1009" s="9">
        <f>IFERROR(VLOOKUP($A1009,pivot!$A:$G,計算式2026!AE$1,FALSE),0)</f>
        <v>0</v>
      </c>
      <c r="AF1009" s="9">
        <f>IFERROR(VLOOKUP($A1009,pivot!$A:$I,計算式2026!AF$1,FALSE),0)</f>
        <v>0</v>
      </c>
      <c r="AI1009" s="9">
        <f>IFERROR(VLOOKUP($A1009,pivot!$A:$I,計算式2026!AI$1,FALSE),0)</f>
        <v>0</v>
      </c>
      <c r="AJ1009" s="9">
        <f>IFERROR(VLOOKUP($A1009,pivot!$A:$I,計算式2026!AJ$1,FALSE),0)</f>
        <v>0</v>
      </c>
      <c r="AK1009" s="9">
        <f>IFERROR(VLOOKUP($A1009,pivot!$A:$I,計算式2026!AK$1,FALSE),0)</f>
        <v>0</v>
      </c>
      <c r="AL1009" s="9">
        <f>IFERROR(VLOOKUP($A1009,pivot!$A:$I,計算式2026!AL$1,FALSE),0)</f>
        <v>0</v>
      </c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</row>
    <row r="1010" spans="1:59" s="9" customFormat="1">
      <c r="A1010" s="8" t="s">
        <v>2139</v>
      </c>
      <c r="B1010" s="8" t="s">
        <v>667</v>
      </c>
      <c r="C1010" s="9">
        <v>0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1</v>
      </c>
      <c r="AE1010" s="9">
        <f>IFERROR(VLOOKUP($A1010,pivot!$A:$G,計算式2026!AE$1,FALSE),0)</f>
        <v>0</v>
      </c>
      <c r="AF1010" s="9">
        <f>IFERROR(VLOOKUP($A1010,pivot!$A:$I,計算式2026!AF$1,FALSE),0)</f>
        <v>0</v>
      </c>
      <c r="AI1010" s="9">
        <f>IFERROR(VLOOKUP($A1010,pivot!$A:$I,計算式2026!AI$1,FALSE),0)</f>
        <v>0</v>
      </c>
      <c r="AJ1010" s="9">
        <f>IFERROR(VLOOKUP($A1010,pivot!$A:$I,計算式2026!AJ$1,FALSE),0)</f>
        <v>0</v>
      </c>
      <c r="AK1010" s="9">
        <f>IFERROR(VLOOKUP($A1010,pivot!$A:$I,計算式2026!AK$1,FALSE),0)</f>
        <v>0</v>
      </c>
      <c r="AL1010" s="9">
        <f>IFERROR(VLOOKUP($A1010,pivot!$A:$I,計算式2026!AL$1,FALSE),0)</f>
        <v>0</v>
      </c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</row>
    <row r="1011" spans="1:59" s="9" customFormat="1">
      <c r="A1011" s="8" t="s">
        <v>2140</v>
      </c>
      <c r="B1011" s="8" t="s">
        <v>667</v>
      </c>
      <c r="C1011" s="9">
        <v>0</v>
      </c>
      <c r="D1011" s="9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1</v>
      </c>
      <c r="AE1011" s="9">
        <f>IFERROR(VLOOKUP($A1011,pivot!$A:$G,計算式2026!AE$1,FALSE),0)</f>
        <v>0</v>
      </c>
      <c r="AF1011" s="9">
        <f>IFERROR(VLOOKUP($A1011,pivot!$A:$I,計算式2026!AF$1,FALSE),0)</f>
        <v>0</v>
      </c>
      <c r="AI1011" s="9">
        <f>IFERROR(VLOOKUP($A1011,pivot!$A:$I,計算式2026!AI$1,FALSE),0)</f>
        <v>0</v>
      </c>
      <c r="AJ1011" s="9">
        <f>IFERROR(VLOOKUP($A1011,pivot!$A:$I,計算式2026!AJ$1,FALSE),0)</f>
        <v>0</v>
      </c>
      <c r="AK1011" s="9">
        <f>IFERROR(VLOOKUP($A1011,pivot!$A:$I,計算式2026!AK$1,FALSE),0)</f>
        <v>0</v>
      </c>
      <c r="AL1011" s="9">
        <f>IFERROR(VLOOKUP($A1011,pivot!$A:$I,計算式2026!AL$1,FALSE),0)</f>
        <v>0</v>
      </c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</row>
    <row r="1012" spans="1:59" s="9" customFormat="1">
      <c r="A1012" s="8" t="s">
        <v>2141</v>
      </c>
      <c r="B1012" s="8" t="s">
        <v>667</v>
      </c>
      <c r="C1012" s="9">
        <v>0</v>
      </c>
      <c r="D1012" s="9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1</v>
      </c>
      <c r="AE1012" s="9">
        <f>IFERROR(VLOOKUP($A1012,pivot!$A:$G,計算式2026!AE$1,FALSE),0)</f>
        <v>0</v>
      </c>
      <c r="AF1012" s="9">
        <f>IFERROR(VLOOKUP($A1012,pivot!$A:$I,計算式2026!AF$1,FALSE),0)</f>
        <v>0</v>
      </c>
      <c r="AI1012" s="9">
        <f>IFERROR(VLOOKUP($A1012,pivot!$A:$I,計算式2026!AI$1,FALSE),0)</f>
        <v>0</v>
      </c>
      <c r="AJ1012" s="9">
        <f>IFERROR(VLOOKUP($A1012,pivot!$A:$I,計算式2026!AJ$1,FALSE),0)</f>
        <v>0</v>
      </c>
      <c r="AK1012" s="9">
        <f>IFERROR(VLOOKUP($A1012,pivot!$A:$I,計算式2026!AK$1,FALSE),0)</f>
        <v>0</v>
      </c>
      <c r="AL1012" s="9">
        <f>IFERROR(VLOOKUP($A1012,pivot!$A:$I,計算式2026!AL$1,FALSE),0)</f>
        <v>0</v>
      </c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</row>
    <row r="1013" spans="1:59" s="9" customFormat="1">
      <c r="A1013" s="8" t="s">
        <v>668</v>
      </c>
      <c r="B1013" s="8" t="s">
        <v>667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R1013" s="9">
        <v>0</v>
      </c>
      <c r="S1013" s="9">
        <v>0</v>
      </c>
      <c r="T1013" s="9">
        <v>1</v>
      </c>
      <c r="U1013" s="9">
        <v>0</v>
      </c>
      <c r="V1013" s="9">
        <v>0</v>
      </c>
      <c r="W1013" s="9">
        <v>0</v>
      </c>
      <c r="X1013" s="9">
        <v>1</v>
      </c>
      <c r="AE1013" s="9">
        <f>IFERROR(VLOOKUP($A1013,pivot!$A:$G,計算式2026!AE$1,FALSE),0)</f>
        <v>0</v>
      </c>
      <c r="AF1013" s="9">
        <f>IFERROR(VLOOKUP($A1013,pivot!$A:$I,計算式2026!AF$1,FALSE),0)</f>
        <v>0</v>
      </c>
      <c r="AI1013" s="9">
        <f>IFERROR(VLOOKUP($A1013,pivot!$A:$I,計算式2026!AI$1,FALSE),0)</f>
        <v>0</v>
      </c>
      <c r="AJ1013" s="9">
        <f>IFERROR(VLOOKUP($A1013,pivot!$A:$I,計算式2026!AJ$1,FALSE),0)</f>
        <v>0</v>
      </c>
      <c r="AK1013" s="9">
        <f>IFERROR(VLOOKUP($A1013,pivot!$A:$I,計算式2026!AK$1,FALSE),0)</f>
        <v>0</v>
      </c>
      <c r="AL1013" s="9">
        <f>IFERROR(VLOOKUP($A1013,pivot!$A:$I,計算式2026!AL$1,FALSE),0)</f>
        <v>0</v>
      </c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</row>
    <row r="1014" spans="1:59" s="9" customFormat="1">
      <c r="A1014" s="8" t="s">
        <v>2142</v>
      </c>
      <c r="B1014" s="8" t="s">
        <v>667</v>
      </c>
      <c r="C1014" s="9">
        <v>0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1</v>
      </c>
      <c r="AE1014" s="9">
        <f>IFERROR(VLOOKUP($A1014,pivot!$A:$G,計算式2026!AE$1,FALSE),0)</f>
        <v>0</v>
      </c>
      <c r="AF1014" s="9">
        <f>IFERROR(VLOOKUP($A1014,pivot!$A:$I,計算式2026!AF$1,FALSE),0)</f>
        <v>0</v>
      </c>
      <c r="AI1014" s="9">
        <f>IFERROR(VLOOKUP($A1014,pivot!$A:$I,計算式2026!AI$1,FALSE),0)</f>
        <v>0</v>
      </c>
      <c r="AJ1014" s="9">
        <f>IFERROR(VLOOKUP($A1014,pivot!$A:$I,計算式2026!AJ$1,FALSE),0)</f>
        <v>0</v>
      </c>
      <c r="AK1014" s="9">
        <f>IFERROR(VLOOKUP($A1014,pivot!$A:$I,計算式2026!AK$1,FALSE),0)</f>
        <v>0</v>
      </c>
      <c r="AL1014" s="9">
        <f>IFERROR(VLOOKUP($A1014,pivot!$A:$I,計算式2026!AL$1,FALSE),0)</f>
        <v>0</v>
      </c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</row>
    <row r="1015" spans="1:59" s="9" customFormat="1">
      <c r="A1015" s="8" t="s">
        <v>669</v>
      </c>
      <c r="B1015" s="8" t="s">
        <v>666</v>
      </c>
      <c r="C1015" s="9">
        <v>0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R1015" s="9">
        <v>0</v>
      </c>
      <c r="S1015" s="9">
        <v>0</v>
      </c>
      <c r="T1015" s="9">
        <v>1</v>
      </c>
      <c r="U1015" s="9">
        <v>0</v>
      </c>
      <c r="V1015" s="9">
        <v>0</v>
      </c>
      <c r="W1015" s="9">
        <v>0</v>
      </c>
      <c r="X1015" s="9">
        <v>0</v>
      </c>
      <c r="AE1015" s="9">
        <f>IFERROR(VLOOKUP($A1015,pivot!$A:$G,計算式2026!AE$1,FALSE),0)</f>
        <v>0</v>
      </c>
      <c r="AF1015" s="9">
        <f>IFERROR(VLOOKUP($A1015,pivot!$A:$I,計算式2026!AF$1,FALSE),0)</f>
        <v>0</v>
      </c>
      <c r="AI1015" s="9">
        <f>IFERROR(VLOOKUP($A1015,pivot!$A:$I,計算式2026!AI$1,FALSE),0)</f>
        <v>0</v>
      </c>
      <c r="AJ1015" s="9">
        <f>IFERROR(VLOOKUP($A1015,pivot!$A:$I,計算式2026!AJ$1,FALSE),0)</f>
        <v>0</v>
      </c>
      <c r="AK1015" s="9">
        <f>IFERROR(VLOOKUP($A1015,pivot!$A:$I,計算式2026!AK$1,FALSE),0)</f>
        <v>0</v>
      </c>
      <c r="AL1015" s="9">
        <f>IFERROR(VLOOKUP($A1015,pivot!$A:$I,計算式2026!AL$1,FALSE),0)</f>
        <v>0</v>
      </c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</row>
    <row r="1016" spans="1:59" s="9" customFormat="1">
      <c r="A1016" s="8" t="s">
        <v>670</v>
      </c>
      <c r="B1016" s="8" t="s">
        <v>666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R1016" s="9">
        <v>0</v>
      </c>
      <c r="S1016" s="9">
        <v>0</v>
      </c>
      <c r="T1016" s="9">
        <v>1</v>
      </c>
      <c r="U1016" s="9">
        <v>0</v>
      </c>
      <c r="V1016" s="9">
        <v>0</v>
      </c>
      <c r="W1016" s="9">
        <v>0</v>
      </c>
      <c r="X1016" s="9">
        <v>0</v>
      </c>
      <c r="AE1016" s="9">
        <f>IFERROR(VLOOKUP($A1016,pivot!$A:$G,計算式2026!AE$1,FALSE),0)</f>
        <v>0</v>
      </c>
      <c r="AF1016" s="9">
        <f>IFERROR(VLOOKUP($A1016,pivot!$A:$I,計算式2026!AF$1,FALSE),0)</f>
        <v>0</v>
      </c>
      <c r="AI1016" s="9">
        <f>IFERROR(VLOOKUP($A1016,pivot!$A:$I,計算式2026!AI$1,FALSE),0)</f>
        <v>0</v>
      </c>
      <c r="AJ1016" s="9">
        <f>IFERROR(VLOOKUP($A1016,pivot!$A:$I,計算式2026!AJ$1,FALSE),0)</f>
        <v>0</v>
      </c>
      <c r="AK1016" s="9">
        <f>IFERROR(VLOOKUP($A1016,pivot!$A:$I,計算式2026!AK$1,FALSE),0)</f>
        <v>0</v>
      </c>
      <c r="AL1016" s="9">
        <f>IFERROR(VLOOKUP($A1016,pivot!$A:$I,計算式2026!AL$1,FALSE),0)</f>
        <v>0</v>
      </c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</row>
    <row r="1017" spans="1:59" s="9" customFormat="1">
      <c r="A1017" s="8" t="s">
        <v>671</v>
      </c>
      <c r="B1017" s="8" t="s">
        <v>672</v>
      </c>
      <c r="C1017" s="9">
        <v>0</v>
      </c>
      <c r="D1017" s="9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1</v>
      </c>
      <c r="AE1017" s="9">
        <f>IFERROR(VLOOKUP($A1017,pivot!$A:$G,計算式2026!AE$1,FALSE),0)</f>
        <v>0</v>
      </c>
      <c r="AF1017" s="9">
        <f>IFERROR(VLOOKUP($A1017,pivot!$A:$I,計算式2026!AF$1,FALSE),0)</f>
        <v>0</v>
      </c>
      <c r="AI1017" s="9">
        <f>IFERROR(VLOOKUP($A1017,pivot!$A:$I,計算式2026!AI$1,FALSE),0)</f>
        <v>0</v>
      </c>
      <c r="AJ1017" s="9">
        <f>IFERROR(VLOOKUP($A1017,pivot!$A:$I,計算式2026!AJ$1,FALSE),0)</f>
        <v>0</v>
      </c>
      <c r="AK1017" s="9">
        <f>IFERROR(VLOOKUP($A1017,pivot!$A:$I,計算式2026!AK$1,FALSE),0)</f>
        <v>0</v>
      </c>
      <c r="AL1017" s="9">
        <f>IFERROR(VLOOKUP($A1017,pivot!$A:$I,計算式2026!AL$1,FALSE),0)</f>
        <v>0</v>
      </c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</row>
    <row r="1018" spans="1:59" s="9" customFormat="1">
      <c r="A1018" s="8" t="s">
        <v>673</v>
      </c>
      <c r="B1018" s="8" t="s">
        <v>672</v>
      </c>
      <c r="C1018" s="9">
        <v>0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R1018" s="9">
        <v>0</v>
      </c>
      <c r="S1018" s="9">
        <v>0</v>
      </c>
      <c r="T1018" s="9">
        <v>1</v>
      </c>
      <c r="U1018" s="9">
        <v>0</v>
      </c>
      <c r="V1018" s="9">
        <v>1</v>
      </c>
      <c r="W1018" s="9">
        <v>0</v>
      </c>
      <c r="X1018" s="9">
        <v>2</v>
      </c>
      <c r="AE1018" s="9">
        <f>IFERROR(VLOOKUP($A1018,pivot!$A:$G,計算式2026!AE$1,FALSE),0)</f>
        <v>0</v>
      </c>
      <c r="AF1018" s="9">
        <f>IFERROR(VLOOKUP($A1018,pivot!$A:$I,計算式2026!AF$1,FALSE),0)</f>
        <v>0</v>
      </c>
      <c r="AI1018" s="9">
        <f>IFERROR(VLOOKUP($A1018,pivot!$A:$I,計算式2026!AI$1,FALSE),0)</f>
        <v>0</v>
      </c>
      <c r="AJ1018" s="9">
        <f>IFERROR(VLOOKUP($A1018,pivot!$A:$I,計算式2026!AJ$1,FALSE),0)</f>
        <v>0</v>
      </c>
      <c r="AK1018" s="9">
        <f>IFERROR(VLOOKUP($A1018,pivot!$A:$I,計算式2026!AK$1,FALSE),0)</f>
        <v>0</v>
      </c>
      <c r="AL1018" s="9">
        <f>IFERROR(VLOOKUP($A1018,pivot!$A:$I,計算式2026!AL$1,FALSE),0)</f>
        <v>0</v>
      </c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</row>
    <row r="1019" spans="1:59" s="9" customFormat="1">
      <c r="A1019" s="8" t="s">
        <v>674</v>
      </c>
      <c r="B1019" s="8" t="s">
        <v>675</v>
      </c>
      <c r="C1019" s="9">
        <v>0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2</v>
      </c>
      <c r="AE1019" s="9">
        <f>IFERROR(VLOOKUP($A1019,pivot!$A:$G,計算式2026!AE$1,FALSE),0)</f>
        <v>0</v>
      </c>
      <c r="AF1019" s="9">
        <f>IFERROR(VLOOKUP($A1019,pivot!$A:$I,計算式2026!AF$1,FALSE),0)</f>
        <v>0</v>
      </c>
      <c r="AI1019" s="9">
        <f>IFERROR(VLOOKUP($A1019,pivot!$A:$I,計算式2026!AI$1,FALSE),0)</f>
        <v>0</v>
      </c>
      <c r="AJ1019" s="9">
        <f>IFERROR(VLOOKUP($A1019,pivot!$A:$I,計算式2026!AJ$1,FALSE),0)</f>
        <v>0</v>
      </c>
      <c r="AK1019" s="9">
        <f>IFERROR(VLOOKUP($A1019,pivot!$A:$I,計算式2026!AK$1,FALSE),0)</f>
        <v>0</v>
      </c>
      <c r="AL1019" s="9">
        <f>IFERROR(VLOOKUP($A1019,pivot!$A:$I,計算式2026!AL$1,FALSE),0)</f>
        <v>0</v>
      </c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</row>
    <row r="1020" spans="1:59" s="9" customFormat="1">
      <c r="A1020" s="8" t="s">
        <v>676</v>
      </c>
      <c r="B1020" s="8" t="s">
        <v>675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1</v>
      </c>
      <c r="AE1020" s="9">
        <f>IFERROR(VLOOKUP($A1020,pivot!$A:$G,計算式2026!AE$1,FALSE),0)</f>
        <v>0</v>
      </c>
      <c r="AF1020" s="9">
        <f>IFERROR(VLOOKUP($A1020,pivot!$A:$I,計算式2026!AF$1,FALSE),0)</f>
        <v>0</v>
      </c>
      <c r="AI1020" s="9">
        <f>IFERROR(VLOOKUP($A1020,pivot!$A:$I,計算式2026!AI$1,FALSE),0)</f>
        <v>0</v>
      </c>
      <c r="AJ1020" s="9">
        <f>IFERROR(VLOOKUP($A1020,pivot!$A:$I,計算式2026!AJ$1,FALSE),0)</f>
        <v>0</v>
      </c>
      <c r="AK1020" s="9">
        <f>IFERROR(VLOOKUP($A1020,pivot!$A:$I,計算式2026!AK$1,FALSE),0)</f>
        <v>0</v>
      </c>
      <c r="AL1020" s="9">
        <f>IFERROR(VLOOKUP($A1020,pivot!$A:$I,計算式2026!AL$1,FALSE),0)</f>
        <v>0</v>
      </c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</row>
    <row r="1021" spans="1:59" s="9" customFormat="1">
      <c r="A1021" s="8" t="s">
        <v>677</v>
      </c>
      <c r="B1021" s="8" t="s">
        <v>678</v>
      </c>
      <c r="C1021" s="9">
        <v>5</v>
      </c>
      <c r="D1021" s="9">
        <v>5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R1021" s="9">
        <v>0</v>
      </c>
      <c r="S1021" s="9">
        <v>0</v>
      </c>
      <c r="T1021" s="9">
        <v>1</v>
      </c>
      <c r="U1021" s="9">
        <v>2</v>
      </c>
      <c r="V1021" s="9">
        <v>2</v>
      </c>
      <c r="W1021" s="9">
        <v>0</v>
      </c>
      <c r="X1021" s="9">
        <v>2</v>
      </c>
      <c r="AE1021" s="9">
        <f>IFERROR(VLOOKUP($A1021,pivot!$A:$G,計算式2026!AE$1,FALSE),0)</f>
        <v>0</v>
      </c>
      <c r="AF1021" s="9">
        <f>IFERROR(VLOOKUP($A1021,pivot!$A:$I,計算式2026!AF$1,FALSE),0)</f>
        <v>0</v>
      </c>
      <c r="AI1021" s="9">
        <f>IFERROR(VLOOKUP($A1021,pivot!$A:$I,計算式2026!AI$1,FALSE),0)</f>
        <v>0</v>
      </c>
      <c r="AJ1021" s="9">
        <f>IFERROR(VLOOKUP($A1021,pivot!$A:$I,計算式2026!AJ$1,FALSE),0)</f>
        <v>0</v>
      </c>
      <c r="AK1021" s="9">
        <f>IFERROR(VLOOKUP($A1021,pivot!$A:$I,計算式2026!AK$1,FALSE),0)</f>
        <v>0</v>
      </c>
      <c r="AL1021" s="9">
        <f>IFERROR(VLOOKUP($A1021,pivot!$A:$I,計算式2026!AL$1,FALSE),0)</f>
        <v>0</v>
      </c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</row>
    <row r="1022" spans="1:59" s="9" customFormat="1">
      <c r="A1022" s="8" t="s">
        <v>679</v>
      </c>
      <c r="B1022" s="8" t="s">
        <v>680</v>
      </c>
      <c r="C1022" s="9">
        <v>4</v>
      </c>
      <c r="D1022" s="9">
        <v>8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R1022" s="9">
        <v>0</v>
      </c>
      <c r="S1022" s="9">
        <v>0</v>
      </c>
      <c r="T1022" s="9">
        <v>1</v>
      </c>
      <c r="U1022" s="9">
        <v>1</v>
      </c>
      <c r="V1022" s="9">
        <v>2</v>
      </c>
      <c r="W1022" s="9">
        <v>0</v>
      </c>
      <c r="X1022" s="9">
        <v>1</v>
      </c>
      <c r="AE1022" s="9">
        <f>IFERROR(VLOOKUP($A1022,pivot!$A:$G,計算式2026!AE$1,FALSE),0)</f>
        <v>0</v>
      </c>
      <c r="AF1022" s="9">
        <f>IFERROR(VLOOKUP($A1022,pivot!$A:$I,計算式2026!AF$1,FALSE),0)</f>
        <v>0</v>
      </c>
      <c r="AI1022" s="9">
        <f>IFERROR(VLOOKUP($A1022,pivot!$A:$I,計算式2026!AI$1,FALSE),0)</f>
        <v>0</v>
      </c>
      <c r="AJ1022" s="9">
        <f>IFERROR(VLOOKUP($A1022,pivot!$A:$I,計算式2026!AJ$1,FALSE),0)</f>
        <v>0</v>
      </c>
      <c r="AK1022" s="9">
        <f>IFERROR(VLOOKUP($A1022,pivot!$A:$I,計算式2026!AK$1,FALSE),0)</f>
        <v>0</v>
      </c>
      <c r="AL1022" s="9">
        <f>IFERROR(VLOOKUP($A1022,pivot!$A:$I,計算式2026!AL$1,FALSE),0)</f>
        <v>0</v>
      </c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</row>
    <row r="1023" spans="1:59" s="9" customFormat="1">
      <c r="A1023" s="8" t="s">
        <v>682</v>
      </c>
      <c r="B1023" s="8" t="s">
        <v>681</v>
      </c>
      <c r="C1023" s="9">
        <v>1</v>
      </c>
      <c r="D1023" s="9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R1023" s="9">
        <v>0</v>
      </c>
      <c r="S1023" s="9">
        <v>0</v>
      </c>
      <c r="T1023" s="9">
        <v>1</v>
      </c>
      <c r="U1023" s="9">
        <v>0</v>
      </c>
      <c r="V1023" s="9">
        <v>0</v>
      </c>
      <c r="W1023" s="9">
        <v>0</v>
      </c>
      <c r="X1023" s="9">
        <v>1</v>
      </c>
      <c r="AE1023" s="9">
        <f>IFERROR(VLOOKUP($A1023,pivot!$A:$G,計算式2026!AE$1,FALSE),0)</f>
        <v>0</v>
      </c>
      <c r="AF1023" s="9">
        <f>IFERROR(VLOOKUP($A1023,pivot!$A:$I,計算式2026!AF$1,FALSE),0)</f>
        <v>0</v>
      </c>
      <c r="AI1023" s="9">
        <f>IFERROR(VLOOKUP($A1023,pivot!$A:$I,計算式2026!AI$1,FALSE),0)</f>
        <v>0</v>
      </c>
      <c r="AJ1023" s="9">
        <f>IFERROR(VLOOKUP($A1023,pivot!$A:$I,計算式2026!AJ$1,FALSE),0)</f>
        <v>0</v>
      </c>
      <c r="AK1023" s="9">
        <f>IFERROR(VLOOKUP($A1023,pivot!$A:$I,計算式2026!AK$1,FALSE),0)</f>
        <v>0</v>
      </c>
      <c r="AL1023" s="9">
        <f>IFERROR(VLOOKUP($A1023,pivot!$A:$I,計算式2026!AL$1,FALSE),0)</f>
        <v>0</v>
      </c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</row>
    <row r="1024" spans="1:59" s="9" customFormat="1">
      <c r="A1024" s="8" t="s">
        <v>683</v>
      </c>
      <c r="B1024" s="8" t="s">
        <v>681</v>
      </c>
      <c r="C1024" s="9">
        <v>4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R1024" s="9">
        <v>0</v>
      </c>
      <c r="S1024" s="9">
        <v>0</v>
      </c>
      <c r="T1024" s="9">
        <v>1</v>
      </c>
      <c r="U1024" s="9">
        <v>0</v>
      </c>
      <c r="V1024" s="9">
        <v>0</v>
      </c>
      <c r="W1024" s="9">
        <v>0</v>
      </c>
      <c r="X1024" s="9">
        <v>1</v>
      </c>
      <c r="AE1024" s="9">
        <f>IFERROR(VLOOKUP($A1024,pivot!$A:$G,計算式2026!AE$1,FALSE),0)</f>
        <v>0</v>
      </c>
      <c r="AF1024" s="9">
        <f>IFERROR(VLOOKUP($A1024,pivot!$A:$I,計算式2026!AF$1,FALSE),0)</f>
        <v>0</v>
      </c>
      <c r="AI1024" s="9">
        <f>IFERROR(VLOOKUP($A1024,pivot!$A:$I,計算式2026!AI$1,FALSE),0)</f>
        <v>0</v>
      </c>
      <c r="AJ1024" s="9">
        <f>IFERROR(VLOOKUP($A1024,pivot!$A:$I,計算式2026!AJ$1,FALSE),0)</f>
        <v>0</v>
      </c>
      <c r="AK1024" s="9">
        <f>IFERROR(VLOOKUP($A1024,pivot!$A:$I,計算式2026!AK$1,FALSE),0)</f>
        <v>0</v>
      </c>
      <c r="AL1024" s="9">
        <f>IFERROR(VLOOKUP($A1024,pivot!$A:$I,計算式2026!AL$1,FALSE),0)</f>
        <v>0</v>
      </c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</row>
    <row r="1025" spans="1:59" s="9" customFormat="1">
      <c r="A1025" s="8" t="s">
        <v>2143</v>
      </c>
      <c r="B1025" s="8" t="s">
        <v>681</v>
      </c>
      <c r="C1025" s="9">
        <v>2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R1025" s="9">
        <v>0</v>
      </c>
      <c r="S1025" s="9">
        <v>0</v>
      </c>
      <c r="T1025" s="9">
        <v>1</v>
      </c>
      <c r="U1025" s="9">
        <v>0</v>
      </c>
      <c r="V1025" s="9">
        <v>2</v>
      </c>
      <c r="W1025" s="9">
        <v>0</v>
      </c>
      <c r="X1025" s="9">
        <v>1</v>
      </c>
      <c r="AE1025" s="9">
        <f>IFERROR(VLOOKUP($A1025,pivot!$A:$G,計算式2026!AE$1,FALSE),0)</f>
        <v>0</v>
      </c>
      <c r="AF1025" s="9">
        <f>IFERROR(VLOOKUP($A1025,pivot!$A:$I,計算式2026!AF$1,FALSE),0)</f>
        <v>0</v>
      </c>
      <c r="AI1025" s="9">
        <f>IFERROR(VLOOKUP($A1025,pivot!$A:$I,計算式2026!AI$1,FALSE),0)</f>
        <v>0</v>
      </c>
      <c r="AJ1025" s="9">
        <f>IFERROR(VLOOKUP($A1025,pivot!$A:$I,計算式2026!AJ$1,FALSE),0)</f>
        <v>0</v>
      </c>
      <c r="AK1025" s="9">
        <f>IFERROR(VLOOKUP($A1025,pivot!$A:$I,計算式2026!AK$1,FALSE),0)</f>
        <v>0</v>
      </c>
      <c r="AL1025" s="9">
        <f>IFERROR(VLOOKUP($A1025,pivot!$A:$I,計算式2026!AL$1,FALSE),0)</f>
        <v>0</v>
      </c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</row>
    <row r="1026" spans="1:59" s="9" customFormat="1">
      <c r="A1026" s="8" t="s">
        <v>2144</v>
      </c>
      <c r="B1026" s="8" t="s">
        <v>681</v>
      </c>
      <c r="C1026" s="9">
        <v>5</v>
      </c>
      <c r="D1026" s="9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R1026" s="9">
        <v>0</v>
      </c>
      <c r="S1026" s="9">
        <v>3</v>
      </c>
      <c r="T1026" s="9">
        <v>1</v>
      </c>
      <c r="U1026" s="9">
        <v>0</v>
      </c>
      <c r="V1026" s="9">
        <v>2</v>
      </c>
      <c r="W1026" s="9">
        <v>0</v>
      </c>
      <c r="X1026" s="9">
        <v>1</v>
      </c>
      <c r="AE1026" s="9">
        <f>IFERROR(VLOOKUP($A1026,pivot!$A:$G,計算式2026!AE$1,FALSE),0)</f>
        <v>0</v>
      </c>
      <c r="AF1026" s="9">
        <f>IFERROR(VLOOKUP($A1026,pivot!$A:$I,計算式2026!AF$1,FALSE),0)</f>
        <v>0</v>
      </c>
      <c r="AI1026" s="9">
        <f>IFERROR(VLOOKUP($A1026,pivot!$A:$I,計算式2026!AI$1,FALSE),0)</f>
        <v>0</v>
      </c>
      <c r="AJ1026" s="9">
        <f>IFERROR(VLOOKUP($A1026,pivot!$A:$I,計算式2026!AJ$1,FALSE),0)</f>
        <v>0</v>
      </c>
      <c r="AK1026" s="9">
        <f>IFERROR(VLOOKUP($A1026,pivot!$A:$I,計算式2026!AK$1,FALSE),0)</f>
        <v>0</v>
      </c>
      <c r="AL1026" s="9">
        <f>IFERROR(VLOOKUP($A1026,pivot!$A:$I,計算式2026!AL$1,FALSE),0)</f>
        <v>0</v>
      </c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</row>
    <row r="1027" spans="1:59" s="9" customFormat="1">
      <c r="A1027" s="8" t="s">
        <v>684</v>
      </c>
      <c r="B1027" s="8" t="s">
        <v>681</v>
      </c>
      <c r="C1027" s="9">
        <v>1</v>
      </c>
      <c r="D1027" s="9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R1027" s="9">
        <v>0</v>
      </c>
      <c r="S1027" s="9">
        <v>0</v>
      </c>
      <c r="T1027" s="9">
        <v>1</v>
      </c>
      <c r="U1027" s="9">
        <v>0</v>
      </c>
      <c r="V1027" s="9">
        <v>0</v>
      </c>
      <c r="W1027" s="9">
        <v>0</v>
      </c>
      <c r="X1027" s="9">
        <v>1</v>
      </c>
      <c r="AE1027" s="9">
        <f>IFERROR(VLOOKUP($A1027,pivot!$A:$G,計算式2026!AE$1,FALSE),0)</f>
        <v>0</v>
      </c>
      <c r="AF1027" s="9">
        <f>IFERROR(VLOOKUP($A1027,pivot!$A:$I,計算式2026!AF$1,FALSE),0)</f>
        <v>0</v>
      </c>
      <c r="AI1027" s="9">
        <f>IFERROR(VLOOKUP($A1027,pivot!$A:$I,計算式2026!AI$1,FALSE),0)</f>
        <v>0</v>
      </c>
      <c r="AJ1027" s="9">
        <f>IFERROR(VLOOKUP($A1027,pivot!$A:$I,計算式2026!AJ$1,FALSE),0)</f>
        <v>0</v>
      </c>
      <c r="AK1027" s="9">
        <f>IFERROR(VLOOKUP($A1027,pivot!$A:$I,計算式2026!AK$1,FALSE),0)</f>
        <v>0</v>
      </c>
      <c r="AL1027" s="9">
        <f>IFERROR(VLOOKUP($A1027,pivot!$A:$I,計算式2026!AL$1,FALSE),0)</f>
        <v>0</v>
      </c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</row>
    <row r="1028" spans="1:59" s="9" customFormat="1">
      <c r="A1028" s="8" t="s">
        <v>685</v>
      </c>
      <c r="B1028" s="8" t="s">
        <v>681</v>
      </c>
      <c r="C1028" s="9">
        <v>1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1</v>
      </c>
      <c r="AE1028" s="9">
        <f>IFERROR(VLOOKUP($A1028,pivot!$A:$G,計算式2026!AE$1,FALSE),0)</f>
        <v>0</v>
      </c>
      <c r="AF1028" s="9">
        <f>IFERROR(VLOOKUP($A1028,pivot!$A:$I,計算式2026!AF$1,FALSE),0)</f>
        <v>0</v>
      </c>
      <c r="AI1028" s="9">
        <f>IFERROR(VLOOKUP($A1028,pivot!$A:$I,計算式2026!AI$1,FALSE),0)</f>
        <v>0</v>
      </c>
      <c r="AJ1028" s="9">
        <f>IFERROR(VLOOKUP($A1028,pivot!$A:$I,計算式2026!AJ$1,FALSE),0)</f>
        <v>0</v>
      </c>
      <c r="AK1028" s="9">
        <f>IFERROR(VLOOKUP($A1028,pivot!$A:$I,計算式2026!AK$1,FALSE),0)</f>
        <v>0</v>
      </c>
      <c r="AL1028" s="9">
        <f>IFERROR(VLOOKUP($A1028,pivot!$A:$I,計算式2026!AL$1,FALSE),0)</f>
        <v>0</v>
      </c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</row>
    <row r="1029" spans="1:59" s="9" customFormat="1">
      <c r="A1029" s="8" t="s">
        <v>686</v>
      </c>
      <c r="B1029" s="8" t="s">
        <v>687</v>
      </c>
      <c r="C1029" s="9">
        <v>0</v>
      </c>
      <c r="D1029" s="9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R1029" s="9">
        <v>1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1</v>
      </c>
      <c r="AE1029" s="9">
        <f>IFERROR(VLOOKUP($A1029,pivot!$A:$G,計算式2026!AE$1,FALSE),0)</f>
        <v>0</v>
      </c>
      <c r="AF1029" s="9">
        <f>IFERROR(VLOOKUP($A1029,pivot!$A:$I,計算式2026!AF$1,FALSE),0)</f>
        <v>0</v>
      </c>
      <c r="AI1029" s="9">
        <f>IFERROR(VLOOKUP($A1029,pivot!$A:$I,計算式2026!AI$1,FALSE),0)</f>
        <v>0</v>
      </c>
      <c r="AJ1029" s="9">
        <f>IFERROR(VLOOKUP($A1029,pivot!$A:$I,計算式2026!AJ$1,FALSE),0)</f>
        <v>0</v>
      </c>
      <c r="AK1029" s="9">
        <f>IFERROR(VLOOKUP($A1029,pivot!$A:$I,計算式2026!AK$1,FALSE),0)</f>
        <v>0</v>
      </c>
      <c r="AL1029" s="9">
        <f>IFERROR(VLOOKUP($A1029,pivot!$A:$I,計算式2026!AL$1,FALSE),0)</f>
        <v>0</v>
      </c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</row>
    <row r="1030" spans="1:59" s="9" customFormat="1">
      <c r="A1030" s="8" t="s">
        <v>688</v>
      </c>
      <c r="B1030" s="8" t="s">
        <v>687</v>
      </c>
      <c r="C1030" s="9">
        <v>0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1</v>
      </c>
      <c r="AE1030" s="9">
        <f>IFERROR(VLOOKUP($A1030,pivot!$A:$G,計算式2026!AE$1,FALSE),0)</f>
        <v>0</v>
      </c>
      <c r="AF1030" s="9">
        <f>IFERROR(VLOOKUP($A1030,pivot!$A:$I,計算式2026!AF$1,FALSE),0)</f>
        <v>0</v>
      </c>
      <c r="AI1030" s="9">
        <f>IFERROR(VLOOKUP($A1030,pivot!$A:$I,計算式2026!AI$1,FALSE),0)</f>
        <v>0</v>
      </c>
      <c r="AJ1030" s="9">
        <f>IFERROR(VLOOKUP($A1030,pivot!$A:$I,計算式2026!AJ$1,FALSE),0)</f>
        <v>0</v>
      </c>
      <c r="AK1030" s="9">
        <f>IFERROR(VLOOKUP($A1030,pivot!$A:$I,計算式2026!AK$1,FALSE),0)</f>
        <v>0</v>
      </c>
      <c r="AL1030" s="9">
        <f>IFERROR(VLOOKUP($A1030,pivot!$A:$I,計算式2026!AL$1,FALSE),0)</f>
        <v>0</v>
      </c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</row>
    <row r="1031" spans="1:59" s="9" customFormat="1">
      <c r="A1031" s="8" t="s">
        <v>689</v>
      </c>
      <c r="B1031" s="8" t="s">
        <v>690</v>
      </c>
      <c r="C1031" s="9">
        <v>0</v>
      </c>
      <c r="D1031" s="9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R1031" s="9">
        <v>2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1</v>
      </c>
      <c r="AE1031" s="9">
        <f>IFERROR(VLOOKUP($A1031,pivot!$A:$G,計算式2026!AE$1,FALSE),0)</f>
        <v>0</v>
      </c>
      <c r="AF1031" s="9">
        <f>IFERROR(VLOOKUP($A1031,pivot!$A:$I,計算式2026!AF$1,FALSE),0)</f>
        <v>0</v>
      </c>
      <c r="AI1031" s="9">
        <f>IFERROR(VLOOKUP($A1031,pivot!$A:$I,計算式2026!AI$1,FALSE),0)</f>
        <v>0</v>
      </c>
      <c r="AJ1031" s="9">
        <f>IFERROR(VLOOKUP($A1031,pivot!$A:$I,計算式2026!AJ$1,FALSE),0)</f>
        <v>0</v>
      </c>
      <c r="AK1031" s="9">
        <f>IFERROR(VLOOKUP($A1031,pivot!$A:$I,計算式2026!AK$1,FALSE),0)</f>
        <v>0</v>
      </c>
      <c r="AL1031" s="9">
        <f>IFERROR(VLOOKUP($A1031,pivot!$A:$I,計算式2026!AL$1,FALSE),0)</f>
        <v>0</v>
      </c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</row>
    <row r="1032" spans="1:59" s="9" customFormat="1">
      <c r="A1032" s="8" t="s">
        <v>2145</v>
      </c>
      <c r="B1032" s="8" t="s">
        <v>692</v>
      </c>
      <c r="C1032" s="9">
        <v>0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R1032" s="9">
        <v>2</v>
      </c>
      <c r="S1032" s="9">
        <v>1</v>
      </c>
      <c r="T1032" s="9">
        <v>0</v>
      </c>
      <c r="U1032" s="9">
        <v>0</v>
      </c>
      <c r="V1032" s="9">
        <v>0</v>
      </c>
      <c r="W1032" s="9">
        <v>0</v>
      </c>
      <c r="X1032" s="9">
        <v>1</v>
      </c>
      <c r="AE1032" s="9">
        <f>IFERROR(VLOOKUP($A1032,pivot!$A:$G,計算式2026!AE$1,FALSE),0)</f>
        <v>0</v>
      </c>
      <c r="AF1032" s="9">
        <f>IFERROR(VLOOKUP($A1032,pivot!$A:$I,計算式2026!AF$1,FALSE),0)</f>
        <v>0</v>
      </c>
      <c r="AI1032" s="9">
        <f>IFERROR(VLOOKUP($A1032,pivot!$A:$I,計算式2026!AI$1,FALSE),0)</f>
        <v>0</v>
      </c>
      <c r="AJ1032" s="9">
        <f>IFERROR(VLOOKUP($A1032,pivot!$A:$I,計算式2026!AJ$1,FALSE),0)</f>
        <v>0</v>
      </c>
      <c r="AK1032" s="9">
        <f>IFERROR(VLOOKUP($A1032,pivot!$A:$I,計算式2026!AK$1,FALSE),0)</f>
        <v>0</v>
      </c>
      <c r="AL1032" s="9">
        <f>IFERROR(VLOOKUP($A1032,pivot!$A:$I,計算式2026!AL$1,FALSE),0)</f>
        <v>0</v>
      </c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</row>
    <row r="1033" spans="1:59" s="9" customFormat="1">
      <c r="A1033" s="8" t="s">
        <v>2674</v>
      </c>
      <c r="B1033" s="8" t="s">
        <v>692</v>
      </c>
      <c r="C1033" s="9">
        <v>0</v>
      </c>
      <c r="D1033" s="9">
        <v>3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R1033" s="9">
        <v>3</v>
      </c>
      <c r="S1033" s="9">
        <v>4</v>
      </c>
      <c r="T1033" s="9">
        <v>2</v>
      </c>
      <c r="U1033" s="9">
        <v>0</v>
      </c>
      <c r="V1033" s="9">
        <v>4</v>
      </c>
      <c r="W1033" s="9">
        <v>0</v>
      </c>
      <c r="X1033" s="9">
        <v>2</v>
      </c>
      <c r="AE1033" s="9">
        <f>IFERROR(VLOOKUP($A1033,pivot!$A:$G,計算式2026!AE$1,FALSE),0)</f>
        <v>0</v>
      </c>
      <c r="AF1033" s="9">
        <f>IFERROR(VLOOKUP($A1033,pivot!$A:$I,計算式2026!AF$1,FALSE),0)</f>
        <v>0</v>
      </c>
      <c r="AI1033" s="9">
        <f>IFERROR(VLOOKUP($A1033,pivot!$A:$I,計算式2026!AI$1,FALSE),0)</f>
        <v>0</v>
      </c>
      <c r="AJ1033" s="9">
        <f>IFERROR(VLOOKUP($A1033,pivot!$A:$I,計算式2026!AJ$1,FALSE),0)</f>
        <v>0</v>
      </c>
      <c r="AK1033" s="9">
        <f>IFERROR(VLOOKUP($A1033,pivot!$A:$I,計算式2026!AK$1,FALSE),0)</f>
        <v>0</v>
      </c>
      <c r="AL1033" s="9">
        <f>IFERROR(VLOOKUP($A1033,pivot!$A:$I,計算式2026!AL$1,FALSE),0)</f>
        <v>0</v>
      </c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</row>
    <row r="1034" spans="1:59" s="9" customFormat="1">
      <c r="A1034" s="8" t="s">
        <v>2146</v>
      </c>
      <c r="B1034" s="8" t="s">
        <v>692</v>
      </c>
      <c r="C1034" s="9">
        <v>0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1</v>
      </c>
      <c r="AE1034" s="9">
        <f>IFERROR(VLOOKUP($A1034,pivot!$A:$G,計算式2026!AE$1,FALSE),0)</f>
        <v>0</v>
      </c>
      <c r="AF1034" s="9">
        <f>IFERROR(VLOOKUP($A1034,pivot!$A:$I,計算式2026!AF$1,FALSE),0)</f>
        <v>0</v>
      </c>
      <c r="AI1034" s="9">
        <f>IFERROR(VLOOKUP($A1034,pivot!$A:$I,計算式2026!AI$1,FALSE),0)</f>
        <v>0</v>
      </c>
      <c r="AJ1034" s="9">
        <f>IFERROR(VLOOKUP($A1034,pivot!$A:$I,計算式2026!AJ$1,FALSE),0)</f>
        <v>0</v>
      </c>
      <c r="AK1034" s="9">
        <f>IFERROR(VLOOKUP($A1034,pivot!$A:$I,計算式2026!AK$1,FALSE),0)</f>
        <v>0</v>
      </c>
      <c r="AL1034" s="9">
        <f>IFERROR(VLOOKUP($A1034,pivot!$A:$I,計算式2026!AL$1,FALSE),0)</f>
        <v>0</v>
      </c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</row>
    <row r="1035" spans="1:59" s="9" customFormat="1">
      <c r="A1035" s="8" t="s">
        <v>691</v>
      </c>
      <c r="B1035" s="8" t="s">
        <v>692</v>
      </c>
      <c r="C1035" s="9">
        <v>0</v>
      </c>
      <c r="D1035" s="9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R1035" s="9">
        <v>0</v>
      </c>
      <c r="S1035" s="9">
        <v>1</v>
      </c>
      <c r="T1035" s="9">
        <v>1</v>
      </c>
      <c r="U1035" s="9">
        <v>0</v>
      </c>
      <c r="V1035" s="9">
        <v>0</v>
      </c>
      <c r="W1035" s="9">
        <v>0</v>
      </c>
      <c r="X1035" s="9">
        <v>0</v>
      </c>
      <c r="AE1035" s="9">
        <f>IFERROR(VLOOKUP($A1035,pivot!$A:$G,計算式2026!AE$1,FALSE),0)</f>
        <v>0</v>
      </c>
      <c r="AF1035" s="9">
        <f>IFERROR(VLOOKUP($A1035,pivot!$A:$I,計算式2026!AF$1,FALSE),0)</f>
        <v>0</v>
      </c>
      <c r="AI1035" s="9">
        <f>IFERROR(VLOOKUP($A1035,pivot!$A:$I,計算式2026!AI$1,FALSE),0)</f>
        <v>0</v>
      </c>
      <c r="AJ1035" s="9">
        <f>IFERROR(VLOOKUP($A1035,pivot!$A:$I,計算式2026!AJ$1,FALSE),0)</f>
        <v>0</v>
      </c>
      <c r="AK1035" s="9">
        <f>IFERROR(VLOOKUP($A1035,pivot!$A:$I,計算式2026!AK$1,FALSE),0)</f>
        <v>0</v>
      </c>
      <c r="AL1035" s="9">
        <f>IFERROR(VLOOKUP($A1035,pivot!$A:$I,計算式2026!AL$1,FALSE),0)</f>
        <v>0</v>
      </c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</row>
    <row r="1036" spans="1:59" s="9" customFormat="1">
      <c r="A1036" s="8" t="s">
        <v>693</v>
      </c>
      <c r="B1036" s="8" t="s">
        <v>692</v>
      </c>
      <c r="C1036" s="9">
        <v>0</v>
      </c>
      <c r="D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R1036" s="9">
        <v>1</v>
      </c>
      <c r="S1036" s="9">
        <v>2</v>
      </c>
      <c r="T1036" s="9">
        <v>1</v>
      </c>
      <c r="U1036" s="9">
        <v>0</v>
      </c>
      <c r="V1036" s="9">
        <v>0</v>
      </c>
      <c r="W1036" s="9">
        <v>0</v>
      </c>
      <c r="X1036" s="9">
        <v>0</v>
      </c>
      <c r="AE1036" s="9">
        <f>IFERROR(VLOOKUP($A1036,pivot!$A:$G,計算式2026!AE$1,FALSE),0)</f>
        <v>0</v>
      </c>
      <c r="AF1036" s="9">
        <f>IFERROR(VLOOKUP($A1036,pivot!$A:$I,計算式2026!AF$1,FALSE),0)</f>
        <v>0</v>
      </c>
      <c r="AI1036" s="9">
        <f>IFERROR(VLOOKUP($A1036,pivot!$A:$I,計算式2026!AI$1,FALSE),0)</f>
        <v>0</v>
      </c>
      <c r="AJ1036" s="9">
        <f>IFERROR(VLOOKUP($A1036,pivot!$A:$I,計算式2026!AJ$1,FALSE),0)</f>
        <v>0</v>
      </c>
      <c r="AK1036" s="9">
        <f>IFERROR(VLOOKUP($A1036,pivot!$A:$I,計算式2026!AK$1,FALSE),0)</f>
        <v>0</v>
      </c>
      <c r="AL1036" s="9">
        <f>IFERROR(VLOOKUP($A1036,pivot!$A:$I,計算式2026!AL$1,FALSE),0)</f>
        <v>0</v>
      </c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</row>
    <row r="1037" spans="1:59" s="9" customFormat="1">
      <c r="A1037" s="8" t="s">
        <v>694</v>
      </c>
      <c r="B1037" s="8" t="s">
        <v>692</v>
      </c>
      <c r="C1037" s="9">
        <v>0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R1037" s="9">
        <v>2</v>
      </c>
      <c r="S1037" s="9">
        <v>1</v>
      </c>
      <c r="T1037" s="9">
        <v>0</v>
      </c>
      <c r="U1037" s="9">
        <v>0</v>
      </c>
      <c r="V1037" s="9">
        <v>2</v>
      </c>
      <c r="W1037" s="9">
        <v>0</v>
      </c>
      <c r="X1037" s="9">
        <v>1</v>
      </c>
      <c r="AE1037" s="9">
        <f>IFERROR(VLOOKUP($A1037,pivot!$A:$G,計算式2026!AE$1,FALSE),0)</f>
        <v>0</v>
      </c>
      <c r="AF1037" s="9">
        <f>IFERROR(VLOOKUP($A1037,pivot!$A:$I,計算式2026!AF$1,FALSE),0)</f>
        <v>0</v>
      </c>
      <c r="AI1037" s="9">
        <f>IFERROR(VLOOKUP($A1037,pivot!$A:$I,計算式2026!AI$1,FALSE),0)</f>
        <v>0</v>
      </c>
      <c r="AJ1037" s="9">
        <f>IFERROR(VLOOKUP($A1037,pivot!$A:$I,計算式2026!AJ$1,FALSE),0)</f>
        <v>0</v>
      </c>
      <c r="AK1037" s="9">
        <f>IFERROR(VLOOKUP($A1037,pivot!$A:$I,計算式2026!AK$1,FALSE),0)</f>
        <v>0</v>
      </c>
      <c r="AL1037" s="9">
        <f>IFERROR(VLOOKUP($A1037,pivot!$A:$I,計算式2026!AL$1,FALSE),0)</f>
        <v>0</v>
      </c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</row>
    <row r="1038" spans="1:59" s="9" customFormat="1">
      <c r="A1038" s="8" t="s">
        <v>695</v>
      </c>
      <c r="B1038" s="8" t="s">
        <v>692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R1038" s="9">
        <v>1</v>
      </c>
      <c r="S1038" s="9">
        <v>1</v>
      </c>
      <c r="T1038" s="9">
        <v>0</v>
      </c>
      <c r="U1038" s="9">
        <v>0</v>
      </c>
      <c r="V1038" s="9">
        <v>0</v>
      </c>
      <c r="W1038" s="9">
        <v>0</v>
      </c>
      <c r="X1038" s="9">
        <v>1</v>
      </c>
      <c r="AE1038" s="9">
        <f>IFERROR(VLOOKUP($A1038,pivot!$A:$G,計算式2026!AE$1,FALSE),0)</f>
        <v>0</v>
      </c>
      <c r="AF1038" s="9">
        <f>IFERROR(VLOOKUP($A1038,pivot!$A:$I,計算式2026!AF$1,FALSE),0)</f>
        <v>0</v>
      </c>
      <c r="AI1038" s="9">
        <f>IFERROR(VLOOKUP($A1038,pivot!$A:$I,計算式2026!AI$1,FALSE),0)</f>
        <v>0</v>
      </c>
      <c r="AJ1038" s="9">
        <f>IFERROR(VLOOKUP($A1038,pivot!$A:$I,計算式2026!AJ$1,FALSE),0)</f>
        <v>0</v>
      </c>
      <c r="AK1038" s="9">
        <f>IFERROR(VLOOKUP($A1038,pivot!$A:$I,計算式2026!AK$1,FALSE),0)</f>
        <v>0</v>
      </c>
      <c r="AL1038" s="9">
        <f>IFERROR(VLOOKUP($A1038,pivot!$A:$I,計算式2026!AL$1,FALSE),0)</f>
        <v>0</v>
      </c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</row>
    <row r="1039" spans="1:59" s="9" customFormat="1">
      <c r="A1039" s="8" t="s">
        <v>696</v>
      </c>
      <c r="B1039" s="8" t="s">
        <v>697</v>
      </c>
      <c r="C1039" s="9">
        <v>0</v>
      </c>
      <c r="D1039" s="9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R1039" s="9">
        <v>1</v>
      </c>
      <c r="S1039" s="9">
        <v>0</v>
      </c>
      <c r="T1039" s="9">
        <v>1</v>
      </c>
      <c r="U1039" s="9">
        <v>0</v>
      </c>
      <c r="V1039" s="9">
        <v>1</v>
      </c>
      <c r="W1039" s="9">
        <v>0</v>
      </c>
      <c r="X1039" s="9">
        <v>1</v>
      </c>
      <c r="AE1039" s="9">
        <f>IFERROR(VLOOKUP($A1039,pivot!$A:$G,計算式2026!AE$1,FALSE),0)</f>
        <v>0</v>
      </c>
      <c r="AF1039" s="9">
        <f>IFERROR(VLOOKUP($A1039,pivot!$A:$I,計算式2026!AF$1,FALSE),0)</f>
        <v>0</v>
      </c>
      <c r="AI1039" s="9">
        <f>IFERROR(VLOOKUP($A1039,pivot!$A:$I,計算式2026!AI$1,FALSE),0)</f>
        <v>0</v>
      </c>
      <c r="AJ1039" s="9">
        <f>IFERROR(VLOOKUP($A1039,pivot!$A:$I,計算式2026!AJ$1,FALSE),0)</f>
        <v>0</v>
      </c>
      <c r="AK1039" s="9">
        <f>IFERROR(VLOOKUP($A1039,pivot!$A:$I,計算式2026!AK$1,FALSE),0)</f>
        <v>0</v>
      </c>
      <c r="AL1039" s="9">
        <f>IFERROR(VLOOKUP($A1039,pivot!$A:$I,計算式2026!AL$1,FALSE),0)</f>
        <v>0</v>
      </c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</row>
    <row r="1040" spans="1:59" s="9" customFormat="1">
      <c r="A1040" s="8" t="s">
        <v>698</v>
      </c>
      <c r="B1040" s="8" t="s">
        <v>697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R1040" s="9">
        <v>2</v>
      </c>
      <c r="S1040" s="9">
        <v>2</v>
      </c>
      <c r="T1040" s="9">
        <v>1</v>
      </c>
      <c r="U1040" s="9">
        <v>2</v>
      </c>
      <c r="V1040" s="9">
        <v>2</v>
      </c>
      <c r="W1040" s="9">
        <v>0</v>
      </c>
      <c r="X1040" s="9">
        <v>0</v>
      </c>
      <c r="AE1040" s="9">
        <f>IFERROR(VLOOKUP($A1040,pivot!$A:$G,計算式2026!AE$1,FALSE),0)</f>
        <v>0</v>
      </c>
      <c r="AF1040" s="9">
        <f>IFERROR(VLOOKUP($A1040,pivot!$A:$I,計算式2026!AF$1,FALSE),0)</f>
        <v>0</v>
      </c>
      <c r="AI1040" s="9">
        <f>IFERROR(VLOOKUP($A1040,pivot!$A:$I,計算式2026!AI$1,FALSE),0)</f>
        <v>0</v>
      </c>
      <c r="AJ1040" s="9">
        <f>IFERROR(VLOOKUP($A1040,pivot!$A:$I,計算式2026!AJ$1,FALSE),0)</f>
        <v>0</v>
      </c>
      <c r="AK1040" s="9">
        <f>IFERROR(VLOOKUP($A1040,pivot!$A:$I,計算式2026!AK$1,FALSE),0)</f>
        <v>0</v>
      </c>
      <c r="AL1040" s="9">
        <f>IFERROR(VLOOKUP($A1040,pivot!$A:$I,計算式2026!AL$1,FALSE),0)</f>
        <v>0</v>
      </c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</row>
    <row r="1041" spans="1:59" s="9" customFormat="1">
      <c r="A1041" s="8" t="s">
        <v>699</v>
      </c>
      <c r="B1041" s="8" t="s">
        <v>697</v>
      </c>
      <c r="C1041" s="9">
        <v>0</v>
      </c>
      <c r="D1041" s="9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R1041" s="9">
        <v>0</v>
      </c>
      <c r="S1041" s="9">
        <v>0</v>
      </c>
      <c r="T1041" s="9">
        <v>1</v>
      </c>
      <c r="U1041" s="9">
        <v>0</v>
      </c>
      <c r="V1041" s="9">
        <v>0</v>
      </c>
      <c r="W1041" s="9">
        <v>0</v>
      </c>
      <c r="X1041" s="9">
        <v>1</v>
      </c>
      <c r="AE1041" s="9">
        <f>IFERROR(VLOOKUP($A1041,pivot!$A:$G,計算式2026!AE$1,FALSE),0)</f>
        <v>0</v>
      </c>
      <c r="AF1041" s="9">
        <f>IFERROR(VLOOKUP($A1041,pivot!$A:$I,計算式2026!AF$1,FALSE),0)</f>
        <v>0</v>
      </c>
      <c r="AI1041" s="9">
        <f>IFERROR(VLOOKUP($A1041,pivot!$A:$I,計算式2026!AI$1,FALSE),0)</f>
        <v>0</v>
      </c>
      <c r="AJ1041" s="9">
        <f>IFERROR(VLOOKUP($A1041,pivot!$A:$I,計算式2026!AJ$1,FALSE),0)</f>
        <v>0</v>
      </c>
      <c r="AK1041" s="9">
        <f>IFERROR(VLOOKUP($A1041,pivot!$A:$I,計算式2026!AK$1,FALSE),0)</f>
        <v>0</v>
      </c>
      <c r="AL1041" s="9">
        <f>IFERROR(VLOOKUP($A1041,pivot!$A:$I,計算式2026!AL$1,FALSE),0)</f>
        <v>0</v>
      </c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</row>
    <row r="1042" spans="1:59" s="9" customFormat="1">
      <c r="A1042" s="8" t="s">
        <v>700</v>
      </c>
      <c r="B1042" s="8" t="s">
        <v>701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1</v>
      </c>
      <c r="AE1042" s="9">
        <f>IFERROR(VLOOKUP($A1042,pivot!$A:$G,計算式2026!AE$1,FALSE),0)</f>
        <v>0</v>
      </c>
      <c r="AF1042" s="9">
        <f>IFERROR(VLOOKUP($A1042,pivot!$A:$I,計算式2026!AF$1,FALSE),0)</f>
        <v>0</v>
      </c>
      <c r="AI1042" s="9">
        <f>IFERROR(VLOOKUP($A1042,pivot!$A:$I,計算式2026!AI$1,FALSE),0)</f>
        <v>0</v>
      </c>
      <c r="AJ1042" s="9">
        <f>IFERROR(VLOOKUP($A1042,pivot!$A:$I,計算式2026!AJ$1,FALSE),0)</f>
        <v>0</v>
      </c>
      <c r="AK1042" s="9">
        <f>IFERROR(VLOOKUP($A1042,pivot!$A:$I,計算式2026!AK$1,FALSE),0)</f>
        <v>0</v>
      </c>
      <c r="AL1042" s="9">
        <f>IFERROR(VLOOKUP($A1042,pivot!$A:$I,計算式2026!AL$1,FALSE),0)</f>
        <v>0</v>
      </c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</row>
    <row r="1043" spans="1:59" s="9" customFormat="1">
      <c r="A1043" s="8" t="s">
        <v>702</v>
      </c>
      <c r="B1043" s="8" t="s">
        <v>701</v>
      </c>
      <c r="C1043" s="9">
        <v>0</v>
      </c>
      <c r="D1043" s="9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R1043" s="9">
        <v>1</v>
      </c>
      <c r="S1043" s="9">
        <v>0</v>
      </c>
      <c r="T1043" s="9">
        <v>1</v>
      </c>
      <c r="U1043" s="9">
        <v>2</v>
      </c>
      <c r="V1043" s="9">
        <v>2</v>
      </c>
      <c r="W1043" s="9">
        <v>2</v>
      </c>
      <c r="X1043" s="9">
        <v>2</v>
      </c>
      <c r="AE1043" s="9">
        <f>IFERROR(VLOOKUP($A1043,pivot!$A:$G,計算式2026!AE$1,FALSE),0)</f>
        <v>0</v>
      </c>
      <c r="AF1043" s="9">
        <f>IFERROR(VLOOKUP($A1043,pivot!$A:$I,計算式2026!AF$1,FALSE),0)</f>
        <v>0</v>
      </c>
      <c r="AI1043" s="9">
        <f>IFERROR(VLOOKUP($A1043,pivot!$A:$I,計算式2026!AI$1,FALSE),0)</f>
        <v>0</v>
      </c>
      <c r="AJ1043" s="9">
        <f>IFERROR(VLOOKUP($A1043,pivot!$A:$I,計算式2026!AJ$1,FALSE),0)</f>
        <v>0</v>
      </c>
      <c r="AK1043" s="9">
        <f>IFERROR(VLOOKUP($A1043,pivot!$A:$I,計算式2026!AK$1,FALSE),0)</f>
        <v>0</v>
      </c>
      <c r="AL1043" s="9">
        <f>IFERROR(VLOOKUP($A1043,pivot!$A:$I,計算式2026!AL$1,FALSE),0)</f>
        <v>0</v>
      </c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</row>
    <row r="1044" spans="1:59" s="9" customFormat="1">
      <c r="A1044" s="8" t="s">
        <v>703</v>
      </c>
      <c r="B1044" s="8" t="s">
        <v>704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R1044" s="9">
        <v>0</v>
      </c>
      <c r="S1044" s="9">
        <v>0</v>
      </c>
      <c r="T1044" s="9">
        <v>1</v>
      </c>
      <c r="U1044" s="9">
        <v>0</v>
      </c>
      <c r="V1044" s="9">
        <v>0</v>
      </c>
      <c r="W1044" s="9">
        <v>2</v>
      </c>
      <c r="X1044" s="9">
        <v>2</v>
      </c>
      <c r="AE1044" s="9">
        <f>IFERROR(VLOOKUP($A1044,pivot!$A:$G,計算式2026!AE$1,FALSE),0)</f>
        <v>0</v>
      </c>
      <c r="AF1044" s="9">
        <f>IFERROR(VLOOKUP($A1044,pivot!$A:$I,計算式2026!AF$1,FALSE),0)</f>
        <v>0</v>
      </c>
      <c r="AI1044" s="9">
        <f>IFERROR(VLOOKUP($A1044,pivot!$A:$I,計算式2026!AI$1,FALSE),0)</f>
        <v>0</v>
      </c>
      <c r="AJ1044" s="9">
        <f>IFERROR(VLOOKUP($A1044,pivot!$A:$I,計算式2026!AJ$1,FALSE),0)</f>
        <v>0</v>
      </c>
      <c r="AK1044" s="9">
        <f>IFERROR(VLOOKUP($A1044,pivot!$A:$I,計算式2026!AK$1,FALSE),0)</f>
        <v>0</v>
      </c>
      <c r="AL1044" s="9">
        <f>IFERROR(VLOOKUP($A1044,pivot!$A:$I,計算式2026!AL$1,FALSE),0)</f>
        <v>0</v>
      </c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</row>
    <row r="1045" spans="1:59" s="9" customFormat="1">
      <c r="A1045" s="8" t="s">
        <v>705</v>
      </c>
      <c r="B1045" s="8" t="s">
        <v>704</v>
      </c>
      <c r="C1045" s="9">
        <v>0</v>
      </c>
      <c r="D1045" s="9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R1045" s="9">
        <v>0</v>
      </c>
      <c r="S1045" s="9">
        <v>0</v>
      </c>
      <c r="T1045" s="9">
        <v>1</v>
      </c>
      <c r="U1045" s="9">
        <v>0</v>
      </c>
      <c r="V1045" s="9">
        <v>0</v>
      </c>
      <c r="W1045" s="9">
        <v>1</v>
      </c>
      <c r="X1045" s="9">
        <v>1</v>
      </c>
      <c r="AE1045" s="9">
        <f>IFERROR(VLOOKUP($A1045,pivot!$A:$G,計算式2026!AE$1,FALSE),0)</f>
        <v>0</v>
      </c>
      <c r="AF1045" s="9">
        <f>IFERROR(VLOOKUP($A1045,pivot!$A:$I,計算式2026!AF$1,FALSE),0)</f>
        <v>0</v>
      </c>
      <c r="AI1045" s="9">
        <f>IFERROR(VLOOKUP($A1045,pivot!$A:$I,計算式2026!AI$1,FALSE),0)</f>
        <v>0</v>
      </c>
      <c r="AJ1045" s="9">
        <f>IFERROR(VLOOKUP($A1045,pivot!$A:$I,計算式2026!AJ$1,FALSE),0)</f>
        <v>0</v>
      </c>
      <c r="AK1045" s="9">
        <f>IFERROR(VLOOKUP($A1045,pivot!$A:$I,計算式2026!AK$1,FALSE),0)</f>
        <v>0</v>
      </c>
      <c r="AL1045" s="9">
        <f>IFERROR(VLOOKUP($A1045,pivot!$A:$I,計算式2026!AL$1,FALSE),0)</f>
        <v>0</v>
      </c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</row>
    <row r="1046" spans="1:59" s="9" customFormat="1">
      <c r="A1046" s="8" t="s">
        <v>706</v>
      </c>
      <c r="B1046" s="8" t="s">
        <v>707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1</v>
      </c>
      <c r="AE1046" s="9">
        <f>IFERROR(VLOOKUP($A1046,pivot!$A:$G,計算式2026!AE$1,FALSE),0)</f>
        <v>0</v>
      </c>
      <c r="AF1046" s="9">
        <f>IFERROR(VLOOKUP($A1046,pivot!$A:$I,計算式2026!AF$1,FALSE),0)</f>
        <v>0</v>
      </c>
      <c r="AI1046" s="9">
        <f>IFERROR(VLOOKUP($A1046,pivot!$A:$I,計算式2026!AI$1,FALSE),0)</f>
        <v>0</v>
      </c>
      <c r="AJ1046" s="9">
        <f>IFERROR(VLOOKUP($A1046,pivot!$A:$I,計算式2026!AJ$1,FALSE),0)</f>
        <v>0</v>
      </c>
      <c r="AK1046" s="9">
        <f>IFERROR(VLOOKUP($A1046,pivot!$A:$I,計算式2026!AK$1,FALSE),0)</f>
        <v>0</v>
      </c>
      <c r="AL1046" s="9">
        <f>IFERROR(VLOOKUP($A1046,pivot!$A:$I,計算式2026!AL$1,FALSE),0)</f>
        <v>0</v>
      </c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</row>
    <row r="1047" spans="1:59" s="9" customFormat="1">
      <c r="A1047" s="8" t="s">
        <v>708</v>
      </c>
      <c r="B1047" s="8" t="s">
        <v>707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1</v>
      </c>
      <c r="AE1047" s="9">
        <f>IFERROR(VLOOKUP($A1047,pivot!$A:$G,計算式2026!AE$1,FALSE),0)</f>
        <v>0</v>
      </c>
      <c r="AF1047" s="9">
        <f>IFERROR(VLOOKUP($A1047,pivot!$A:$I,計算式2026!AF$1,FALSE),0)</f>
        <v>0</v>
      </c>
      <c r="AI1047" s="9">
        <f>IFERROR(VLOOKUP($A1047,pivot!$A:$I,計算式2026!AI$1,FALSE),0)</f>
        <v>0</v>
      </c>
      <c r="AJ1047" s="9">
        <f>IFERROR(VLOOKUP($A1047,pivot!$A:$I,計算式2026!AJ$1,FALSE),0)</f>
        <v>0</v>
      </c>
      <c r="AK1047" s="9">
        <f>IFERROR(VLOOKUP($A1047,pivot!$A:$I,計算式2026!AK$1,FALSE),0)</f>
        <v>0</v>
      </c>
      <c r="AL1047" s="9">
        <f>IFERROR(VLOOKUP($A1047,pivot!$A:$I,計算式2026!AL$1,FALSE),0)</f>
        <v>0</v>
      </c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</row>
    <row r="1048" spans="1:59" s="9" customFormat="1">
      <c r="A1048" s="8" t="s">
        <v>709</v>
      </c>
      <c r="B1048" s="8" t="s">
        <v>707</v>
      </c>
      <c r="C1048" s="9">
        <v>0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R1048" s="9">
        <v>0</v>
      </c>
      <c r="S1048" s="9">
        <v>0</v>
      </c>
      <c r="T1048" s="9">
        <v>1</v>
      </c>
      <c r="U1048" s="9">
        <v>0</v>
      </c>
      <c r="V1048" s="9">
        <v>0</v>
      </c>
      <c r="W1048" s="9">
        <v>0</v>
      </c>
      <c r="X1048" s="9">
        <v>1</v>
      </c>
      <c r="AE1048" s="9">
        <f>IFERROR(VLOOKUP($A1048,pivot!$A:$G,計算式2026!AE$1,FALSE),0)</f>
        <v>0</v>
      </c>
      <c r="AF1048" s="9">
        <f>IFERROR(VLOOKUP($A1048,pivot!$A:$I,計算式2026!AF$1,FALSE),0)</f>
        <v>0</v>
      </c>
      <c r="AI1048" s="9">
        <f>IFERROR(VLOOKUP($A1048,pivot!$A:$I,計算式2026!AI$1,FALSE),0)</f>
        <v>0</v>
      </c>
      <c r="AJ1048" s="9">
        <f>IFERROR(VLOOKUP($A1048,pivot!$A:$I,計算式2026!AJ$1,FALSE),0)</f>
        <v>0</v>
      </c>
      <c r="AK1048" s="9">
        <f>IFERROR(VLOOKUP($A1048,pivot!$A:$I,計算式2026!AK$1,FALSE),0)</f>
        <v>0</v>
      </c>
      <c r="AL1048" s="9">
        <f>IFERROR(VLOOKUP($A1048,pivot!$A:$I,計算式2026!AL$1,FALSE),0)</f>
        <v>0</v>
      </c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</row>
    <row r="1049" spans="1:59" s="9" customFormat="1">
      <c r="A1049" s="8" t="s">
        <v>710</v>
      </c>
      <c r="B1049" s="8" t="s">
        <v>711</v>
      </c>
      <c r="C1049" s="9">
        <v>0</v>
      </c>
      <c r="D1049" s="9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1</v>
      </c>
      <c r="AE1049" s="9">
        <f>IFERROR(VLOOKUP($A1049,pivot!$A:$G,計算式2026!AE$1,FALSE),0)</f>
        <v>0</v>
      </c>
      <c r="AF1049" s="9">
        <f>IFERROR(VLOOKUP($A1049,pivot!$A:$I,計算式2026!AF$1,FALSE),0)</f>
        <v>0</v>
      </c>
      <c r="AI1049" s="9">
        <f>IFERROR(VLOOKUP($A1049,pivot!$A:$I,計算式2026!AI$1,FALSE),0)</f>
        <v>0</v>
      </c>
      <c r="AJ1049" s="9">
        <f>IFERROR(VLOOKUP($A1049,pivot!$A:$I,計算式2026!AJ$1,FALSE),0)</f>
        <v>0</v>
      </c>
      <c r="AK1049" s="9">
        <f>IFERROR(VLOOKUP($A1049,pivot!$A:$I,計算式2026!AK$1,FALSE),0)</f>
        <v>0</v>
      </c>
      <c r="AL1049" s="9">
        <f>IFERROR(VLOOKUP($A1049,pivot!$A:$I,計算式2026!AL$1,FALSE),0)</f>
        <v>0</v>
      </c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</row>
    <row r="1050" spans="1:59" s="9" customFormat="1">
      <c r="A1050" s="8" t="s">
        <v>712</v>
      </c>
      <c r="B1050" s="8" t="s">
        <v>711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R1050" s="9">
        <v>1</v>
      </c>
      <c r="S1050" s="9">
        <v>0</v>
      </c>
      <c r="T1050" s="9">
        <v>1</v>
      </c>
      <c r="U1050" s="9">
        <v>0</v>
      </c>
      <c r="V1050" s="9">
        <v>0</v>
      </c>
      <c r="W1050" s="9">
        <v>0</v>
      </c>
      <c r="X1050" s="9">
        <v>2</v>
      </c>
      <c r="AE1050" s="9">
        <f>IFERROR(VLOOKUP($A1050,pivot!$A:$G,計算式2026!AE$1,FALSE),0)</f>
        <v>0</v>
      </c>
      <c r="AF1050" s="9">
        <f>IFERROR(VLOOKUP($A1050,pivot!$A:$I,計算式2026!AF$1,FALSE),0)</f>
        <v>0</v>
      </c>
      <c r="AI1050" s="9">
        <f>IFERROR(VLOOKUP($A1050,pivot!$A:$I,計算式2026!AI$1,FALSE),0)</f>
        <v>0</v>
      </c>
      <c r="AJ1050" s="9">
        <f>IFERROR(VLOOKUP($A1050,pivot!$A:$I,計算式2026!AJ$1,FALSE),0)</f>
        <v>0</v>
      </c>
      <c r="AK1050" s="9">
        <f>IFERROR(VLOOKUP($A1050,pivot!$A:$I,計算式2026!AK$1,FALSE),0)</f>
        <v>0</v>
      </c>
      <c r="AL1050" s="9">
        <f>IFERROR(VLOOKUP($A1050,pivot!$A:$I,計算式2026!AL$1,FALSE),0)</f>
        <v>0</v>
      </c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</row>
    <row r="1051" spans="1:59" s="9" customFormat="1">
      <c r="A1051" s="8" t="s">
        <v>713</v>
      </c>
      <c r="B1051" s="8" t="s">
        <v>711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1</v>
      </c>
      <c r="AE1051" s="9">
        <f>IFERROR(VLOOKUP($A1051,pivot!$A:$G,計算式2026!AE$1,FALSE),0)</f>
        <v>0</v>
      </c>
      <c r="AF1051" s="9">
        <f>IFERROR(VLOOKUP($A1051,pivot!$A:$I,計算式2026!AF$1,FALSE),0)</f>
        <v>0</v>
      </c>
      <c r="AI1051" s="9">
        <f>IFERROR(VLOOKUP($A1051,pivot!$A:$I,計算式2026!AI$1,FALSE),0)</f>
        <v>0</v>
      </c>
      <c r="AJ1051" s="9">
        <f>IFERROR(VLOOKUP($A1051,pivot!$A:$I,計算式2026!AJ$1,FALSE),0)</f>
        <v>0</v>
      </c>
      <c r="AK1051" s="9">
        <f>IFERROR(VLOOKUP($A1051,pivot!$A:$I,計算式2026!AK$1,FALSE),0)</f>
        <v>0</v>
      </c>
      <c r="AL1051" s="9">
        <f>IFERROR(VLOOKUP($A1051,pivot!$A:$I,計算式2026!AL$1,FALSE),0)</f>
        <v>0</v>
      </c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</row>
    <row r="1052" spans="1:59" s="9" customFormat="1">
      <c r="A1052" s="8" t="s">
        <v>715</v>
      </c>
      <c r="B1052" s="8" t="s">
        <v>714</v>
      </c>
      <c r="C1052" s="9">
        <v>0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R1052" s="9">
        <v>1</v>
      </c>
      <c r="S1052" s="9">
        <v>0</v>
      </c>
      <c r="T1052" s="9">
        <v>1</v>
      </c>
      <c r="U1052" s="9">
        <v>2</v>
      </c>
      <c r="V1052" s="9">
        <v>1</v>
      </c>
      <c r="W1052" s="9">
        <v>0</v>
      </c>
      <c r="X1052" s="9">
        <v>1</v>
      </c>
      <c r="AE1052" s="9">
        <f>IFERROR(VLOOKUP($A1052,pivot!$A:$G,計算式2026!AE$1,FALSE),0)</f>
        <v>0</v>
      </c>
      <c r="AF1052" s="9">
        <f>IFERROR(VLOOKUP($A1052,pivot!$A:$I,計算式2026!AF$1,FALSE),0)</f>
        <v>0</v>
      </c>
      <c r="AI1052" s="9">
        <f>IFERROR(VLOOKUP($A1052,pivot!$A:$I,計算式2026!AI$1,FALSE),0)</f>
        <v>0</v>
      </c>
      <c r="AJ1052" s="9">
        <f>IFERROR(VLOOKUP($A1052,pivot!$A:$I,計算式2026!AJ$1,FALSE),0)</f>
        <v>0</v>
      </c>
      <c r="AK1052" s="9">
        <f>IFERROR(VLOOKUP($A1052,pivot!$A:$I,計算式2026!AK$1,FALSE),0)</f>
        <v>0</v>
      </c>
      <c r="AL1052" s="9">
        <f>IFERROR(VLOOKUP($A1052,pivot!$A:$I,計算式2026!AL$1,FALSE),0)</f>
        <v>0</v>
      </c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</row>
    <row r="1053" spans="1:59" s="9" customFormat="1">
      <c r="A1053" s="8" t="s">
        <v>2147</v>
      </c>
      <c r="B1053" s="8" t="s">
        <v>714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R1053" s="9">
        <v>1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1</v>
      </c>
      <c r="AE1053" s="9">
        <f>IFERROR(VLOOKUP($A1053,pivot!$A:$G,計算式2026!AE$1,FALSE),0)</f>
        <v>0</v>
      </c>
      <c r="AF1053" s="9">
        <f>IFERROR(VLOOKUP($A1053,pivot!$A:$I,計算式2026!AF$1,FALSE),0)</f>
        <v>0</v>
      </c>
      <c r="AI1053" s="9">
        <f>IFERROR(VLOOKUP($A1053,pivot!$A:$I,計算式2026!AI$1,FALSE),0)</f>
        <v>0</v>
      </c>
      <c r="AJ1053" s="9">
        <f>IFERROR(VLOOKUP($A1053,pivot!$A:$I,計算式2026!AJ$1,FALSE),0)</f>
        <v>0</v>
      </c>
      <c r="AK1053" s="9">
        <f>IFERROR(VLOOKUP($A1053,pivot!$A:$I,計算式2026!AK$1,FALSE),0)</f>
        <v>0</v>
      </c>
      <c r="AL1053" s="9">
        <f>IFERROR(VLOOKUP($A1053,pivot!$A:$I,計算式2026!AL$1,FALSE),0)</f>
        <v>0</v>
      </c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</row>
    <row r="1054" spans="1:59" s="9" customFormat="1">
      <c r="A1054" s="8" t="s">
        <v>716</v>
      </c>
      <c r="B1054" s="8" t="s">
        <v>714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R1054" s="9">
        <v>2</v>
      </c>
      <c r="S1054" s="9">
        <v>2</v>
      </c>
      <c r="T1054" s="9">
        <v>1</v>
      </c>
      <c r="U1054" s="9">
        <v>2</v>
      </c>
      <c r="V1054" s="9">
        <v>3</v>
      </c>
      <c r="W1054" s="9">
        <v>0</v>
      </c>
      <c r="X1054" s="9">
        <v>1</v>
      </c>
      <c r="AE1054" s="9">
        <f>IFERROR(VLOOKUP($A1054,pivot!$A:$G,計算式2026!AE$1,FALSE),0)</f>
        <v>0</v>
      </c>
      <c r="AF1054" s="9">
        <f>IFERROR(VLOOKUP($A1054,pivot!$A:$I,計算式2026!AF$1,FALSE),0)</f>
        <v>0</v>
      </c>
      <c r="AI1054" s="9">
        <f>IFERROR(VLOOKUP($A1054,pivot!$A:$I,計算式2026!AI$1,FALSE),0)</f>
        <v>0</v>
      </c>
      <c r="AJ1054" s="9">
        <f>IFERROR(VLOOKUP($A1054,pivot!$A:$I,計算式2026!AJ$1,FALSE),0)</f>
        <v>0</v>
      </c>
      <c r="AK1054" s="9">
        <f>IFERROR(VLOOKUP($A1054,pivot!$A:$I,計算式2026!AK$1,FALSE),0)</f>
        <v>0</v>
      </c>
      <c r="AL1054" s="9">
        <f>IFERROR(VLOOKUP($A1054,pivot!$A:$I,計算式2026!AL$1,FALSE),0)</f>
        <v>0</v>
      </c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</row>
    <row r="1055" spans="1:59" s="9" customFormat="1">
      <c r="A1055" s="8" t="s">
        <v>2148</v>
      </c>
      <c r="B1055" s="8" t="s">
        <v>714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R1055" s="9">
        <v>1</v>
      </c>
      <c r="S1055" s="9">
        <v>0</v>
      </c>
      <c r="T1055" s="9">
        <v>0</v>
      </c>
      <c r="U1055" s="9">
        <v>0</v>
      </c>
      <c r="V1055" s="9">
        <v>2</v>
      </c>
      <c r="W1055" s="9">
        <v>0</v>
      </c>
      <c r="X1055" s="9">
        <v>1</v>
      </c>
      <c r="AE1055" s="9">
        <f>IFERROR(VLOOKUP($A1055,pivot!$A:$G,計算式2026!AE$1,FALSE),0)</f>
        <v>0</v>
      </c>
      <c r="AF1055" s="9">
        <f>IFERROR(VLOOKUP($A1055,pivot!$A:$I,計算式2026!AF$1,FALSE),0)</f>
        <v>0</v>
      </c>
      <c r="AI1055" s="9">
        <f>IFERROR(VLOOKUP($A1055,pivot!$A:$I,計算式2026!AI$1,FALSE),0)</f>
        <v>0</v>
      </c>
      <c r="AJ1055" s="9">
        <f>IFERROR(VLOOKUP($A1055,pivot!$A:$I,計算式2026!AJ$1,FALSE),0)</f>
        <v>0</v>
      </c>
      <c r="AK1055" s="9">
        <f>IFERROR(VLOOKUP($A1055,pivot!$A:$I,計算式2026!AK$1,FALSE),0)</f>
        <v>0</v>
      </c>
      <c r="AL1055" s="9">
        <f>IFERROR(VLOOKUP($A1055,pivot!$A:$I,計算式2026!AL$1,FALSE),0)</f>
        <v>0</v>
      </c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</row>
    <row r="1056" spans="1:59" s="9" customFormat="1">
      <c r="A1056" s="8" t="s">
        <v>2149</v>
      </c>
      <c r="B1056" s="8" t="s">
        <v>714</v>
      </c>
      <c r="C1056" s="9">
        <v>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R1056" s="9">
        <v>1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1</v>
      </c>
      <c r="AE1056" s="9">
        <f>IFERROR(VLOOKUP($A1056,pivot!$A:$G,計算式2026!AE$1,FALSE),0)</f>
        <v>0</v>
      </c>
      <c r="AF1056" s="9">
        <f>IFERROR(VLOOKUP($A1056,pivot!$A:$I,計算式2026!AF$1,FALSE),0)</f>
        <v>0</v>
      </c>
      <c r="AI1056" s="9">
        <f>IFERROR(VLOOKUP($A1056,pivot!$A:$I,計算式2026!AI$1,FALSE),0)</f>
        <v>0</v>
      </c>
      <c r="AJ1056" s="9">
        <f>IFERROR(VLOOKUP($A1056,pivot!$A:$I,計算式2026!AJ$1,FALSE),0)</f>
        <v>0</v>
      </c>
      <c r="AK1056" s="9">
        <f>IFERROR(VLOOKUP($A1056,pivot!$A:$I,計算式2026!AK$1,FALSE),0)</f>
        <v>0</v>
      </c>
      <c r="AL1056" s="9">
        <f>IFERROR(VLOOKUP($A1056,pivot!$A:$I,計算式2026!AL$1,FALSE),0)</f>
        <v>0</v>
      </c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</row>
    <row r="1057" spans="1:59" s="9" customFormat="1">
      <c r="A1057" s="8" t="s">
        <v>2150</v>
      </c>
      <c r="B1057" s="8" t="s">
        <v>717</v>
      </c>
      <c r="C1057" s="9">
        <v>0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R1057" s="9">
        <v>0</v>
      </c>
      <c r="S1057" s="9">
        <v>1</v>
      </c>
      <c r="T1057" s="9">
        <v>1</v>
      </c>
      <c r="U1057" s="9">
        <v>1</v>
      </c>
      <c r="V1057" s="9">
        <v>0</v>
      </c>
      <c r="W1057" s="9">
        <v>0</v>
      </c>
      <c r="X1057" s="9">
        <v>0</v>
      </c>
      <c r="AE1057" s="9">
        <f>IFERROR(VLOOKUP($A1057,pivot!$A:$G,計算式2026!AE$1,FALSE),0)</f>
        <v>0</v>
      </c>
      <c r="AF1057" s="9">
        <f>IFERROR(VLOOKUP($A1057,pivot!$A:$I,計算式2026!AF$1,FALSE),0)</f>
        <v>0</v>
      </c>
      <c r="AI1057" s="9">
        <f>IFERROR(VLOOKUP($A1057,pivot!$A:$I,計算式2026!AI$1,FALSE),0)</f>
        <v>0</v>
      </c>
      <c r="AJ1057" s="9">
        <f>IFERROR(VLOOKUP($A1057,pivot!$A:$I,計算式2026!AJ$1,FALSE),0)</f>
        <v>0</v>
      </c>
      <c r="AK1057" s="9">
        <f>IFERROR(VLOOKUP($A1057,pivot!$A:$I,計算式2026!AK$1,FALSE),0)</f>
        <v>0</v>
      </c>
      <c r="AL1057" s="9">
        <f>IFERROR(VLOOKUP($A1057,pivot!$A:$I,計算式2026!AL$1,FALSE),0)</f>
        <v>0</v>
      </c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</row>
    <row r="1058" spans="1:59" s="9" customFormat="1">
      <c r="A1058" s="8" t="s">
        <v>718</v>
      </c>
      <c r="B1058" s="8" t="s">
        <v>717</v>
      </c>
      <c r="C1058" s="9">
        <v>0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1</v>
      </c>
      <c r="AE1058" s="9">
        <f>IFERROR(VLOOKUP($A1058,pivot!$A:$G,計算式2026!AE$1,FALSE),0)</f>
        <v>0</v>
      </c>
      <c r="AF1058" s="9">
        <f>IFERROR(VLOOKUP($A1058,pivot!$A:$I,計算式2026!AF$1,FALSE),0)</f>
        <v>0</v>
      </c>
      <c r="AI1058" s="9">
        <f>IFERROR(VLOOKUP($A1058,pivot!$A:$I,計算式2026!AI$1,FALSE),0)</f>
        <v>0</v>
      </c>
      <c r="AJ1058" s="9">
        <f>IFERROR(VLOOKUP($A1058,pivot!$A:$I,計算式2026!AJ$1,FALSE),0)</f>
        <v>0</v>
      </c>
      <c r="AK1058" s="9">
        <f>IFERROR(VLOOKUP($A1058,pivot!$A:$I,計算式2026!AK$1,FALSE),0)</f>
        <v>0</v>
      </c>
      <c r="AL1058" s="9">
        <f>IFERROR(VLOOKUP($A1058,pivot!$A:$I,計算式2026!AL$1,FALSE),0)</f>
        <v>0</v>
      </c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</row>
    <row r="1059" spans="1:59" s="9" customFormat="1">
      <c r="A1059" s="8" t="s">
        <v>719</v>
      </c>
      <c r="B1059" s="8" t="s">
        <v>717</v>
      </c>
      <c r="C1059" s="9">
        <v>0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R1059" s="9">
        <v>1</v>
      </c>
      <c r="S1059" s="9">
        <v>1</v>
      </c>
      <c r="T1059" s="9">
        <v>0</v>
      </c>
      <c r="U1059" s="9">
        <v>0</v>
      </c>
      <c r="V1059" s="9">
        <v>1</v>
      </c>
      <c r="W1059" s="9">
        <v>0</v>
      </c>
      <c r="X1059" s="9">
        <v>1</v>
      </c>
      <c r="AE1059" s="9">
        <f>IFERROR(VLOOKUP($A1059,pivot!$A:$G,計算式2026!AE$1,FALSE),0)</f>
        <v>0</v>
      </c>
      <c r="AF1059" s="9">
        <f>IFERROR(VLOOKUP($A1059,pivot!$A:$I,計算式2026!AF$1,FALSE),0)</f>
        <v>0</v>
      </c>
      <c r="AI1059" s="9">
        <f>IFERROR(VLOOKUP($A1059,pivot!$A:$I,計算式2026!AI$1,FALSE),0)</f>
        <v>0</v>
      </c>
      <c r="AJ1059" s="9">
        <f>IFERROR(VLOOKUP($A1059,pivot!$A:$I,計算式2026!AJ$1,FALSE),0)</f>
        <v>0</v>
      </c>
      <c r="AK1059" s="9">
        <f>IFERROR(VLOOKUP($A1059,pivot!$A:$I,計算式2026!AK$1,FALSE),0)</f>
        <v>0</v>
      </c>
      <c r="AL1059" s="9">
        <f>IFERROR(VLOOKUP($A1059,pivot!$A:$I,計算式2026!AL$1,FALSE),0)</f>
        <v>0</v>
      </c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</row>
    <row r="1060" spans="1:59" s="9" customFormat="1">
      <c r="A1060" s="8" t="s">
        <v>720</v>
      </c>
      <c r="B1060" s="8" t="s">
        <v>717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R1060" s="9">
        <v>0</v>
      </c>
      <c r="S1060" s="9">
        <v>1</v>
      </c>
      <c r="T1060" s="9">
        <v>0</v>
      </c>
      <c r="U1060" s="9">
        <v>0</v>
      </c>
      <c r="V1060" s="9">
        <v>0</v>
      </c>
      <c r="W1060" s="9">
        <v>0</v>
      </c>
      <c r="X1060" s="9">
        <v>1</v>
      </c>
      <c r="AE1060" s="9">
        <f>IFERROR(VLOOKUP($A1060,pivot!$A:$G,計算式2026!AE$1,FALSE),0)</f>
        <v>0</v>
      </c>
      <c r="AF1060" s="9">
        <f>IFERROR(VLOOKUP($A1060,pivot!$A:$I,計算式2026!AF$1,FALSE),0)</f>
        <v>0</v>
      </c>
      <c r="AI1060" s="9">
        <f>IFERROR(VLOOKUP($A1060,pivot!$A:$I,計算式2026!AI$1,FALSE),0)</f>
        <v>0</v>
      </c>
      <c r="AJ1060" s="9">
        <f>IFERROR(VLOOKUP($A1060,pivot!$A:$I,計算式2026!AJ$1,FALSE),0)</f>
        <v>0</v>
      </c>
      <c r="AK1060" s="9">
        <f>IFERROR(VLOOKUP($A1060,pivot!$A:$I,計算式2026!AK$1,FALSE),0)</f>
        <v>0</v>
      </c>
      <c r="AL1060" s="9">
        <f>IFERROR(VLOOKUP($A1060,pivot!$A:$I,計算式2026!AL$1,FALSE),0)</f>
        <v>0</v>
      </c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</row>
    <row r="1061" spans="1:59" s="9" customFormat="1">
      <c r="A1061" s="8" t="s">
        <v>721</v>
      </c>
      <c r="B1061" s="8" t="s">
        <v>717</v>
      </c>
      <c r="C1061" s="9">
        <v>0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R1061" s="9">
        <v>0</v>
      </c>
      <c r="S1061" s="9">
        <v>1</v>
      </c>
      <c r="T1061" s="9">
        <v>0</v>
      </c>
      <c r="U1061" s="9">
        <v>0</v>
      </c>
      <c r="V1061" s="9">
        <v>1</v>
      </c>
      <c r="W1061" s="9">
        <v>0</v>
      </c>
      <c r="X1061" s="9">
        <v>0</v>
      </c>
      <c r="AE1061" s="9">
        <f>IFERROR(VLOOKUP($A1061,pivot!$A:$G,計算式2026!AE$1,FALSE),0)</f>
        <v>0</v>
      </c>
      <c r="AF1061" s="9">
        <f>IFERROR(VLOOKUP($A1061,pivot!$A:$I,計算式2026!AF$1,FALSE),0)</f>
        <v>0</v>
      </c>
      <c r="AI1061" s="9">
        <f>IFERROR(VLOOKUP($A1061,pivot!$A:$I,計算式2026!AI$1,FALSE),0)</f>
        <v>0</v>
      </c>
      <c r="AJ1061" s="9">
        <f>IFERROR(VLOOKUP($A1061,pivot!$A:$I,計算式2026!AJ$1,FALSE),0)</f>
        <v>0</v>
      </c>
      <c r="AK1061" s="9">
        <f>IFERROR(VLOOKUP($A1061,pivot!$A:$I,計算式2026!AK$1,FALSE),0)</f>
        <v>0</v>
      </c>
      <c r="AL1061" s="9">
        <f>IFERROR(VLOOKUP($A1061,pivot!$A:$I,計算式2026!AL$1,FALSE),0)</f>
        <v>0</v>
      </c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</row>
    <row r="1062" spans="1:59" s="9" customFormat="1">
      <c r="A1062" s="8" t="s">
        <v>722</v>
      </c>
      <c r="B1062" s="8" t="s">
        <v>717</v>
      </c>
      <c r="C1062" s="9">
        <v>0</v>
      </c>
      <c r="D1062" s="9">
        <v>9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R1062" s="9">
        <v>3</v>
      </c>
      <c r="S1062" s="9">
        <v>2</v>
      </c>
      <c r="T1062" s="9">
        <v>0</v>
      </c>
      <c r="U1062" s="9">
        <v>2</v>
      </c>
      <c r="V1062" s="9">
        <v>2</v>
      </c>
      <c r="W1062" s="9">
        <v>0</v>
      </c>
      <c r="X1062" s="9">
        <v>2</v>
      </c>
      <c r="AE1062" s="9">
        <f>IFERROR(VLOOKUP($A1062,pivot!$A:$G,計算式2026!AE$1,FALSE),0)</f>
        <v>0</v>
      </c>
      <c r="AF1062" s="9">
        <f>IFERROR(VLOOKUP($A1062,pivot!$A:$I,計算式2026!AF$1,FALSE),0)</f>
        <v>0</v>
      </c>
      <c r="AI1062" s="9">
        <f>IFERROR(VLOOKUP($A1062,pivot!$A:$I,計算式2026!AI$1,FALSE),0)</f>
        <v>0</v>
      </c>
      <c r="AJ1062" s="9">
        <f>IFERROR(VLOOKUP($A1062,pivot!$A:$I,計算式2026!AJ$1,FALSE),0)</f>
        <v>0</v>
      </c>
      <c r="AK1062" s="9">
        <f>IFERROR(VLOOKUP($A1062,pivot!$A:$I,計算式2026!AK$1,FALSE),0)</f>
        <v>0</v>
      </c>
      <c r="AL1062" s="9">
        <f>IFERROR(VLOOKUP($A1062,pivot!$A:$I,計算式2026!AL$1,FALSE),0)</f>
        <v>0</v>
      </c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</row>
    <row r="1063" spans="1:59" s="9" customFormat="1">
      <c r="A1063" s="8" t="s">
        <v>2650</v>
      </c>
      <c r="B1063" s="8" t="s">
        <v>717</v>
      </c>
      <c r="C1063" s="9">
        <v>0</v>
      </c>
      <c r="D1063" s="9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R1063" s="9">
        <v>1</v>
      </c>
      <c r="S1063" s="9">
        <v>0</v>
      </c>
      <c r="T1063" s="9">
        <v>0</v>
      </c>
      <c r="U1063" s="9">
        <v>1</v>
      </c>
      <c r="V1063" s="9">
        <v>1</v>
      </c>
      <c r="W1063" s="9">
        <v>0</v>
      </c>
      <c r="X1063" s="9">
        <v>0</v>
      </c>
      <c r="AE1063" s="9">
        <f>IFERROR(VLOOKUP($A1063,pivot!$A:$G,計算式2026!AE$1,FALSE),0)</f>
        <v>0</v>
      </c>
      <c r="AF1063" s="9">
        <f>IFERROR(VLOOKUP($A1063,pivot!$A:$I,計算式2026!AF$1,FALSE),0)</f>
        <v>0</v>
      </c>
      <c r="AI1063" s="9">
        <f>IFERROR(VLOOKUP($A1063,pivot!$A:$I,計算式2026!AI$1,FALSE),0)</f>
        <v>0</v>
      </c>
      <c r="AJ1063" s="9">
        <f>IFERROR(VLOOKUP($A1063,pivot!$A:$I,計算式2026!AJ$1,FALSE),0)</f>
        <v>0</v>
      </c>
      <c r="AK1063" s="9">
        <f>IFERROR(VLOOKUP($A1063,pivot!$A:$I,計算式2026!AK$1,FALSE),0)</f>
        <v>0</v>
      </c>
      <c r="AL1063" s="9">
        <f>IFERROR(VLOOKUP($A1063,pivot!$A:$I,計算式2026!AL$1,FALSE),0)</f>
        <v>0</v>
      </c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</row>
    <row r="1064" spans="1:59" s="9" customFormat="1">
      <c r="A1064" s="8" t="s">
        <v>723</v>
      </c>
      <c r="B1064" s="8" t="s">
        <v>717</v>
      </c>
      <c r="C1064" s="9">
        <v>0</v>
      </c>
      <c r="D1064" s="9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1</v>
      </c>
      <c r="AE1064" s="9">
        <f>IFERROR(VLOOKUP($A1064,pivot!$A:$G,計算式2026!AE$1,FALSE),0)</f>
        <v>0</v>
      </c>
      <c r="AF1064" s="9">
        <f>IFERROR(VLOOKUP($A1064,pivot!$A:$I,計算式2026!AF$1,FALSE),0)</f>
        <v>0</v>
      </c>
      <c r="AI1064" s="9">
        <f>IFERROR(VLOOKUP($A1064,pivot!$A:$I,計算式2026!AI$1,FALSE),0)</f>
        <v>0</v>
      </c>
      <c r="AJ1064" s="9">
        <f>IFERROR(VLOOKUP($A1064,pivot!$A:$I,計算式2026!AJ$1,FALSE),0)</f>
        <v>0</v>
      </c>
      <c r="AK1064" s="9">
        <f>IFERROR(VLOOKUP($A1064,pivot!$A:$I,計算式2026!AK$1,FALSE),0)</f>
        <v>0</v>
      </c>
      <c r="AL1064" s="9">
        <f>IFERROR(VLOOKUP($A1064,pivot!$A:$I,計算式2026!AL$1,FALSE),0)</f>
        <v>0</v>
      </c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</row>
    <row r="1065" spans="1:59" s="9" customFormat="1">
      <c r="A1065" s="8" t="s">
        <v>1488</v>
      </c>
      <c r="B1065" s="8" t="s">
        <v>2151</v>
      </c>
      <c r="C1065" s="9">
        <v>0</v>
      </c>
      <c r="D1065" s="9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R1065" s="9">
        <v>0</v>
      </c>
      <c r="S1065" s="9">
        <v>0</v>
      </c>
      <c r="T1065" s="9">
        <v>2</v>
      </c>
      <c r="U1065" s="9">
        <v>0</v>
      </c>
      <c r="V1065" s="9">
        <v>0</v>
      </c>
      <c r="W1065" s="9">
        <v>1</v>
      </c>
      <c r="X1065" s="9">
        <v>1</v>
      </c>
      <c r="AE1065" s="9">
        <f>IFERROR(VLOOKUP($A1065,pivot!$A:$G,計算式2026!AE$1,FALSE),0)</f>
        <v>0</v>
      </c>
      <c r="AF1065" s="9">
        <f>IFERROR(VLOOKUP($A1065,pivot!$A:$I,計算式2026!AF$1,FALSE),0)</f>
        <v>0</v>
      </c>
      <c r="AI1065" s="9">
        <f>IFERROR(VLOOKUP($A1065,pivot!$A:$I,計算式2026!AI$1,FALSE),0)</f>
        <v>0</v>
      </c>
      <c r="AJ1065" s="9">
        <f>IFERROR(VLOOKUP($A1065,pivot!$A:$I,計算式2026!AJ$1,FALSE),0)</f>
        <v>0</v>
      </c>
      <c r="AK1065" s="9">
        <f>IFERROR(VLOOKUP($A1065,pivot!$A:$I,計算式2026!AK$1,FALSE),0)</f>
        <v>0</v>
      </c>
      <c r="AL1065" s="9">
        <f>IFERROR(VLOOKUP($A1065,pivot!$A:$I,計算式2026!AL$1,FALSE),0)</f>
        <v>0</v>
      </c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</row>
    <row r="1066" spans="1:59" s="9" customFormat="1">
      <c r="A1066" s="8" t="s">
        <v>1489</v>
      </c>
      <c r="B1066" s="8" t="s">
        <v>2151</v>
      </c>
      <c r="C1066" s="9">
        <v>0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R1066" s="9">
        <v>0</v>
      </c>
      <c r="S1066" s="9">
        <v>3</v>
      </c>
      <c r="T1066" s="9">
        <v>0</v>
      </c>
      <c r="U1066" s="9">
        <v>0</v>
      </c>
      <c r="V1066" s="9">
        <v>2</v>
      </c>
      <c r="W1066" s="9">
        <v>1</v>
      </c>
      <c r="X1066" s="9">
        <v>1</v>
      </c>
      <c r="AE1066" s="9">
        <f>IFERROR(VLOOKUP($A1066,pivot!$A:$G,計算式2026!AE$1,FALSE),0)</f>
        <v>0</v>
      </c>
      <c r="AF1066" s="9">
        <f>IFERROR(VLOOKUP($A1066,pivot!$A:$I,計算式2026!AF$1,FALSE),0)</f>
        <v>0</v>
      </c>
      <c r="AI1066" s="9">
        <f>IFERROR(VLOOKUP($A1066,pivot!$A:$I,計算式2026!AI$1,FALSE),0)</f>
        <v>0</v>
      </c>
      <c r="AJ1066" s="9">
        <f>IFERROR(VLOOKUP($A1066,pivot!$A:$I,計算式2026!AJ$1,FALSE),0)</f>
        <v>0</v>
      </c>
      <c r="AK1066" s="9">
        <f>IFERROR(VLOOKUP($A1066,pivot!$A:$I,計算式2026!AK$1,FALSE),0)</f>
        <v>0</v>
      </c>
      <c r="AL1066" s="9">
        <f>IFERROR(VLOOKUP($A1066,pivot!$A:$I,計算式2026!AL$1,FALSE),0)</f>
        <v>0</v>
      </c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</row>
    <row r="1067" spans="1:59" s="9" customFormat="1">
      <c r="A1067" s="8" t="s">
        <v>1490</v>
      </c>
      <c r="B1067" s="8" t="s">
        <v>2151</v>
      </c>
      <c r="C1067" s="9">
        <v>0</v>
      </c>
      <c r="D1067" s="9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2</v>
      </c>
      <c r="W1067" s="9">
        <v>0</v>
      </c>
      <c r="X1067" s="9">
        <v>0</v>
      </c>
      <c r="AE1067" s="9">
        <f>IFERROR(VLOOKUP($A1067,pivot!$A:$G,計算式2026!AE$1,FALSE),0)</f>
        <v>0</v>
      </c>
      <c r="AF1067" s="9">
        <f>IFERROR(VLOOKUP($A1067,pivot!$A:$I,計算式2026!AF$1,FALSE),0)</f>
        <v>0</v>
      </c>
      <c r="AI1067" s="9">
        <f>IFERROR(VLOOKUP($A1067,pivot!$A:$I,計算式2026!AI$1,FALSE),0)</f>
        <v>0</v>
      </c>
      <c r="AJ1067" s="9">
        <f>IFERROR(VLOOKUP($A1067,pivot!$A:$I,計算式2026!AJ$1,FALSE),0)</f>
        <v>0</v>
      </c>
      <c r="AK1067" s="9">
        <f>IFERROR(VLOOKUP($A1067,pivot!$A:$I,計算式2026!AK$1,FALSE),0)</f>
        <v>0</v>
      </c>
      <c r="AL1067" s="9">
        <f>IFERROR(VLOOKUP($A1067,pivot!$A:$I,計算式2026!AL$1,FALSE),0)</f>
        <v>0</v>
      </c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</row>
    <row r="1068" spans="1:59" s="9" customFormat="1">
      <c r="A1068" s="8" t="s">
        <v>1491</v>
      </c>
      <c r="B1068" s="8" t="s">
        <v>2152</v>
      </c>
      <c r="C1068" s="9">
        <v>0</v>
      </c>
      <c r="D1068" s="9">
        <v>13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R1068" s="9">
        <v>1</v>
      </c>
      <c r="S1068" s="9">
        <v>2</v>
      </c>
      <c r="T1068" s="9">
        <v>0</v>
      </c>
      <c r="U1068" s="9">
        <v>0</v>
      </c>
      <c r="V1068" s="9">
        <v>2</v>
      </c>
      <c r="W1068" s="9">
        <v>0</v>
      </c>
      <c r="X1068" s="9">
        <v>0</v>
      </c>
      <c r="AE1068" s="9">
        <f>IFERROR(VLOOKUP($A1068,pivot!$A:$G,計算式2026!AE$1,FALSE),0)</f>
        <v>0</v>
      </c>
      <c r="AF1068" s="9">
        <f>IFERROR(VLOOKUP($A1068,pivot!$A:$I,計算式2026!AF$1,FALSE),0)</f>
        <v>0</v>
      </c>
      <c r="AI1068" s="9">
        <f>IFERROR(VLOOKUP($A1068,pivot!$A:$I,計算式2026!AI$1,FALSE),0)</f>
        <v>0</v>
      </c>
      <c r="AJ1068" s="9">
        <f>IFERROR(VLOOKUP($A1068,pivot!$A:$I,計算式2026!AJ$1,FALSE),0)</f>
        <v>0</v>
      </c>
      <c r="AK1068" s="9">
        <f>IFERROR(VLOOKUP($A1068,pivot!$A:$I,計算式2026!AK$1,FALSE),0)</f>
        <v>0</v>
      </c>
      <c r="AL1068" s="9">
        <f>IFERROR(VLOOKUP($A1068,pivot!$A:$I,計算式2026!AL$1,FALSE),0)</f>
        <v>0</v>
      </c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</row>
    <row r="1069" spans="1:59" s="9" customFormat="1">
      <c r="A1069" s="8" t="s">
        <v>1492</v>
      </c>
      <c r="B1069" s="8" t="s">
        <v>2152</v>
      </c>
      <c r="C1069" s="9">
        <v>0</v>
      </c>
      <c r="D1069" s="9">
        <v>3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R1069" s="9">
        <v>1</v>
      </c>
      <c r="S1069" s="9">
        <v>2</v>
      </c>
      <c r="T1069" s="9">
        <v>0</v>
      </c>
      <c r="U1069" s="9">
        <v>0</v>
      </c>
      <c r="V1069" s="9">
        <v>2</v>
      </c>
      <c r="W1069" s="9">
        <v>0</v>
      </c>
      <c r="X1069" s="9">
        <v>0</v>
      </c>
      <c r="AE1069" s="9">
        <f>IFERROR(VLOOKUP($A1069,pivot!$A:$G,計算式2026!AE$1,FALSE),0)</f>
        <v>0</v>
      </c>
      <c r="AF1069" s="9">
        <f>IFERROR(VLOOKUP($A1069,pivot!$A:$I,計算式2026!AF$1,FALSE),0)</f>
        <v>0</v>
      </c>
      <c r="AI1069" s="9">
        <f>IFERROR(VLOOKUP($A1069,pivot!$A:$I,計算式2026!AI$1,FALSE),0)</f>
        <v>0</v>
      </c>
      <c r="AJ1069" s="9">
        <f>IFERROR(VLOOKUP($A1069,pivot!$A:$I,計算式2026!AJ$1,FALSE),0)</f>
        <v>0</v>
      </c>
      <c r="AK1069" s="9">
        <f>IFERROR(VLOOKUP($A1069,pivot!$A:$I,計算式2026!AK$1,FALSE),0)</f>
        <v>0</v>
      </c>
      <c r="AL1069" s="9">
        <f>IFERROR(VLOOKUP($A1069,pivot!$A:$I,計算式2026!AL$1,FALSE),0)</f>
        <v>0</v>
      </c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</row>
    <row r="1070" spans="1:59" s="9" customFormat="1">
      <c r="A1070" s="8" t="s">
        <v>1493</v>
      </c>
      <c r="B1070" s="8" t="s">
        <v>2152</v>
      </c>
      <c r="C1070" s="9">
        <v>0</v>
      </c>
      <c r="D1070" s="9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R1070" s="9">
        <v>1</v>
      </c>
      <c r="S1070" s="9">
        <v>2</v>
      </c>
      <c r="T1070" s="9">
        <v>0</v>
      </c>
      <c r="U1070" s="9">
        <v>0</v>
      </c>
      <c r="V1070" s="9">
        <v>1</v>
      </c>
      <c r="W1070" s="9">
        <v>0</v>
      </c>
      <c r="X1070" s="9">
        <v>0</v>
      </c>
      <c r="AE1070" s="9">
        <f>IFERROR(VLOOKUP($A1070,pivot!$A:$G,計算式2026!AE$1,FALSE),0)</f>
        <v>0</v>
      </c>
      <c r="AF1070" s="9">
        <f>IFERROR(VLOOKUP($A1070,pivot!$A:$I,計算式2026!AF$1,FALSE),0)</f>
        <v>0</v>
      </c>
      <c r="AI1070" s="9">
        <f>IFERROR(VLOOKUP($A1070,pivot!$A:$I,計算式2026!AI$1,FALSE),0)</f>
        <v>0</v>
      </c>
      <c r="AJ1070" s="9">
        <f>IFERROR(VLOOKUP($A1070,pivot!$A:$I,計算式2026!AJ$1,FALSE),0)</f>
        <v>0</v>
      </c>
      <c r="AK1070" s="9">
        <f>IFERROR(VLOOKUP($A1070,pivot!$A:$I,計算式2026!AK$1,FALSE),0)</f>
        <v>0</v>
      </c>
      <c r="AL1070" s="9">
        <f>IFERROR(VLOOKUP($A1070,pivot!$A:$I,計算式2026!AL$1,FALSE),0)</f>
        <v>0</v>
      </c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</row>
    <row r="1071" spans="1:59" s="9" customFormat="1">
      <c r="A1071" s="8" t="s">
        <v>2154</v>
      </c>
      <c r="B1071" s="8" t="s">
        <v>2153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1</v>
      </c>
      <c r="AE1071" s="9">
        <f>IFERROR(VLOOKUP($A1071,pivot!$A:$G,計算式2026!AE$1,FALSE),0)</f>
        <v>0</v>
      </c>
      <c r="AF1071" s="9">
        <f>IFERROR(VLOOKUP($A1071,pivot!$A:$I,計算式2026!AF$1,FALSE),0)</f>
        <v>0</v>
      </c>
      <c r="AI1071" s="9">
        <f>IFERROR(VLOOKUP($A1071,pivot!$A:$I,計算式2026!AI$1,FALSE),0)</f>
        <v>0</v>
      </c>
      <c r="AJ1071" s="9">
        <f>IFERROR(VLOOKUP($A1071,pivot!$A:$I,計算式2026!AJ$1,FALSE),0)</f>
        <v>0</v>
      </c>
      <c r="AK1071" s="9">
        <f>IFERROR(VLOOKUP($A1071,pivot!$A:$I,計算式2026!AK$1,FALSE),0)</f>
        <v>0</v>
      </c>
      <c r="AL1071" s="9">
        <f>IFERROR(VLOOKUP($A1071,pivot!$A:$I,計算式2026!AL$1,FALSE),0)</f>
        <v>0</v>
      </c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</row>
    <row r="1072" spans="1:59" s="9" customFormat="1">
      <c r="A1072" s="8" t="s">
        <v>2155</v>
      </c>
      <c r="B1072" s="8" t="s">
        <v>2153</v>
      </c>
      <c r="C1072" s="9">
        <v>0</v>
      </c>
      <c r="D1072" s="9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1</v>
      </c>
      <c r="AE1072" s="9">
        <f>IFERROR(VLOOKUP($A1072,pivot!$A:$G,計算式2026!AE$1,FALSE),0)</f>
        <v>0</v>
      </c>
      <c r="AF1072" s="9">
        <f>IFERROR(VLOOKUP($A1072,pivot!$A:$I,計算式2026!AF$1,FALSE),0)</f>
        <v>0</v>
      </c>
      <c r="AI1072" s="9">
        <f>IFERROR(VLOOKUP($A1072,pivot!$A:$I,計算式2026!AI$1,FALSE),0)</f>
        <v>0</v>
      </c>
      <c r="AJ1072" s="9">
        <f>IFERROR(VLOOKUP($A1072,pivot!$A:$I,計算式2026!AJ$1,FALSE),0)</f>
        <v>0</v>
      </c>
      <c r="AK1072" s="9">
        <f>IFERROR(VLOOKUP($A1072,pivot!$A:$I,計算式2026!AK$1,FALSE),0)</f>
        <v>0</v>
      </c>
      <c r="AL1072" s="9">
        <f>IFERROR(VLOOKUP($A1072,pivot!$A:$I,計算式2026!AL$1,FALSE),0)</f>
        <v>0</v>
      </c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</row>
    <row r="1073" spans="1:59" s="9" customFormat="1">
      <c r="A1073" s="8" t="s">
        <v>1608</v>
      </c>
      <c r="B1073" s="8" t="s">
        <v>2153</v>
      </c>
      <c r="C1073" s="9">
        <v>2</v>
      </c>
      <c r="D1073" s="9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R1073" s="9">
        <v>0</v>
      </c>
      <c r="S1073" s="9">
        <v>2</v>
      </c>
      <c r="T1073" s="9">
        <v>0</v>
      </c>
      <c r="U1073" s="9">
        <v>0</v>
      </c>
      <c r="V1073" s="9">
        <v>1</v>
      </c>
      <c r="W1073" s="9">
        <v>0</v>
      </c>
      <c r="X1073" s="9">
        <v>2</v>
      </c>
      <c r="AE1073" s="9">
        <f>IFERROR(VLOOKUP($A1073,pivot!$A:$G,計算式2026!AE$1,FALSE),0)</f>
        <v>0</v>
      </c>
      <c r="AF1073" s="9">
        <f>IFERROR(VLOOKUP($A1073,pivot!$A:$I,計算式2026!AF$1,FALSE),0)</f>
        <v>0</v>
      </c>
      <c r="AI1073" s="9">
        <f>IFERROR(VLOOKUP($A1073,pivot!$A:$I,計算式2026!AI$1,FALSE),0)</f>
        <v>0</v>
      </c>
      <c r="AJ1073" s="9">
        <f>IFERROR(VLOOKUP($A1073,pivot!$A:$I,計算式2026!AJ$1,FALSE),0)</f>
        <v>0</v>
      </c>
      <c r="AK1073" s="9">
        <f>IFERROR(VLOOKUP($A1073,pivot!$A:$I,計算式2026!AK$1,FALSE),0)</f>
        <v>0</v>
      </c>
      <c r="AL1073" s="9">
        <f>IFERROR(VLOOKUP($A1073,pivot!$A:$I,計算式2026!AL$1,FALSE),0)</f>
        <v>0</v>
      </c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</row>
    <row r="1074" spans="1:59" s="9" customFormat="1">
      <c r="A1074" s="8" t="s">
        <v>1609</v>
      </c>
      <c r="B1074" s="8" t="s">
        <v>2153</v>
      </c>
      <c r="C1074" s="9">
        <v>1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R1074" s="9">
        <v>0</v>
      </c>
      <c r="S1074" s="9">
        <v>0</v>
      </c>
      <c r="T1074" s="9">
        <v>1</v>
      </c>
      <c r="U1074" s="9">
        <v>0</v>
      </c>
      <c r="V1074" s="9">
        <v>0</v>
      </c>
      <c r="W1074" s="9">
        <v>1</v>
      </c>
      <c r="X1074" s="9">
        <v>1</v>
      </c>
      <c r="AE1074" s="9">
        <f>IFERROR(VLOOKUP($A1074,pivot!$A:$G,計算式2026!AE$1,FALSE),0)</f>
        <v>0</v>
      </c>
      <c r="AF1074" s="9">
        <f>IFERROR(VLOOKUP($A1074,pivot!$A:$I,計算式2026!AF$1,FALSE),0)</f>
        <v>0</v>
      </c>
      <c r="AI1074" s="9">
        <f>IFERROR(VLOOKUP($A1074,pivot!$A:$I,計算式2026!AI$1,FALSE),0)</f>
        <v>0</v>
      </c>
      <c r="AJ1074" s="9">
        <f>IFERROR(VLOOKUP($A1074,pivot!$A:$I,計算式2026!AJ$1,FALSE),0)</f>
        <v>0</v>
      </c>
      <c r="AK1074" s="9">
        <f>IFERROR(VLOOKUP($A1074,pivot!$A:$I,計算式2026!AK$1,FALSE),0)</f>
        <v>0</v>
      </c>
      <c r="AL1074" s="9">
        <f>IFERROR(VLOOKUP($A1074,pivot!$A:$I,計算式2026!AL$1,FALSE),0)</f>
        <v>0</v>
      </c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</row>
    <row r="1075" spans="1:59" s="9" customFormat="1">
      <c r="A1075" s="8" t="s">
        <v>1610</v>
      </c>
      <c r="B1075" s="8" t="s">
        <v>2153</v>
      </c>
      <c r="C1075" s="9">
        <v>4</v>
      </c>
      <c r="D1075" s="9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R1075" s="9">
        <v>0</v>
      </c>
      <c r="S1075" s="9">
        <v>2</v>
      </c>
      <c r="T1075" s="9">
        <v>1</v>
      </c>
      <c r="U1075" s="9">
        <v>0</v>
      </c>
      <c r="V1075" s="9">
        <v>1</v>
      </c>
      <c r="W1075" s="9">
        <v>1</v>
      </c>
      <c r="X1075" s="9">
        <v>1</v>
      </c>
      <c r="AE1075" s="9">
        <f>IFERROR(VLOOKUP($A1075,pivot!$A:$G,計算式2026!AE$1,FALSE),0)</f>
        <v>0</v>
      </c>
      <c r="AF1075" s="9">
        <f>IFERROR(VLOOKUP($A1075,pivot!$A:$I,計算式2026!AF$1,FALSE),0)</f>
        <v>0</v>
      </c>
      <c r="AI1075" s="9">
        <f>IFERROR(VLOOKUP($A1075,pivot!$A:$I,計算式2026!AI$1,FALSE),0)</f>
        <v>0</v>
      </c>
      <c r="AJ1075" s="9">
        <f>IFERROR(VLOOKUP($A1075,pivot!$A:$I,計算式2026!AJ$1,FALSE),0)</f>
        <v>0</v>
      </c>
      <c r="AK1075" s="9">
        <f>IFERROR(VLOOKUP($A1075,pivot!$A:$I,計算式2026!AK$1,FALSE),0)</f>
        <v>0</v>
      </c>
      <c r="AL1075" s="9">
        <f>IFERROR(VLOOKUP($A1075,pivot!$A:$I,計算式2026!AL$1,FALSE),0)</f>
        <v>0</v>
      </c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</row>
    <row r="1076" spans="1:59" s="9" customFormat="1">
      <c r="A1076" s="8" t="s">
        <v>1611</v>
      </c>
      <c r="B1076" s="8" t="s">
        <v>2153</v>
      </c>
      <c r="C1076" s="9">
        <v>1</v>
      </c>
      <c r="D1076" s="9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R1076" s="9">
        <v>0</v>
      </c>
      <c r="S1076" s="9">
        <v>0</v>
      </c>
      <c r="T1076" s="9">
        <v>1</v>
      </c>
      <c r="U1076" s="9">
        <v>0</v>
      </c>
      <c r="V1076" s="9">
        <v>0</v>
      </c>
      <c r="W1076" s="9">
        <v>0</v>
      </c>
      <c r="X1076" s="9">
        <v>1</v>
      </c>
      <c r="AE1076" s="9">
        <f>IFERROR(VLOOKUP($A1076,pivot!$A:$G,計算式2026!AE$1,FALSE),0)</f>
        <v>0</v>
      </c>
      <c r="AF1076" s="9">
        <f>IFERROR(VLOOKUP($A1076,pivot!$A:$I,計算式2026!AF$1,FALSE),0)</f>
        <v>0</v>
      </c>
      <c r="AI1076" s="9">
        <f>IFERROR(VLOOKUP($A1076,pivot!$A:$I,計算式2026!AI$1,FALSE),0)</f>
        <v>0</v>
      </c>
      <c r="AJ1076" s="9">
        <f>IFERROR(VLOOKUP($A1076,pivot!$A:$I,計算式2026!AJ$1,FALSE),0)</f>
        <v>0</v>
      </c>
      <c r="AK1076" s="9">
        <f>IFERROR(VLOOKUP($A1076,pivot!$A:$I,計算式2026!AK$1,FALSE),0)</f>
        <v>0</v>
      </c>
      <c r="AL1076" s="9">
        <f>IFERROR(VLOOKUP($A1076,pivot!$A:$I,計算式2026!AL$1,FALSE),0)</f>
        <v>0</v>
      </c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</row>
    <row r="1077" spans="1:59" s="9" customFormat="1">
      <c r="A1077" s="8" t="s">
        <v>2156</v>
      </c>
      <c r="B1077" s="8" t="s">
        <v>2157</v>
      </c>
      <c r="C1077" s="9">
        <v>1</v>
      </c>
      <c r="D1077" s="9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R1077" s="9">
        <v>0</v>
      </c>
      <c r="S1077" s="9">
        <v>0</v>
      </c>
      <c r="T1077" s="9">
        <v>1</v>
      </c>
      <c r="U1077" s="9">
        <v>2</v>
      </c>
      <c r="V1077" s="9">
        <v>3</v>
      </c>
      <c r="W1077" s="9">
        <v>0</v>
      </c>
      <c r="X1077" s="9">
        <v>1</v>
      </c>
      <c r="AE1077" s="9">
        <f>IFERROR(VLOOKUP($A1077,pivot!$A:$G,計算式2026!AE$1,FALSE),0)</f>
        <v>0</v>
      </c>
      <c r="AF1077" s="9">
        <f>IFERROR(VLOOKUP($A1077,pivot!$A:$I,計算式2026!AF$1,FALSE),0)</f>
        <v>0</v>
      </c>
      <c r="AI1077" s="9">
        <f>IFERROR(VLOOKUP($A1077,pivot!$A:$I,計算式2026!AI$1,FALSE),0)</f>
        <v>0</v>
      </c>
      <c r="AJ1077" s="9">
        <f>IFERROR(VLOOKUP($A1077,pivot!$A:$I,計算式2026!AJ$1,FALSE),0)</f>
        <v>0</v>
      </c>
      <c r="AK1077" s="9">
        <f>IFERROR(VLOOKUP($A1077,pivot!$A:$I,計算式2026!AK$1,FALSE),0)</f>
        <v>0</v>
      </c>
      <c r="AL1077" s="9">
        <f>IFERROR(VLOOKUP($A1077,pivot!$A:$I,計算式2026!AL$1,FALSE),0)</f>
        <v>0</v>
      </c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</row>
    <row r="1078" spans="1:59" s="9" customFormat="1">
      <c r="A1078" s="8" t="s">
        <v>2158</v>
      </c>
      <c r="B1078" s="8" t="s">
        <v>2159</v>
      </c>
      <c r="C1078" s="9">
        <v>2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R1078" s="9">
        <v>0</v>
      </c>
      <c r="S1078" s="9">
        <v>3</v>
      </c>
      <c r="T1078" s="9">
        <v>0</v>
      </c>
      <c r="U1078" s="9">
        <v>0</v>
      </c>
      <c r="V1078" s="9">
        <v>0</v>
      </c>
      <c r="W1078" s="9">
        <v>0</v>
      </c>
      <c r="X1078" s="9">
        <v>2</v>
      </c>
      <c r="AE1078" s="9">
        <f>IFERROR(VLOOKUP($A1078,pivot!$A:$G,計算式2026!AE$1,FALSE),0)</f>
        <v>0</v>
      </c>
      <c r="AF1078" s="9">
        <f>IFERROR(VLOOKUP($A1078,pivot!$A:$I,計算式2026!AF$1,FALSE),0)</f>
        <v>0</v>
      </c>
      <c r="AI1078" s="9">
        <f>IFERROR(VLOOKUP($A1078,pivot!$A:$I,計算式2026!AI$1,FALSE),0)</f>
        <v>0</v>
      </c>
      <c r="AJ1078" s="9">
        <f>IFERROR(VLOOKUP($A1078,pivot!$A:$I,計算式2026!AJ$1,FALSE),0)</f>
        <v>0</v>
      </c>
      <c r="AK1078" s="9">
        <f>IFERROR(VLOOKUP($A1078,pivot!$A:$I,計算式2026!AK$1,FALSE),0)</f>
        <v>0</v>
      </c>
      <c r="AL1078" s="9">
        <f>IFERROR(VLOOKUP($A1078,pivot!$A:$I,計算式2026!AL$1,FALSE),0)</f>
        <v>0</v>
      </c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</row>
    <row r="1079" spans="1:59" s="9" customFormat="1">
      <c r="A1079" s="8" t="s">
        <v>2160</v>
      </c>
      <c r="B1079" s="8" t="s">
        <v>2159</v>
      </c>
      <c r="C1079" s="9">
        <v>0</v>
      </c>
      <c r="D1079" s="9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R1079" s="9">
        <v>0</v>
      </c>
      <c r="S1079" s="9">
        <v>1</v>
      </c>
      <c r="T1079" s="9">
        <v>0</v>
      </c>
      <c r="U1079" s="9">
        <v>0</v>
      </c>
      <c r="V1079" s="9">
        <v>0</v>
      </c>
      <c r="W1079" s="9">
        <v>0</v>
      </c>
      <c r="X1079" s="9">
        <v>1</v>
      </c>
      <c r="AE1079" s="9">
        <f>IFERROR(VLOOKUP($A1079,pivot!$A:$G,計算式2026!AE$1,FALSE),0)</f>
        <v>0</v>
      </c>
      <c r="AF1079" s="9">
        <f>IFERROR(VLOOKUP($A1079,pivot!$A:$I,計算式2026!AF$1,FALSE),0)</f>
        <v>0</v>
      </c>
      <c r="AI1079" s="9">
        <f>IFERROR(VLOOKUP($A1079,pivot!$A:$I,計算式2026!AI$1,FALSE),0)</f>
        <v>0</v>
      </c>
      <c r="AJ1079" s="9">
        <f>IFERROR(VLOOKUP($A1079,pivot!$A:$I,計算式2026!AJ$1,FALSE),0)</f>
        <v>0</v>
      </c>
      <c r="AK1079" s="9">
        <f>IFERROR(VLOOKUP($A1079,pivot!$A:$I,計算式2026!AK$1,FALSE),0)</f>
        <v>0</v>
      </c>
      <c r="AL1079" s="9">
        <f>IFERROR(VLOOKUP($A1079,pivot!$A:$I,計算式2026!AL$1,FALSE),0)</f>
        <v>0</v>
      </c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</row>
    <row r="1080" spans="1:59" s="9" customFormat="1">
      <c r="A1080" s="8" t="s">
        <v>2161</v>
      </c>
      <c r="B1080" s="8" t="s">
        <v>2159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R1080" s="9">
        <v>0</v>
      </c>
      <c r="S1080" s="9">
        <v>3</v>
      </c>
      <c r="T1080" s="9">
        <v>0</v>
      </c>
      <c r="U1080" s="9">
        <v>3</v>
      </c>
      <c r="V1080" s="9">
        <v>0</v>
      </c>
      <c r="W1080" s="9">
        <v>0</v>
      </c>
      <c r="X1080" s="9">
        <v>1</v>
      </c>
      <c r="AE1080" s="9">
        <f>IFERROR(VLOOKUP($A1080,pivot!$A:$G,計算式2026!AE$1,FALSE),0)</f>
        <v>0</v>
      </c>
      <c r="AF1080" s="9">
        <f>IFERROR(VLOOKUP($A1080,pivot!$A:$I,計算式2026!AF$1,FALSE),0)</f>
        <v>0</v>
      </c>
      <c r="AI1080" s="9">
        <f>IFERROR(VLOOKUP($A1080,pivot!$A:$I,計算式2026!AI$1,FALSE),0)</f>
        <v>0</v>
      </c>
      <c r="AJ1080" s="9">
        <f>IFERROR(VLOOKUP($A1080,pivot!$A:$I,計算式2026!AJ$1,FALSE),0)</f>
        <v>0</v>
      </c>
      <c r="AK1080" s="9">
        <f>IFERROR(VLOOKUP($A1080,pivot!$A:$I,計算式2026!AK$1,FALSE),0)</f>
        <v>0</v>
      </c>
      <c r="AL1080" s="9">
        <f>IFERROR(VLOOKUP($A1080,pivot!$A:$I,計算式2026!AL$1,FALSE),0)</f>
        <v>0</v>
      </c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</row>
    <row r="1081" spans="1:59" s="9" customFormat="1">
      <c r="A1081" s="8" t="s">
        <v>2687</v>
      </c>
      <c r="B1081" s="8" t="s">
        <v>2163</v>
      </c>
      <c r="C1081" s="9">
        <v>0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R1081" s="9">
        <v>0</v>
      </c>
      <c r="S1081" s="9">
        <v>1</v>
      </c>
      <c r="T1081" s="9">
        <v>0</v>
      </c>
      <c r="U1081" s="9">
        <v>0</v>
      </c>
      <c r="V1081" s="9">
        <v>0</v>
      </c>
      <c r="W1081" s="9">
        <v>0</v>
      </c>
      <c r="X1081" s="9">
        <v>1</v>
      </c>
      <c r="AE1081" s="9">
        <f>IFERROR(VLOOKUP($A1081,pivot!$A:$G,計算式2026!AE$1,FALSE),0)</f>
        <v>0</v>
      </c>
      <c r="AF1081" s="9">
        <f>IFERROR(VLOOKUP($A1081,pivot!$A:$I,計算式2026!AF$1,FALSE),0)</f>
        <v>0</v>
      </c>
      <c r="AI1081" s="9">
        <f>IFERROR(VLOOKUP($A1081,pivot!$A:$I,計算式2026!AI$1,FALSE),0)</f>
        <v>0</v>
      </c>
      <c r="AJ1081" s="9">
        <f>IFERROR(VLOOKUP($A1081,pivot!$A:$I,計算式2026!AJ$1,FALSE),0)</f>
        <v>0</v>
      </c>
      <c r="AK1081" s="9">
        <f>IFERROR(VLOOKUP($A1081,pivot!$A:$I,計算式2026!AK$1,FALSE),0)</f>
        <v>0</v>
      </c>
      <c r="AL1081" s="9">
        <f>IFERROR(VLOOKUP($A1081,pivot!$A:$I,計算式2026!AL$1,FALSE),0)</f>
        <v>0</v>
      </c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</row>
    <row r="1082" spans="1:59" s="9" customFormat="1">
      <c r="A1082" s="8" t="s">
        <v>2162</v>
      </c>
      <c r="B1082" s="8" t="s">
        <v>2163</v>
      </c>
      <c r="C1082" s="9">
        <v>0</v>
      </c>
      <c r="D1082" s="9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1</v>
      </c>
      <c r="W1082" s="9">
        <v>0</v>
      </c>
      <c r="X1082" s="9">
        <v>1</v>
      </c>
      <c r="AE1082" s="9">
        <f>IFERROR(VLOOKUP($A1082,pivot!$A:$G,計算式2026!AE$1,FALSE),0)</f>
        <v>0</v>
      </c>
      <c r="AF1082" s="9">
        <f>IFERROR(VLOOKUP($A1082,pivot!$A:$I,計算式2026!AF$1,FALSE),0)</f>
        <v>0</v>
      </c>
      <c r="AI1082" s="9">
        <f>IFERROR(VLOOKUP($A1082,pivot!$A:$I,計算式2026!AI$1,FALSE),0)</f>
        <v>0</v>
      </c>
      <c r="AJ1082" s="9">
        <f>IFERROR(VLOOKUP($A1082,pivot!$A:$I,計算式2026!AJ$1,FALSE),0)</f>
        <v>0</v>
      </c>
      <c r="AK1082" s="9">
        <f>IFERROR(VLOOKUP($A1082,pivot!$A:$I,計算式2026!AK$1,FALSE),0)</f>
        <v>0</v>
      </c>
      <c r="AL1082" s="9">
        <f>IFERROR(VLOOKUP($A1082,pivot!$A:$I,計算式2026!AL$1,FALSE),0)</f>
        <v>0</v>
      </c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</row>
    <row r="1083" spans="1:59" s="9" customFormat="1">
      <c r="A1083" s="8" t="s">
        <v>2164</v>
      </c>
      <c r="B1083" s="8" t="s">
        <v>2163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R1083" s="9">
        <v>0</v>
      </c>
      <c r="S1083" s="9">
        <v>1</v>
      </c>
      <c r="T1083" s="9">
        <v>0</v>
      </c>
      <c r="U1083" s="9">
        <v>0</v>
      </c>
      <c r="V1083" s="9">
        <v>0</v>
      </c>
      <c r="W1083" s="9">
        <v>0</v>
      </c>
      <c r="X1083" s="9">
        <v>1</v>
      </c>
      <c r="AE1083" s="9">
        <f>IFERROR(VLOOKUP($A1083,pivot!$A:$G,計算式2026!AE$1,FALSE),0)</f>
        <v>0</v>
      </c>
      <c r="AF1083" s="9">
        <f>IFERROR(VLOOKUP($A1083,pivot!$A:$I,計算式2026!AF$1,FALSE),0)</f>
        <v>0</v>
      </c>
      <c r="AI1083" s="9">
        <f>IFERROR(VLOOKUP($A1083,pivot!$A:$I,計算式2026!AI$1,FALSE),0)</f>
        <v>0</v>
      </c>
      <c r="AJ1083" s="9">
        <f>IFERROR(VLOOKUP($A1083,pivot!$A:$I,計算式2026!AJ$1,FALSE),0)</f>
        <v>0</v>
      </c>
      <c r="AK1083" s="9">
        <f>IFERROR(VLOOKUP($A1083,pivot!$A:$I,計算式2026!AK$1,FALSE),0)</f>
        <v>0</v>
      </c>
      <c r="AL1083" s="9">
        <f>IFERROR(VLOOKUP($A1083,pivot!$A:$I,計算式2026!AL$1,FALSE),0)</f>
        <v>0</v>
      </c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</row>
    <row r="1084" spans="1:59" s="9" customFormat="1">
      <c r="A1084" s="8" t="s">
        <v>2165</v>
      </c>
      <c r="B1084" s="8" t="s">
        <v>2166</v>
      </c>
      <c r="C1084" s="9">
        <v>7</v>
      </c>
      <c r="D1084" s="9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R1084" s="9">
        <v>0</v>
      </c>
      <c r="S1084" s="9">
        <v>0</v>
      </c>
      <c r="T1084" s="9">
        <v>1</v>
      </c>
      <c r="U1084" s="9">
        <v>0</v>
      </c>
      <c r="V1084" s="9">
        <v>0</v>
      </c>
      <c r="W1084" s="9">
        <v>0</v>
      </c>
      <c r="X1084" s="9">
        <v>1</v>
      </c>
      <c r="AE1084" s="9">
        <f>IFERROR(VLOOKUP($A1084,pivot!$A:$G,計算式2026!AE$1,FALSE),0)</f>
        <v>0</v>
      </c>
      <c r="AF1084" s="9">
        <f>IFERROR(VLOOKUP($A1084,pivot!$A:$I,計算式2026!AF$1,FALSE),0)</f>
        <v>0</v>
      </c>
      <c r="AI1084" s="9">
        <f>IFERROR(VLOOKUP($A1084,pivot!$A:$I,計算式2026!AI$1,FALSE),0)</f>
        <v>0</v>
      </c>
      <c r="AJ1084" s="9">
        <f>IFERROR(VLOOKUP($A1084,pivot!$A:$I,計算式2026!AJ$1,FALSE),0)</f>
        <v>0</v>
      </c>
      <c r="AK1084" s="9">
        <f>IFERROR(VLOOKUP($A1084,pivot!$A:$I,計算式2026!AK$1,FALSE),0)</f>
        <v>0</v>
      </c>
      <c r="AL1084" s="9">
        <f>IFERROR(VLOOKUP($A1084,pivot!$A:$I,計算式2026!AL$1,FALSE),0)</f>
        <v>0</v>
      </c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</row>
    <row r="1085" spans="1:59" s="9" customFormat="1">
      <c r="A1085" s="8" t="s">
        <v>2167</v>
      </c>
      <c r="B1085" s="8" t="s">
        <v>2166</v>
      </c>
      <c r="C1085" s="9">
        <v>1</v>
      </c>
      <c r="D1085" s="9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1</v>
      </c>
      <c r="AE1085" s="9">
        <f>IFERROR(VLOOKUP($A1085,pivot!$A:$G,計算式2026!AE$1,FALSE),0)</f>
        <v>0</v>
      </c>
      <c r="AF1085" s="9">
        <f>IFERROR(VLOOKUP($A1085,pivot!$A:$I,計算式2026!AF$1,FALSE),0)</f>
        <v>0</v>
      </c>
      <c r="AI1085" s="9">
        <f>IFERROR(VLOOKUP($A1085,pivot!$A:$I,計算式2026!AI$1,FALSE),0)</f>
        <v>0</v>
      </c>
      <c r="AJ1085" s="9">
        <f>IFERROR(VLOOKUP($A1085,pivot!$A:$I,計算式2026!AJ$1,FALSE),0)</f>
        <v>0</v>
      </c>
      <c r="AK1085" s="9">
        <f>IFERROR(VLOOKUP($A1085,pivot!$A:$I,計算式2026!AK$1,FALSE),0)</f>
        <v>0</v>
      </c>
      <c r="AL1085" s="9">
        <f>IFERROR(VLOOKUP($A1085,pivot!$A:$I,計算式2026!AL$1,FALSE),0)</f>
        <v>0</v>
      </c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</row>
    <row r="1086" spans="1:59" s="9" customFormat="1">
      <c r="A1086" s="8" t="s">
        <v>2168</v>
      </c>
      <c r="B1086" s="8" t="s">
        <v>2166</v>
      </c>
      <c r="C1086" s="9">
        <v>14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R1086" s="9">
        <v>0</v>
      </c>
      <c r="S1086" s="9">
        <v>0</v>
      </c>
      <c r="T1086" s="9">
        <v>1</v>
      </c>
      <c r="U1086" s="9">
        <v>0</v>
      </c>
      <c r="V1086" s="9">
        <v>0</v>
      </c>
      <c r="W1086" s="9">
        <v>0</v>
      </c>
      <c r="X1086" s="9">
        <v>1</v>
      </c>
      <c r="AE1086" s="9">
        <f>IFERROR(VLOOKUP($A1086,pivot!$A:$G,計算式2026!AE$1,FALSE),0)</f>
        <v>0</v>
      </c>
      <c r="AF1086" s="9">
        <f>IFERROR(VLOOKUP($A1086,pivot!$A:$I,計算式2026!AF$1,FALSE),0)</f>
        <v>0</v>
      </c>
      <c r="AI1086" s="9">
        <f>IFERROR(VLOOKUP($A1086,pivot!$A:$I,計算式2026!AI$1,FALSE),0)</f>
        <v>0</v>
      </c>
      <c r="AJ1086" s="9">
        <f>IFERROR(VLOOKUP($A1086,pivot!$A:$I,計算式2026!AJ$1,FALSE),0)</f>
        <v>0</v>
      </c>
      <c r="AK1086" s="9">
        <f>IFERROR(VLOOKUP($A1086,pivot!$A:$I,計算式2026!AK$1,FALSE),0)</f>
        <v>0</v>
      </c>
      <c r="AL1086" s="9">
        <f>IFERROR(VLOOKUP($A1086,pivot!$A:$I,計算式2026!AL$1,FALSE),0)</f>
        <v>0</v>
      </c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</row>
    <row r="1087" spans="1:59" s="9" customFormat="1">
      <c r="A1087" s="8" t="s">
        <v>2169</v>
      </c>
      <c r="B1087" s="8" t="s">
        <v>2166</v>
      </c>
      <c r="C1087" s="9">
        <v>5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1</v>
      </c>
      <c r="AE1087" s="9">
        <f>IFERROR(VLOOKUP($A1087,pivot!$A:$G,計算式2026!AE$1,FALSE),0)</f>
        <v>0</v>
      </c>
      <c r="AF1087" s="9">
        <f>IFERROR(VLOOKUP($A1087,pivot!$A:$I,計算式2026!AF$1,FALSE),0)</f>
        <v>0</v>
      </c>
      <c r="AI1087" s="9">
        <f>IFERROR(VLOOKUP($A1087,pivot!$A:$I,計算式2026!AI$1,FALSE),0)</f>
        <v>0</v>
      </c>
      <c r="AJ1087" s="9">
        <f>IFERROR(VLOOKUP($A1087,pivot!$A:$I,計算式2026!AJ$1,FALSE),0)</f>
        <v>0</v>
      </c>
      <c r="AK1087" s="9">
        <f>IFERROR(VLOOKUP($A1087,pivot!$A:$I,計算式2026!AK$1,FALSE),0)</f>
        <v>0</v>
      </c>
      <c r="AL1087" s="9">
        <f>IFERROR(VLOOKUP($A1087,pivot!$A:$I,計算式2026!AL$1,FALSE),0)</f>
        <v>0</v>
      </c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</row>
    <row r="1088" spans="1:59" s="9" customFormat="1">
      <c r="A1088" s="8" t="s">
        <v>2171</v>
      </c>
      <c r="B1088" s="8" t="s">
        <v>2170</v>
      </c>
      <c r="C1088" s="9">
        <v>0</v>
      </c>
      <c r="D1088" s="9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R1088" s="9">
        <v>0</v>
      </c>
      <c r="S1088" s="9">
        <v>0</v>
      </c>
      <c r="T1088" s="9">
        <v>1</v>
      </c>
      <c r="U1088" s="9">
        <v>0</v>
      </c>
      <c r="V1088" s="9">
        <v>0</v>
      </c>
      <c r="W1088" s="9">
        <v>0</v>
      </c>
      <c r="X1088" s="9">
        <v>1</v>
      </c>
      <c r="AE1088" s="9">
        <f>IFERROR(VLOOKUP($A1088,pivot!$A:$G,計算式2026!AE$1,FALSE),0)</f>
        <v>0</v>
      </c>
      <c r="AF1088" s="9">
        <f>IFERROR(VLOOKUP($A1088,pivot!$A:$I,計算式2026!AF$1,FALSE),0)</f>
        <v>0</v>
      </c>
      <c r="AI1088" s="9">
        <f>IFERROR(VLOOKUP($A1088,pivot!$A:$I,計算式2026!AI$1,FALSE),0)</f>
        <v>0</v>
      </c>
      <c r="AJ1088" s="9">
        <f>IFERROR(VLOOKUP($A1088,pivot!$A:$I,計算式2026!AJ$1,FALSE),0)</f>
        <v>0</v>
      </c>
      <c r="AK1088" s="9">
        <f>IFERROR(VLOOKUP($A1088,pivot!$A:$I,計算式2026!AK$1,FALSE),0)</f>
        <v>0</v>
      </c>
      <c r="AL1088" s="9">
        <f>IFERROR(VLOOKUP($A1088,pivot!$A:$I,計算式2026!AL$1,FALSE),0)</f>
        <v>0</v>
      </c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</row>
    <row r="1089" spans="1:59" s="9" customFormat="1">
      <c r="A1089" s="8" t="s">
        <v>2172</v>
      </c>
      <c r="B1089" s="8" t="s">
        <v>2170</v>
      </c>
      <c r="C1089" s="9">
        <v>0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R1089" s="9">
        <v>0</v>
      </c>
      <c r="S1089" s="9">
        <v>0</v>
      </c>
      <c r="T1089" s="9">
        <v>1</v>
      </c>
      <c r="U1089" s="9">
        <v>0</v>
      </c>
      <c r="V1089" s="9">
        <v>1</v>
      </c>
      <c r="W1089" s="9">
        <v>0</v>
      </c>
      <c r="X1089" s="9">
        <v>1</v>
      </c>
      <c r="AE1089" s="9">
        <f>IFERROR(VLOOKUP($A1089,pivot!$A:$G,計算式2026!AE$1,FALSE),0)</f>
        <v>0</v>
      </c>
      <c r="AF1089" s="9">
        <f>IFERROR(VLOOKUP($A1089,pivot!$A:$I,計算式2026!AF$1,FALSE),0)</f>
        <v>0</v>
      </c>
      <c r="AI1089" s="9">
        <f>IFERROR(VLOOKUP($A1089,pivot!$A:$I,計算式2026!AI$1,FALSE),0)</f>
        <v>0</v>
      </c>
      <c r="AJ1089" s="9">
        <f>IFERROR(VLOOKUP($A1089,pivot!$A:$I,計算式2026!AJ$1,FALSE),0)</f>
        <v>0</v>
      </c>
      <c r="AK1089" s="9">
        <f>IFERROR(VLOOKUP($A1089,pivot!$A:$I,計算式2026!AK$1,FALSE),0)</f>
        <v>0</v>
      </c>
      <c r="AL1089" s="9">
        <f>IFERROR(VLOOKUP($A1089,pivot!$A:$I,計算式2026!AL$1,FALSE),0)</f>
        <v>0</v>
      </c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</row>
    <row r="1090" spans="1:59" s="9" customFormat="1">
      <c r="A1090" s="8" t="s">
        <v>2173</v>
      </c>
      <c r="B1090" s="8" t="s">
        <v>2170</v>
      </c>
      <c r="C1090" s="9">
        <v>0</v>
      </c>
      <c r="D1090" s="9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1</v>
      </c>
      <c r="W1090" s="9">
        <v>0</v>
      </c>
      <c r="X1090" s="9">
        <v>1</v>
      </c>
      <c r="AE1090" s="9">
        <f>IFERROR(VLOOKUP($A1090,pivot!$A:$G,計算式2026!AE$1,FALSE),0)</f>
        <v>0</v>
      </c>
      <c r="AF1090" s="9">
        <f>IFERROR(VLOOKUP($A1090,pivot!$A:$I,計算式2026!AF$1,FALSE),0)</f>
        <v>0</v>
      </c>
      <c r="AI1090" s="9">
        <f>IFERROR(VLOOKUP($A1090,pivot!$A:$I,計算式2026!AI$1,FALSE),0)</f>
        <v>0</v>
      </c>
      <c r="AJ1090" s="9">
        <f>IFERROR(VLOOKUP($A1090,pivot!$A:$I,計算式2026!AJ$1,FALSE),0)</f>
        <v>0</v>
      </c>
      <c r="AK1090" s="9">
        <f>IFERROR(VLOOKUP($A1090,pivot!$A:$I,計算式2026!AK$1,FALSE),0)</f>
        <v>0</v>
      </c>
      <c r="AL1090" s="9">
        <f>IFERROR(VLOOKUP($A1090,pivot!$A:$I,計算式2026!AL$1,FALSE),0)</f>
        <v>0</v>
      </c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</row>
    <row r="1091" spans="1:59" s="9" customFormat="1">
      <c r="A1091" s="8" t="s">
        <v>2174</v>
      </c>
      <c r="B1091" s="8" t="s">
        <v>2175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R1091" s="9">
        <v>0</v>
      </c>
      <c r="S1091" s="9">
        <v>0</v>
      </c>
      <c r="T1091" s="9">
        <v>1</v>
      </c>
      <c r="U1091" s="9">
        <v>0</v>
      </c>
      <c r="V1091" s="9">
        <v>3</v>
      </c>
      <c r="W1091" s="9">
        <v>1</v>
      </c>
      <c r="X1091" s="9">
        <v>2</v>
      </c>
      <c r="AE1091" s="9">
        <f>IFERROR(VLOOKUP($A1091,pivot!$A:$G,計算式2026!AE$1,FALSE),0)</f>
        <v>0</v>
      </c>
      <c r="AF1091" s="9">
        <f>IFERROR(VLOOKUP($A1091,pivot!$A:$I,計算式2026!AF$1,FALSE),0)</f>
        <v>0</v>
      </c>
      <c r="AI1091" s="9">
        <f>IFERROR(VLOOKUP($A1091,pivot!$A:$I,計算式2026!AI$1,FALSE),0)</f>
        <v>0</v>
      </c>
      <c r="AJ1091" s="9">
        <f>IFERROR(VLOOKUP($A1091,pivot!$A:$I,計算式2026!AJ$1,FALSE),0)</f>
        <v>0</v>
      </c>
      <c r="AK1091" s="9">
        <f>IFERROR(VLOOKUP($A1091,pivot!$A:$I,計算式2026!AK$1,FALSE),0)</f>
        <v>0</v>
      </c>
      <c r="AL1091" s="9">
        <f>IFERROR(VLOOKUP($A1091,pivot!$A:$I,計算式2026!AL$1,FALSE),0)</f>
        <v>0</v>
      </c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</row>
    <row r="1092" spans="1:59" s="9" customFormat="1">
      <c r="A1092" s="8" t="s">
        <v>2176</v>
      </c>
      <c r="B1092" s="8" t="s">
        <v>2175</v>
      </c>
      <c r="C1092" s="9">
        <v>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R1092" s="9">
        <v>0</v>
      </c>
      <c r="S1092" s="9">
        <v>0</v>
      </c>
      <c r="T1092" s="9">
        <v>1</v>
      </c>
      <c r="U1092" s="9">
        <v>0</v>
      </c>
      <c r="V1092" s="9">
        <v>0</v>
      </c>
      <c r="W1092" s="9">
        <v>1</v>
      </c>
      <c r="X1092" s="9">
        <v>2</v>
      </c>
      <c r="AE1092" s="9">
        <f>IFERROR(VLOOKUP($A1092,pivot!$A:$G,計算式2026!AE$1,FALSE),0)</f>
        <v>0</v>
      </c>
      <c r="AF1092" s="9">
        <f>IFERROR(VLOOKUP($A1092,pivot!$A:$I,計算式2026!AF$1,FALSE),0)</f>
        <v>0</v>
      </c>
      <c r="AI1092" s="9">
        <f>IFERROR(VLOOKUP($A1092,pivot!$A:$I,計算式2026!AI$1,FALSE),0)</f>
        <v>0</v>
      </c>
      <c r="AJ1092" s="9">
        <f>IFERROR(VLOOKUP($A1092,pivot!$A:$I,計算式2026!AJ$1,FALSE),0)</f>
        <v>0</v>
      </c>
      <c r="AK1092" s="9">
        <f>IFERROR(VLOOKUP($A1092,pivot!$A:$I,計算式2026!AK$1,FALSE),0)</f>
        <v>0</v>
      </c>
      <c r="AL1092" s="9">
        <f>IFERROR(VLOOKUP($A1092,pivot!$A:$I,計算式2026!AL$1,FALSE),0)</f>
        <v>0</v>
      </c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</row>
    <row r="1093" spans="1:59" s="9" customFormat="1">
      <c r="A1093" s="8" t="s">
        <v>2177</v>
      </c>
      <c r="B1093" s="8" t="s">
        <v>2175</v>
      </c>
      <c r="C1093" s="9">
        <v>0</v>
      </c>
      <c r="D1093" s="9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R1093" s="9">
        <v>0</v>
      </c>
      <c r="S1093" s="9">
        <v>0</v>
      </c>
      <c r="T1093" s="9">
        <v>1</v>
      </c>
      <c r="U1093" s="9">
        <v>0</v>
      </c>
      <c r="V1093" s="9">
        <v>0</v>
      </c>
      <c r="W1093" s="9">
        <v>1</v>
      </c>
      <c r="X1093" s="9">
        <v>1</v>
      </c>
      <c r="AE1093" s="9">
        <f>IFERROR(VLOOKUP($A1093,pivot!$A:$G,計算式2026!AE$1,FALSE),0)</f>
        <v>0</v>
      </c>
      <c r="AF1093" s="9">
        <f>IFERROR(VLOOKUP($A1093,pivot!$A:$I,計算式2026!AF$1,FALSE),0)</f>
        <v>0</v>
      </c>
      <c r="AI1093" s="9">
        <f>IFERROR(VLOOKUP($A1093,pivot!$A:$I,計算式2026!AI$1,FALSE),0)</f>
        <v>0</v>
      </c>
      <c r="AJ1093" s="9">
        <f>IFERROR(VLOOKUP($A1093,pivot!$A:$I,計算式2026!AJ$1,FALSE),0)</f>
        <v>0</v>
      </c>
      <c r="AK1093" s="9">
        <f>IFERROR(VLOOKUP($A1093,pivot!$A:$I,計算式2026!AK$1,FALSE),0)</f>
        <v>0</v>
      </c>
      <c r="AL1093" s="9">
        <f>IFERROR(VLOOKUP($A1093,pivot!$A:$I,計算式2026!AL$1,FALSE),0)</f>
        <v>0</v>
      </c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</row>
    <row r="1094" spans="1:59" s="9" customFormat="1">
      <c r="A1094" s="8" t="s">
        <v>2178</v>
      </c>
      <c r="B1094" s="8" t="s">
        <v>2175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R1094" s="9">
        <v>0</v>
      </c>
      <c r="S1094" s="9">
        <v>0</v>
      </c>
      <c r="T1094" s="9">
        <v>1</v>
      </c>
      <c r="U1094" s="9">
        <v>0</v>
      </c>
      <c r="V1094" s="9">
        <v>0</v>
      </c>
      <c r="W1094" s="9">
        <v>0</v>
      </c>
      <c r="X1094" s="9">
        <v>2</v>
      </c>
      <c r="AE1094" s="9">
        <f>IFERROR(VLOOKUP($A1094,pivot!$A:$G,計算式2026!AE$1,FALSE),0)</f>
        <v>0</v>
      </c>
      <c r="AF1094" s="9">
        <f>IFERROR(VLOOKUP($A1094,pivot!$A:$I,計算式2026!AF$1,FALSE),0)</f>
        <v>0</v>
      </c>
      <c r="AI1094" s="9">
        <f>IFERROR(VLOOKUP($A1094,pivot!$A:$I,計算式2026!AI$1,FALSE),0)</f>
        <v>0</v>
      </c>
      <c r="AJ1094" s="9">
        <f>IFERROR(VLOOKUP($A1094,pivot!$A:$I,計算式2026!AJ$1,FALSE),0)</f>
        <v>0</v>
      </c>
      <c r="AK1094" s="9">
        <f>IFERROR(VLOOKUP($A1094,pivot!$A:$I,計算式2026!AK$1,FALSE),0)</f>
        <v>0</v>
      </c>
      <c r="AL1094" s="9">
        <f>IFERROR(VLOOKUP($A1094,pivot!$A:$I,計算式2026!AL$1,FALSE),0)</f>
        <v>0</v>
      </c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</row>
    <row r="1095" spans="1:59" s="9" customFormat="1">
      <c r="A1095" s="8" t="s">
        <v>2775</v>
      </c>
      <c r="B1095" s="8" t="s">
        <v>2776</v>
      </c>
      <c r="C1095" s="9">
        <v>0</v>
      </c>
      <c r="D1095" s="9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R1095" s="9">
        <v>0</v>
      </c>
      <c r="S1095" s="9">
        <v>2</v>
      </c>
      <c r="T1095" s="9">
        <v>1</v>
      </c>
      <c r="U1095" s="9">
        <v>1</v>
      </c>
      <c r="V1095" s="9">
        <v>2</v>
      </c>
      <c r="W1095" s="9">
        <v>0</v>
      </c>
      <c r="X1095" s="9">
        <v>2</v>
      </c>
      <c r="AE1095" s="9">
        <f>IFERROR(VLOOKUP($A1095,pivot!$A:$G,計算式2026!AE$1,FALSE),0)</f>
        <v>0</v>
      </c>
      <c r="AF1095" s="9">
        <f>IFERROR(VLOOKUP($A1095,pivot!$A:$I,計算式2026!AF$1,FALSE),0)</f>
        <v>0</v>
      </c>
      <c r="AI1095" s="9">
        <f>IFERROR(VLOOKUP($A1095,pivot!$A:$I,計算式2026!AI$1,FALSE),0)</f>
        <v>0</v>
      </c>
      <c r="AJ1095" s="9">
        <f>IFERROR(VLOOKUP($A1095,pivot!$A:$I,計算式2026!AJ$1,FALSE),0)</f>
        <v>0</v>
      </c>
      <c r="AK1095" s="9">
        <f>IFERROR(VLOOKUP($A1095,pivot!$A:$I,計算式2026!AK$1,FALSE),0)</f>
        <v>0</v>
      </c>
      <c r="AL1095" s="9">
        <f>IFERROR(VLOOKUP($A1095,pivot!$A:$I,計算式2026!AL$1,FALSE),0)</f>
        <v>0</v>
      </c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</row>
    <row r="1096" spans="1:59" s="9" customFormat="1">
      <c r="A1096" s="8" t="s">
        <v>2665</v>
      </c>
      <c r="B1096" s="8" t="s">
        <v>2776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R1096" s="9">
        <v>2</v>
      </c>
      <c r="S1096" s="9">
        <v>2</v>
      </c>
      <c r="T1096" s="9">
        <v>1</v>
      </c>
      <c r="U1096" s="9">
        <v>2</v>
      </c>
      <c r="V1096" s="9">
        <v>2</v>
      </c>
      <c r="W1096" s="9">
        <v>0</v>
      </c>
      <c r="X1096" s="9">
        <v>2</v>
      </c>
      <c r="AE1096" s="9">
        <f>IFERROR(VLOOKUP($A1096,pivot!$A:$G,計算式2026!AE$1,FALSE),0)</f>
        <v>0</v>
      </c>
      <c r="AF1096" s="9">
        <f>IFERROR(VLOOKUP($A1096,pivot!$A:$I,計算式2026!AF$1,FALSE),0)</f>
        <v>0</v>
      </c>
      <c r="AI1096" s="9">
        <f>IFERROR(VLOOKUP($A1096,pivot!$A:$I,計算式2026!AI$1,FALSE),0)</f>
        <v>0</v>
      </c>
      <c r="AJ1096" s="9">
        <f>IFERROR(VLOOKUP($A1096,pivot!$A:$I,計算式2026!AJ$1,FALSE),0)</f>
        <v>0</v>
      </c>
      <c r="AK1096" s="9">
        <f>IFERROR(VLOOKUP($A1096,pivot!$A:$I,計算式2026!AK$1,FALSE),0)</f>
        <v>0</v>
      </c>
      <c r="AL1096" s="9">
        <f>IFERROR(VLOOKUP($A1096,pivot!$A:$I,計算式2026!AL$1,FALSE),0)</f>
        <v>0</v>
      </c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</row>
    <row r="1097" spans="1:59" s="9" customFormat="1">
      <c r="A1097" s="8" t="s">
        <v>2777</v>
      </c>
      <c r="B1097" s="8" t="s">
        <v>2776</v>
      </c>
      <c r="C1097" s="9">
        <v>0</v>
      </c>
      <c r="D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R1097" s="9">
        <v>1</v>
      </c>
      <c r="S1097" s="9">
        <v>0</v>
      </c>
      <c r="T1097" s="9">
        <v>1</v>
      </c>
      <c r="U1097" s="9">
        <v>0</v>
      </c>
      <c r="V1097" s="9">
        <v>2</v>
      </c>
      <c r="W1097" s="9">
        <v>0</v>
      </c>
      <c r="X1097" s="9">
        <v>1</v>
      </c>
      <c r="AE1097" s="9">
        <f>IFERROR(VLOOKUP($A1097,pivot!$A:$G,計算式2026!AE$1,FALSE),0)</f>
        <v>0</v>
      </c>
      <c r="AF1097" s="9">
        <f>IFERROR(VLOOKUP($A1097,pivot!$A:$I,計算式2026!AF$1,FALSE),0)</f>
        <v>0</v>
      </c>
      <c r="AI1097" s="9">
        <f>IFERROR(VLOOKUP($A1097,pivot!$A:$I,計算式2026!AI$1,FALSE),0)</f>
        <v>0</v>
      </c>
      <c r="AJ1097" s="9">
        <f>IFERROR(VLOOKUP($A1097,pivot!$A:$I,計算式2026!AJ$1,FALSE),0)</f>
        <v>0</v>
      </c>
      <c r="AK1097" s="9">
        <f>IFERROR(VLOOKUP($A1097,pivot!$A:$I,計算式2026!AK$1,FALSE),0)</f>
        <v>0</v>
      </c>
      <c r="AL1097" s="9">
        <f>IFERROR(VLOOKUP($A1097,pivot!$A:$I,計算式2026!AL$1,FALSE),0)</f>
        <v>0</v>
      </c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</row>
    <row r="1098" spans="1:59" s="9" customFormat="1">
      <c r="A1098" s="8" t="s">
        <v>2778</v>
      </c>
      <c r="B1098" s="8" t="s">
        <v>2776</v>
      </c>
      <c r="C1098" s="9">
        <v>0</v>
      </c>
      <c r="D1098" s="9">
        <v>1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R1098" s="9">
        <v>0</v>
      </c>
      <c r="S1098" s="9">
        <v>2</v>
      </c>
      <c r="T1098" s="9">
        <v>1</v>
      </c>
      <c r="U1098" s="9">
        <v>1</v>
      </c>
      <c r="V1098" s="9">
        <v>3</v>
      </c>
      <c r="W1098" s="9">
        <v>0</v>
      </c>
      <c r="X1098" s="9">
        <v>2</v>
      </c>
      <c r="AE1098" s="9">
        <f>IFERROR(VLOOKUP($A1098,pivot!$A:$G,計算式2026!AE$1,FALSE),0)</f>
        <v>0</v>
      </c>
      <c r="AF1098" s="9">
        <f>IFERROR(VLOOKUP($A1098,pivot!$A:$I,計算式2026!AF$1,FALSE),0)</f>
        <v>0</v>
      </c>
      <c r="AI1098" s="9">
        <f>IFERROR(VLOOKUP($A1098,pivot!$A:$I,計算式2026!AI$1,FALSE),0)</f>
        <v>0</v>
      </c>
      <c r="AJ1098" s="9">
        <f>IFERROR(VLOOKUP($A1098,pivot!$A:$I,計算式2026!AJ$1,FALSE),0)</f>
        <v>0</v>
      </c>
      <c r="AK1098" s="9">
        <f>IFERROR(VLOOKUP($A1098,pivot!$A:$I,計算式2026!AK$1,FALSE),0)</f>
        <v>0</v>
      </c>
      <c r="AL1098" s="9">
        <f>IFERROR(VLOOKUP($A1098,pivot!$A:$I,計算式2026!AL$1,FALSE),0)</f>
        <v>0</v>
      </c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</row>
    <row r="1099" spans="1:59" s="9" customFormat="1">
      <c r="A1099" s="8" t="s">
        <v>2779</v>
      </c>
      <c r="B1099" s="8" t="s">
        <v>2776</v>
      </c>
      <c r="C1099" s="9">
        <v>0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R1099" s="9">
        <v>1</v>
      </c>
      <c r="S1099" s="9">
        <v>2</v>
      </c>
      <c r="T1099" s="9">
        <v>1</v>
      </c>
      <c r="U1099" s="9">
        <v>0</v>
      </c>
      <c r="V1099" s="9">
        <v>2</v>
      </c>
      <c r="W1099" s="9">
        <v>0</v>
      </c>
      <c r="X1099" s="9">
        <v>1</v>
      </c>
      <c r="AE1099" s="9">
        <f>IFERROR(VLOOKUP($A1099,pivot!$A:$G,計算式2026!AE$1,FALSE),0)</f>
        <v>0</v>
      </c>
      <c r="AF1099" s="9">
        <f>IFERROR(VLOOKUP($A1099,pivot!$A:$I,計算式2026!AF$1,FALSE),0)</f>
        <v>0</v>
      </c>
      <c r="AI1099" s="9">
        <f>IFERROR(VLOOKUP($A1099,pivot!$A:$I,計算式2026!AI$1,FALSE),0)</f>
        <v>0</v>
      </c>
      <c r="AJ1099" s="9">
        <f>IFERROR(VLOOKUP($A1099,pivot!$A:$I,計算式2026!AJ$1,FALSE),0)</f>
        <v>0</v>
      </c>
      <c r="AK1099" s="9">
        <f>IFERROR(VLOOKUP($A1099,pivot!$A:$I,計算式2026!AK$1,FALSE),0)</f>
        <v>0</v>
      </c>
      <c r="AL1099" s="9">
        <f>IFERROR(VLOOKUP($A1099,pivot!$A:$I,計算式2026!AL$1,FALSE),0)</f>
        <v>0</v>
      </c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</row>
    <row r="1100" spans="1:59" s="9" customFormat="1">
      <c r="A1100" s="8" t="s">
        <v>2780</v>
      </c>
      <c r="B1100" s="8" t="s">
        <v>2781</v>
      </c>
      <c r="C1100" s="9">
        <v>8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AE1100" s="9">
        <f>IFERROR(VLOOKUP($A1100,pivot!$A:$G,計算式2026!AE$1,FALSE),0)</f>
        <v>0</v>
      </c>
      <c r="AF1100" s="9">
        <f>IFERROR(VLOOKUP($A1100,pivot!$A:$I,計算式2026!AF$1,FALSE),0)</f>
        <v>0</v>
      </c>
      <c r="AI1100" s="9">
        <f>IFERROR(VLOOKUP($A1100,pivot!$A:$I,計算式2026!AI$1,FALSE),0)</f>
        <v>0</v>
      </c>
      <c r="AJ1100" s="9">
        <f>IFERROR(VLOOKUP($A1100,pivot!$A:$I,計算式2026!AJ$1,FALSE),0)</f>
        <v>0</v>
      </c>
      <c r="AK1100" s="9">
        <f>IFERROR(VLOOKUP($A1100,pivot!$A:$I,計算式2026!AK$1,FALSE),0)</f>
        <v>0</v>
      </c>
      <c r="AL1100" s="9">
        <f>IFERROR(VLOOKUP($A1100,pivot!$A:$I,計算式2026!AL$1,FALSE),0)</f>
        <v>0</v>
      </c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</row>
    <row r="1101" spans="1:59" s="9" customFormat="1">
      <c r="A1101" s="8" t="s">
        <v>2782</v>
      </c>
      <c r="B1101" s="8" t="s">
        <v>2781</v>
      </c>
      <c r="C1101" s="9">
        <v>8</v>
      </c>
      <c r="D1101" s="9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AE1101" s="9">
        <f>IFERROR(VLOOKUP($A1101,pivot!$A:$G,計算式2026!AE$1,FALSE),0)</f>
        <v>0</v>
      </c>
      <c r="AF1101" s="9">
        <f>IFERROR(VLOOKUP($A1101,pivot!$A:$I,計算式2026!AF$1,FALSE),0)</f>
        <v>0</v>
      </c>
      <c r="AI1101" s="9">
        <f>IFERROR(VLOOKUP($A1101,pivot!$A:$I,計算式2026!AI$1,FALSE),0)</f>
        <v>0</v>
      </c>
      <c r="AJ1101" s="9">
        <f>IFERROR(VLOOKUP($A1101,pivot!$A:$I,計算式2026!AJ$1,FALSE),0)</f>
        <v>0</v>
      </c>
      <c r="AK1101" s="9">
        <f>IFERROR(VLOOKUP($A1101,pivot!$A:$I,計算式2026!AK$1,FALSE),0)</f>
        <v>0</v>
      </c>
      <c r="AL1101" s="9">
        <f>IFERROR(VLOOKUP($A1101,pivot!$A:$I,計算式2026!AL$1,FALSE),0)</f>
        <v>0</v>
      </c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</row>
    <row r="1102" spans="1:59" s="9" customFormat="1">
      <c r="A1102" s="8" t="s">
        <v>2783</v>
      </c>
      <c r="B1102" s="8" t="s">
        <v>2781</v>
      </c>
      <c r="C1102" s="9">
        <v>18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AE1102" s="9">
        <f>IFERROR(VLOOKUP($A1102,pivot!$A:$G,計算式2026!AE$1,FALSE),0)</f>
        <v>0</v>
      </c>
      <c r="AF1102" s="9">
        <f>IFERROR(VLOOKUP($A1102,pivot!$A:$I,計算式2026!AF$1,FALSE),0)</f>
        <v>0</v>
      </c>
      <c r="AI1102" s="9">
        <f>IFERROR(VLOOKUP($A1102,pivot!$A:$I,計算式2026!AI$1,FALSE),0)</f>
        <v>0</v>
      </c>
      <c r="AJ1102" s="9">
        <f>IFERROR(VLOOKUP($A1102,pivot!$A:$I,計算式2026!AJ$1,FALSE),0)</f>
        <v>0</v>
      </c>
      <c r="AK1102" s="9">
        <f>IFERROR(VLOOKUP($A1102,pivot!$A:$I,計算式2026!AK$1,FALSE),0)</f>
        <v>0</v>
      </c>
      <c r="AL1102" s="9">
        <f>IFERROR(VLOOKUP($A1102,pivot!$A:$I,計算式2026!AL$1,FALSE),0)</f>
        <v>0</v>
      </c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</row>
    <row r="1103" spans="1:59" s="9" customFormat="1">
      <c r="A1103" s="8" t="s">
        <v>2784</v>
      </c>
      <c r="B1103" s="8" t="s">
        <v>2781</v>
      </c>
      <c r="C1103" s="9">
        <v>8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AE1103" s="9">
        <f>IFERROR(VLOOKUP($A1103,pivot!$A:$G,計算式2026!AE$1,FALSE),0)</f>
        <v>0</v>
      </c>
      <c r="AF1103" s="9">
        <f>IFERROR(VLOOKUP($A1103,pivot!$A:$I,計算式2026!AF$1,FALSE),0)</f>
        <v>0</v>
      </c>
      <c r="AI1103" s="9">
        <f>IFERROR(VLOOKUP($A1103,pivot!$A:$I,計算式2026!AI$1,FALSE),0)</f>
        <v>0</v>
      </c>
      <c r="AJ1103" s="9">
        <f>IFERROR(VLOOKUP($A1103,pivot!$A:$I,計算式2026!AJ$1,FALSE),0)</f>
        <v>0</v>
      </c>
      <c r="AK1103" s="9">
        <f>IFERROR(VLOOKUP($A1103,pivot!$A:$I,計算式2026!AK$1,FALSE),0)</f>
        <v>0</v>
      </c>
      <c r="AL1103" s="9">
        <f>IFERROR(VLOOKUP($A1103,pivot!$A:$I,計算式2026!AL$1,FALSE),0)</f>
        <v>0</v>
      </c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</row>
    <row r="1104" spans="1:59" s="9" customFormat="1">
      <c r="A1104" s="8" t="s">
        <v>2785</v>
      </c>
      <c r="B1104" s="8" t="s">
        <v>2786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R1104" s="9">
        <v>0</v>
      </c>
      <c r="S1104" s="9">
        <v>2</v>
      </c>
      <c r="T1104" s="9">
        <v>1</v>
      </c>
      <c r="U1104" s="9">
        <v>0</v>
      </c>
      <c r="V1104" s="9">
        <v>3</v>
      </c>
      <c r="W1104" s="9">
        <v>0</v>
      </c>
      <c r="X1104" s="9">
        <v>1</v>
      </c>
      <c r="AE1104" s="9">
        <f>IFERROR(VLOOKUP($A1104,pivot!$A:$G,計算式2026!AE$1,FALSE),0)</f>
        <v>0</v>
      </c>
      <c r="AF1104" s="9">
        <f>IFERROR(VLOOKUP($A1104,pivot!$A:$I,計算式2026!AF$1,FALSE),0)</f>
        <v>0</v>
      </c>
      <c r="AI1104" s="9">
        <f>IFERROR(VLOOKUP($A1104,pivot!$A:$I,計算式2026!AI$1,FALSE),0)</f>
        <v>0</v>
      </c>
      <c r="AJ1104" s="9">
        <f>IFERROR(VLOOKUP($A1104,pivot!$A:$I,計算式2026!AJ$1,FALSE),0)</f>
        <v>0</v>
      </c>
      <c r="AK1104" s="9">
        <f>IFERROR(VLOOKUP($A1104,pivot!$A:$I,計算式2026!AK$1,FALSE),0)</f>
        <v>0</v>
      </c>
      <c r="AL1104" s="9">
        <f>IFERROR(VLOOKUP($A1104,pivot!$A:$I,計算式2026!AL$1,FALSE),0)</f>
        <v>0</v>
      </c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</row>
    <row r="1105" spans="1:59" s="9" customFormat="1">
      <c r="A1105" s="8" t="s">
        <v>2787</v>
      </c>
      <c r="B1105" s="8" t="s">
        <v>2786</v>
      </c>
      <c r="C1105" s="9">
        <v>0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R1105" s="9">
        <v>0</v>
      </c>
      <c r="S1105" s="9">
        <v>2</v>
      </c>
      <c r="T1105" s="9">
        <v>1</v>
      </c>
      <c r="U1105" s="9">
        <v>0</v>
      </c>
      <c r="V1105" s="9">
        <v>2</v>
      </c>
      <c r="W1105" s="9">
        <v>0</v>
      </c>
      <c r="X1105" s="9">
        <v>0</v>
      </c>
      <c r="AE1105" s="9">
        <f>IFERROR(VLOOKUP($A1105,pivot!$A:$G,計算式2026!AE$1,FALSE),0)</f>
        <v>0</v>
      </c>
      <c r="AF1105" s="9">
        <f>IFERROR(VLOOKUP($A1105,pivot!$A:$I,計算式2026!AF$1,FALSE),0)</f>
        <v>0</v>
      </c>
      <c r="AI1105" s="9">
        <f>IFERROR(VLOOKUP($A1105,pivot!$A:$I,計算式2026!AI$1,FALSE),0)</f>
        <v>0</v>
      </c>
      <c r="AJ1105" s="9">
        <f>IFERROR(VLOOKUP($A1105,pivot!$A:$I,計算式2026!AJ$1,FALSE),0)</f>
        <v>0</v>
      </c>
      <c r="AK1105" s="9">
        <f>IFERROR(VLOOKUP($A1105,pivot!$A:$I,計算式2026!AK$1,FALSE),0)</f>
        <v>0</v>
      </c>
      <c r="AL1105" s="9">
        <f>IFERROR(VLOOKUP($A1105,pivot!$A:$I,計算式2026!AL$1,FALSE),0)</f>
        <v>0</v>
      </c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</row>
    <row r="1106" spans="1:59" s="9" customFormat="1">
      <c r="A1106" s="8" t="s">
        <v>2788</v>
      </c>
      <c r="B1106" s="8" t="s">
        <v>2786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R1106" s="9">
        <v>0</v>
      </c>
      <c r="S1106" s="9">
        <v>2</v>
      </c>
      <c r="T1106" s="9">
        <v>1</v>
      </c>
      <c r="U1106" s="9">
        <v>0</v>
      </c>
      <c r="V1106" s="9">
        <v>0</v>
      </c>
      <c r="W1106" s="9">
        <v>0</v>
      </c>
      <c r="X1106" s="9">
        <v>1</v>
      </c>
      <c r="AE1106" s="9">
        <f>IFERROR(VLOOKUP($A1106,pivot!$A:$G,計算式2026!AE$1,FALSE),0)</f>
        <v>0</v>
      </c>
      <c r="AF1106" s="9">
        <f>IFERROR(VLOOKUP($A1106,pivot!$A:$I,計算式2026!AF$1,FALSE),0)</f>
        <v>0</v>
      </c>
      <c r="AI1106" s="9">
        <f>IFERROR(VLOOKUP($A1106,pivot!$A:$I,計算式2026!AI$1,FALSE),0)</f>
        <v>0</v>
      </c>
      <c r="AJ1106" s="9">
        <f>IFERROR(VLOOKUP($A1106,pivot!$A:$I,計算式2026!AJ$1,FALSE),0)</f>
        <v>0</v>
      </c>
      <c r="AK1106" s="9">
        <f>IFERROR(VLOOKUP($A1106,pivot!$A:$I,計算式2026!AK$1,FALSE),0)</f>
        <v>0</v>
      </c>
      <c r="AL1106" s="9">
        <f>IFERROR(VLOOKUP($A1106,pivot!$A:$I,計算式2026!AL$1,FALSE),0)</f>
        <v>0</v>
      </c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</row>
    <row r="1107" spans="1:59" s="9" customFormat="1">
      <c r="A1107" s="8" t="s">
        <v>2789</v>
      </c>
      <c r="B1107" s="8" t="s">
        <v>2786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R1107" s="9">
        <v>0</v>
      </c>
      <c r="S1107" s="9">
        <v>0</v>
      </c>
      <c r="T1107" s="9">
        <v>1</v>
      </c>
      <c r="U1107" s="9">
        <v>0</v>
      </c>
      <c r="V1107" s="9">
        <v>0</v>
      </c>
      <c r="W1107" s="9">
        <v>0</v>
      </c>
      <c r="X1107" s="9">
        <v>1</v>
      </c>
      <c r="AE1107" s="9">
        <f>IFERROR(VLOOKUP($A1107,pivot!$A:$G,計算式2026!AE$1,FALSE),0)</f>
        <v>0</v>
      </c>
      <c r="AF1107" s="9">
        <f>IFERROR(VLOOKUP($A1107,pivot!$A:$I,計算式2026!AF$1,FALSE),0)</f>
        <v>0</v>
      </c>
      <c r="AI1107" s="9">
        <f>IFERROR(VLOOKUP($A1107,pivot!$A:$I,計算式2026!AI$1,FALSE),0)</f>
        <v>0</v>
      </c>
      <c r="AJ1107" s="9">
        <f>IFERROR(VLOOKUP($A1107,pivot!$A:$I,計算式2026!AJ$1,FALSE),0)</f>
        <v>0</v>
      </c>
      <c r="AK1107" s="9">
        <f>IFERROR(VLOOKUP($A1107,pivot!$A:$I,計算式2026!AK$1,FALSE),0)</f>
        <v>0</v>
      </c>
      <c r="AL1107" s="9">
        <f>IFERROR(VLOOKUP($A1107,pivot!$A:$I,計算式2026!AL$1,FALSE),0)</f>
        <v>0</v>
      </c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</row>
    <row r="1108" spans="1:59" s="9" customFormat="1">
      <c r="A1108" s="8" t="s">
        <v>2790</v>
      </c>
      <c r="B1108" s="8" t="s">
        <v>2791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R1108" s="9">
        <v>0</v>
      </c>
      <c r="S1108" s="9">
        <v>2</v>
      </c>
      <c r="T1108" s="9">
        <v>1</v>
      </c>
      <c r="U1108" s="9">
        <v>0</v>
      </c>
      <c r="V1108" s="9">
        <v>2</v>
      </c>
      <c r="W1108" s="9">
        <v>0</v>
      </c>
      <c r="X1108" s="9">
        <v>1</v>
      </c>
      <c r="AE1108" s="9">
        <f>IFERROR(VLOOKUP($A1108,pivot!$A:$G,計算式2026!AE$1,FALSE),0)</f>
        <v>0</v>
      </c>
      <c r="AF1108" s="9">
        <f>IFERROR(VLOOKUP($A1108,pivot!$A:$I,計算式2026!AF$1,FALSE),0)</f>
        <v>0</v>
      </c>
      <c r="AI1108" s="9">
        <f>IFERROR(VLOOKUP($A1108,pivot!$A:$I,計算式2026!AI$1,FALSE),0)</f>
        <v>0</v>
      </c>
      <c r="AJ1108" s="9">
        <f>IFERROR(VLOOKUP($A1108,pivot!$A:$I,計算式2026!AJ$1,FALSE),0)</f>
        <v>0</v>
      </c>
      <c r="AK1108" s="9">
        <f>IFERROR(VLOOKUP($A1108,pivot!$A:$I,計算式2026!AK$1,FALSE),0)</f>
        <v>0</v>
      </c>
      <c r="AL1108" s="9">
        <f>IFERROR(VLOOKUP($A1108,pivot!$A:$I,計算式2026!AL$1,FALSE),0)</f>
        <v>0</v>
      </c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</row>
    <row r="1109" spans="1:59" s="9" customFormat="1">
      <c r="A1109" s="8" t="s">
        <v>2792</v>
      </c>
      <c r="B1109" s="8" t="s">
        <v>2791</v>
      </c>
      <c r="C1109" s="9">
        <v>1</v>
      </c>
      <c r="D1109" s="9">
        <v>2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R1109" s="9">
        <v>0</v>
      </c>
      <c r="S1109" s="9">
        <v>2</v>
      </c>
      <c r="T1109" s="9">
        <v>1</v>
      </c>
      <c r="U1109" s="9">
        <v>0</v>
      </c>
      <c r="V1109" s="9">
        <v>2</v>
      </c>
      <c r="W1109" s="9">
        <v>0</v>
      </c>
      <c r="X1109" s="9">
        <v>1</v>
      </c>
      <c r="AE1109" s="9">
        <f>IFERROR(VLOOKUP($A1109,pivot!$A:$G,計算式2026!AE$1,FALSE),0)</f>
        <v>0</v>
      </c>
      <c r="AF1109" s="9">
        <f>IFERROR(VLOOKUP($A1109,pivot!$A:$I,計算式2026!AF$1,FALSE),0)</f>
        <v>0</v>
      </c>
      <c r="AI1109" s="9">
        <f>IFERROR(VLOOKUP($A1109,pivot!$A:$I,計算式2026!AI$1,FALSE),0)</f>
        <v>0</v>
      </c>
      <c r="AJ1109" s="9">
        <f>IFERROR(VLOOKUP($A1109,pivot!$A:$I,計算式2026!AJ$1,FALSE),0)</f>
        <v>0</v>
      </c>
      <c r="AK1109" s="9">
        <f>IFERROR(VLOOKUP($A1109,pivot!$A:$I,計算式2026!AK$1,FALSE),0)</f>
        <v>0</v>
      </c>
      <c r="AL1109" s="9">
        <f>IFERROR(VLOOKUP($A1109,pivot!$A:$I,計算式2026!AL$1,FALSE),0)</f>
        <v>0</v>
      </c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</row>
    <row r="1110" spans="1:59" s="9" customFormat="1">
      <c r="A1110" s="8" t="s">
        <v>2793</v>
      </c>
      <c r="B1110" s="8" t="s">
        <v>2794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R1110" s="9">
        <v>0</v>
      </c>
      <c r="S1110" s="9">
        <v>2</v>
      </c>
      <c r="T1110" s="9">
        <v>1</v>
      </c>
      <c r="U1110" s="9">
        <v>0</v>
      </c>
      <c r="V1110" s="9">
        <v>2</v>
      </c>
      <c r="W1110" s="9">
        <v>0</v>
      </c>
      <c r="X1110" s="9">
        <v>1</v>
      </c>
      <c r="AE1110" s="9">
        <f>IFERROR(VLOOKUP($A1110,pivot!$A:$G,計算式2026!AE$1,FALSE),0)</f>
        <v>0</v>
      </c>
      <c r="AF1110" s="9">
        <f>IFERROR(VLOOKUP($A1110,pivot!$A:$I,計算式2026!AF$1,FALSE),0)</f>
        <v>0</v>
      </c>
      <c r="AI1110" s="9">
        <f>IFERROR(VLOOKUP($A1110,pivot!$A:$I,計算式2026!AI$1,FALSE),0)</f>
        <v>0</v>
      </c>
      <c r="AJ1110" s="9">
        <f>IFERROR(VLOOKUP($A1110,pivot!$A:$I,計算式2026!AJ$1,FALSE),0)</f>
        <v>0</v>
      </c>
      <c r="AK1110" s="9">
        <f>IFERROR(VLOOKUP($A1110,pivot!$A:$I,計算式2026!AK$1,FALSE),0)</f>
        <v>0</v>
      </c>
      <c r="AL1110" s="9">
        <f>IFERROR(VLOOKUP($A1110,pivot!$A:$I,計算式2026!AL$1,FALSE),0)</f>
        <v>0</v>
      </c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</row>
    <row r="1111" spans="1:59" s="9" customFormat="1">
      <c r="A1111" s="8" t="s">
        <v>2661</v>
      </c>
      <c r="B1111" s="8" t="s">
        <v>2794</v>
      </c>
      <c r="C1111" s="9">
        <v>0</v>
      </c>
      <c r="D1111" s="9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R1111" s="9">
        <v>0</v>
      </c>
      <c r="S1111" s="9">
        <v>2</v>
      </c>
      <c r="T1111" s="9">
        <v>0</v>
      </c>
      <c r="U1111" s="9">
        <v>0</v>
      </c>
      <c r="V1111" s="9">
        <v>2</v>
      </c>
      <c r="W1111" s="9">
        <v>0</v>
      </c>
      <c r="X1111" s="9">
        <v>0</v>
      </c>
      <c r="AE1111" s="9">
        <f>IFERROR(VLOOKUP($A1111,pivot!$A:$G,計算式2026!AE$1,FALSE),0)</f>
        <v>0</v>
      </c>
      <c r="AF1111" s="9">
        <f>IFERROR(VLOOKUP($A1111,pivot!$A:$I,計算式2026!AF$1,FALSE),0)</f>
        <v>0</v>
      </c>
      <c r="AI1111" s="9">
        <f>IFERROR(VLOOKUP($A1111,pivot!$A:$I,計算式2026!AI$1,FALSE),0)</f>
        <v>0</v>
      </c>
      <c r="AJ1111" s="9">
        <f>IFERROR(VLOOKUP($A1111,pivot!$A:$I,計算式2026!AJ$1,FALSE),0)</f>
        <v>0</v>
      </c>
      <c r="AK1111" s="9">
        <f>IFERROR(VLOOKUP($A1111,pivot!$A:$I,計算式2026!AK$1,FALSE),0)</f>
        <v>0</v>
      </c>
      <c r="AL1111" s="9">
        <f>IFERROR(VLOOKUP($A1111,pivot!$A:$I,計算式2026!AL$1,FALSE),0)</f>
        <v>0</v>
      </c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</row>
    <row r="1112" spans="1:59" s="9" customFormat="1">
      <c r="A1112" s="8" t="s">
        <v>2179</v>
      </c>
      <c r="B1112" s="8" t="s">
        <v>725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R1112" s="9">
        <v>0</v>
      </c>
      <c r="S1112" s="9">
        <v>0</v>
      </c>
      <c r="T1112" s="9">
        <v>1</v>
      </c>
      <c r="U1112" s="9">
        <v>0</v>
      </c>
      <c r="V1112" s="9">
        <v>0</v>
      </c>
      <c r="W1112" s="9">
        <v>0</v>
      </c>
      <c r="X1112" s="9">
        <v>1</v>
      </c>
      <c r="AE1112" s="9">
        <f>IFERROR(VLOOKUP($A1112,pivot!$A:$G,計算式2026!AE$1,FALSE),0)</f>
        <v>0</v>
      </c>
      <c r="AF1112" s="9">
        <f>IFERROR(VLOOKUP($A1112,pivot!$A:$I,計算式2026!AF$1,FALSE),0)</f>
        <v>0</v>
      </c>
      <c r="AI1112" s="9">
        <f>IFERROR(VLOOKUP($A1112,pivot!$A:$I,計算式2026!AI$1,FALSE),0)</f>
        <v>0</v>
      </c>
      <c r="AJ1112" s="9">
        <f>IFERROR(VLOOKUP($A1112,pivot!$A:$I,計算式2026!AJ$1,FALSE),0)</f>
        <v>0</v>
      </c>
      <c r="AK1112" s="9">
        <f>IFERROR(VLOOKUP($A1112,pivot!$A:$I,計算式2026!AK$1,FALSE),0)</f>
        <v>0</v>
      </c>
      <c r="AL1112" s="9">
        <f>IFERROR(VLOOKUP($A1112,pivot!$A:$I,計算式2026!AL$1,FALSE),0)</f>
        <v>0</v>
      </c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</row>
    <row r="1113" spans="1:59" s="9" customFormat="1">
      <c r="A1113" s="8" t="s">
        <v>2180</v>
      </c>
      <c r="B1113" s="8" t="s">
        <v>725</v>
      </c>
      <c r="C1113" s="9">
        <v>0</v>
      </c>
      <c r="D1113" s="9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R1113" s="9">
        <v>0</v>
      </c>
      <c r="S1113" s="9">
        <v>0</v>
      </c>
      <c r="T1113" s="9">
        <v>1</v>
      </c>
      <c r="U1113" s="9">
        <v>0</v>
      </c>
      <c r="V1113" s="9">
        <v>0</v>
      </c>
      <c r="W1113" s="9">
        <v>0</v>
      </c>
      <c r="X1113" s="9">
        <v>1</v>
      </c>
      <c r="AE1113" s="9">
        <f>IFERROR(VLOOKUP($A1113,pivot!$A:$G,計算式2026!AE$1,FALSE),0)</f>
        <v>0</v>
      </c>
      <c r="AF1113" s="9">
        <f>IFERROR(VLOOKUP($A1113,pivot!$A:$I,計算式2026!AF$1,FALSE),0)</f>
        <v>0</v>
      </c>
      <c r="AI1113" s="9">
        <f>IFERROR(VLOOKUP($A1113,pivot!$A:$I,計算式2026!AI$1,FALSE),0)</f>
        <v>0</v>
      </c>
      <c r="AJ1113" s="9">
        <f>IFERROR(VLOOKUP($A1113,pivot!$A:$I,計算式2026!AJ$1,FALSE),0)</f>
        <v>0</v>
      </c>
      <c r="AK1113" s="9">
        <f>IFERROR(VLOOKUP($A1113,pivot!$A:$I,計算式2026!AK$1,FALSE),0)</f>
        <v>0</v>
      </c>
      <c r="AL1113" s="9">
        <f>IFERROR(VLOOKUP($A1113,pivot!$A:$I,計算式2026!AL$1,FALSE),0)</f>
        <v>0</v>
      </c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</row>
    <row r="1114" spans="1:59" s="9" customFormat="1">
      <c r="A1114" s="8" t="s">
        <v>724</v>
      </c>
      <c r="B1114" s="8" t="s">
        <v>725</v>
      </c>
      <c r="C1114" s="9">
        <v>6</v>
      </c>
      <c r="D1114" s="9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R1114" s="9">
        <v>0</v>
      </c>
      <c r="S1114" s="9">
        <v>0</v>
      </c>
      <c r="T1114" s="9">
        <v>1</v>
      </c>
      <c r="U1114" s="9">
        <v>0</v>
      </c>
      <c r="V1114" s="9">
        <v>0</v>
      </c>
      <c r="W1114" s="9">
        <v>0</v>
      </c>
      <c r="X1114" s="9">
        <v>1</v>
      </c>
      <c r="AE1114" s="9">
        <f>IFERROR(VLOOKUP($A1114,pivot!$A:$G,計算式2026!AE$1,FALSE),0)</f>
        <v>0</v>
      </c>
      <c r="AF1114" s="9">
        <f>IFERROR(VLOOKUP($A1114,pivot!$A:$I,計算式2026!AF$1,FALSE),0)</f>
        <v>0</v>
      </c>
      <c r="AI1114" s="9">
        <f>IFERROR(VLOOKUP($A1114,pivot!$A:$I,計算式2026!AI$1,FALSE),0)</f>
        <v>0</v>
      </c>
      <c r="AJ1114" s="9">
        <f>IFERROR(VLOOKUP($A1114,pivot!$A:$I,計算式2026!AJ$1,FALSE),0)</f>
        <v>0</v>
      </c>
      <c r="AK1114" s="9">
        <f>IFERROR(VLOOKUP($A1114,pivot!$A:$I,計算式2026!AK$1,FALSE),0)</f>
        <v>0</v>
      </c>
      <c r="AL1114" s="9">
        <f>IFERROR(VLOOKUP($A1114,pivot!$A:$I,計算式2026!AL$1,FALSE),0)</f>
        <v>0</v>
      </c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</row>
    <row r="1115" spans="1:59" s="9" customFormat="1">
      <c r="A1115" s="8" t="s">
        <v>726</v>
      </c>
      <c r="B1115" s="8" t="s">
        <v>725</v>
      </c>
      <c r="C1115" s="9">
        <v>3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R1115" s="9">
        <v>0</v>
      </c>
      <c r="S1115" s="9">
        <v>0</v>
      </c>
      <c r="T1115" s="9">
        <v>1</v>
      </c>
      <c r="U1115" s="9">
        <v>0</v>
      </c>
      <c r="V1115" s="9">
        <v>0</v>
      </c>
      <c r="W1115" s="9">
        <v>0</v>
      </c>
      <c r="X1115" s="9">
        <v>1</v>
      </c>
      <c r="AE1115" s="9">
        <f>IFERROR(VLOOKUP($A1115,pivot!$A:$G,計算式2026!AE$1,FALSE),0)</f>
        <v>0</v>
      </c>
      <c r="AF1115" s="9">
        <f>IFERROR(VLOOKUP($A1115,pivot!$A:$I,計算式2026!AF$1,FALSE),0)</f>
        <v>0</v>
      </c>
      <c r="AI1115" s="9">
        <f>IFERROR(VLOOKUP($A1115,pivot!$A:$I,計算式2026!AI$1,FALSE),0)</f>
        <v>0</v>
      </c>
      <c r="AJ1115" s="9">
        <f>IFERROR(VLOOKUP($A1115,pivot!$A:$I,計算式2026!AJ$1,FALSE),0)</f>
        <v>0</v>
      </c>
      <c r="AK1115" s="9">
        <f>IFERROR(VLOOKUP($A1115,pivot!$A:$I,計算式2026!AK$1,FALSE),0)</f>
        <v>0</v>
      </c>
      <c r="AL1115" s="9">
        <f>IFERROR(VLOOKUP($A1115,pivot!$A:$I,計算式2026!AL$1,FALSE),0)</f>
        <v>0</v>
      </c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</row>
    <row r="1116" spans="1:59" s="9" customFormat="1">
      <c r="A1116" s="8" t="s">
        <v>2181</v>
      </c>
      <c r="B1116" s="8" t="s">
        <v>725</v>
      </c>
      <c r="C1116" s="9">
        <v>0</v>
      </c>
      <c r="D1116" s="9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1</v>
      </c>
      <c r="AE1116" s="9">
        <f>IFERROR(VLOOKUP($A1116,pivot!$A:$G,計算式2026!AE$1,FALSE),0)</f>
        <v>0</v>
      </c>
      <c r="AF1116" s="9">
        <f>IFERROR(VLOOKUP($A1116,pivot!$A:$I,計算式2026!AF$1,FALSE),0)</f>
        <v>0</v>
      </c>
      <c r="AI1116" s="9">
        <f>IFERROR(VLOOKUP($A1116,pivot!$A:$I,計算式2026!AI$1,FALSE),0)</f>
        <v>0</v>
      </c>
      <c r="AJ1116" s="9">
        <f>IFERROR(VLOOKUP($A1116,pivot!$A:$I,計算式2026!AJ$1,FALSE),0)</f>
        <v>0</v>
      </c>
      <c r="AK1116" s="9">
        <f>IFERROR(VLOOKUP($A1116,pivot!$A:$I,計算式2026!AK$1,FALSE),0)</f>
        <v>0</v>
      </c>
      <c r="AL1116" s="9">
        <f>IFERROR(VLOOKUP($A1116,pivot!$A:$I,計算式2026!AL$1,FALSE),0)</f>
        <v>0</v>
      </c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</row>
    <row r="1117" spans="1:59" s="9" customFormat="1">
      <c r="A1117" s="8" t="s">
        <v>2182</v>
      </c>
      <c r="B1117" s="8" t="s">
        <v>725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1</v>
      </c>
      <c r="AE1117" s="9">
        <f>IFERROR(VLOOKUP($A1117,pivot!$A:$G,計算式2026!AE$1,FALSE),0)</f>
        <v>0</v>
      </c>
      <c r="AF1117" s="9">
        <f>IFERROR(VLOOKUP($A1117,pivot!$A:$I,計算式2026!AF$1,FALSE),0)</f>
        <v>0</v>
      </c>
      <c r="AI1117" s="9">
        <f>IFERROR(VLOOKUP($A1117,pivot!$A:$I,計算式2026!AI$1,FALSE),0)</f>
        <v>0</v>
      </c>
      <c r="AJ1117" s="9">
        <f>IFERROR(VLOOKUP($A1117,pivot!$A:$I,計算式2026!AJ$1,FALSE),0)</f>
        <v>0</v>
      </c>
      <c r="AK1117" s="9">
        <f>IFERROR(VLOOKUP($A1117,pivot!$A:$I,計算式2026!AK$1,FALSE),0)</f>
        <v>0</v>
      </c>
      <c r="AL1117" s="9">
        <f>IFERROR(VLOOKUP($A1117,pivot!$A:$I,計算式2026!AL$1,FALSE),0)</f>
        <v>0</v>
      </c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</row>
    <row r="1118" spans="1:59" s="9" customFormat="1">
      <c r="A1118" s="8" t="s">
        <v>727</v>
      </c>
      <c r="B1118" s="8" t="s">
        <v>725</v>
      </c>
      <c r="C1118" s="9">
        <v>0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R1118" s="9">
        <v>0</v>
      </c>
      <c r="S1118" s="9">
        <v>0</v>
      </c>
      <c r="T1118" s="9">
        <v>1</v>
      </c>
      <c r="U1118" s="9">
        <v>0</v>
      </c>
      <c r="V1118" s="9">
        <v>0</v>
      </c>
      <c r="W1118" s="9">
        <v>0</v>
      </c>
      <c r="X1118" s="9">
        <v>1</v>
      </c>
      <c r="AE1118" s="9">
        <f>IFERROR(VLOOKUP($A1118,pivot!$A:$G,計算式2026!AE$1,FALSE),0)</f>
        <v>0</v>
      </c>
      <c r="AF1118" s="9">
        <f>IFERROR(VLOOKUP($A1118,pivot!$A:$I,計算式2026!AF$1,FALSE),0)</f>
        <v>0</v>
      </c>
      <c r="AI1118" s="9">
        <f>IFERROR(VLOOKUP($A1118,pivot!$A:$I,計算式2026!AI$1,FALSE),0)</f>
        <v>0</v>
      </c>
      <c r="AJ1118" s="9">
        <f>IFERROR(VLOOKUP($A1118,pivot!$A:$I,計算式2026!AJ$1,FALSE),0)</f>
        <v>0</v>
      </c>
      <c r="AK1118" s="9">
        <f>IFERROR(VLOOKUP($A1118,pivot!$A:$I,計算式2026!AK$1,FALSE),0)</f>
        <v>0</v>
      </c>
      <c r="AL1118" s="9">
        <f>IFERROR(VLOOKUP($A1118,pivot!$A:$I,計算式2026!AL$1,FALSE),0)</f>
        <v>0</v>
      </c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</row>
    <row r="1119" spans="1:59" s="9" customFormat="1">
      <c r="A1119" s="8" t="s">
        <v>728</v>
      </c>
      <c r="B1119" s="8" t="s">
        <v>725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1</v>
      </c>
      <c r="AE1119" s="9">
        <f>IFERROR(VLOOKUP($A1119,pivot!$A:$G,計算式2026!AE$1,FALSE),0)</f>
        <v>0</v>
      </c>
      <c r="AF1119" s="9">
        <f>IFERROR(VLOOKUP($A1119,pivot!$A:$I,計算式2026!AF$1,FALSE),0)</f>
        <v>0</v>
      </c>
      <c r="AI1119" s="9">
        <f>IFERROR(VLOOKUP($A1119,pivot!$A:$I,計算式2026!AI$1,FALSE),0)</f>
        <v>0</v>
      </c>
      <c r="AJ1119" s="9">
        <f>IFERROR(VLOOKUP($A1119,pivot!$A:$I,計算式2026!AJ$1,FALSE),0)</f>
        <v>0</v>
      </c>
      <c r="AK1119" s="9">
        <f>IFERROR(VLOOKUP($A1119,pivot!$A:$I,計算式2026!AK$1,FALSE),0)</f>
        <v>0</v>
      </c>
      <c r="AL1119" s="9">
        <f>IFERROR(VLOOKUP($A1119,pivot!$A:$I,計算式2026!AL$1,FALSE),0)</f>
        <v>0</v>
      </c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</row>
    <row r="1120" spans="1:59" s="9" customFormat="1">
      <c r="A1120" s="8" t="s">
        <v>729</v>
      </c>
      <c r="B1120" s="8" t="s">
        <v>725</v>
      </c>
      <c r="C1120" s="9">
        <v>0</v>
      </c>
      <c r="D1120" s="9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R1120" s="9">
        <v>0</v>
      </c>
      <c r="S1120" s="9">
        <v>0</v>
      </c>
      <c r="T1120" s="9">
        <v>1</v>
      </c>
      <c r="U1120" s="9">
        <v>0</v>
      </c>
      <c r="V1120" s="9">
        <v>0</v>
      </c>
      <c r="W1120" s="9">
        <v>0</v>
      </c>
      <c r="X1120" s="9">
        <v>1</v>
      </c>
      <c r="AE1120" s="9">
        <f>IFERROR(VLOOKUP($A1120,pivot!$A:$G,計算式2026!AE$1,FALSE),0)</f>
        <v>0</v>
      </c>
      <c r="AF1120" s="9">
        <f>IFERROR(VLOOKUP($A1120,pivot!$A:$I,計算式2026!AF$1,FALSE),0)</f>
        <v>0</v>
      </c>
      <c r="AI1120" s="9">
        <f>IFERROR(VLOOKUP($A1120,pivot!$A:$I,計算式2026!AI$1,FALSE),0)</f>
        <v>0</v>
      </c>
      <c r="AJ1120" s="9">
        <f>IFERROR(VLOOKUP($A1120,pivot!$A:$I,計算式2026!AJ$1,FALSE),0)</f>
        <v>0</v>
      </c>
      <c r="AK1120" s="9">
        <f>IFERROR(VLOOKUP($A1120,pivot!$A:$I,計算式2026!AK$1,FALSE),0)</f>
        <v>0</v>
      </c>
      <c r="AL1120" s="9">
        <f>IFERROR(VLOOKUP($A1120,pivot!$A:$I,計算式2026!AL$1,FALSE),0)</f>
        <v>0</v>
      </c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</row>
    <row r="1121" spans="1:59" s="9" customFormat="1">
      <c r="A1121" s="8" t="s">
        <v>730</v>
      </c>
      <c r="B1121" s="8" t="s">
        <v>725</v>
      </c>
      <c r="C1121" s="9">
        <v>0</v>
      </c>
      <c r="D1121" s="9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1</v>
      </c>
      <c r="AE1121" s="9">
        <f>IFERROR(VLOOKUP($A1121,pivot!$A:$G,計算式2026!AE$1,FALSE),0)</f>
        <v>0</v>
      </c>
      <c r="AF1121" s="9">
        <f>IFERROR(VLOOKUP($A1121,pivot!$A:$I,計算式2026!AF$1,FALSE),0)</f>
        <v>0</v>
      </c>
      <c r="AI1121" s="9">
        <f>IFERROR(VLOOKUP($A1121,pivot!$A:$I,計算式2026!AI$1,FALSE),0)</f>
        <v>0</v>
      </c>
      <c r="AJ1121" s="9">
        <f>IFERROR(VLOOKUP($A1121,pivot!$A:$I,計算式2026!AJ$1,FALSE),0)</f>
        <v>0</v>
      </c>
      <c r="AK1121" s="9">
        <f>IFERROR(VLOOKUP($A1121,pivot!$A:$I,計算式2026!AK$1,FALSE),0)</f>
        <v>0</v>
      </c>
      <c r="AL1121" s="9">
        <f>IFERROR(VLOOKUP($A1121,pivot!$A:$I,計算式2026!AL$1,FALSE),0)</f>
        <v>0</v>
      </c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</row>
    <row r="1122" spans="1:59" s="9" customFormat="1">
      <c r="A1122" s="8" t="s">
        <v>731</v>
      </c>
      <c r="B1122" s="8" t="s">
        <v>732</v>
      </c>
      <c r="C1122" s="9">
        <v>1040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R1122" s="9">
        <v>19</v>
      </c>
      <c r="S1122" s="9">
        <v>17</v>
      </c>
      <c r="T1122" s="9">
        <v>4</v>
      </c>
      <c r="U1122" s="9">
        <v>8</v>
      </c>
      <c r="V1122" s="9">
        <v>14</v>
      </c>
      <c r="W1122" s="9">
        <v>3</v>
      </c>
      <c r="X1122" s="9">
        <v>4</v>
      </c>
      <c r="AE1122" s="9">
        <f>IFERROR(VLOOKUP($A1122,pivot!$A:$G,計算式2026!AE$1,FALSE),0)</f>
        <v>0</v>
      </c>
      <c r="AF1122" s="9">
        <f>IFERROR(VLOOKUP($A1122,pivot!$A:$I,計算式2026!AF$1,FALSE),0)</f>
        <v>0</v>
      </c>
      <c r="AI1122" s="9">
        <f>IFERROR(VLOOKUP($A1122,pivot!$A:$I,計算式2026!AI$1,FALSE),0)</f>
        <v>3</v>
      </c>
      <c r="AJ1122" s="9">
        <f>IFERROR(VLOOKUP($A1122,pivot!$A:$I,計算式2026!AJ$1,FALSE),0)</f>
        <v>1</v>
      </c>
      <c r="AK1122" s="9">
        <f>IFERROR(VLOOKUP($A1122,pivot!$A:$I,計算式2026!AK$1,FALSE),0)</f>
        <v>2</v>
      </c>
      <c r="AL1122" s="9">
        <f>IFERROR(VLOOKUP($A1122,pivot!$A:$I,計算式2026!AL$1,FALSE),0)</f>
        <v>2</v>
      </c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</row>
    <row r="1123" spans="1:59" s="9" customFormat="1">
      <c r="A1123" s="8" t="s">
        <v>733</v>
      </c>
      <c r="B1123" s="8" t="s">
        <v>734</v>
      </c>
      <c r="C1123" s="9">
        <v>225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R1123" s="9">
        <v>14</v>
      </c>
      <c r="S1123" s="9">
        <v>10</v>
      </c>
      <c r="T1123" s="9">
        <v>5</v>
      </c>
      <c r="U1123" s="9">
        <v>5</v>
      </c>
      <c r="V1123" s="9">
        <v>13</v>
      </c>
      <c r="W1123" s="9">
        <v>2</v>
      </c>
      <c r="X1123" s="9">
        <v>6</v>
      </c>
      <c r="AE1123" s="9">
        <f>IFERROR(VLOOKUP($A1123,pivot!$A:$G,計算式2026!AE$1,FALSE),0)</f>
        <v>0</v>
      </c>
      <c r="AF1123" s="9">
        <f>IFERROR(VLOOKUP($A1123,pivot!$A:$I,計算式2026!AF$1,FALSE),0)</f>
        <v>0</v>
      </c>
      <c r="AI1123" s="9">
        <f>IFERROR(VLOOKUP($A1123,pivot!$A:$I,計算式2026!AI$1,FALSE),0)</f>
        <v>1</v>
      </c>
      <c r="AJ1123" s="9">
        <f>IFERROR(VLOOKUP($A1123,pivot!$A:$I,計算式2026!AJ$1,FALSE),0)</f>
        <v>5</v>
      </c>
      <c r="AK1123" s="9">
        <f>IFERROR(VLOOKUP($A1123,pivot!$A:$I,計算式2026!AK$1,FALSE),0)</f>
        <v>0</v>
      </c>
      <c r="AL1123" s="9">
        <f>IFERROR(VLOOKUP($A1123,pivot!$A:$I,計算式2026!AL$1,FALSE),0)</f>
        <v>0</v>
      </c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</row>
    <row r="1124" spans="1:59" s="9" customFormat="1">
      <c r="A1124" s="8" t="s">
        <v>735</v>
      </c>
      <c r="B1124" s="8" t="s">
        <v>736</v>
      </c>
      <c r="C1124" s="9">
        <v>0</v>
      </c>
      <c r="D1124" s="9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AE1124" s="9">
        <f>IFERROR(VLOOKUP($A1124,pivot!$A:$G,計算式2026!AE$1,FALSE),0)</f>
        <v>0</v>
      </c>
      <c r="AF1124" s="9">
        <f>IFERROR(VLOOKUP($A1124,pivot!$A:$I,計算式2026!AF$1,FALSE),0)</f>
        <v>1</v>
      </c>
      <c r="AI1124" s="9">
        <f>IFERROR(VLOOKUP($A1124,pivot!$A:$I,計算式2026!AI$1,FALSE),0)</f>
        <v>2</v>
      </c>
      <c r="AJ1124" s="9">
        <f>IFERROR(VLOOKUP($A1124,pivot!$A:$I,計算式2026!AJ$1,FALSE),0)</f>
        <v>1</v>
      </c>
      <c r="AK1124" s="9">
        <f>IFERROR(VLOOKUP($A1124,pivot!$A:$I,計算式2026!AK$1,FALSE),0)</f>
        <v>1</v>
      </c>
      <c r="AL1124" s="9">
        <f>IFERROR(VLOOKUP($A1124,pivot!$A:$I,計算式2026!AL$1,FALSE),0)</f>
        <v>0</v>
      </c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</row>
    <row r="1125" spans="1:59" s="9" customFormat="1">
      <c r="A1125" s="8" t="s">
        <v>2183</v>
      </c>
      <c r="B1125" s="8" t="s">
        <v>2184</v>
      </c>
      <c r="C1125" s="9">
        <v>0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R1125" s="9">
        <v>0</v>
      </c>
      <c r="S1125" s="9">
        <v>3</v>
      </c>
      <c r="T1125" s="9">
        <v>0</v>
      </c>
      <c r="U1125" s="9">
        <v>0</v>
      </c>
      <c r="V1125" s="9">
        <v>1</v>
      </c>
      <c r="W1125" s="9">
        <v>0</v>
      </c>
      <c r="X1125" s="9">
        <v>2</v>
      </c>
      <c r="AE1125" s="9">
        <f>IFERROR(VLOOKUP($A1125,pivot!$A:$G,計算式2026!AE$1,FALSE),0)</f>
        <v>0</v>
      </c>
      <c r="AF1125" s="9">
        <f>IFERROR(VLOOKUP($A1125,pivot!$A:$I,計算式2026!AF$1,FALSE),0)</f>
        <v>1</v>
      </c>
      <c r="AI1125" s="9">
        <f>IFERROR(VLOOKUP($A1125,pivot!$A:$I,計算式2026!AI$1,FALSE),0)</f>
        <v>0</v>
      </c>
      <c r="AJ1125" s="9">
        <f>IFERROR(VLOOKUP($A1125,pivot!$A:$I,計算式2026!AJ$1,FALSE),0)</f>
        <v>0</v>
      </c>
      <c r="AK1125" s="9">
        <f>IFERROR(VLOOKUP($A1125,pivot!$A:$I,計算式2026!AK$1,FALSE),0)</f>
        <v>0</v>
      </c>
      <c r="AL1125" s="9">
        <f>IFERROR(VLOOKUP($A1125,pivot!$A:$I,計算式2026!AL$1,FALSE),0)</f>
        <v>0</v>
      </c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</row>
    <row r="1126" spans="1:59" s="9" customFormat="1">
      <c r="A1126" s="8" t="s">
        <v>1612</v>
      </c>
      <c r="B1126" s="8" t="s">
        <v>737</v>
      </c>
      <c r="C1126" s="9">
        <v>1</v>
      </c>
      <c r="D1126" s="9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1</v>
      </c>
      <c r="AE1126" s="9">
        <f>IFERROR(VLOOKUP($A1126,pivot!$A:$G,計算式2026!AE$1,FALSE),0)</f>
        <v>0</v>
      </c>
      <c r="AF1126" s="9">
        <f>IFERROR(VLOOKUP($A1126,pivot!$A:$I,計算式2026!AF$1,FALSE),0)</f>
        <v>0</v>
      </c>
      <c r="AI1126" s="9">
        <f>IFERROR(VLOOKUP($A1126,pivot!$A:$I,計算式2026!AI$1,FALSE),0)</f>
        <v>0</v>
      </c>
      <c r="AJ1126" s="9">
        <f>IFERROR(VLOOKUP($A1126,pivot!$A:$I,計算式2026!AJ$1,FALSE),0)</f>
        <v>0</v>
      </c>
      <c r="AK1126" s="9">
        <f>IFERROR(VLOOKUP($A1126,pivot!$A:$I,計算式2026!AK$1,FALSE),0)</f>
        <v>0</v>
      </c>
      <c r="AL1126" s="9">
        <f>IFERROR(VLOOKUP($A1126,pivot!$A:$I,計算式2026!AL$1,FALSE),0)</f>
        <v>0</v>
      </c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</row>
    <row r="1127" spans="1:59" s="9" customFormat="1">
      <c r="A1127" s="8" t="s">
        <v>1613</v>
      </c>
      <c r="B1127" s="8" t="s">
        <v>737</v>
      </c>
      <c r="C1127" s="9">
        <v>0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1</v>
      </c>
      <c r="AE1127" s="9">
        <f>IFERROR(VLOOKUP($A1127,pivot!$A:$G,計算式2026!AE$1,FALSE),0)</f>
        <v>0</v>
      </c>
      <c r="AF1127" s="9">
        <f>IFERROR(VLOOKUP($A1127,pivot!$A:$I,計算式2026!AF$1,FALSE),0)</f>
        <v>0</v>
      </c>
      <c r="AI1127" s="9">
        <f>IFERROR(VLOOKUP($A1127,pivot!$A:$I,計算式2026!AI$1,FALSE),0)</f>
        <v>0</v>
      </c>
      <c r="AJ1127" s="9">
        <f>IFERROR(VLOOKUP($A1127,pivot!$A:$I,計算式2026!AJ$1,FALSE),0)</f>
        <v>0</v>
      </c>
      <c r="AK1127" s="9">
        <f>IFERROR(VLOOKUP($A1127,pivot!$A:$I,計算式2026!AK$1,FALSE),0)</f>
        <v>0</v>
      </c>
      <c r="AL1127" s="9">
        <f>IFERROR(VLOOKUP($A1127,pivot!$A:$I,計算式2026!AL$1,FALSE),0)</f>
        <v>0</v>
      </c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</row>
    <row r="1128" spans="1:59" s="9" customFormat="1">
      <c r="A1128" s="8" t="s">
        <v>1614</v>
      </c>
      <c r="B1128" s="8" t="s">
        <v>737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R1128" s="9">
        <v>0</v>
      </c>
      <c r="S1128" s="9">
        <v>2</v>
      </c>
      <c r="T1128" s="9">
        <v>0</v>
      </c>
      <c r="U1128" s="9">
        <v>0</v>
      </c>
      <c r="V1128" s="9">
        <v>2</v>
      </c>
      <c r="W1128" s="9">
        <v>0</v>
      </c>
      <c r="X1128" s="9">
        <v>1</v>
      </c>
      <c r="AE1128" s="9">
        <f>IFERROR(VLOOKUP($A1128,pivot!$A:$G,計算式2026!AE$1,FALSE),0)</f>
        <v>0</v>
      </c>
      <c r="AF1128" s="9">
        <f>IFERROR(VLOOKUP($A1128,pivot!$A:$I,計算式2026!AF$1,FALSE),0)</f>
        <v>0</v>
      </c>
      <c r="AI1128" s="9">
        <f>IFERROR(VLOOKUP($A1128,pivot!$A:$I,計算式2026!AI$1,FALSE),0)</f>
        <v>0</v>
      </c>
      <c r="AJ1128" s="9">
        <f>IFERROR(VLOOKUP($A1128,pivot!$A:$I,計算式2026!AJ$1,FALSE),0)</f>
        <v>0</v>
      </c>
      <c r="AK1128" s="9">
        <f>IFERROR(VLOOKUP($A1128,pivot!$A:$I,計算式2026!AK$1,FALSE),0)</f>
        <v>0</v>
      </c>
      <c r="AL1128" s="9">
        <f>IFERROR(VLOOKUP($A1128,pivot!$A:$I,計算式2026!AL$1,FALSE),0)</f>
        <v>0</v>
      </c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</row>
    <row r="1129" spans="1:59" s="9" customFormat="1">
      <c r="A1129" s="8" t="s">
        <v>1615</v>
      </c>
      <c r="B1129" s="8" t="s">
        <v>737</v>
      </c>
      <c r="C1129" s="9">
        <v>1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R1129" s="9">
        <v>0</v>
      </c>
      <c r="S1129" s="9">
        <v>1</v>
      </c>
      <c r="T1129" s="9">
        <v>0</v>
      </c>
      <c r="U1129" s="9">
        <v>0</v>
      </c>
      <c r="V1129" s="9">
        <v>0</v>
      </c>
      <c r="W1129" s="9">
        <v>0</v>
      </c>
      <c r="X1129" s="9">
        <v>1</v>
      </c>
      <c r="AE1129" s="9">
        <f>IFERROR(VLOOKUP($A1129,pivot!$A:$G,計算式2026!AE$1,FALSE),0)</f>
        <v>0</v>
      </c>
      <c r="AF1129" s="9">
        <f>IFERROR(VLOOKUP($A1129,pivot!$A:$I,計算式2026!AF$1,FALSE),0)</f>
        <v>0</v>
      </c>
      <c r="AI1129" s="9">
        <f>IFERROR(VLOOKUP($A1129,pivot!$A:$I,計算式2026!AI$1,FALSE),0)</f>
        <v>0</v>
      </c>
      <c r="AJ1129" s="9">
        <f>IFERROR(VLOOKUP($A1129,pivot!$A:$I,計算式2026!AJ$1,FALSE),0)</f>
        <v>0</v>
      </c>
      <c r="AK1129" s="9">
        <f>IFERROR(VLOOKUP($A1129,pivot!$A:$I,計算式2026!AK$1,FALSE),0)</f>
        <v>0</v>
      </c>
      <c r="AL1129" s="9">
        <f>IFERROR(VLOOKUP($A1129,pivot!$A:$I,計算式2026!AL$1,FALSE),0)</f>
        <v>0</v>
      </c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</row>
    <row r="1130" spans="1:59" s="9" customFormat="1">
      <c r="A1130" s="8" t="s">
        <v>1616</v>
      </c>
      <c r="B1130" s="8" t="s">
        <v>737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1</v>
      </c>
      <c r="AE1130" s="9">
        <f>IFERROR(VLOOKUP($A1130,pivot!$A:$G,計算式2026!AE$1,FALSE),0)</f>
        <v>0</v>
      </c>
      <c r="AF1130" s="9">
        <f>IFERROR(VLOOKUP($A1130,pivot!$A:$I,計算式2026!AF$1,FALSE),0)</f>
        <v>0</v>
      </c>
      <c r="AI1130" s="9">
        <f>IFERROR(VLOOKUP($A1130,pivot!$A:$I,計算式2026!AI$1,FALSE),0)</f>
        <v>0</v>
      </c>
      <c r="AJ1130" s="9">
        <f>IFERROR(VLOOKUP($A1130,pivot!$A:$I,計算式2026!AJ$1,FALSE),0)</f>
        <v>0</v>
      </c>
      <c r="AK1130" s="9">
        <f>IFERROR(VLOOKUP($A1130,pivot!$A:$I,計算式2026!AK$1,FALSE),0)</f>
        <v>0</v>
      </c>
      <c r="AL1130" s="9">
        <f>IFERROR(VLOOKUP($A1130,pivot!$A:$I,計算式2026!AL$1,FALSE),0)</f>
        <v>0</v>
      </c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</row>
    <row r="1131" spans="1:59" s="9" customFormat="1">
      <c r="A1131" s="8" t="s">
        <v>738</v>
      </c>
      <c r="B1131" s="8" t="s">
        <v>739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R1131" s="9">
        <v>0</v>
      </c>
      <c r="S1131" s="9">
        <v>0</v>
      </c>
      <c r="T1131" s="9">
        <v>2</v>
      </c>
      <c r="U1131" s="9">
        <v>0</v>
      </c>
      <c r="V1131" s="9">
        <v>0</v>
      </c>
      <c r="W1131" s="9">
        <v>0</v>
      </c>
      <c r="X1131" s="9">
        <v>1</v>
      </c>
      <c r="AE1131" s="9">
        <f>IFERROR(VLOOKUP($A1131,pivot!$A:$G,計算式2026!AE$1,FALSE),0)</f>
        <v>0</v>
      </c>
      <c r="AF1131" s="9">
        <f>IFERROR(VLOOKUP($A1131,pivot!$A:$I,計算式2026!AF$1,FALSE),0)</f>
        <v>0</v>
      </c>
      <c r="AI1131" s="9">
        <f>IFERROR(VLOOKUP($A1131,pivot!$A:$I,計算式2026!AI$1,FALSE),0)</f>
        <v>0</v>
      </c>
      <c r="AJ1131" s="9">
        <f>IFERROR(VLOOKUP($A1131,pivot!$A:$I,計算式2026!AJ$1,FALSE),0)</f>
        <v>0</v>
      </c>
      <c r="AK1131" s="9">
        <f>IFERROR(VLOOKUP($A1131,pivot!$A:$I,計算式2026!AK$1,FALSE),0)</f>
        <v>0</v>
      </c>
      <c r="AL1131" s="9">
        <f>IFERROR(VLOOKUP($A1131,pivot!$A:$I,計算式2026!AL$1,FALSE),0)</f>
        <v>0</v>
      </c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</row>
    <row r="1132" spans="1:59" s="9" customFormat="1">
      <c r="A1132" s="8" t="s">
        <v>740</v>
      </c>
      <c r="B1132" s="8" t="s">
        <v>739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1</v>
      </c>
      <c r="AE1132" s="9">
        <f>IFERROR(VLOOKUP($A1132,pivot!$A:$G,計算式2026!AE$1,FALSE),0)</f>
        <v>0</v>
      </c>
      <c r="AF1132" s="9">
        <f>IFERROR(VLOOKUP($A1132,pivot!$A:$I,計算式2026!AF$1,FALSE),0)</f>
        <v>0</v>
      </c>
      <c r="AI1132" s="9">
        <f>IFERROR(VLOOKUP($A1132,pivot!$A:$I,計算式2026!AI$1,FALSE),0)</f>
        <v>0</v>
      </c>
      <c r="AJ1132" s="9">
        <f>IFERROR(VLOOKUP($A1132,pivot!$A:$I,計算式2026!AJ$1,FALSE),0)</f>
        <v>0</v>
      </c>
      <c r="AK1132" s="9">
        <f>IFERROR(VLOOKUP($A1132,pivot!$A:$I,計算式2026!AK$1,FALSE),0)</f>
        <v>0</v>
      </c>
      <c r="AL1132" s="9">
        <f>IFERROR(VLOOKUP($A1132,pivot!$A:$I,計算式2026!AL$1,FALSE),0)</f>
        <v>0</v>
      </c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</row>
    <row r="1133" spans="1:59" s="9" customFormat="1">
      <c r="A1133" s="8">
        <v>80524550134</v>
      </c>
      <c r="B1133" s="8" t="s">
        <v>741</v>
      </c>
      <c r="C1133" s="9">
        <v>0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R1133" s="9">
        <v>0</v>
      </c>
      <c r="S1133" s="9">
        <v>0</v>
      </c>
      <c r="T1133" s="9">
        <v>1</v>
      </c>
      <c r="U1133" s="9">
        <v>0</v>
      </c>
      <c r="V1133" s="9">
        <v>0</v>
      </c>
      <c r="W1133" s="9">
        <v>0</v>
      </c>
      <c r="X1133" s="9">
        <v>1</v>
      </c>
      <c r="AE1133" s="9">
        <f>IFERROR(VLOOKUP($A1133,pivot!$A:$G,計算式2026!AE$1,FALSE),0)</f>
        <v>0</v>
      </c>
      <c r="AF1133" s="9">
        <f>IFERROR(VLOOKUP($A1133,pivot!$A:$I,計算式2026!AF$1,FALSE),0)</f>
        <v>0</v>
      </c>
      <c r="AI1133" s="9">
        <f>IFERROR(VLOOKUP($A1133,pivot!$A:$I,計算式2026!AI$1,FALSE),0)</f>
        <v>0</v>
      </c>
      <c r="AJ1133" s="9">
        <f>IFERROR(VLOOKUP($A1133,pivot!$A:$I,計算式2026!AJ$1,FALSE),0)</f>
        <v>0</v>
      </c>
      <c r="AK1133" s="9">
        <f>IFERROR(VLOOKUP($A1133,pivot!$A:$I,計算式2026!AK$1,FALSE),0)</f>
        <v>0</v>
      </c>
      <c r="AL1133" s="9">
        <f>IFERROR(VLOOKUP($A1133,pivot!$A:$I,計算式2026!AL$1,FALSE),0)</f>
        <v>0</v>
      </c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</row>
    <row r="1134" spans="1:59" s="9" customFormat="1">
      <c r="A1134" s="8">
        <v>80524550146</v>
      </c>
      <c r="B1134" s="8" t="s">
        <v>741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R1134" s="9">
        <v>0</v>
      </c>
      <c r="S1134" s="9">
        <v>0</v>
      </c>
      <c r="T1134" s="9">
        <v>2</v>
      </c>
      <c r="U1134" s="9">
        <v>0</v>
      </c>
      <c r="V1134" s="9">
        <v>0</v>
      </c>
      <c r="W1134" s="9">
        <v>0</v>
      </c>
      <c r="X1134" s="9">
        <v>1</v>
      </c>
      <c r="AE1134" s="9">
        <f>IFERROR(VLOOKUP($A1134,pivot!$A:$G,計算式2026!AE$1,FALSE),0)</f>
        <v>0</v>
      </c>
      <c r="AF1134" s="9">
        <f>IFERROR(VLOOKUP($A1134,pivot!$A:$I,計算式2026!AF$1,FALSE),0)</f>
        <v>0</v>
      </c>
      <c r="AI1134" s="9">
        <f>IFERROR(VLOOKUP($A1134,pivot!$A:$I,計算式2026!AI$1,FALSE),0)</f>
        <v>0</v>
      </c>
      <c r="AJ1134" s="9">
        <f>IFERROR(VLOOKUP($A1134,pivot!$A:$I,計算式2026!AJ$1,FALSE),0)</f>
        <v>0</v>
      </c>
      <c r="AK1134" s="9">
        <f>IFERROR(VLOOKUP($A1134,pivot!$A:$I,計算式2026!AK$1,FALSE),0)</f>
        <v>0</v>
      </c>
      <c r="AL1134" s="9">
        <f>IFERROR(VLOOKUP($A1134,pivot!$A:$I,計算式2026!AL$1,FALSE),0)</f>
        <v>0</v>
      </c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</row>
    <row r="1135" spans="1:59" s="9" customFormat="1">
      <c r="A1135" s="8" t="s">
        <v>742</v>
      </c>
      <c r="B1135" s="8" t="s">
        <v>741</v>
      </c>
      <c r="C1135" s="9">
        <v>0</v>
      </c>
      <c r="D1135" s="9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R1135" s="9">
        <v>0</v>
      </c>
      <c r="S1135" s="9">
        <v>0</v>
      </c>
      <c r="T1135" s="9">
        <v>1</v>
      </c>
      <c r="U1135" s="9">
        <v>0</v>
      </c>
      <c r="V1135" s="9">
        <v>0</v>
      </c>
      <c r="W1135" s="9">
        <v>0</v>
      </c>
      <c r="X1135" s="9">
        <v>1</v>
      </c>
      <c r="AE1135" s="9">
        <f>IFERROR(VLOOKUP($A1135,pivot!$A:$G,計算式2026!AE$1,FALSE),0)</f>
        <v>0</v>
      </c>
      <c r="AF1135" s="9">
        <f>IFERROR(VLOOKUP($A1135,pivot!$A:$I,計算式2026!AF$1,FALSE),0)</f>
        <v>0</v>
      </c>
      <c r="AI1135" s="9">
        <f>IFERROR(VLOOKUP($A1135,pivot!$A:$I,計算式2026!AI$1,FALSE),0)</f>
        <v>0</v>
      </c>
      <c r="AJ1135" s="9">
        <f>IFERROR(VLOOKUP($A1135,pivot!$A:$I,計算式2026!AJ$1,FALSE),0)</f>
        <v>0</v>
      </c>
      <c r="AK1135" s="9">
        <f>IFERROR(VLOOKUP($A1135,pivot!$A:$I,計算式2026!AK$1,FALSE),0)</f>
        <v>0</v>
      </c>
      <c r="AL1135" s="9">
        <f>IFERROR(VLOOKUP($A1135,pivot!$A:$I,計算式2026!AL$1,FALSE),0)</f>
        <v>0</v>
      </c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</row>
    <row r="1136" spans="1:59" s="9" customFormat="1">
      <c r="A1136" s="8" t="s">
        <v>743</v>
      </c>
      <c r="B1136" s="8" t="s">
        <v>741</v>
      </c>
      <c r="C1136" s="9">
        <v>0</v>
      </c>
      <c r="D1136" s="9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R1136" s="9">
        <v>0</v>
      </c>
      <c r="S1136" s="9">
        <v>0</v>
      </c>
      <c r="T1136" s="9">
        <v>2</v>
      </c>
      <c r="U1136" s="9">
        <v>0</v>
      </c>
      <c r="V1136" s="9">
        <v>0</v>
      </c>
      <c r="W1136" s="9">
        <v>0</v>
      </c>
      <c r="X1136" s="9">
        <v>1</v>
      </c>
      <c r="AE1136" s="9">
        <f>IFERROR(VLOOKUP($A1136,pivot!$A:$G,計算式2026!AE$1,FALSE),0)</f>
        <v>0</v>
      </c>
      <c r="AF1136" s="9">
        <f>IFERROR(VLOOKUP($A1136,pivot!$A:$I,計算式2026!AF$1,FALSE),0)</f>
        <v>0</v>
      </c>
      <c r="AI1136" s="9">
        <f>IFERROR(VLOOKUP($A1136,pivot!$A:$I,計算式2026!AI$1,FALSE),0)</f>
        <v>0</v>
      </c>
      <c r="AJ1136" s="9">
        <f>IFERROR(VLOOKUP($A1136,pivot!$A:$I,計算式2026!AJ$1,FALSE),0)</f>
        <v>0</v>
      </c>
      <c r="AK1136" s="9">
        <f>IFERROR(VLOOKUP($A1136,pivot!$A:$I,計算式2026!AK$1,FALSE),0)</f>
        <v>0</v>
      </c>
      <c r="AL1136" s="9">
        <f>IFERROR(VLOOKUP($A1136,pivot!$A:$I,計算式2026!AL$1,FALSE),0)</f>
        <v>0</v>
      </c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</row>
    <row r="1137" spans="1:59" s="9" customFormat="1">
      <c r="A1137" s="8">
        <v>80526525104</v>
      </c>
      <c r="B1137" s="8" t="s">
        <v>744</v>
      </c>
      <c r="C1137" s="9">
        <v>4</v>
      </c>
      <c r="D1137" s="9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1</v>
      </c>
      <c r="AE1137" s="9">
        <f>IFERROR(VLOOKUP($A1137,pivot!$A:$G,計算式2026!AE$1,FALSE),0)</f>
        <v>0</v>
      </c>
      <c r="AF1137" s="9">
        <f>IFERROR(VLOOKUP($A1137,pivot!$A:$I,計算式2026!AF$1,FALSE),0)</f>
        <v>0</v>
      </c>
      <c r="AI1137" s="9">
        <f>IFERROR(VLOOKUP($A1137,pivot!$A:$I,計算式2026!AI$1,FALSE),0)</f>
        <v>0</v>
      </c>
      <c r="AJ1137" s="9">
        <f>IFERROR(VLOOKUP($A1137,pivot!$A:$I,計算式2026!AJ$1,FALSE),0)</f>
        <v>0</v>
      </c>
      <c r="AK1137" s="9">
        <f>IFERROR(VLOOKUP($A1137,pivot!$A:$I,計算式2026!AK$1,FALSE),0)</f>
        <v>0</v>
      </c>
      <c r="AL1137" s="9">
        <f>IFERROR(VLOOKUP($A1137,pivot!$A:$I,計算式2026!AL$1,FALSE),0)</f>
        <v>0</v>
      </c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</row>
    <row r="1138" spans="1:59" s="9" customFormat="1">
      <c r="A1138" s="8">
        <v>80526525110</v>
      </c>
      <c r="B1138" s="8" t="s">
        <v>744</v>
      </c>
      <c r="C1138" s="9">
        <v>4</v>
      </c>
      <c r="D1138" s="9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1</v>
      </c>
      <c r="AE1138" s="9">
        <f>IFERROR(VLOOKUP($A1138,pivot!$A:$G,計算式2026!AE$1,FALSE),0)</f>
        <v>0</v>
      </c>
      <c r="AF1138" s="9">
        <f>IFERROR(VLOOKUP($A1138,pivot!$A:$I,計算式2026!AF$1,FALSE),0)</f>
        <v>0</v>
      </c>
      <c r="AI1138" s="9">
        <f>IFERROR(VLOOKUP($A1138,pivot!$A:$I,計算式2026!AI$1,FALSE),0)</f>
        <v>0</v>
      </c>
      <c r="AJ1138" s="9">
        <f>IFERROR(VLOOKUP($A1138,pivot!$A:$I,計算式2026!AJ$1,FALSE),0)</f>
        <v>0</v>
      </c>
      <c r="AK1138" s="9">
        <f>IFERROR(VLOOKUP($A1138,pivot!$A:$I,計算式2026!AK$1,FALSE),0)</f>
        <v>0</v>
      </c>
      <c r="AL1138" s="9">
        <f>IFERROR(VLOOKUP($A1138,pivot!$A:$I,計算式2026!AL$1,FALSE),0)</f>
        <v>0</v>
      </c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</row>
    <row r="1139" spans="1:59" s="9" customFormat="1">
      <c r="A1139" s="8">
        <v>80526525116</v>
      </c>
      <c r="B1139" s="8" t="s">
        <v>744</v>
      </c>
      <c r="C1139" s="9">
        <v>4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1</v>
      </c>
      <c r="AE1139" s="9">
        <f>IFERROR(VLOOKUP($A1139,pivot!$A:$G,計算式2026!AE$1,FALSE),0)</f>
        <v>0</v>
      </c>
      <c r="AF1139" s="9">
        <f>IFERROR(VLOOKUP($A1139,pivot!$A:$I,計算式2026!AF$1,FALSE),0)</f>
        <v>0</v>
      </c>
      <c r="AI1139" s="9">
        <f>IFERROR(VLOOKUP($A1139,pivot!$A:$I,計算式2026!AI$1,FALSE),0)</f>
        <v>0</v>
      </c>
      <c r="AJ1139" s="9">
        <f>IFERROR(VLOOKUP($A1139,pivot!$A:$I,計算式2026!AJ$1,FALSE),0)</f>
        <v>0</v>
      </c>
      <c r="AK1139" s="9">
        <f>IFERROR(VLOOKUP($A1139,pivot!$A:$I,計算式2026!AK$1,FALSE),0)</f>
        <v>0</v>
      </c>
      <c r="AL1139" s="9">
        <f>IFERROR(VLOOKUP($A1139,pivot!$A:$I,計算式2026!AL$1,FALSE),0)</f>
        <v>0</v>
      </c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</row>
    <row r="1140" spans="1:59" s="9" customFormat="1">
      <c r="A1140" s="8">
        <v>80526525122</v>
      </c>
      <c r="B1140" s="8" t="s">
        <v>744</v>
      </c>
      <c r="C1140" s="9">
        <v>4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1</v>
      </c>
      <c r="AE1140" s="9">
        <f>IFERROR(VLOOKUP($A1140,pivot!$A:$G,計算式2026!AE$1,FALSE),0)</f>
        <v>0</v>
      </c>
      <c r="AF1140" s="9">
        <f>IFERROR(VLOOKUP($A1140,pivot!$A:$I,計算式2026!AF$1,FALSE),0)</f>
        <v>0</v>
      </c>
      <c r="AI1140" s="9">
        <f>IFERROR(VLOOKUP($A1140,pivot!$A:$I,計算式2026!AI$1,FALSE),0)</f>
        <v>0</v>
      </c>
      <c r="AJ1140" s="9">
        <f>IFERROR(VLOOKUP($A1140,pivot!$A:$I,計算式2026!AJ$1,FALSE),0)</f>
        <v>0</v>
      </c>
      <c r="AK1140" s="9">
        <f>IFERROR(VLOOKUP($A1140,pivot!$A:$I,計算式2026!AK$1,FALSE),0)</f>
        <v>0</v>
      </c>
      <c r="AL1140" s="9">
        <f>IFERROR(VLOOKUP($A1140,pivot!$A:$I,計算式2026!AL$1,FALSE),0)</f>
        <v>0</v>
      </c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</row>
    <row r="1141" spans="1:59" s="9" customFormat="1">
      <c r="A1141" s="8">
        <v>80526525128</v>
      </c>
      <c r="B1141" s="8" t="s">
        <v>744</v>
      </c>
      <c r="C1141" s="9">
        <v>3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1</v>
      </c>
      <c r="AE1141" s="9">
        <f>IFERROR(VLOOKUP($A1141,pivot!$A:$G,計算式2026!AE$1,FALSE),0)</f>
        <v>0</v>
      </c>
      <c r="AF1141" s="9">
        <f>IFERROR(VLOOKUP($A1141,pivot!$A:$I,計算式2026!AF$1,FALSE),0)</f>
        <v>0</v>
      </c>
      <c r="AI1141" s="9">
        <f>IFERROR(VLOOKUP($A1141,pivot!$A:$I,計算式2026!AI$1,FALSE),0)</f>
        <v>0</v>
      </c>
      <c r="AJ1141" s="9">
        <f>IFERROR(VLOOKUP($A1141,pivot!$A:$I,計算式2026!AJ$1,FALSE),0)</f>
        <v>0</v>
      </c>
      <c r="AK1141" s="9">
        <f>IFERROR(VLOOKUP($A1141,pivot!$A:$I,計算式2026!AK$1,FALSE),0)</f>
        <v>0</v>
      </c>
      <c r="AL1141" s="9">
        <f>IFERROR(VLOOKUP($A1141,pivot!$A:$I,計算式2026!AL$1,FALSE),0)</f>
        <v>0</v>
      </c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</row>
    <row r="1142" spans="1:59" s="9" customFormat="1">
      <c r="A1142" s="8">
        <v>80526525134</v>
      </c>
      <c r="B1142" s="8" t="s">
        <v>744</v>
      </c>
      <c r="C1142" s="9">
        <v>2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1</v>
      </c>
      <c r="AE1142" s="9">
        <f>IFERROR(VLOOKUP($A1142,pivot!$A:$G,計算式2026!AE$1,FALSE),0)</f>
        <v>0</v>
      </c>
      <c r="AF1142" s="9">
        <f>IFERROR(VLOOKUP($A1142,pivot!$A:$I,計算式2026!AF$1,FALSE),0)</f>
        <v>0</v>
      </c>
      <c r="AI1142" s="9">
        <f>IFERROR(VLOOKUP($A1142,pivot!$A:$I,計算式2026!AI$1,FALSE),0)</f>
        <v>0</v>
      </c>
      <c r="AJ1142" s="9">
        <f>IFERROR(VLOOKUP($A1142,pivot!$A:$I,計算式2026!AJ$1,FALSE),0)</f>
        <v>0</v>
      </c>
      <c r="AK1142" s="9">
        <f>IFERROR(VLOOKUP($A1142,pivot!$A:$I,計算式2026!AK$1,FALSE),0)</f>
        <v>0</v>
      </c>
      <c r="AL1142" s="9">
        <f>IFERROR(VLOOKUP($A1142,pivot!$A:$I,計算式2026!AL$1,FALSE),0)</f>
        <v>0</v>
      </c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</row>
    <row r="1143" spans="1:59" s="9" customFormat="1">
      <c r="A1143" s="8">
        <v>80526610104</v>
      </c>
      <c r="B1143" s="8" t="s">
        <v>744</v>
      </c>
      <c r="C1143" s="9">
        <v>4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1</v>
      </c>
      <c r="AE1143" s="9">
        <f>IFERROR(VLOOKUP($A1143,pivot!$A:$G,計算式2026!AE$1,FALSE),0)</f>
        <v>0</v>
      </c>
      <c r="AF1143" s="9">
        <f>IFERROR(VLOOKUP($A1143,pivot!$A:$I,計算式2026!AF$1,FALSE),0)</f>
        <v>0</v>
      </c>
      <c r="AI1143" s="9">
        <f>IFERROR(VLOOKUP($A1143,pivot!$A:$I,計算式2026!AI$1,FALSE),0)</f>
        <v>0</v>
      </c>
      <c r="AJ1143" s="9">
        <f>IFERROR(VLOOKUP($A1143,pivot!$A:$I,計算式2026!AJ$1,FALSE),0)</f>
        <v>0</v>
      </c>
      <c r="AK1143" s="9">
        <f>IFERROR(VLOOKUP($A1143,pivot!$A:$I,計算式2026!AK$1,FALSE),0)</f>
        <v>0</v>
      </c>
      <c r="AL1143" s="9">
        <f>IFERROR(VLOOKUP($A1143,pivot!$A:$I,計算式2026!AL$1,FALSE),0)</f>
        <v>0</v>
      </c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</row>
    <row r="1144" spans="1:59" s="9" customFormat="1">
      <c r="A1144" s="8">
        <v>80526610110</v>
      </c>
      <c r="B1144" s="8" t="s">
        <v>744</v>
      </c>
      <c r="C1144" s="9">
        <v>4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1</v>
      </c>
      <c r="AE1144" s="9">
        <f>IFERROR(VLOOKUP($A1144,pivot!$A:$G,計算式2026!AE$1,FALSE),0)</f>
        <v>0</v>
      </c>
      <c r="AF1144" s="9">
        <f>IFERROR(VLOOKUP($A1144,pivot!$A:$I,計算式2026!AF$1,FALSE),0)</f>
        <v>0</v>
      </c>
      <c r="AI1144" s="9">
        <f>IFERROR(VLOOKUP($A1144,pivot!$A:$I,計算式2026!AI$1,FALSE),0)</f>
        <v>0</v>
      </c>
      <c r="AJ1144" s="9">
        <f>IFERROR(VLOOKUP($A1144,pivot!$A:$I,計算式2026!AJ$1,FALSE),0)</f>
        <v>0</v>
      </c>
      <c r="AK1144" s="9">
        <f>IFERROR(VLOOKUP($A1144,pivot!$A:$I,計算式2026!AK$1,FALSE),0)</f>
        <v>0</v>
      </c>
      <c r="AL1144" s="9">
        <f>IFERROR(VLOOKUP($A1144,pivot!$A:$I,計算式2026!AL$1,FALSE),0)</f>
        <v>0</v>
      </c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</row>
    <row r="1145" spans="1:59" s="9" customFormat="1">
      <c r="A1145" s="8">
        <v>80526610116</v>
      </c>
      <c r="B1145" s="8" t="s">
        <v>744</v>
      </c>
      <c r="C1145" s="9">
        <v>4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1</v>
      </c>
      <c r="AE1145" s="9">
        <f>IFERROR(VLOOKUP($A1145,pivot!$A:$G,計算式2026!AE$1,FALSE),0)</f>
        <v>0</v>
      </c>
      <c r="AF1145" s="9">
        <f>IFERROR(VLOOKUP($A1145,pivot!$A:$I,計算式2026!AF$1,FALSE),0)</f>
        <v>0</v>
      </c>
      <c r="AI1145" s="9">
        <f>IFERROR(VLOOKUP($A1145,pivot!$A:$I,計算式2026!AI$1,FALSE),0)</f>
        <v>0</v>
      </c>
      <c r="AJ1145" s="9">
        <f>IFERROR(VLOOKUP($A1145,pivot!$A:$I,計算式2026!AJ$1,FALSE),0)</f>
        <v>0</v>
      </c>
      <c r="AK1145" s="9">
        <f>IFERROR(VLOOKUP($A1145,pivot!$A:$I,計算式2026!AK$1,FALSE),0)</f>
        <v>0</v>
      </c>
      <c r="AL1145" s="9">
        <f>IFERROR(VLOOKUP($A1145,pivot!$A:$I,計算式2026!AL$1,FALSE),0)</f>
        <v>0</v>
      </c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</row>
    <row r="1146" spans="1:59" s="9" customFormat="1">
      <c r="A1146" s="8">
        <v>80526610122</v>
      </c>
      <c r="B1146" s="8" t="s">
        <v>744</v>
      </c>
      <c r="C1146" s="9">
        <v>4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1</v>
      </c>
      <c r="AE1146" s="9">
        <f>IFERROR(VLOOKUP($A1146,pivot!$A:$G,計算式2026!AE$1,FALSE),0)</f>
        <v>0</v>
      </c>
      <c r="AF1146" s="9">
        <f>IFERROR(VLOOKUP($A1146,pivot!$A:$I,計算式2026!AF$1,FALSE),0)</f>
        <v>0</v>
      </c>
      <c r="AI1146" s="9">
        <f>IFERROR(VLOOKUP($A1146,pivot!$A:$I,計算式2026!AI$1,FALSE),0)</f>
        <v>0</v>
      </c>
      <c r="AJ1146" s="9">
        <f>IFERROR(VLOOKUP($A1146,pivot!$A:$I,計算式2026!AJ$1,FALSE),0)</f>
        <v>0</v>
      </c>
      <c r="AK1146" s="9">
        <f>IFERROR(VLOOKUP($A1146,pivot!$A:$I,計算式2026!AK$1,FALSE),0)</f>
        <v>0</v>
      </c>
      <c r="AL1146" s="9">
        <f>IFERROR(VLOOKUP($A1146,pivot!$A:$I,計算式2026!AL$1,FALSE),0)</f>
        <v>0</v>
      </c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</row>
    <row r="1147" spans="1:59" s="9" customFormat="1">
      <c r="A1147" s="8">
        <v>80526610128</v>
      </c>
      <c r="B1147" s="8" t="s">
        <v>744</v>
      </c>
      <c r="C1147" s="9">
        <v>2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1</v>
      </c>
      <c r="AE1147" s="9">
        <f>IFERROR(VLOOKUP($A1147,pivot!$A:$G,計算式2026!AE$1,FALSE),0)</f>
        <v>0</v>
      </c>
      <c r="AF1147" s="9">
        <f>IFERROR(VLOOKUP($A1147,pivot!$A:$I,計算式2026!AF$1,FALSE),0)</f>
        <v>0</v>
      </c>
      <c r="AI1147" s="9">
        <f>IFERROR(VLOOKUP($A1147,pivot!$A:$I,計算式2026!AI$1,FALSE),0)</f>
        <v>0</v>
      </c>
      <c r="AJ1147" s="9">
        <f>IFERROR(VLOOKUP($A1147,pivot!$A:$I,計算式2026!AJ$1,FALSE),0)</f>
        <v>0</v>
      </c>
      <c r="AK1147" s="9">
        <f>IFERROR(VLOOKUP($A1147,pivot!$A:$I,計算式2026!AK$1,FALSE),0)</f>
        <v>0</v>
      </c>
      <c r="AL1147" s="9">
        <f>IFERROR(VLOOKUP($A1147,pivot!$A:$I,計算式2026!AL$1,FALSE),0)</f>
        <v>0</v>
      </c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</row>
    <row r="1148" spans="1:59" s="9" customFormat="1">
      <c r="A1148" s="8">
        <v>80526610134</v>
      </c>
      <c r="B1148" s="8" t="s">
        <v>744</v>
      </c>
      <c r="C1148" s="9">
        <v>1</v>
      </c>
      <c r="D1148" s="9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1</v>
      </c>
      <c r="AE1148" s="9">
        <f>IFERROR(VLOOKUP($A1148,pivot!$A:$G,計算式2026!AE$1,FALSE),0)</f>
        <v>0</v>
      </c>
      <c r="AF1148" s="9">
        <f>IFERROR(VLOOKUP($A1148,pivot!$A:$I,計算式2026!AF$1,FALSE),0)</f>
        <v>0</v>
      </c>
      <c r="AI1148" s="9">
        <f>IFERROR(VLOOKUP($A1148,pivot!$A:$I,計算式2026!AI$1,FALSE),0)</f>
        <v>0</v>
      </c>
      <c r="AJ1148" s="9">
        <f>IFERROR(VLOOKUP($A1148,pivot!$A:$I,計算式2026!AJ$1,FALSE),0)</f>
        <v>0</v>
      </c>
      <c r="AK1148" s="9">
        <f>IFERROR(VLOOKUP($A1148,pivot!$A:$I,計算式2026!AK$1,FALSE),0)</f>
        <v>0</v>
      </c>
      <c r="AL1148" s="9">
        <f>IFERROR(VLOOKUP($A1148,pivot!$A:$I,計算式2026!AL$1,FALSE),0)</f>
        <v>0</v>
      </c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</row>
    <row r="1149" spans="1:59" s="9" customFormat="1">
      <c r="A1149" s="8">
        <v>80528124104</v>
      </c>
      <c r="B1149" s="8" t="s">
        <v>745</v>
      </c>
      <c r="C1149" s="9">
        <v>1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AE1149" s="9">
        <f>IFERROR(VLOOKUP($A1149,pivot!$A:$G,計算式2026!AE$1,FALSE),0)</f>
        <v>0</v>
      </c>
      <c r="AF1149" s="9">
        <f>IFERROR(VLOOKUP($A1149,pivot!$A:$I,計算式2026!AF$1,FALSE),0)</f>
        <v>0</v>
      </c>
      <c r="AI1149" s="9">
        <f>IFERROR(VLOOKUP($A1149,pivot!$A:$I,計算式2026!AI$1,FALSE),0)</f>
        <v>0</v>
      </c>
      <c r="AJ1149" s="9">
        <f>IFERROR(VLOOKUP($A1149,pivot!$A:$I,計算式2026!AJ$1,FALSE),0)</f>
        <v>0</v>
      </c>
      <c r="AK1149" s="9">
        <f>IFERROR(VLOOKUP($A1149,pivot!$A:$I,計算式2026!AK$1,FALSE),0)</f>
        <v>0</v>
      </c>
      <c r="AL1149" s="9">
        <f>IFERROR(VLOOKUP($A1149,pivot!$A:$I,計算式2026!AL$1,FALSE),0)</f>
        <v>0</v>
      </c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</row>
    <row r="1150" spans="1:59" s="9" customFormat="1">
      <c r="A1150" s="8">
        <v>80528124110</v>
      </c>
      <c r="B1150" s="8" t="s">
        <v>745</v>
      </c>
      <c r="C1150" s="9">
        <v>1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AE1150" s="9">
        <f>IFERROR(VLOOKUP($A1150,pivot!$A:$G,計算式2026!AE$1,FALSE),0)</f>
        <v>0</v>
      </c>
      <c r="AF1150" s="9">
        <f>IFERROR(VLOOKUP($A1150,pivot!$A:$I,計算式2026!AF$1,FALSE),0)</f>
        <v>0</v>
      </c>
      <c r="AI1150" s="9">
        <f>IFERROR(VLOOKUP($A1150,pivot!$A:$I,計算式2026!AI$1,FALSE),0)</f>
        <v>0</v>
      </c>
      <c r="AJ1150" s="9">
        <f>IFERROR(VLOOKUP($A1150,pivot!$A:$I,計算式2026!AJ$1,FALSE),0)</f>
        <v>0</v>
      </c>
      <c r="AK1150" s="9">
        <f>IFERROR(VLOOKUP($A1150,pivot!$A:$I,計算式2026!AK$1,FALSE),0)</f>
        <v>0</v>
      </c>
      <c r="AL1150" s="9">
        <f>IFERROR(VLOOKUP($A1150,pivot!$A:$I,計算式2026!AL$1,FALSE),0)</f>
        <v>0</v>
      </c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</row>
    <row r="1151" spans="1:59" s="9" customFormat="1">
      <c r="A1151" s="8">
        <v>80528124116</v>
      </c>
      <c r="B1151" s="8" t="s">
        <v>745</v>
      </c>
      <c r="C1151" s="9">
        <v>1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AE1151" s="9">
        <f>IFERROR(VLOOKUP($A1151,pivot!$A:$G,計算式2026!AE$1,FALSE),0)</f>
        <v>0</v>
      </c>
      <c r="AF1151" s="9">
        <f>IFERROR(VLOOKUP($A1151,pivot!$A:$I,計算式2026!AF$1,FALSE),0)</f>
        <v>0</v>
      </c>
      <c r="AI1151" s="9">
        <f>IFERROR(VLOOKUP($A1151,pivot!$A:$I,計算式2026!AI$1,FALSE),0)</f>
        <v>0</v>
      </c>
      <c r="AJ1151" s="9">
        <f>IFERROR(VLOOKUP($A1151,pivot!$A:$I,計算式2026!AJ$1,FALSE),0)</f>
        <v>0</v>
      </c>
      <c r="AK1151" s="9">
        <f>IFERROR(VLOOKUP($A1151,pivot!$A:$I,計算式2026!AK$1,FALSE),0)</f>
        <v>0</v>
      </c>
      <c r="AL1151" s="9">
        <f>IFERROR(VLOOKUP($A1151,pivot!$A:$I,計算式2026!AL$1,FALSE),0)</f>
        <v>0</v>
      </c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</row>
    <row r="1152" spans="1:59" s="9" customFormat="1">
      <c r="A1152" s="8">
        <v>80528124122</v>
      </c>
      <c r="B1152" s="8" t="s">
        <v>745</v>
      </c>
      <c r="C1152" s="9">
        <v>2</v>
      </c>
      <c r="D1152" s="9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AE1152" s="9">
        <f>IFERROR(VLOOKUP($A1152,pivot!$A:$G,計算式2026!AE$1,FALSE),0)</f>
        <v>0</v>
      </c>
      <c r="AF1152" s="9">
        <f>IFERROR(VLOOKUP($A1152,pivot!$A:$I,計算式2026!AF$1,FALSE),0)</f>
        <v>0</v>
      </c>
      <c r="AI1152" s="9">
        <f>IFERROR(VLOOKUP($A1152,pivot!$A:$I,計算式2026!AI$1,FALSE),0)</f>
        <v>0</v>
      </c>
      <c r="AJ1152" s="9">
        <f>IFERROR(VLOOKUP($A1152,pivot!$A:$I,計算式2026!AJ$1,FALSE),0)</f>
        <v>0</v>
      </c>
      <c r="AK1152" s="9">
        <f>IFERROR(VLOOKUP($A1152,pivot!$A:$I,計算式2026!AK$1,FALSE),0)</f>
        <v>0</v>
      </c>
      <c r="AL1152" s="9">
        <f>IFERROR(VLOOKUP($A1152,pivot!$A:$I,計算式2026!AL$1,FALSE),0)</f>
        <v>0</v>
      </c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</row>
    <row r="1153" spans="1:59" s="9" customFormat="1">
      <c r="A1153" s="8">
        <v>80528124128</v>
      </c>
      <c r="B1153" s="8" t="s">
        <v>745</v>
      </c>
      <c r="C1153" s="9">
        <v>3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AE1153" s="9">
        <f>IFERROR(VLOOKUP($A1153,pivot!$A:$G,計算式2026!AE$1,FALSE),0)</f>
        <v>0</v>
      </c>
      <c r="AF1153" s="9">
        <f>IFERROR(VLOOKUP($A1153,pivot!$A:$I,計算式2026!AF$1,FALSE),0)</f>
        <v>0</v>
      </c>
      <c r="AI1153" s="9">
        <f>IFERROR(VLOOKUP($A1153,pivot!$A:$I,計算式2026!AI$1,FALSE),0)</f>
        <v>0</v>
      </c>
      <c r="AJ1153" s="9">
        <f>IFERROR(VLOOKUP($A1153,pivot!$A:$I,計算式2026!AJ$1,FALSE),0)</f>
        <v>0</v>
      </c>
      <c r="AK1153" s="9">
        <f>IFERROR(VLOOKUP($A1153,pivot!$A:$I,計算式2026!AK$1,FALSE),0)</f>
        <v>0</v>
      </c>
      <c r="AL1153" s="9">
        <f>IFERROR(VLOOKUP($A1153,pivot!$A:$I,計算式2026!AL$1,FALSE),0)</f>
        <v>0</v>
      </c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</row>
    <row r="1154" spans="1:59" s="9" customFormat="1">
      <c r="A1154" s="8" t="s">
        <v>2795</v>
      </c>
      <c r="B1154" s="8" t="s">
        <v>2796</v>
      </c>
      <c r="C1154" s="9">
        <v>0</v>
      </c>
      <c r="D1154" s="9">
        <v>2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AE1154" s="9">
        <f>IFERROR(VLOOKUP($A1154,pivot!$A:$G,計算式2026!AE$1,FALSE),0)</f>
        <v>0</v>
      </c>
      <c r="AF1154" s="9">
        <f>IFERROR(VLOOKUP($A1154,pivot!$A:$I,計算式2026!AF$1,FALSE),0)</f>
        <v>0</v>
      </c>
      <c r="AI1154" s="9">
        <f>IFERROR(VLOOKUP($A1154,pivot!$A:$I,計算式2026!AI$1,FALSE),0)</f>
        <v>0</v>
      </c>
      <c r="AJ1154" s="9">
        <f>IFERROR(VLOOKUP($A1154,pivot!$A:$I,計算式2026!AJ$1,FALSE),0)</f>
        <v>0</v>
      </c>
      <c r="AK1154" s="9">
        <f>IFERROR(VLOOKUP($A1154,pivot!$A:$I,計算式2026!AK$1,FALSE),0)</f>
        <v>0</v>
      </c>
      <c r="AL1154" s="9">
        <f>IFERROR(VLOOKUP($A1154,pivot!$A:$I,計算式2026!AL$1,FALSE),0)</f>
        <v>0</v>
      </c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</row>
    <row r="1155" spans="1:59" s="9" customFormat="1">
      <c r="A1155" s="8" t="s">
        <v>2797</v>
      </c>
      <c r="B1155" s="8" t="s">
        <v>2796</v>
      </c>
      <c r="C1155" s="9">
        <v>0</v>
      </c>
      <c r="D1155" s="9">
        <v>1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R1155" s="9">
        <v>1</v>
      </c>
      <c r="S1155" s="9">
        <v>1</v>
      </c>
      <c r="T1155" s="9">
        <v>0</v>
      </c>
      <c r="U1155" s="9">
        <v>0</v>
      </c>
      <c r="V1155" s="9">
        <v>0</v>
      </c>
      <c r="W1155" s="9">
        <v>0</v>
      </c>
      <c r="X1155" s="9">
        <v>1</v>
      </c>
      <c r="AE1155" s="9">
        <f>IFERROR(VLOOKUP($A1155,pivot!$A:$G,計算式2026!AE$1,FALSE),0)</f>
        <v>0</v>
      </c>
      <c r="AF1155" s="9">
        <f>IFERROR(VLOOKUP($A1155,pivot!$A:$I,計算式2026!AF$1,FALSE),0)</f>
        <v>0</v>
      </c>
      <c r="AI1155" s="9">
        <f>IFERROR(VLOOKUP($A1155,pivot!$A:$I,計算式2026!AI$1,FALSE),0)</f>
        <v>0</v>
      </c>
      <c r="AJ1155" s="9">
        <f>IFERROR(VLOOKUP($A1155,pivot!$A:$I,計算式2026!AJ$1,FALSE),0)</f>
        <v>0</v>
      </c>
      <c r="AK1155" s="9">
        <f>IFERROR(VLOOKUP($A1155,pivot!$A:$I,計算式2026!AK$1,FALSE),0)</f>
        <v>0</v>
      </c>
      <c r="AL1155" s="9">
        <f>IFERROR(VLOOKUP($A1155,pivot!$A:$I,計算式2026!AL$1,FALSE),0)</f>
        <v>0</v>
      </c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</row>
    <row r="1156" spans="1:59" s="9" customFormat="1">
      <c r="A1156" s="8" t="s">
        <v>2798</v>
      </c>
      <c r="B1156" s="8" t="s">
        <v>2796</v>
      </c>
      <c r="C1156" s="9">
        <v>0</v>
      </c>
      <c r="D1156" s="9">
        <v>2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R1156" s="9">
        <v>0</v>
      </c>
      <c r="S1156" s="9">
        <v>1</v>
      </c>
      <c r="T1156" s="9">
        <v>0</v>
      </c>
      <c r="U1156" s="9">
        <v>0</v>
      </c>
      <c r="V1156" s="9">
        <v>1</v>
      </c>
      <c r="W1156" s="9">
        <v>0</v>
      </c>
      <c r="X1156" s="9">
        <v>1</v>
      </c>
      <c r="AE1156" s="9">
        <f>IFERROR(VLOOKUP($A1156,pivot!$A:$G,計算式2026!AE$1,FALSE),0)</f>
        <v>0</v>
      </c>
      <c r="AF1156" s="9">
        <f>IFERROR(VLOOKUP($A1156,pivot!$A:$I,計算式2026!AF$1,FALSE),0)</f>
        <v>0</v>
      </c>
      <c r="AI1156" s="9">
        <f>IFERROR(VLOOKUP($A1156,pivot!$A:$I,計算式2026!AI$1,FALSE),0)</f>
        <v>0</v>
      </c>
      <c r="AJ1156" s="9">
        <f>IFERROR(VLOOKUP($A1156,pivot!$A:$I,計算式2026!AJ$1,FALSE),0)</f>
        <v>0</v>
      </c>
      <c r="AK1156" s="9">
        <f>IFERROR(VLOOKUP($A1156,pivot!$A:$I,計算式2026!AK$1,FALSE),0)</f>
        <v>0</v>
      </c>
      <c r="AL1156" s="9">
        <f>IFERROR(VLOOKUP($A1156,pivot!$A:$I,計算式2026!AL$1,FALSE),0)</f>
        <v>0</v>
      </c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</row>
    <row r="1157" spans="1:59" s="9" customFormat="1">
      <c r="A1157" s="8" t="s">
        <v>2799</v>
      </c>
      <c r="B1157" s="8" t="s">
        <v>2796</v>
      </c>
      <c r="C1157" s="9">
        <v>0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1</v>
      </c>
      <c r="W1157" s="9">
        <v>0</v>
      </c>
      <c r="X1157" s="9">
        <v>1</v>
      </c>
      <c r="AE1157" s="9">
        <f>IFERROR(VLOOKUP($A1157,pivot!$A:$G,計算式2026!AE$1,FALSE),0)</f>
        <v>0</v>
      </c>
      <c r="AF1157" s="9">
        <f>IFERROR(VLOOKUP($A1157,pivot!$A:$I,計算式2026!AF$1,FALSE),0)</f>
        <v>0</v>
      </c>
      <c r="AI1157" s="9">
        <f>IFERROR(VLOOKUP($A1157,pivot!$A:$I,計算式2026!AI$1,FALSE),0)</f>
        <v>0</v>
      </c>
      <c r="AJ1157" s="9">
        <f>IFERROR(VLOOKUP($A1157,pivot!$A:$I,計算式2026!AJ$1,FALSE),0)</f>
        <v>0</v>
      </c>
      <c r="AK1157" s="9">
        <f>IFERROR(VLOOKUP($A1157,pivot!$A:$I,計算式2026!AK$1,FALSE),0)</f>
        <v>0</v>
      </c>
      <c r="AL1157" s="9">
        <f>IFERROR(VLOOKUP($A1157,pivot!$A:$I,計算式2026!AL$1,FALSE),0)</f>
        <v>0</v>
      </c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</row>
    <row r="1158" spans="1:59" s="9" customFormat="1">
      <c r="A1158" s="8" t="s">
        <v>747</v>
      </c>
      <c r="B1158" s="8" t="s">
        <v>746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1</v>
      </c>
      <c r="W1158" s="9">
        <v>0</v>
      </c>
      <c r="X1158" s="9">
        <v>0</v>
      </c>
      <c r="AE1158" s="9">
        <f>IFERROR(VLOOKUP($A1158,pivot!$A:$G,計算式2026!AE$1,FALSE),0)</f>
        <v>0</v>
      </c>
      <c r="AF1158" s="9">
        <f>IFERROR(VLOOKUP($A1158,pivot!$A:$I,計算式2026!AF$1,FALSE),0)</f>
        <v>0</v>
      </c>
      <c r="AI1158" s="9">
        <f>IFERROR(VLOOKUP($A1158,pivot!$A:$I,計算式2026!AI$1,FALSE),0)</f>
        <v>0</v>
      </c>
      <c r="AJ1158" s="9">
        <f>IFERROR(VLOOKUP($A1158,pivot!$A:$I,計算式2026!AJ$1,FALSE),0)</f>
        <v>0</v>
      </c>
      <c r="AK1158" s="9">
        <f>IFERROR(VLOOKUP($A1158,pivot!$A:$I,計算式2026!AK$1,FALSE),0)</f>
        <v>0</v>
      </c>
      <c r="AL1158" s="9">
        <f>IFERROR(VLOOKUP($A1158,pivot!$A:$I,計算式2026!AL$1,FALSE),0)</f>
        <v>0</v>
      </c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</row>
    <row r="1159" spans="1:59" s="9" customFormat="1">
      <c r="A1159" s="8" t="s">
        <v>2800</v>
      </c>
      <c r="B1159" s="8" t="s">
        <v>2801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R1159" s="9">
        <v>0</v>
      </c>
      <c r="S1159" s="9">
        <v>1</v>
      </c>
      <c r="T1159" s="9">
        <v>1</v>
      </c>
      <c r="U1159" s="9">
        <v>0</v>
      </c>
      <c r="V1159" s="9">
        <v>1</v>
      </c>
      <c r="W1159" s="9">
        <v>0</v>
      </c>
      <c r="X1159" s="9">
        <v>0</v>
      </c>
      <c r="AE1159" s="9">
        <f>IFERROR(VLOOKUP($A1159,pivot!$A:$G,計算式2026!AE$1,FALSE),0)</f>
        <v>0</v>
      </c>
      <c r="AF1159" s="9">
        <f>IFERROR(VLOOKUP($A1159,pivot!$A:$I,計算式2026!AF$1,FALSE),0)</f>
        <v>0</v>
      </c>
      <c r="AI1159" s="9">
        <f>IFERROR(VLOOKUP($A1159,pivot!$A:$I,計算式2026!AI$1,FALSE),0)</f>
        <v>0</v>
      </c>
      <c r="AJ1159" s="9">
        <f>IFERROR(VLOOKUP($A1159,pivot!$A:$I,計算式2026!AJ$1,FALSE),0)</f>
        <v>0</v>
      </c>
      <c r="AK1159" s="9">
        <f>IFERROR(VLOOKUP($A1159,pivot!$A:$I,計算式2026!AK$1,FALSE),0)</f>
        <v>0</v>
      </c>
      <c r="AL1159" s="9">
        <f>IFERROR(VLOOKUP($A1159,pivot!$A:$I,計算式2026!AL$1,FALSE),0)</f>
        <v>0</v>
      </c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</row>
    <row r="1160" spans="1:59" s="9" customFormat="1">
      <c r="A1160" s="8" t="s">
        <v>2802</v>
      </c>
      <c r="B1160" s="8" t="s">
        <v>2801</v>
      </c>
      <c r="C1160" s="9">
        <v>0</v>
      </c>
      <c r="D1160" s="9">
        <v>1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R1160" s="9">
        <v>0</v>
      </c>
      <c r="S1160" s="9">
        <v>2</v>
      </c>
      <c r="T1160" s="9">
        <v>0</v>
      </c>
      <c r="U1160" s="9">
        <v>0</v>
      </c>
      <c r="V1160" s="9">
        <v>1</v>
      </c>
      <c r="W1160" s="9">
        <v>0</v>
      </c>
      <c r="X1160" s="9">
        <v>1</v>
      </c>
      <c r="AE1160" s="9">
        <f>IFERROR(VLOOKUP($A1160,pivot!$A:$G,計算式2026!AE$1,FALSE),0)</f>
        <v>0</v>
      </c>
      <c r="AF1160" s="9">
        <f>IFERROR(VLOOKUP($A1160,pivot!$A:$I,計算式2026!AF$1,FALSE),0)</f>
        <v>0</v>
      </c>
      <c r="AI1160" s="9">
        <f>IFERROR(VLOOKUP($A1160,pivot!$A:$I,計算式2026!AI$1,FALSE),0)</f>
        <v>0</v>
      </c>
      <c r="AJ1160" s="9">
        <f>IFERROR(VLOOKUP($A1160,pivot!$A:$I,計算式2026!AJ$1,FALSE),0)</f>
        <v>0</v>
      </c>
      <c r="AK1160" s="9">
        <f>IFERROR(VLOOKUP($A1160,pivot!$A:$I,計算式2026!AK$1,FALSE),0)</f>
        <v>0</v>
      </c>
      <c r="AL1160" s="9">
        <f>IFERROR(VLOOKUP($A1160,pivot!$A:$I,計算式2026!AL$1,FALSE),0)</f>
        <v>0</v>
      </c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</row>
    <row r="1161" spans="1:59" s="9" customFormat="1">
      <c r="A1161" s="8" t="s">
        <v>2803</v>
      </c>
      <c r="B1161" s="8" t="s">
        <v>2801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R1161" s="9">
        <v>0</v>
      </c>
      <c r="S1161" s="9">
        <v>1</v>
      </c>
      <c r="T1161" s="9">
        <v>1</v>
      </c>
      <c r="U1161" s="9">
        <v>0</v>
      </c>
      <c r="V1161" s="9">
        <v>1</v>
      </c>
      <c r="W1161" s="9">
        <v>0</v>
      </c>
      <c r="X1161" s="9">
        <v>1</v>
      </c>
      <c r="AE1161" s="9">
        <f>IFERROR(VLOOKUP($A1161,pivot!$A:$G,計算式2026!AE$1,FALSE),0)</f>
        <v>0</v>
      </c>
      <c r="AF1161" s="9">
        <f>IFERROR(VLOOKUP($A1161,pivot!$A:$I,計算式2026!AF$1,FALSE),0)</f>
        <v>0</v>
      </c>
      <c r="AI1161" s="9">
        <f>IFERROR(VLOOKUP($A1161,pivot!$A:$I,計算式2026!AI$1,FALSE),0)</f>
        <v>0</v>
      </c>
      <c r="AJ1161" s="9">
        <f>IFERROR(VLOOKUP($A1161,pivot!$A:$I,計算式2026!AJ$1,FALSE),0)</f>
        <v>0</v>
      </c>
      <c r="AK1161" s="9">
        <f>IFERROR(VLOOKUP($A1161,pivot!$A:$I,計算式2026!AK$1,FALSE),0)</f>
        <v>0</v>
      </c>
      <c r="AL1161" s="9">
        <f>IFERROR(VLOOKUP($A1161,pivot!$A:$I,計算式2026!AL$1,FALSE),0)</f>
        <v>0</v>
      </c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</row>
    <row r="1162" spans="1:59" s="9" customFormat="1">
      <c r="A1162" s="8" t="s">
        <v>2685</v>
      </c>
      <c r="B1162" s="8" t="s">
        <v>2801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R1162" s="9">
        <v>0</v>
      </c>
      <c r="S1162" s="9">
        <v>0</v>
      </c>
      <c r="T1162" s="9">
        <v>1</v>
      </c>
      <c r="U1162" s="9">
        <v>0</v>
      </c>
      <c r="V1162" s="9">
        <v>2</v>
      </c>
      <c r="W1162" s="9">
        <v>0</v>
      </c>
      <c r="X1162" s="9">
        <v>0</v>
      </c>
      <c r="AE1162" s="9">
        <f>IFERROR(VLOOKUP($A1162,pivot!$A:$G,計算式2026!AE$1,FALSE),0)</f>
        <v>0</v>
      </c>
      <c r="AF1162" s="9">
        <f>IFERROR(VLOOKUP($A1162,pivot!$A:$I,計算式2026!AF$1,FALSE),0)</f>
        <v>0</v>
      </c>
      <c r="AI1162" s="9">
        <f>IFERROR(VLOOKUP($A1162,pivot!$A:$I,計算式2026!AI$1,FALSE),0)</f>
        <v>0</v>
      </c>
      <c r="AJ1162" s="9">
        <f>IFERROR(VLOOKUP($A1162,pivot!$A:$I,計算式2026!AJ$1,FALSE),0)</f>
        <v>0</v>
      </c>
      <c r="AK1162" s="9">
        <f>IFERROR(VLOOKUP($A1162,pivot!$A:$I,計算式2026!AK$1,FALSE),0)</f>
        <v>0</v>
      </c>
      <c r="AL1162" s="9">
        <f>IFERROR(VLOOKUP($A1162,pivot!$A:$I,計算式2026!AL$1,FALSE),0)</f>
        <v>0</v>
      </c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</row>
    <row r="1163" spans="1:59" s="9" customFormat="1">
      <c r="A1163" s="8" t="s">
        <v>748</v>
      </c>
      <c r="B1163" s="8" t="s">
        <v>749</v>
      </c>
      <c r="C1163" s="9">
        <v>3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1</v>
      </c>
      <c r="AE1163" s="9">
        <f>IFERROR(VLOOKUP($A1163,pivot!$A:$G,計算式2026!AE$1,FALSE),0)</f>
        <v>0</v>
      </c>
      <c r="AF1163" s="9">
        <f>IFERROR(VLOOKUP($A1163,pivot!$A:$I,計算式2026!AF$1,FALSE),0)</f>
        <v>0</v>
      </c>
      <c r="AI1163" s="9">
        <f>IFERROR(VLOOKUP($A1163,pivot!$A:$I,計算式2026!AI$1,FALSE),0)</f>
        <v>0</v>
      </c>
      <c r="AJ1163" s="9">
        <f>IFERROR(VLOOKUP($A1163,pivot!$A:$I,計算式2026!AJ$1,FALSE),0)</f>
        <v>0</v>
      </c>
      <c r="AK1163" s="9">
        <f>IFERROR(VLOOKUP($A1163,pivot!$A:$I,計算式2026!AK$1,FALSE),0)</f>
        <v>0</v>
      </c>
      <c r="AL1163" s="9">
        <f>IFERROR(VLOOKUP($A1163,pivot!$A:$I,計算式2026!AL$1,FALSE),0)</f>
        <v>0</v>
      </c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</row>
    <row r="1164" spans="1:59" s="9" customFormat="1">
      <c r="A1164" s="8" t="s">
        <v>750</v>
      </c>
      <c r="B1164" s="8" t="s">
        <v>749</v>
      </c>
      <c r="C1164" s="9">
        <v>3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1</v>
      </c>
      <c r="AE1164" s="9">
        <f>IFERROR(VLOOKUP($A1164,pivot!$A:$G,計算式2026!AE$1,FALSE),0)</f>
        <v>0</v>
      </c>
      <c r="AF1164" s="9">
        <f>IFERROR(VLOOKUP($A1164,pivot!$A:$I,計算式2026!AF$1,FALSE),0)</f>
        <v>0</v>
      </c>
      <c r="AI1164" s="9">
        <f>IFERROR(VLOOKUP($A1164,pivot!$A:$I,計算式2026!AI$1,FALSE),0)</f>
        <v>0</v>
      </c>
      <c r="AJ1164" s="9">
        <f>IFERROR(VLOOKUP($A1164,pivot!$A:$I,計算式2026!AJ$1,FALSE),0)</f>
        <v>0</v>
      </c>
      <c r="AK1164" s="9">
        <f>IFERROR(VLOOKUP($A1164,pivot!$A:$I,計算式2026!AK$1,FALSE),0)</f>
        <v>0</v>
      </c>
      <c r="AL1164" s="9">
        <f>IFERROR(VLOOKUP($A1164,pivot!$A:$I,計算式2026!AL$1,FALSE),0)</f>
        <v>0</v>
      </c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</row>
    <row r="1165" spans="1:59" s="9" customFormat="1">
      <c r="A1165" s="8" t="s">
        <v>751</v>
      </c>
      <c r="B1165" s="8" t="s">
        <v>749</v>
      </c>
      <c r="C1165" s="9">
        <v>1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2</v>
      </c>
      <c r="AE1165" s="9">
        <f>IFERROR(VLOOKUP($A1165,pivot!$A:$G,計算式2026!AE$1,FALSE),0)</f>
        <v>0</v>
      </c>
      <c r="AF1165" s="9">
        <f>IFERROR(VLOOKUP($A1165,pivot!$A:$I,計算式2026!AF$1,FALSE),0)</f>
        <v>0</v>
      </c>
      <c r="AI1165" s="9">
        <f>IFERROR(VLOOKUP($A1165,pivot!$A:$I,計算式2026!AI$1,FALSE),0)</f>
        <v>0</v>
      </c>
      <c r="AJ1165" s="9">
        <f>IFERROR(VLOOKUP($A1165,pivot!$A:$I,計算式2026!AJ$1,FALSE),0)</f>
        <v>0</v>
      </c>
      <c r="AK1165" s="9">
        <f>IFERROR(VLOOKUP($A1165,pivot!$A:$I,計算式2026!AK$1,FALSE),0)</f>
        <v>0</v>
      </c>
      <c r="AL1165" s="9">
        <f>IFERROR(VLOOKUP($A1165,pivot!$A:$I,計算式2026!AL$1,FALSE),0)</f>
        <v>0</v>
      </c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</row>
    <row r="1166" spans="1:59" s="9" customFormat="1">
      <c r="A1166" s="8" t="s">
        <v>752</v>
      </c>
      <c r="B1166" s="8" t="s">
        <v>749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1</v>
      </c>
      <c r="AE1166" s="9">
        <f>IFERROR(VLOOKUP($A1166,pivot!$A:$G,計算式2026!AE$1,FALSE),0)</f>
        <v>0</v>
      </c>
      <c r="AF1166" s="9">
        <f>IFERROR(VLOOKUP($A1166,pivot!$A:$I,計算式2026!AF$1,FALSE),0)</f>
        <v>0</v>
      </c>
      <c r="AI1166" s="9">
        <f>IFERROR(VLOOKUP($A1166,pivot!$A:$I,計算式2026!AI$1,FALSE),0)</f>
        <v>0</v>
      </c>
      <c r="AJ1166" s="9">
        <f>IFERROR(VLOOKUP($A1166,pivot!$A:$I,計算式2026!AJ$1,FALSE),0)</f>
        <v>0</v>
      </c>
      <c r="AK1166" s="9">
        <f>IFERROR(VLOOKUP($A1166,pivot!$A:$I,計算式2026!AK$1,FALSE),0)</f>
        <v>0</v>
      </c>
      <c r="AL1166" s="9">
        <f>IFERROR(VLOOKUP($A1166,pivot!$A:$I,計算式2026!AL$1,FALSE),0)</f>
        <v>0</v>
      </c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</row>
    <row r="1167" spans="1:59" s="9" customFormat="1">
      <c r="A1167" s="8" t="s">
        <v>2804</v>
      </c>
      <c r="B1167" s="8" t="s">
        <v>2636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1</v>
      </c>
      <c r="AE1167" s="9">
        <f>IFERROR(VLOOKUP($A1167,pivot!$A:$G,計算式2026!AE$1,FALSE),0)</f>
        <v>0</v>
      </c>
      <c r="AF1167" s="9">
        <f>IFERROR(VLOOKUP($A1167,pivot!$A:$I,計算式2026!AF$1,FALSE),0)</f>
        <v>0</v>
      </c>
      <c r="AI1167" s="9">
        <f>IFERROR(VLOOKUP($A1167,pivot!$A:$I,計算式2026!AI$1,FALSE),0)</f>
        <v>0</v>
      </c>
      <c r="AJ1167" s="9">
        <f>IFERROR(VLOOKUP($A1167,pivot!$A:$I,計算式2026!AJ$1,FALSE),0)</f>
        <v>0</v>
      </c>
      <c r="AK1167" s="9">
        <f>IFERROR(VLOOKUP($A1167,pivot!$A:$I,計算式2026!AK$1,FALSE),0)</f>
        <v>0</v>
      </c>
      <c r="AL1167" s="9">
        <f>IFERROR(VLOOKUP($A1167,pivot!$A:$I,計算式2026!AL$1,FALSE),0)</f>
        <v>0</v>
      </c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</row>
    <row r="1168" spans="1:59" s="9" customFormat="1">
      <c r="A1168" s="8" t="s">
        <v>2672</v>
      </c>
      <c r="B1168" s="8" t="s">
        <v>2636</v>
      </c>
      <c r="C1168" s="9">
        <v>0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R1168" s="9">
        <v>0</v>
      </c>
      <c r="S1168" s="9">
        <v>2</v>
      </c>
      <c r="T1168" s="9">
        <v>1</v>
      </c>
      <c r="U1168" s="9">
        <v>0</v>
      </c>
      <c r="V1168" s="9">
        <v>1</v>
      </c>
      <c r="W1168" s="9">
        <v>0</v>
      </c>
      <c r="X1168" s="9">
        <v>1</v>
      </c>
      <c r="AE1168" s="9">
        <f>IFERROR(VLOOKUP($A1168,pivot!$A:$G,計算式2026!AE$1,FALSE),0)</f>
        <v>0</v>
      </c>
      <c r="AF1168" s="9">
        <f>IFERROR(VLOOKUP($A1168,pivot!$A:$I,計算式2026!AF$1,FALSE),0)</f>
        <v>0</v>
      </c>
      <c r="AI1168" s="9">
        <f>IFERROR(VLOOKUP($A1168,pivot!$A:$I,計算式2026!AI$1,FALSE),0)</f>
        <v>0</v>
      </c>
      <c r="AJ1168" s="9">
        <f>IFERROR(VLOOKUP($A1168,pivot!$A:$I,計算式2026!AJ$1,FALSE),0)</f>
        <v>0</v>
      </c>
      <c r="AK1168" s="9">
        <f>IFERROR(VLOOKUP($A1168,pivot!$A:$I,計算式2026!AK$1,FALSE),0)</f>
        <v>0</v>
      </c>
      <c r="AL1168" s="9">
        <f>IFERROR(VLOOKUP($A1168,pivot!$A:$I,計算式2026!AL$1,FALSE),0)</f>
        <v>0</v>
      </c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</row>
    <row r="1169" spans="1:59" s="9" customFormat="1">
      <c r="A1169" s="8" t="s">
        <v>2805</v>
      </c>
      <c r="B1169" s="8" t="s">
        <v>2636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R1169" s="9">
        <v>0</v>
      </c>
      <c r="S1169" s="9">
        <v>2</v>
      </c>
      <c r="T1169" s="9">
        <v>1</v>
      </c>
      <c r="U1169" s="9">
        <v>0</v>
      </c>
      <c r="V1169" s="9">
        <v>2</v>
      </c>
      <c r="W1169" s="9">
        <v>0</v>
      </c>
      <c r="X1169" s="9">
        <v>1</v>
      </c>
      <c r="AE1169" s="9">
        <f>IFERROR(VLOOKUP($A1169,pivot!$A:$G,計算式2026!AE$1,FALSE),0)</f>
        <v>0</v>
      </c>
      <c r="AF1169" s="9">
        <f>IFERROR(VLOOKUP($A1169,pivot!$A:$I,計算式2026!AF$1,FALSE),0)</f>
        <v>0</v>
      </c>
      <c r="AI1169" s="9">
        <f>IFERROR(VLOOKUP($A1169,pivot!$A:$I,計算式2026!AI$1,FALSE),0)</f>
        <v>0</v>
      </c>
      <c r="AJ1169" s="9">
        <f>IFERROR(VLOOKUP($A1169,pivot!$A:$I,計算式2026!AJ$1,FALSE),0)</f>
        <v>0</v>
      </c>
      <c r="AK1169" s="9">
        <f>IFERROR(VLOOKUP($A1169,pivot!$A:$I,計算式2026!AK$1,FALSE),0)</f>
        <v>0</v>
      </c>
      <c r="AL1169" s="9">
        <f>IFERROR(VLOOKUP($A1169,pivot!$A:$I,計算式2026!AL$1,FALSE),0)</f>
        <v>0</v>
      </c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</row>
    <row r="1170" spans="1:59" s="9" customFormat="1">
      <c r="A1170" s="8" t="s">
        <v>2806</v>
      </c>
      <c r="B1170" s="8" t="s">
        <v>2636</v>
      </c>
      <c r="C1170" s="9">
        <v>0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R1170" s="9">
        <v>0</v>
      </c>
      <c r="S1170" s="9">
        <v>2</v>
      </c>
      <c r="T1170" s="9">
        <v>0</v>
      </c>
      <c r="U1170" s="9">
        <v>0</v>
      </c>
      <c r="V1170" s="9">
        <v>2</v>
      </c>
      <c r="W1170" s="9">
        <v>0</v>
      </c>
      <c r="X1170" s="9">
        <v>0</v>
      </c>
      <c r="AE1170" s="9">
        <f>IFERROR(VLOOKUP($A1170,pivot!$A:$G,計算式2026!AE$1,FALSE),0)</f>
        <v>0</v>
      </c>
      <c r="AF1170" s="9">
        <f>IFERROR(VLOOKUP($A1170,pivot!$A:$I,計算式2026!AF$1,FALSE),0)</f>
        <v>0</v>
      </c>
      <c r="AI1170" s="9">
        <f>IFERROR(VLOOKUP($A1170,pivot!$A:$I,計算式2026!AI$1,FALSE),0)</f>
        <v>0</v>
      </c>
      <c r="AJ1170" s="9">
        <f>IFERROR(VLOOKUP($A1170,pivot!$A:$I,計算式2026!AJ$1,FALSE),0)</f>
        <v>0</v>
      </c>
      <c r="AK1170" s="9">
        <f>IFERROR(VLOOKUP($A1170,pivot!$A:$I,計算式2026!AK$1,FALSE),0)</f>
        <v>0</v>
      </c>
      <c r="AL1170" s="9">
        <f>IFERROR(VLOOKUP($A1170,pivot!$A:$I,計算式2026!AL$1,FALSE),0)</f>
        <v>0</v>
      </c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</row>
    <row r="1171" spans="1:59" s="9" customFormat="1">
      <c r="A1171" s="8" t="s">
        <v>2807</v>
      </c>
      <c r="B1171" s="8" t="s">
        <v>2620</v>
      </c>
      <c r="C1171" s="9">
        <v>0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1</v>
      </c>
      <c r="AE1171" s="9">
        <f>IFERROR(VLOOKUP($A1171,pivot!$A:$G,計算式2026!AE$1,FALSE),0)</f>
        <v>0</v>
      </c>
      <c r="AF1171" s="9">
        <f>IFERROR(VLOOKUP($A1171,pivot!$A:$I,計算式2026!AF$1,FALSE),0)</f>
        <v>0</v>
      </c>
      <c r="AI1171" s="9">
        <f>IFERROR(VLOOKUP($A1171,pivot!$A:$I,計算式2026!AI$1,FALSE),0)</f>
        <v>0</v>
      </c>
      <c r="AJ1171" s="9">
        <f>IFERROR(VLOOKUP($A1171,pivot!$A:$I,計算式2026!AJ$1,FALSE),0)</f>
        <v>0</v>
      </c>
      <c r="AK1171" s="9">
        <f>IFERROR(VLOOKUP($A1171,pivot!$A:$I,計算式2026!AK$1,FALSE),0)</f>
        <v>0</v>
      </c>
      <c r="AL1171" s="9">
        <f>IFERROR(VLOOKUP($A1171,pivot!$A:$I,計算式2026!AL$1,FALSE),0)</f>
        <v>0</v>
      </c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</row>
    <row r="1172" spans="1:59" s="9" customFormat="1">
      <c r="A1172" s="8" t="s">
        <v>2699</v>
      </c>
      <c r="B1172" s="8" t="s">
        <v>2620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R1172" s="9">
        <v>0</v>
      </c>
      <c r="S1172" s="9">
        <v>1</v>
      </c>
      <c r="T1172" s="9">
        <v>1</v>
      </c>
      <c r="U1172" s="9">
        <v>0</v>
      </c>
      <c r="V1172" s="9">
        <v>1</v>
      </c>
      <c r="W1172" s="9">
        <v>0</v>
      </c>
      <c r="X1172" s="9">
        <v>1</v>
      </c>
      <c r="AE1172" s="9">
        <f>IFERROR(VLOOKUP($A1172,pivot!$A:$G,計算式2026!AE$1,FALSE),0)</f>
        <v>0</v>
      </c>
      <c r="AF1172" s="9">
        <f>IFERROR(VLOOKUP($A1172,pivot!$A:$I,計算式2026!AF$1,FALSE),0)</f>
        <v>0</v>
      </c>
      <c r="AI1172" s="9">
        <f>IFERROR(VLOOKUP($A1172,pivot!$A:$I,計算式2026!AI$1,FALSE),0)</f>
        <v>0</v>
      </c>
      <c r="AJ1172" s="9">
        <f>IFERROR(VLOOKUP($A1172,pivot!$A:$I,計算式2026!AJ$1,FALSE),0)</f>
        <v>0</v>
      </c>
      <c r="AK1172" s="9">
        <f>IFERROR(VLOOKUP($A1172,pivot!$A:$I,計算式2026!AK$1,FALSE),0)</f>
        <v>0</v>
      </c>
      <c r="AL1172" s="9">
        <f>IFERROR(VLOOKUP($A1172,pivot!$A:$I,計算式2026!AL$1,FALSE),0)</f>
        <v>0</v>
      </c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</row>
    <row r="1173" spans="1:59" s="9" customFormat="1">
      <c r="A1173" s="8" t="s">
        <v>2808</v>
      </c>
      <c r="B1173" s="8" t="s">
        <v>2620</v>
      </c>
      <c r="C1173" s="9">
        <v>0</v>
      </c>
      <c r="D1173" s="9">
        <v>5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R1173" s="9">
        <v>0</v>
      </c>
      <c r="S1173" s="9">
        <v>2</v>
      </c>
      <c r="T1173" s="9">
        <v>1</v>
      </c>
      <c r="U1173" s="9">
        <v>0</v>
      </c>
      <c r="V1173" s="9">
        <v>2</v>
      </c>
      <c r="W1173" s="9">
        <v>0</v>
      </c>
      <c r="X1173" s="9">
        <v>1</v>
      </c>
      <c r="AE1173" s="9">
        <f>IFERROR(VLOOKUP($A1173,pivot!$A:$G,計算式2026!AE$1,FALSE),0)</f>
        <v>0</v>
      </c>
      <c r="AF1173" s="9">
        <f>IFERROR(VLOOKUP($A1173,pivot!$A:$I,計算式2026!AF$1,FALSE),0)</f>
        <v>0</v>
      </c>
      <c r="AI1173" s="9">
        <f>IFERROR(VLOOKUP($A1173,pivot!$A:$I,計算式2026!AI$1,FALSE),0)</f>
        <v>0</v>
      </c>
      <c r="AJ1173" s="9">
        <f>IFERROR(VLOOKUP($A1173,pivot!$A:$I,計算式2026!AJ$1,FALSE),0)</f>
        <v>0</v>
      </c>
      <c r="AK1173" s="9">
        <f>IFERROR(VLOOKUP($A1173,pivot!$A:$I,計算式2026!AK$1,FALSE),0)</f>
        <v>0</v>
      </c>
      <c r="AL1173" s="9">
        <f>IFERROR(VLOOKUP($A1173,pivot!$A:$I,計算式2026!AL$1,FALSE),0)</f>
        <v>0</v>
      </c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</row>
    <row r="1174" spans="1:59" s="9" customFormat="1">
      <c r="A1174" s="8" t="s">
        <v>2668</v>
      </c>
      <c r="B1174" s="8" t="s">
        <v>2620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1</v>
      </c>
      <c r="W1174" s="9">
        <v>0</v>
      </c>
      <c r="X1174" s="9">
        <v>1</v>
      </c>
      <c r="AE1174" s="9">
        <f>IFERROR(VLOOKUP($A1174,pivot!$A:$G,計算式2026!AE$1,FALSE),0)</f>
        <v>0</v>
      </c>
      <c r="AF1174" s="9">
        <f>IFERROR(VLOOKUP($A1174,pivot!$A:$I,計算式2026!AF$1,FALSE),0)</f>
        <v>0</v>
      </c>
      <c r="AI1174" s="9">
        <f>IFERROR(VLOOKUP($A1174,pivot!$A:$I,計算式2026!AI$1,FALSE),0)</f>
        <v>0</v>
      </c>
      <c r="AJ1174" s="9">
        <f>IFERROR(VLOOKUP($A1174,pivot!$A:$I,計算式2026!AJ$1,FALSE),0)</f>
        <v>0</v>
      </c>
      <c r="AK1174" s="9">
        <f>IFERROR(VLOOKUP($A1174,pivot!$A:$I,計算式2026!AK$1,FALSE),0)</f>
        <v>0</v>
      </c>
      <c r="AL1174" s="9">
        <f>IFERROR(VLOOKUP($A1174,pivot!$A:$I,計算式2026!AL$1,FALSE),0)</f>
        <v>0</v>
      </c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</row>
    <row r="1175" spans="1:59" s="9" customFormat="1">
      <c r="A1175" s="8" t="s">
        <v>2809</v>
      </c>
      <c r="B1175" s="8" t="s">
        <v>2620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R1175" s="9">
        <v>0</v>
      </c>
      <c r="S1175" s="9">
        <v>1</v>
      </c>
      <c r="T1175" s="9">
        <v>0</v>
      </c>
      <c r="U1175" s="9">
        <v>0</v>
      </c>
      <c r="V1175" s="9">
        <v>1</v>
      </c>
      <c r="W1175" s="9">
        <v>0</v>
      </c>
      <c r="X1175" s="9">
        <v>0</v>
      </c>
      <c r="AE1175" s="9">
        <f>IFERROR(VLOOKUP($A1175,pivot!$A:$G,計算式2026!AE$1,FALSE),0)</f>
        <v>0</v>
      </c>
      <c r="AF1175" s="9">
        <f>IFERROR(VLOOKUP($A1175,pivot!$A:$I,計算式2026!AF$1,FALSE),0)</f>
        <v>0</v>
      </c>
      <c r="AI1175" s="9">
        <f>IFERROR(VLOOKUP($A1175,pivot!$A:$I,計算式2026!AI$1,FALSE),0)</f>
        <v>0</v>
      </c>
      <c r="AJ1175" s="9">
        <f>IFERROR(VLOOKUP($A1175,pivot!$A:$I,計算式2026!AJ$1,FALSE),0)</f>
        <v>0</v>
      </c>
      <c r="AK1175" s="9">
        <f>IFERROR(VLOOKUP($A1175,pivot!$A:$I,計算式2026!AK$1,FALSE),0)</f>
        <v>0</v>
      </c>
      <c r="AL1175" s="9">
        <f>IFERROR(VLOOKUP($A1175,pivot!$A:$I,計算式2026!AL$1,FALSE),0)</f>
        <v>0</v>
      </c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</row>
    <row r="1176" spans="1:59" s="9" customFormat="1">
      <c r="A1176" s="8" t="s">
        <v>2810</v>
      </c>
      <c r="B1176" s="8" t="s">
        <v>2620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R1176" s="9">
        <v>0</v>
      </c>
      <c r="S1176" s="9">
        <v>1</v>
      </c>
      <c r="T1176" s="9">
        <v>1</v>
      </c>
      <c r="U1176" s="9">
        <v>0</v>
      </c>
      <c r="V1176" s="9">
        <v>0</v>
      </c>
      <c r="W1176" s="9">
        <v>0</v>
      </c>
      <c r="X1176" s="9">
        <v>0</v>
      </c>
      <c r="AE1176" s="9">
        <f>IFERROR(VLOOKUP($A1176,pivot!$A:$G,計算式2026!AE$1,FALSE),0)</f>
        <v>0</v>
      </c>
      <c r="AF1176" s="9">
        <f>IFERROR(VLOOKUP($A1176,pivot!$A:$I,計算式2026!AF$1,FALSE),0)</f>
        <v>0</v>
      </c>
      <c r="AI1176" s="9">
        <f>IFERROR(VLOOKUP($A1176,pivot!$A:$I,計算式2026!AI$1,FALSE),0)</f>
        <v>0</v>
      </c>
      <c r="AJ1176" s="9">
        <f>IFERROR(VLOOKUP($A1176,pivot!$A:$I,計算式2026!AJ$1,FALSE),0)</f>
        <v>0</v>
      </c>
      <c r="AK1176" s="9">
        <f>IFERROR(VLOOKUP($A1176,pivot!$A:$I,計算式2026!AK$1,FALSE),0)</f>
        <v>0</v>
      </c>
      <c r="AL1176" s="9">
        <f>IFERROR(VLOOKUP($A1176,pivot!$A:$I,計算式2026!AL$1,FALSE),0)</f>
        <v>0</v>
      </c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</row>
    <row r="1177" spans="1:59" s="9" customFormat="1">
      <c r="A1177" s="8" t="s">
        <v>2811</v>
      </c>
      <c r="B1177" s="8" t="s">
        <v>2620</v>
      </c>
      <c r="C1177" s="9">
        <v>0</v>
      </c>
      <c r="D1177" s="9">
        <v>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R1177" s="9">
        <v>0</v>
      </c>
      <c r="S1177" s="9">
        <v>2</v>
      </c>
      <c r="T1177" s="9">
        <v>1</v>
      </c>
      <c r="U1177" s="9">
        <v>0</v>
      </c>
      <c r="V1177" s="9">
        <v>1</v>
      </c>
      <c r="W1177" s="9">
        <v>0</v>
      </c>
      <c r="X1177" s="9">
        <v>1</v>
      </c>
      <c r="AE1177" s="9">
        <f>IFERROR(VLOOKUP($A1177,pivot!$A:$G,計算式2026!AE$1,FALSE),0)</f>
        <v>0</v>
      </c>
      <c r="AF1177" s="9">
        <f>IFERROR(VLOOKUP($A1177,pivot!$A:$I,計算式2026!AF$1,FALSE),0)</f>
        <v>0</v>
      </c>
      <c r="AI1177" s="9">
        <f>IFERROR(VLOOKUP($A1177,pivot!$A:$I,計算式2026!AI$1,FALSE),0)</f>
        <v>0</v>
      </c>
      <c r="AJ1177" s="9">
        <f>IFERROR(VLOOKUP($A1177,pivot!$A:$I,計算式2026!AJ$1,FALSE),0)</f>
        <v>0</v>
      </c>
      <c r="AK1177" s="9">
        <f>IFERROR(VLOOKUP($A1177,pivot!$A:$I,計算式2026!AK$1,FALSE),0)</f>
        <v>0</v>
      </c>
      <c r="AL1177" s="9">
        <f>IFERROR(VLOOKUP($A1177,pivot!$A:$I,計算式2026!AL$1,FALSE),0)</f>
        <v>0</v>
      </c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</row>
    <row r="1178" spans="1:59" s="9" customFormat="1">
      <c r="A1178" s="8" t="s">
        <v>2692</v>
      </c>
      <c r="B1178" s="8" t="s">
        <v>2620</v>
      </c>
      <c r="C1178" s="9">
        <v>0</v>
      </c>
      <c r="D1178" s="9">
        <v>0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R1178" s="9">
        <v>0</v>
      </c>
      <c r="S1178" s="9">
        <v>1</v>
      </c>
      <c r="T1178" s="9">
        <v>0</v>
      </c>
      <c r="U1178" s="9">
        <v>0</v>
      </c>
      <c r="V1178" s="9">
        <v>1</v>
      </c>
      <c r="W1178" s="9">
        <v>0</v>
      </c>
      <c r="X1178" s="9">
        <v>0</v>
      </c>
      <c r="AE1178" s="9">
        <f>IFERROR(VLOOKUP($A1178,pivot!$A:$G,計算式2026!AE$1,FALSE),0)</f>
        <v>0</v>
      </c>
      <c r="AF1178" s="9">
        <f>IFERROR(VLOOKUP($A1178,pivot!$A:$I,計算式2026!AF$1,FALSE),0)</f>
        <v>0</v>
      </c>
      <c r="AI1178" s="9">
        <f>IFERROR(VLOOKUP($A1178,pivot!$A:$I,計算式2026!AI$1,FALSE),0)</f>
        <v>0</v>
      </c>
      <c r="AJ1178" s="9">
        <f>IFERROR(VLOOKUP($A1178,pivot!$A:$I,計算式2026!AJ$1,FALSE),0)</f>
        <v>0</v>
      </c>
      <c r="AK1178" s="9">
        <f>IFERROR(VLOOKUP($A1178,pivot!$A:$I,計算式2026!AK$1,FALSE),0)</f>
        <v>0</v>
      </c>
      <c r="AL1178" s="9">
        <f>IFERROR(VLOOKUP($A1178,pivot!$A:$I,計算式2026!AL$1,FALSE),0)</f>
        <v>0</v>
      </c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</row>
    <row r="1179" spans="1:59" s="9" customFormat="1">
      <c r="A1179" s="8" t="s">
        <v>2812</v>
      </c>
      <c r="B1179" s="8" t="s">
        <v>2620</v>
      </c>
      <c r="C1179" s="9">
        <v>0</v>
      </c>
      <c r="D1179" s="9">
        <v>0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1</v>
      </c>
      <c r="W1179" s="9">
        <v>0</v>
      </c>
      <c r="X1179" s="9">
        <v>0</v>
      </c>
      <c r="AE1179" s="9">
        <f>IFERROR(VLOOKUP($A1179,pivot!$A:$G,計算式2026!AE$1,FALSE),0)</f>
        <v>0</v>
      </c>
      <c r="AF1179" s="9">
        <f>IFERROR(VLOOKUP($A1179,pivot!$A:$I,計算式2026!AF$1,FALSE),0)</f>
        <v>0</v>
      </c>
      <c r="AI1179" s="9">
        <f>IFERROR(VLOOKUP($A1179,pivot!$A:$I,計算式2026!AI$1,FALSE),0)</f>
        <v>0</v>
      </c>
      <c r="AJ1179" s="9">
        <f>IFERROR(VLOOKUP($A1179,pivot!$A:$I,計算式2026!AJ$1,FALSE),0)</f>
        <v>0</v>
      </c>
      <c r="AK1179" s="9">
        <f>IFERROR(VLOOKUP($A1179,pivot!$A:$I,計算式2026!AK$1,FALSE),0)</f>
        <v>0</v>
      </c>
      <c r="AL1179" s="9">
        <f>IFERROR(VLOOKUP($A1179,pivot!$A:$I,計算式2026!AL$1,FALSE),0)</f>
        <v>0</v>
      </c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</row>
    <row r="1180" spans="1:59" s="9" customFormat="1">
      <c r="A1180" s="8" t="s">
        <v>753</v>
      </c>
      <c r="B1180" s="8" t="s">
        <v>2813</v>
      </c>
      <c r="C1180" s="9">
        <v>0</v>
      </c>
      <c r="D1180" s="9">
        <v>0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1</v>
      </c>
      <c r="AE1180" s="9">
        <f>IFERROR(VLOOKUP($A1180,pivot!$A:$G,計算式2026!AE$1,FALSE),0)</f>
        <v>0</v>
      </c>
      <c r="AF1180" s="9">
        <f>IFERROR(VLOOKUP($A1180,pivot!$A:$I,計算式2026!AF$1,FALSE),0)</f>
        <v>0</v>
      </c>
      <c r="AI1180" s="9">
        <f>IFERROR(VLOOKUP($A1180,pivot!$A:$I,計算式2026!AI$1,FALSE),0)</f>
        <v>0</v>
      </c>
      <c r="AJ1180" s="9">
        <f>IFERROR(VLOOKUP($A1180,pivot!$A:$I,計算式2026!AJ$1,FALSE),0)</f>
        <v>0</v>
      </c>
      <c r="AK1180" s="9">
        <f>IFERROR(VLOOKUP($A1180,pivot!$A:$I,計算式2026!AK$1,FALSE),0)</f>
        <v>0</v>
      </c>
      <c r="AL1180" s="9">
        <f>IFERROR(VLOOKUP($A1180,pivot!$A:$I,計算式2026!AL$1,FALSE),0)</f>
        <v>0</v>
      </c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</row>
    <row r="1181" spans="1:59" s="9" customFormat="1">
      <c r="A1181" s="8" t="s">
        <v>754</v>
      </c>
      <c r="B1181" s="8" t="s">
        <v>2813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R1181" s="9">
        <v>0</v>
      </c>
      <c r="S1181" s="9">
        <v>1</v>
      </c>
      <c r="T1181" s="9">
        <v>0</v>
      </c>
      <c r="U1181" s="9">
        <v>0</v>
      </c>
      <c r="V1181" s="9">
        <v>1</v>
      </c>
      <c r="W1181" s="9">
        <v>0</v>
      </c>
      <c r="X1181" s="9">
        <v>1</v>
      </c>
      <c r="AE1181" s="9">
        <f>IFERROR(VLOOKUP($A1181,pivot!$A:$G,計算式2026!AE$1,FALSE),0)</f>
        <v>0</v>
      </c>
      <c r="AF1181" s="9">
        <f>IFERROR(VLOOKUP($A1181,pivot!$A:$I,計算式2026!AF$1,FALSE),0)</f>
        <v>0</v>
      </c>
      <c r="AI1181" s="9">
        <f>IFERROR(VLOOKUP($A1181,pivot!$A:$I,計算式2026!AI$1,FALSE),0)</f>
        <v>0</v>
      </c>
      <c r="AJ1181" s="9">
        <f>IFERROR(VLOOKUP($A1181,pivot!$A:$I,計算式2026!AJ$1,FALSE),0)</f>
        <v>0</v>
      </c>
      <c r="AK1181" s="9">
        <f>IFERROR(VLOOKUP($A1181,pivot!$A:$I,計算式2026!AK$1,FALSE),0)</f>
        <v>0</v>
      </c>
      <c r="AL1181" s="9">
        <f>IFERROR(VLOOKUP($A1181,pivot!$A:$I,計算式2026!AL$1,FALSE),0)</f>
        <v>0</v>
      </c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</row>
    <row r="1182" spans="1:59" s="9" customFormat="1">
      <c r="A1182" s="8" t="s">
        <v>2814</v>
      </c>
      <c r="B1182" s="8" t="s">
        <v>2813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R1182" s="9">
        <v>1</v>
      </c>
      <c r="S1182" s="9">
        <v>1</v>
      </c>
      <c r="T1182" s="9">
        <v>0</v>
      </c>
      <c r="U1182" s="9">
        <v>0</v>
      </c>
      <c r="V1182" s="9">
        <v>0</v>
      </c>
      <c r="W1182" s="9">
        <v>0</v>
      </c>
      <c r="X1182" s="9">
        <v>1</v>
      </c>
      <c r="AE1182" s="9">
        <f>IFERROR(VLOOKUP($A1182,pivot!$A:$G,計算式2026!AE$1,FALSE),0)</f>
        <v>0</v>
      </c>
      <c r="AF1182" s="9">
        <f>IFERROR(VLOOKUP($A1182,pivot!$A:$I,計算式2026!AF$1,FALSE),0)</f>
        <v>0</v>
      </c>
      <c r="AI1182" s="9">
        <f>IFERROR(VLOOKUP($A1182,pivot!$A:$I,計算式2026!AI$1,FALSE),0)</f>
        <v>0</v>
      </c>
      <c r="AJ1182" s="9">
        <f>IFERROR(VLOOKUP($A1182,pivot!$A:$I,計算式2026!AJ$1,FALSE),0)</f>
        <v>0</v>
      </c>
      <c r="AK1182" s="9">
        <f>IFERROR(VLOOKUP($A1182,pivot!$A:$I,計算式2026!AK$1,FALSE),0)</f>
        <v>0</v>
      </c>
      <c r="AL1182" s="9">
        <f>IFERROR(VLOOKUP($A1182,pivot!$A:$I,計算式2026!AL$1,FALSE),0)</f>
        <v>0</v>
      </c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</row>
    <row r="1183" spans="1:59" s="9" customFormat="1">
      <c r="A1183" s="8" t="s">
        <v>2815</v>
      </c>
      <c r="B1183" s="8" t="s">
        <v>2813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R1183" s="9">
        <v>0</v>
      </c>
      <c r="S1183" s="9">
        <v>1</v>
      </c>
      <c r="T1183" s="9">
        <v>0</v>
      </c>
      <c r="U1183" s="9">
        <v>0</v>
      </c>
      <c r="V1183" s="9">
        <v>0</v>
      </c>
      <c r="W1183" s="9">
        <v>0</v>
      </c>
      <c r="X1183" s="9">
        <v>1</v>
      </c>
      <c r="AE1183" s="9">
        <f>IFERROR(VLOOKUP($A1183,pivot!$A:$G,計算式2026!AE$1,FALSE),0)</f>
        <v>0</v>
      </c>
      <c r="AF1183" s="9">
        <f>IFERROR(VLOOKUP($A1183,pivot!$A:$I,計算式2026!AF$1,FALSE),0)</f>
        <v>0</v>
      </c>
      <c r="AI1183" s="9">
        <f>IFERROR(VLOOKUP($A1183,pivot!$A:$I,計算式2026!AI$1,FALSE),0)</f>
        <v>0</v>
      </c>
      <c r="AJ1183" s="9">
        <f>IFERROR(VLOOKUP($A1183,pivot!$A:$I,計算式2026!AJ$1,FALSE),0)</f>
        <v>0</v>
      </c>
      <c r="AK1183" s="9">
        <f>IFERROR(VLOOKUP($A1183,pivot!$A:$I,計算式2026!AK$1,FALSE),0)</f>
        <v>0</v>
      </c>
      <c r="AL1183" s="9">
        <f>IFERROR(VLOOKUP($A1183,pivot!$A:$I,計算式2026!AL$1,FALSE),0)</f>
        <v>0</v>
      </c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</row>
    <row r="1184" spans="1:59" s="9" customFormat="1">
      <c r="A1184" s="8" t="s">
        <v>755</v>
      </c>
      <c r="B1184" s="8" t="s">
        <v>2813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1</v>
      </c>
      <c r="W1184" s="9">
        <v>0</v>
      </c>
      <c r="X1184" s="9">
        <v>0</v>
      </c>
      <c r="AE1184" s="9">
        <f>IFERROR(VLOOKUP($A1184,pivot!$A:$G,計算式2026!AE$1,FALSE),0)</f>
        <v>0</v>
      </c>
      <c r="AF1184" s="9">
        <f>IFERROR(VLOOKUP($A1184,pivot!$A:$I,計算式2026!AF$1,FALSE),0)</f>
        <v>0</v>
      </c>
      <c r="AI1184" s="9">
        <f>IFERROR(VLOOKUP($A1184,pivot!$A:$I,計算式2026!AI$1,FALSE),0)</f>
        <v>0</v>
      </c>
      <c r="AJ1184" s="9">
        <f>IFERROR(VLOOKUP($A1184,pivot!$A:$I,計算式2026!AJ$1,FALSE),0)</f>
        <v>0</v>
      </c>
      <c r="AK1184" s="9">
        <f>IFERROR(VLOOKUP($A1184,pivot!$A:$I,計算式2026!AK$1,FALSE),0)</f>
        <v>0</v>
      </c>
      <c r="AL1184" s="9">
        <f>IFERROR(VLOOKUP($A1184,pivot!$A:$I,計算式2026!AL$1,FALSE),0)</f>
        <v>0</v>
      </c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</row>
    <row r="1185" spans="1:59" s="9" customFormat="1">
      <c r="A1185" s="8" t="s">
        <v>2185</v>
      </c>
      <c r="B1185" s="8" t="s">
        <v>757</v>
      </c>
      <c r="C1185" s="9">
        <v>0</v>
      </c>
      <c r="D1185" s="9">
        <v>0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2</v>
      </c>
      <c r="W1185" s="9">
        <v>0</v>
      </c>
      <c r="X1185" s="9">
        <v>1</v>
      </c>
      <c r="AE1185" s="9">
        <f>IFERROR(VLOOKUP($A1185,pivot!$A:$G,計算式2026!AE$1,FALSE),0)</f>
        <v>0</v>
      </c>
      <c r="AF1185" s="9">
        <f>IFERROR(VLOOKUP($A1185,pivot!$A:$I,計算式2026!AF$1,FALSE),0)</f>
        <v>0</v>
      </c>
      <c r="AI1185" s="9">
        <f>IFERROR(VLOOKUP($A1185,pivot!$A:$I,計算式2026!AI$1,FALSE),0)</f>
        <v>0</v>
      </c>
      <c r="AJ1185" s="9">
        <f>IFERROR(VLOOKUP($A1185,pivot!$A:$I,計算式2026!AJ$1,FALSE),0)</f>
        <v>0</v>
      </c>
      <c r="AK1185" s="9">
        <f>IFERROR(VLOOKUP($A1185,pivot!$A:$I,計算式2026!AK$1,FALSE),0)</f>
        <v>0</v>
      </c>
      <c r="AL1185" s="9">
        <f>IFERROR(VLOOKUP($A1185,pivot!$A:$I,計算式2026!AL$1,FALSE),0)</f>
        <v>0</v>
      </c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</row>
    <row r="1186" spans="1:59" s="9" customFormat="1">
      <c r="A1186" s="8" t="s">
        <v>756</v>
      </c>
      <c r="B1186" s="8" t="s">
        <v>757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R1186" s="9">
        <v>0</v>
      </c>
      <c r="S1186" s="9">
        <v>1</v>
      </c>
      <c r="T1186" s="9">
        <v>0</v>
      </c>
      <c r="U1186" s="9">
        <v>0</v>
      </c>
      <c r="V1186" s="9">
        <v>1</v>
      </c>
      <c r="W1186" s="9">
        <v>0</v>
      </c>
      <c r="X1186" s="9">
        <v>1</v>
      </c>
      <c r="AE1186" s="9">
        <f>IFERROR(VLOOKUP($A1186,pivot!$A:$G,計算式2026!AE$1,FALSE),0)</f>
        <v>0</v>
      </c>
      <c r="AF1186" s="9">
        <f>IFERROR(VLOOKUP($A1186,pivot!$A:$I,計算式2026!AF$1,FALSE),0)</f>
        <v>0</v>
      </c>
      <c r="AI1186" s="9">
        <f>IFERROR(VLOOKUP($A1186,pivot!$A:$I,計算式2026!AI$1,FALSE),0)</f>
        <v>0</v>
      </c>
      <c r="AJ1186" s="9">
        <f>IFERROR(VLOOKUP($A1186,pivot!$A:$I,計算式2026!AJ$1,FALSE),0)</f>
        <v>0</v>
      </c>
      <c r="AK1186" s="9">
        <f>IFERROR(VLOOKUP($A1186,pivot!$A:$I,計算式2026!AK$1,FALSE),0)</f>
        <v>0</v>
      </c>
      <c r="AL1186" s="9">
        <f>IFERROR(VLOOKUP($A1186,pivot!$A:$I,計算式2026!AL$1,FALSE),0)</f>
        <v>0</v>
      </c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</row>
    <row r="1187" spans="1:59" s="9" customFormat="1">
      <c r="A1187" s="8" t="s">
        <v>758</v>
      </c>
      <c r="B1187" s="8" t="s">
        <v>757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1</v>
      </c>
      <c r="AE1187" s="9">
        <f>IFERROR(VLOOKUP($A1187,pivot!$A:$G,計算式2026!AE$1,FALSE),0)</f>
        <v>0</v>
      </c>
      <c r="AF1187" s="9">
        <f>IFERROR(VLOOKUP($A1187,pivot!$A:$I,計算式2026!AF$1,FALSE),0)</f>
        <v>0</v>
      </c>
      <c r="AI1187" s="9">
        <f>IFERROR(VLOOKUP($A1187,pivot!$A:$I,計算式2026!AI$1,FALSE),0)</f>
        <v>0</v>
      </c>
      <c r="AJ1187" s="9">
        <f>IFERROR(VLOOKUP($A1187,pivot!$A:$I,計算式2026!AJ$1,FALSE),0)</f>
        <v>0</v>
      </c>
      <c r="AK1187" s="9">
        <f>IFERROR(VLOOKUP($A1187,pivot!$A:$I,計算式2026!AK$1,FALSE),0)</f>
        <v>0</v>
      </c>
      <c r="AL1187" s="9">
        <f>IFERROR(VLOOKUP($A1187,pivot!$A:$I,計算式2026!AL$1,FALSE),0)</f>
        <v>0</v>
      </c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</row>
    <row r="1188" spans="1:59" s="9" customFormat="1">
      <c r="A1188" s="8" t="s">
        <v>759</v>
      </c>
      <c r="B1188" s="8" t="s">
        <v>757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R1188" s="9">
        <v>0</v>
      </c>
      <c r="S1188" s="9">
        <v>1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AE1188" s="9">
        <f>IFERROR(VLOOKUP($A1188,pivot!$A:$G,計算式2026!AE$1,FALSE),0)</f>
        <v>0</v>
      </c>
      <c r="AF1188" s="9">
        <f>IFERROR(VLOOKUP($A1188,pivot!$A:$I,計算式2026!AF$1,FALSE),0)</f>
        <v>0</v>
      </c>
      <c r="AI1188" s="9">
        <f>IFERROR(VLOOKUP($A1188,pivot!$A:$I,計算式2026!AI$1,FALSE),0)</f>
        <v>0</v>
      </c>
      <c r="AJ1188" s="9">
        <f>IFERROR(VLOOKUP($A1188,pivot!$A:$I,計算式2026!AJ$1,FALSE),0)</f>
        <v>0</v>
      </c>
      <c r="AK1188" s="9">
        <f>IFERROR(VLOOKUP($A1188,pivot!$A:$I,計算式2026!AK$1,FALSE),0)</f>
        <v>0</v>
      </c>
      <c r="AL1188" s="9">
        <f>IFERROR(VLOOKUP($A1188,pivot!$A:$I,計算式2026!AL$1,FALSE),0)</f>
        <v>0</v>
      </c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</row>
    <row r="1189" spans="1:59" s="9" customFormat="1">
      <c r="A1189" s="8" t="s">
        <v>760</v>
      </c>
      <c r="B1189" s="8" t="s">
        <v>757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R1189" s="9">
        <v>0</v>
      </c>
      <c r="S1189" s="9">
        <v>1</v>
      </c>
      <c r="T1189" s="9">
        <v>0</v>
      </c>
      <c r="U1189" s="9">
        <v>0</v>
      </c>
      <c r="V1189" s="9">
        <v>1</v>
      </c>
      <c r="W1189" s="9">
        <v>0</v>
      </c>
      <c r="X1189" s="9">
        <v>0</v>
      </c>
      <c r="AE1189" s="9">
        <f>IFERROR(VLOOKUP($A1189,pivot!$A:$G,計算式2026!AE$1,FALSE),0)</f>
        <v>0</v>
      </c>
      <c r="AF1189" s="9">
        <f>IFERROR(VLOOKUP($A1189,pivot!$A:$I,計算式2026!AF$1,FALSE),0)</f>
        <v>0</v>
      </c>
      <c r="AI1189" s="9">
        <f>IFERROR(VLOOKUP($A1189,pivot!$A:$I,計算式2026!AI$1,FALSE),0)</f>
        <v>0</v>
      </c>
      <c r="AJ1189" s="9">
        <f>IFERROR(VLOOKUP($A1189,pivot!$A:$I,計算式2026!AJ$1,FALSE),0)</f>
        <v>0</v>
      </c>
      <c r="AK1189" s="9">
        <f>IFERROR(VLOOKUP($A1189,pivot!$A:$I,計算式2026!AK$1,FALSE),0)</f>
        <v>0</v>
      </c>
      <c r="AL1189" s="9">
        <f>IFERROR(VLOOKUP($A1189,pivot!$A:$I,計算式2026!AL$1,FALSE),0)</f>
        <v>0</v>
      </c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</row>
    <row r="1190" spans="1:59" s="9" customFormat="1">
      <c r="A1190" s="8" t="s">
        <v>2186</v>
      </c>
      <c r="B1190" s="8" t="s">
        <v>757</v>
      </c>
      <c r="C1190" s="9">
        <v>0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1</v>
      </c>
      <c r="W1190" s="9">
        <v>0</v>
      </c>
      <c r="X1190" s="9">
        <v>1</v>
      </c>
      <c r="AE1190" s="9">
        <f>IFERROR(VLOOKUP($A1190,pivot!$A:$G,計算式2026!AE$1,FALSE),0)</f>
        <v>0</v>
      </c>
      <c r="AF1190" s="9">
        <f>IFERROR(VLOOKUP($A1190,pivot!$A:$I,計算式2026!AF$1,FALSE),0)</f>
        <v>0</v>
      </c>
      <c r="AI1190" s="9">
        <f>IFERROR(VLOOKUP($A1190,pivot!$A:$I,計算式2026!AI$1,FALSE),0)</f>
        <v>0</v>
      </c>
      <c r="AJ1190" s="9">
        <f>IFERROR(VLOOKUP($A1190,pivot!$A:$I,計算式2026!AJ$1,FALSE),0)</f>
        <v>0</v>
      </c>
      <c r="AK1190" s="9">
        <f>IFERROR(VLOOKUP($A1190,pivot!$A:$I,計算式2026!AK$1,FALSE),0)</f>
        <v>0</v>
      </c>
      <c r="AL1190" s="9">
        <f>IFERROR(VLOOKUP($A1190,pivot!$A:$I,計算式2026!AL$1,FALSE),0)</f>
        <v>0</v>
      </c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</row>
    <row r="1191" spans="1:59" s="9" customFormat="1">
      <c r="A1191" s="8" t="s">
        <v>2187</v>
      </c>
      <c r="B1191" s="8" t="s">
        <v>757</v>
      </c>
      <c r="C1191" s="9">
        <v>0</v>
      </c>
      <c r="D1191" s="9">
        <v>0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1</v>
      </c>
      <c r="W1191" s="9">
        <v>0</v>
      </c>
      <c r="X1191" s="9">
        <v>1</v>
      </c>
      <c r="AE1191" s="9">
        <f>IFERROR(VLOOKUP($A1191,pivot!$A:$G,計算式2026!AE$1,FALSE),0)</f>
        <v>0</v>
      </c>
      <c r="AF1191" s="9">
        <f>IFERROR(VLOOKUP($A1191,pivot!$A:$I,計算式2026!AF$1,FALSE),0)</f>
        <v>0</v>
      </c>
      <c r="AI1191" s="9">
        <f>IFERROR(VLOOKUP($A1191,pivot!$A:$I,計算式2026!AI$1,FALSE),0)</f>
        <v>0</v>
      </c>
      <c r="AJ1191" s="9">
        <f>IFERROR(VLOOKUP($A1191,pivot!$A:$I,計算式2026!AJ$1,FALSE),0)</f>
        <v>0</v>
      </c>
      <c r="AK1191" s="9">
        <f>IFERROR(VLOOKUP($A1191,pivot!$A:$I,計算式2026!AK$1,FALSE),0)</f>
        <v>0</v>
      </c>
      <c r="AL1191" s="9">
        <f>IFERROR(VLOOKUP($A1191,pivot!$A:$I,計算式2026!AL$1,FALSE),0)</f>
        <v>0</v>
      </c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</row>
    <row r="1192" spans="1:59" s="9" customFormat="1">
      <c r="A1192" s="8" t="s">
        <v>761</v>
      </c>
      <c r="B1192" s="8" t="s">
        <v>757</v>
      </c>
      <c r="C1192" s="9">
        <v>0</v>
      </c>
      <c r="D1192" s="9">
        <v>0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R1192" s="9">
        <v>0</v>
      </c>
      <c r="S1192" s="9">
        <v>1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AE1192" s="9">
        <f>IFERROR(VLOOKUP($A1192,pivot!$A:$G,計算式2026!AE$1,FALSE),0)</f>
        <v>0</v>
      </c>
      <c r="AF1192" s="9">
        <f>IFERROR(VLOOKUP($A1192,pivot!$A:$I,計算式2026!AF$1,FALSE),0)</f>
        <v>0</v>
      </c>
      <c r="AI1192" s="9">
        <f>IFERROR(VLOOKUP($A1192,pivot!$A:$I,計算式2026!AI$1,FALSE),0)</f>
        <v>0</v>
      </c>
      <c r="AJ1192" s="9">
        <f>IFERROR(VLOOKUP($A1192,pivot!$A:$I,計算式2026!AJ$1,FALSE),0)</f>
        <v>0</v>
      </c>
      <c r="AK1192" s="9">
        <f>IFERROR(VLOOKUP($A1192,pivot!$A:$I,計算式2026!AK$1,FALSE),0)</f>
        <v>0</v>
      </c>
      <c r="AL1192" s="9">
        <f>IFERROR(VLOOKUP($A1192,pivot!$A:$I,計算式2026!AL$1,FALSE),0)</f>
        <v>0</v>
      </c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</row>
    <row r="1193" spans="1:59" s="9" customFormat="1">
      <c r="A1193" s="8" t="s">
        <v>762</v>
      </c>
      <c r="B1193" s="8" t="s">
        <v>757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1</v>
      </c>
      <c r="AE1193" s="9">
        <f>IFERROR(VLOOKUP($A1193,pivot!$A:$G,計算式2026!AE$1,FALSE),0)</f>
        <v>0</v>
      </c>
      <c r="AF1193" s="9">
        <f>IFERROR(VLOOKUP($A1193,pivot!$A:$I,計算式2026!AF$1,FALSE),0)</f>
        <v>0</v>
      </c>
      <c r="AI1193" s="9">
        <f>IFERROR(VLOOKUP($A1193,pivot!$A:$I,計算式2026!AI$1,FALSE),0)</f>
        <v>0</v>
      </c>
      <c r="AJ1193" s="9">
        <f>IFERROR(VLOOKUP($A1193,pivot!$A:$I,計算式2026!AJ$1,FALSE),0)</f>
        <v>0</v>
      </c>
      <c r="AK1193" s="9">
        <f>IFERROR(VLOOKUP($A1193,pivot!$A:$I,計算式2026!AK$1,FALSE),0)</f>
        <v>0</v>
      </c>
      <c r="AL1193" s="9">
        <f>IFERROR(VLOOKUP($A1193,pivot!$A:$I,計算式2026!AL$1,FALSE),0)</f>
        <v>0</v>
      </c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</row>
    <row r="1194" spans="1:59" s="9" customFormat="1">
      <c r="A1194" s="8" t="s">
        <v>763</v>
      </c>
      <c r="B1194" s="8" t="s">
        <v>757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R1194" s="9">
        <v>0</v>
      </c>
      <c r="S1194" s="9">
        <v>1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AE1194" s="9">
        <f>IFERROR(VLOOKUP($A1194,pivot!$A:$G,計算式2026!AE$1,FALSE),0)</f>
        <v>0</v>
      </c>
      <c r="AF1194" s="9">
        <f>IFERROR(VLOOKUP($A1194,pivot!$A:$I,計算式2026!AF$1,FALSE),0)</f>
        <v>0</v>
      </c>
      <c r="AI1194" s="9">
        <f>IFERROR(VLOOKUP($A1194,pivot!$A:$I,計算式2026!AI$1,FALSE),0)</f>
        <v>0</v>
      </c>
      <c r="AJ1194" s="9">
        <f>IFERROR(VLOOKUP($A1194,pivot!$A:$I,計算式2026!AJ$1,FALSE),0)</f>
        <v>0</v>
      </c>
      <c r="AK1194" s="9">
        <f>IFERROR(VLOOKUP($A1194,pivot!$A:$I,計算式2026!AK$1,FALSE),0)</f>
        <v>0</v>
      </c>
      <c r="AL1194" s="9">
        <f>IFERROR(VLOOKUP($A1194,pivot!$A:$I,計算式2026!AL$1,FALSE),0)</f>
        <v>0</v>
      </c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</row>
    <row r="1195" spans="1:59" s="9" customFormat="1">
      <c r="A1195" s="8" t="s">
        <v>764</v>
      </c>
      <c r="B1195" s="8" t="s">
        <v>757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R1195" s="9">
        <v>0</v>
      </c>
      <c r="S1195" s="9">
        <v>1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AE1195" s="9">
        <f>IFERROR(VLOOKUP($A1195,pivot!$A:$G,計算式2026!AE$1,FALSE),0)</f>
        <v>0</v>
      </c>
      <c r="AF1195" s="9">
        <f>IFERROR(VLOOKUP($A1195,pivot!$A:$I,計算式2026!AF$1,FALSE),0)</f>
        <v>0</v>
      </c>
      <c r="AI1195" s="9">
        <f>IFERROR(VLOOKUP($A1195,pivot!$A:$I,計算式2026!AI$1,FALSE),0)</f>
        <v>0</v>
      </c>
      <c r="AJ1195" s="9">
        <f>IFERROR(VLOOKUP($A1195,pivot!$A:$I,計算式2026!AJ$1,FALSE),0)</f>
        <v>0</v>
      </c>
      <c r="AK1195" s="9">
        <f>IFERROR(VLOOKUP($A1195,pivot!$A:$I,計算式2026!AK$1,FALSE),0)</f>
        <v>0</v>
      </c>
      <c r="AL1195" s="9">
        <f>IFERROR(VLOOKUP($A1195,pivot!$A:$I,計算式2026!AL$1,FALSE),0)</f>
        <v>0</v>
      </c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</row>
    <row r="1196" spans="1:59" s="9" customFormat="1">
      <c r="A1196" s="8" t="s">
        <v>765</v>
      </c>
      <c r="B1196" s="8" t="s">
        <v>766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R1196" s="9">
        <v>0</v>
      </c>
      <c r="S1196" s="9">
        <v>0</v>
      </c>
      <c r="T1196" s="9">
        <v>2</v>
      </c>
      <c r="U1196" s="9">
        <v>0</v>
      </c>
      <c r="V1196" s="9">
        <v>0</v>
      </c>
      <c r="W1196" s="9">
        <v>0</v>
      </c>
      <c r="X1196" s="9">
        <v>0</v>
      </c>
      <c r="AE1196" s="9">
        <f>IFERROR(VLOOKUP($A1196,pivot!$A:$G,計算式2026!AE$1,FALSE),0)</f>
        <v>0</v>
      </c>
      <c r="AF1196" s="9">
        <f>IFERROR(VLOOKUP($A1196,pivot!$A:$I,計算式2026!AF$1,FALSE),0)</f>
        <v>0</v>
      </c>
      <c r="AI1196" s="9">
        <f>IFERROR(VLOOKUP($A1196,pivot!$A:$I,計算式2026!AI$1,FALSE),0)</f>
        <v>0</v>
      </c>
      <c r="AJ1196" s="9">
        <f>IFERROR(VLOOKUP($A1196,pivot!$A:$I,計算式2026!AJ$1,FALSE),0)</f>
        <v>0</v>
      </c>
      <c r="AK1196" s="9">
        <f>IFERROR(VLOOKUP($A1196,pivot!$A:$I,計算式2026!AK$1,FALSE),0)</f>
        <v>0</v>
      </c>
      <c r="AL1196" s="9">
        <f>IFERROR(VLOOKUP($A1196,pivot!$A:$I,計算式2026!AL$1,FALSE),0)</f>
        <v>0</v>
      </c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</row>
    <row r="1197" spans="1:59" s="9" customFormat="1">
      <c r="A1197" s="8" t="s">
        <v>767</v>
      </c>
      <c r="B1197" s="8" t="s">
        <v>766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R1197" s="9">
        <v>0</v>
      </c>
      <c r="S1197" s="9">
        <v>0</v>
      </c>
      <c r="T1197" s="9">
        <v>2</v>
      </c>
      <c r="U1197" s="9">
        <v>0</v>
      </c>
      <c r="V1197" s="9">
        <v>0</v>
      </c>
      <c r="W1197" s="9">
        <v>0</v>
      </c>
      <c r="X1197" s="9">
        <v>0</v>
      </c>
      <c r="AE1197" s="9">
        <f>IFERROR(VLOOKUP($A1197,pivot!$A:$G,計算式2026!AE$1,FALSE),0)</f>
        <v>0</v>
      </c>
      <c r="AF1197" s="9">
        <f>IFERROR(VLOOKUP($A1197,pivot!$A:$I,計算式2026!AF$1,FALSE),0)</f>
        <v>0</v>
      </c>
      <c r="AI1197" s="9">
        <f>IFERROR(VLOOKUP($A1197,pivot!$A:$I,計算式2026!AI$1,FALSE),0)</f>
        <v>0</v>
      </c>
      <c r="AJ1197" s="9">
        <f>IFERROR(VLOOKUP($A1197,pivot!$A:$I,計算式2026!AJ$1,FALSE),0)</f>
        <v>0</v>
      </c>
      <c r="AK1197" s="9">
        <f>IFERROR(VLOOKUP($A1197,pivot!$A:$I,計算式2026!AK$1,FALSE),0)</f>
        <v>0</v>
      </c>
      <c r="AL1197" s="9">
        <f>IFERROR(VLOOKUP($A1197,pivot!$A:$I,計算式2026!AL$1,FALSE),0)</f>
        <v>0</v>
      </c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</row>
    <row r="1198" spans="1:59" s="9" customFormat="1">
      <c r="A1198" s="8" t="s">
        <v>768</v>
      </c>
      <c r="B1198" s="8" t="s">
        <v>766</v>
      </c>
      <c r="C1198" s="9">
        <v>0</v>
      </c>
      <c r="D1198" s="9">
        <v>0</v>
      </c>
      <c r="E1198" s="9">
        <v>0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R1198" s="9">
        <v>1</v>
      </c>
      <c r="S1198" s="9">
        <v>0</v>
      </c>
      <c r="T1198" s="9">
        <v>2</v>
      </c>
      <c r="U1198" s="9">
        <v>0</v>
      </c>
      <c r="V1198" s="9">
        <v>0</v>
      </c>
      <c r="W1198" s="9">
        <v>0</v>
      </c>
      <c r="X1198" s="9">
        <v>0</v>
      </c>
      <c r="AE1198" s="9">
        <f>IFERROR(VLOOKUP($A1198,pivot!$A:$G,計算式2026!AE$1,FALSE),0)</f>
        <v>0</v>
      </c>
      <c r="AF1198" s="9">
        <f>IFERROR(VLOOKUP($A1198,pivot!$A:$I,計算式2026!AF$1,FALSE),0)</f>
        <v>0</v>
      </c>
      <c r="AI1198" s="9">
        <f>IFERROR(VLOOKUP($A1198,pivot!$A:$I,計算式2026!AI$1,FALSE),0)</f>
        <v>0</v>
      </c>
      <c r="AJ1198" s="9">
        <f>IFERROR(VLOOKUP($A1198,pivot!$A:$I,計算式2026!AJ$1,FALSE),0)</f>
        <v>0</v>
      </c>
      <c r="AK1198" s="9">
        <f>IFERROR(VLOOKUP($A1198,pivot!$A:$I,計算式2026!AK$1,FALSE),0)</f>
        <v>0</v>
      </c>
      <c r="AL1198" s="9">
        <f>IFERROR(VLOOKUP($A1198,pivot!$A:$I,計算式2026!AL$1,FALSE),0)</f>
        <v>0</v>
      </c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</row>
    <row r="1199" spans="1:59" s="9" customFormat="1">
      <c r="A1199" s="8" t="s">
        <v>769</v>
      </c>
      <c r="B1199" s="8" t="s">
        <v>766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R1199" s="9">
        <v>0</v>
      </c>
      <c r="S1199" s="9">
        <v>0</v>
      </c>
      <c r="T1199" s="9">
        <v>1</v>
      </c>
      <c r="U1199" s="9">
        <v>0</v>
      </c>
      <c r="V1199" s="9">
        <v>0</v>
      </c>
      <c r="W1199" s="9">
        <v>0</v>
      </c>
      <c r="X1199" s="9">
        <v>0</v>
      </c>
      <c r="AE1199" s="9">
        <f>IFERROR(VLOOKUP($A1199,pivot!$A:$G,計算式2026!AE$1,FALSE),0)</f>
        <v>0</v>
      </c>
      <c r="AF1199" s="9">
        <f>IFERROR(VLOOKUP($A1199,pivot!$A:$I,計算式2026!AF$1,FALSE),0)</f>
        <v>0</v>
      </c>
      <c r="AI1199" s="9">
        <f>IFERROR(VLOOKUP($A1199,pivot!$A:$I,計算式2026!AI$1,FALSE),0)</f>
        <v>0</v>
      </c>
      <c r="AJ1199" s="9">
        <f>IFERROR(VLOOKUP($A1199,pivot!$A:$I,計算式2026!AJ$1,FALSE),0)</f>
        <v>0</v>
      </c>
      <c r="AK1199" s="9">
        <f>IFERROR(VLOOKUP($A1199,pivot!$A:$I,計算式2026!AK$1,FALSE),0)</f>
        <v>0</v>
      </c>
      <c r="AL1199" s="9">
        <f>IFERROR(VLOOKUP($A1199,pivot!$A:$I,計算式2026!AL$1,FALSE),0)</f>
        <v>0</v>
      </c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</row>
    <row r="1200" spans="1:59" s="9" customFormat="1">
      <c r="A1200" s="8" t="s">
        <v>770</v>
      </c>
      <c r="B1200" s="8" t="s">
        <v>771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AE1200" s="9">
        <f>IFERROR(VLOOKUP($A1200,pivot!$A:$G,計算式2026!AE$1,FALSE),0)</f>
        <v>0</v>
      </c>
      <c r="AF1200" s="9">
        <f>IFERROR(VLOOKUP($A1200,pivot!$A:$I,計算式2026!AF$1,FALSE),0)</f>
        <v>0</v>
      </c>
      <c r="AI1200" s="9">
        <f>IFERROR(VLOOKUP($A1200,pivot!$A:$I,計算式2026!AI$1,FALSE),0)</f>
        <v>0</v>
      </c>
      <c r="AJ1200" s="9">
        <f>IFERROR(VLOOKUP($A1200,pivot!$A:$I,計算式2026!AJ$1,FALSE),0)</f>
        <v>0</v>
      </c>
      <c r="AK1200" s="9">
        <f>IFERROR(VLOOKUP($A1200,pivot!$A:$I,計算式2026!AK$1,FALSE),0)</f>
        <v>0</v>
      </c>
      <c r="AL1200" s="9">
        <f>IFERROR(VLOOKUP($A1200,pivot!$A:$I,計算式2026!AL$1,FALSE),0)</f>
        <v>0</v>
      </c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</row>
    <row r="1201" spans="1:59" s="9" customFormat="1">
      <c r="A1201" s="8" t="s">
        <v>772</v>
      </c>
      <c r="B1201" s="8" t="s">
        <v>771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AE1201" s="9">
        <f>IFERROR(VLOOKUP($A1201,pivot!$A:$G,計算式2026!AE$1,FALSE),0)</f>
        <v>0</v>
      </c>
      <c r="AF1201" s="9">
        <f>IFERROR(VLOOKUP($A1201,pivot!$A:$I,計算式2026!AF$1,FALSE),0)</f>
        <v>0</v>
      </c>
      <c r="AI1201" s="9">
        <f>IFERROR(VLOOKUP($A1201,pivot!$A:$I,計算式2026!AI$1,FALSE),0)</f>
        <v>0</v>
      </c>
      <c r="AJ1201" s="9">
        <f>IFERROR(VLOOKUP($A1201,pivot!$A:$I,計算式2026!AJ$1,FALSE),0)</f>
        <v>0</v>
      </c>
      <c r="AK1201" s="9">
        <f>IFERROR(VLOOKUP($A1201,pivot!$A:$I,計算式2026!AK$1,FALSE),0)</f>
        <v>0</v>
      </c>
      <c r="AL1201" s="9">
        <f>IFERROR(VLOOKUP($A1201,pivot!$A:$I,計算式2026!AL$1,FALSE),0)</f>
        <v>0</v>
      </c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</row>
    <row r="1202" spans="1:59" s="9" customFormat="1">
      <c r="A1202" s="8" t="s">
        <v>773</v>
      </c>
      <c r="B1202" s="8" t="s">
        <v>774</v>
      </c>
      <c r="C1202" s="9">
        <v>0</v>
      </c>
      <c r="D1202" s="9">
        <v>0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R1202" s="9">
        <v>0</v>
      </c>
      <c r="S1202" s="9">
        <v>1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AE1202" s="9">
        <f>IFERROR(VLOOKUP($A1202,pivot!$A:$G,計算式2026!AE$1,FALSE),0)</f>
        <v>0</v>
      </c>
      <c r="AF1202" s="9">
        <f>IFERROR(VLOOKUP($A1202,pivot!$A:$I,計算式2026!AF$1,FALSE),0)</f>
        <v>0</v>
      </c>
      <c r="AI1202" s="9">
        <f>IFERROR(VLOOKUP($A1202,pivot!$A:$I,計算式2026!AI$1,FALSE),0)</f>
        <v>0</v>
      </c>
      <c r="AJ1202" s="9">
        <f>IFERROR(VLOOKUP($A1202,pivot!$A:$I,計算式2026!AJ$1,FALSE),0)</f>
        <v>0</v>
      </c>
      <c r="AK1202" s="9">
        <f>IFERROR(VLOOKUP($A1202,pivot!$A:$I,計算式2026!AK$1,FALSE),0)</f>
        <v>0</v>
      </c>
      <c r="AL1202" s="9">
        <f>IFERROR(VLOOKUP($A1202,pivot!$A:$I,計算式2026!AL$1,FALSE),0)</f>
        <v>0</v>
      </c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</row>
    <row r="1203" spans="1:59" s="9" customFormat="1">
      <c r="A1203" s="8" t="s">
        <v>775</v>
      </c>
      <c r="B1203" s="8" t="s">
        <v>774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AE1203" s="9">
        <f>IFERROR(VLOOKUP($A1203,pivot!$A:$G,計算式2026!AE$1,FALSE),0)</f>
        <v>0</v>
      </c>
      <c r="AF1203" s="9">
        <f>IFERROR(VLOOKUP($A1203,pivot!$A:$I,計算式2026!AF$1,FALSE),0)</f>
        <v>0</v>
      </c>
      <c r="AI1203" s="9">
        <f>IFERROR(VLOOKUP($A1203,pivot!$A:$I,計算式2026!AI$1,FALSE),0)</f>
        <v>0</v>
      </c>
      <c r="AJ1203" s="9">
        <f>IFERROR(VLOOKUP($A1203,pivot!$A:$I,計算式2026!AJ$1,FALSE),0)</f>
        <v>0</v>
      </c>
      <c r="AK1203" s="9">
        <f>IFERROR(VLOOKUP($A1203,pivot!$A:$I,計算式2026!AK$1,FALSE),0)</f>
        <v>0</v>
      </c>
      <c r="AL1203" s="9">
        <f>IFERROR(VLOOKUP($A1203,pivot!$A:$I,計算式2026!AL$1,FALSE),0)</f>
        <v>0</v>
      </c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</row>
    <row r="1204" spans="1:59" s="9" customFormat="1">
      <c r="A1204" s="8" t="s">
        <v>1755</v>
      </c>
      <c r="B1204" s="8" t="s">
        <v>777</v>
      </c>
      <c r="C1204" s="9">
        <v>0</v>
      </c>
      <c r="D1204" s="9">
        <v>0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1</v>
      </c>
      <c r="AE1204" s="9">
        <f>IFERROR(VLOOKUP($A1204,pivot!$A:$G,計算式2026!AE$1,FALSE),0)</f>
        <v>0</v>
      </c>
      <c r="AF1204" s="9">
        <f>IFERROR(VLOOKUP($A1204,pivot!$A:$I,計算式2026!AF$1,FALSE),0)</f>
        <v>0</v>
      </c>
      <c r="AI1204" s="9">
        <f>IFERROR(VLOOKUP($A1204,pivot!$A:$I,計算式2026!AI$1,FALSE),0)</f>
        <v>0</v>
      </c>
      <c r="AJ1204" s="9">
        <f>IFERROR(VLOOKUP($A1204,pivot!$A:$I,計算式2026!AJ$1,FALSE),0)</f>
        <v>0</v>
      </c>
      <c r="AK1204" s="9">
        <f>IFERROR(VLOOKUP($A1204,pivot!$A:$I,計算式2026!AK$1,FALSE),0)</f>
        <v>0</v>
      </c>
      <c r="AL1204" s="9">
        <f>IFERROR(VLOOKUP($A1204,pivot!$A:$I,計算式2026!AL$1,FALSE),0)</f>
        <v>0</v>
      </c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</row>
    <row r="1205" spans="1:59" s="9" customFormat="1">
      <c r="A1205" s="8">
        <v>8146155546</v>
      </c>
      <c r="B1205" s="8" t="s">
        <v>778</v>
      </c>
      <c r="C1205" s="9">
        <v>0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1</v>
      </c>
      <c r="AE1205" s="9">
        <f>IFERROR(VLOOKUP($A1205,pivot!$A:$G,計算式2026!AE$1,FALSE),0)</f>
        <v>0</v>
      </c>
      <c r="AF1205" s="9">
        <f>IFERROR(VLOOKUP($A1205,pivot!$A:$I,計算式2026!AF$1,FALSE),0)</f>
        <v>0</v>
      </c>
      <c r="AI1205" s="9">
        <f>IFERROR(VLOOKUP($A1205,pivot!$A:$I,計算式2026!AI$1,FALSE),0)</f>
        <v>0</v>
      </c>
      <c r="AJ1205" s="9">
        <f>IFERROR(VLOOKUP($A1205,pivot!$A:$I,計算式2026!AJ$1,FALSE),0)</f>
        <v>0</v>
      </c>
      <c r="AK1205" s="9">
        <f>IFERROR(VLOOKUP($A1205,pivot!$A:$I,計算式2026!AK$1,FALSE),0)</f>
        <v>0</v>
      </c>
      <c r="AL1205" s="9">
        <f>IFERROR(VLOOKUP($A1205,pivot!$A:$I,計算式2026!AL$1,FALSE),0)</f>
        <v>0</v>
      </c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</row>
    <row r="1206" spans="1:59" s="9" customFormat="1">
      <c r="A1206" s="8">
        <v>8146155548</v>
      </c>
      <c r="B1206" s="8" t="s">
        <v>778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1</v>
      </c>
      <c r="AE1206" s="9">
        <f>IFERROR(VLOOKUP($A1206,pivot!$A:$G,計算式2026!AE$1,FALSE),0)</f>
        <v>0</v>
      </c>
      <c r="AF1206" s="9">
        <f>IFERROR(VLOOKUP($A1206,pivot!$A:$I,計算式2026!AF$1,FALSE),0)</f>
        <v>0</v>
      </c>
      <c r="AI1206" s="9">
        <f>IFERROR(VLOOKUP($A1206,pivot!$A:$I,計算式2026!AI$1,FALSE),0)</f>
        <v>0</v>
      </c>
      <c r="AJ1206" s="9">
        <f>IFERROR(VLOOKUP($A1206,pivot!$A:$I,計算式2026!AJ$1,FALSE),0)</f>
        <v>0</v>
      </c>
      <c r="AK1206" s="9">
        <f>IFERROR(VLOOKUP($A1206,pivot!$A:$I,計算式2026!AK$1,FALSE),0)</f>
        <v>0</v>
      </c>
      <c r="AL1206" s="9">
        <f>IFERROR(VLOOKUP($A1206,pivot!$A:$I,計算式2026!AL$1,FALSE),0)</f>
        <v>0</v>
      </c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</row>
    <row r="1207" spans="1:59" s="9" customFormat="1">
      <c r="A1207" s="8">
        <v>8146155550</v>
      </c>
      <c r="B1207" s="8" t="s">
        <v>778</v>
      </c>
      <c r="C1207" s="9">
        <v>0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2</v>
      </c>
      <c r="AE1207" s="9">
        <f>IFERROR(VLOOKUP($A1207,pivot!$A:$G,計算式2026!AE$1,FALSE),0)</f>
        <v>0</v>
      </c>
      <c r="AF1207" s="9">
        <f>IFERROR(VLOOKUP($A1207,pivot!$A:$I,計算式2026!AF$1,FALSE),0)</f>
        <v>0</v>
      </c>
      <c r="AI1207" s="9">
        <f>IFERROR(VLOOKUP($A1207,pivot!$A:$I,計算式2026!AI$1,FALSE),0)</f>
        <v>0</v>
      </c>
      <c r="AJ1207" s="9">
        <f>IFERROR(VLOOKUP($A1207,pivot!$A:$I,計算式2026!AJ$1,FALSE),0)</f>
        <v>0</v>
      </c>
      <c r="AK1207" s="9">
        <f>IFERROR(VLOOKUP($A1207,pivot!$A:$I,計算式2026!AK$1,FALSE),0)</f>
        <v>0</v>
      </c>
      <c r="AL1207" s="9">
        <f>IFERROR(VLOOKUP($A1207,pivot!$A:$I,計算式2026!AL$1,FALSE),0)</f>
        <v>0</v>
      </c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</row>
    <row r="1208" spans="1:59" s="9" customFormat="1">
      <c r="A1208" s="8" t="s">
        <v>2188</v>
      </c>
      <c r="B1208" s="8" t="s">
        <v>778</v>
      </c>
      <c r="C1208" s="9">
        <v>0</v>
      </c>
      <c r="D1208" s="9">
        <v>0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1</v>
      </c>
      <c r="AE1208" s="9">
        <f>IFERROR(VLOOKUP($A1208,pivot!$A:$G,計算式2026!AE$1,FALSE),0)</f>
        <v>0</v>
      </c>
      <c r="AF1208" s="9">
        <f>IFERROR(VLOOKUP($A1208,pivot!$A:$I,計算式2026!AF$1,FALSE),0)</f>
        <v>0</v>
      </c>
      <c r="AI1208" s="9">
        <f>IFERROR(VLOOKUP($A1208,pivot!$A:$I,計算式2026!AI$1,FALSE),0)</f>
        <v>0</v>
      </c>
      <c r="AJ1208" s="9">
        <f>IFERROR(VLOOKUP($A1208,pivot!$A:$I,計算式2026!AJ$1,FALSE),0)</f>
        <v>0</v>
      </c>
      <c r="AK1208" s="9">
        <f>IFERROR(VLOOKUP($A1208,pivot!$A:$I,計算式2026!AK$1,FALSE),0)</f>
        <v>0</v>
      </c>
      <c r="AL1208" s="9">
        <f>IFERROR(VLOOKUP($A1208,pivot!$A:$I,計算式2026!AL$1,FALSE),0)</f>
        <v>0</v>
      </c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</row>
    <row r="1209" spans="1:59" s="9" customFormat="1">
      <c r="A1209" s="8" t="s">
        <v>2189</v>
      </c>
      <c r="B1209" s="8" t="s">
        <v>778</v>
      </c>
      <c r="C1209" s="9">
        <v>0</v>
      </c>
      <c r="D1209" s="9">
        <v>0</v>
      </c>
      <c r="E1209" s="9">
        <v>0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1</v>
      </c>
      <c r="AE1209" s="9">
        <f>IFERROR(VLOOKUP($A1209,pivot!$A:$G,計算式2026!AE$1,FALSE),0)</f>
        <v>0</v>
      </c>
      <c r="AF1209" s="9">
        <f>IFERROR(VLOOKUP($A1209,pivot!$A:$I,計算式2026!AF$1,FALSE),0)</f>
        <v>0</v>
      </c>
      <c r="AI1209" s="9">
        <f>IFERROR(VLOOKUP($A1209,pivot!$A:$I,計算式2026!AI$1,FALSE),0)</f>
        <v>0</v>
      </c>
      <c r="AJ1209" s="9">
        <f>IFERROR(VLOOKUP($A1209,pivot!$A:$I,計算式2026!AJ$1,FALSE),0)</f>
        <v>0</v>
      </c>
      <c r="AK1209" s="9">
        <f>IFERROR(VLOOKUP($A1209,pivot!$A:$I,計算式2026!AK$1,FALSE),0)</f>
        <v>0</v>
      </c>
      <c r="AL1209" s="9">
        <f>IFERROR(VLOOKUP($A1209,pivot!$A:$I,計算式2026!AL$1,FALSE),0)</f>
        <v>0</v>
      </c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</row>
    <row r="1210" spans="1:59" s="9" customFormat="1">
      <c r="A1210" s="8" t="s">
        <v>2190</v>
      </c>
      <c r="B1210" s="8" t="s">
        <v>778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2</v>
      </c>
      <c r="AE1210" s="9">
        <f>IFERROR(VLOOKUP($A1210,pivot!$A:$G,計算式2026!AE$1,FALSE),0)</f>
        <v>0</v>
      </c>
      <c r="AF1210" s="9">
        <f>IFERROR(VLOOKUP($A1210,pivot!$A:$I,計算式2026!AF$1,FALSE),0)</f>
        <v>0</v>
      </c>
      <c r="AI1210" s="9">
        <f>IFERROR(VLOOKUP($A1210,pivot!$A:$I,計算式2026!AI$1,FALSE),0)</f>
        <v>0</v>
      </c>
      <c r="AJ1210" s="9">
        <f>IFERROR(VLOOKUP($A1210,pivot!$A:$I,計算式2026!AJ$1,FALSE),0)</f>
        <v>0</v>
      </c>
      <c r="AK1210" s="9">
        <f>IFERROR(VLOOKUP($A1210,pivot!$A:$I,計算式2026!AK$1,FALSE),0)</f>
        <v>0</v>
      </c>
      <c r="AL1210" s="9">
        <f>IFERROR(VLOOKUP($A1210,pivot!$A:$I,計算式2026!AL$1,FALSE),0)</f>
        <v>0</v>
      </c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</row>
    <row r="1211" spans="1:59" s="9" customFormat="1">
      <c r="A1211" s="8" t="s">
        <v>779</v>
      </c>
      <c r="B1211" s="8" t="s">
        <v>778</v>
      </c>
      <c r="C1211" s="9">
        <v>0</v>
      </c>
      <c r="D1211" s="9">
        <v>0</v>
      </c>
      <c r="E1211" s="9">
        <v>0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R1211" s="9">
        <v>0</v>
      </c>
      <c r="S1211" s="9">
        <v>1</v>
      </c>
      <c r="T1211" s="9">
        <v>1</v>
      </c>
      <c r="U1211" s="9">
        <v>0</v>
      </c>
      <c r="V1211" s="9">
        <v>2</v>
      </c>
      <c r="W1211" s="9">
        <v>0</v>
      </c>
      <c r="X1211" s="9">
        <v>1</v>
      </c>
      <c r="AE1211" s="9">
        <f>IFERROR(VLOOKUP($A1211,pivot!$A:$G,計算式2026!AE$1,FALSE),0)</f>
        <v>0</v>
      </c>
      <c r="AF1211" s="9">
        <f>IFERROR(VLOOKUP($A1211,pivot!$A:$I,計算式2026!AF$1,FALSE),0)</f>
        <v>0</v>
      </c>
      <c r="AI1211" s="9">
        <f>IFERROR(VLOOKUP($A1211,pivot!$A:$I,計算式2026!AI$1,FALSE),0)</f>
        <v>0</v>
      </c>
      <c r="AJ1211" s="9">
        <f>IFERROR(VLOOKUP($A1211,pivot!$A:$I,計算式2026!AJ$1,FALSE),0)</f>
        <v>0</v>
      </c>
      <c r="AK1211" s="9">
        <f>IFERROR(VLOOKUP($A1211,pivot!$A:$I,計算式2026!AK$1,FALSE),0)</f>
        <v>0</v>
      </c>
      <c r="AL1211" s="9">
        <f>IFERROR(VLOOKUP($A1211,pivot!$A:$I,計算式2026!AL$1,FALSE),0)</f>
        <v>0</v>
      </c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</row>
    <row r="1212" spans="1:59" s="9" customFormat="1">
      <c r="A1212" s="8" t="s">
        <v>780</v>
      </c>
      <c r="B1212" s="8" t="s">
        <v>778</v>
      </c>
      <c r="C1212" s="9">
        <v>0</v>
      </c>
      <c r="D1212" s="9">
        <v>0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R1212" s="9">
        <v>0</v>
      </c>
      <c r="S1212" s="9">
        <v>1</v>
      </c>
      <c r="T1212" s="9">
        <v>1</v>
      </c>
      <c r="U1212" s="9">
        <v>0</v>
      </c>
      <c r="V1212" s="9">
        <v>1</v>
      </c>
      <c r="W1212" s="9">
        <v>0</v>
      </c>
      <c r="X1212" s="9">
        <v>1</v>
      </c>
      <c r="AE1212" s="9">
        <f>IFERROR(VLOOKUP($A1212,pivot!$A:$G,計算式2026!AE$1,FALSE),0)</f>
        <v>0</v>
      </c>
      <c r="AF1212" s="9">
        <f>IFERROR(VLOOKUP($A1212,pivot!$A:$I,計算式2026!AF$1,FALSE),0)</f>
        <v>0</v>
      </c>
      <c r="AI1212" s="9">
        <f>IFERROR(VLOOKUP($A1212,pivot!$A:$I,計算式2026!AI$1,FALSE),0)</f>
        <v>0</v>
      </c>
      <c r="AJ1212" s="9">
        <f>IFERROR(VLOOKUP($A1212,pivot!$A:$I,計算式2026!AJ$1,FALSE),0)</f>
        <v>0</v>
      </c>
      <c r="AK1212" s="9">
        <f>IFERROR(VLOOKUP($A1212,pivot!$A:$I,計算式2026!AK$1,FALSE),0)</f>
        <v>0</v>
      </c>
      <c r="AL1212" s="9">
        <f>IFERROR(VLOOKUP($A1212,pivot!$A:$I,計算式2026!AL$1,FALSE),0)</f>
        <v>0</v>
      </c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</row>
    <row r="1213" spans="1:59" s="9" customFormat="1">
      <c r="A1213" s="8" t="s">
        <v>781</v>
      </c>
      <c r="B1213" s="8" t="s">
        <v>778</v>
      </c>
      <c r="C1213" s="9">
        <v>0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1</v>
      </c>
      <c r="W1213" s="9">
        <v>0</v>
      </c>
      <c r="X1213" s="9">
        <v>1</v>
      </c>
      <c r="AE1213" s="9">
        <f>IFERROR(VLOOKUP($A1213,pivot!$A:$G,計算式2026!AE$1,FALSE),0)</f>
        <v>0</v>
      </c>
      <c r="AF1213" s="9">
        <f>IFERROR(VLOOKUP($A1213,pivot!$A:$I,計算式2026!AF$1,FALSE),0)</f>
        <v>0</v>
      </c>
      <c r="AI1213" s="9">
        <f>IFERROR(VLOOKUP($A1213,pivot!$A:$I,計算式2026!AI$1,FALSE),0)</f>
        <v>0</v>
      </c>
      <c r="AJ1213" s="9">
        <f>IFERROR(VLOOKUP($A1213,pivot!$A:$I,計算式2026!AJ$1,FALSE),0)</f>
        <v>0</v>
      </c>
      <c r="AK1213" s="9">
        <f>IFERROR(VLOOKUP($A1213,pivot!$A:$I,計算式2026!AK$1,FALSE),0)</f>
        <v>0</v>
      </c>
      <c r="AL1213" s="9">
        <f>IFERROR(VLOOKUP($A1213,pivot!$A:$I,計算式2026!AL$1,FALSE),0)</f>
        <v>0</v>
      </c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</row>
    <row r="1214" spans="1:59" s="9" customFormat="1">
      <c r="A1214" s="8" t="s">
        <v>782</v>
      </c>
      <c r="B1214" s="8" t="s">
        <v>778</v>
      </c>
      <c r="C1214" s="9">
        <v>0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R1214" s="9">
        <v>0</v>
      </c>
      <c r="S1214" s="9">
        <v>1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AE1214" s="9">
        <f>IFERROR(VLOOKUP($A1214,pivot!$A:$G,計算式2026!AE$1,FALSE),0)</f>
        <v>0</v>
      </c>
      <c r="AF1214" s="9">
        <f>IFERROR(VLOOKUP($A1214,pivot!$A:$I,計算式2026!AF$1,FALSE),0)</f>
        <v>0</v>
      </c>
      <c r="AI1214" s="9">
        <f>IFERROR(VLOOKUP($A1214,pivot!$A:$I,計算式2026!AI$1,FALSE),0)</f>
        <v>0</v>
      </c>
      <c r="AJ1214" s="9">
        <f>IFERROR(VLOOKUP($A1214,pivot!$A:$I,計算式2026!AJ$1,FALSE),0)</f>
        <v>0</v>
      </c>
      <c r="AK1214" s="9">
        <f>IFERROR(VLOOKUP($A1214,pivot!$A:$I,計算式2026!AK$1,FALSE),0)</f>
        <v>0</v>
      </c>
      <c r="AL1214" s="9">
        <f>IFERROR(VLOOKUP($A1214,pivot!$A:$I,計算式2026!AL$1,FALSE),0)</f>
        <v>0</v>
      </c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</row>
    <row r="1215" spans="1:59" s="9" customFormat="1">
      <c r="A1215" s="8" t="s">
        <v>783</v>
      </c>
      <c r="B1215" s="8" t="s">
        <v>778</v>
      </c>
      <c r="C1215" s="9">
        <v>0</v>
      </c>
      <c r="D1215" s="9">
        <v>0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R1215" s="9">
        <v>0</v>
      </c>
      <c r="S1215" s="9">
        <v>2</v>
      </c>
      <c r="T1215" s="9">
        <v>1</v>
      </c>
      <c r="U1215" s="9">
        <v>0</v>
      </c>
      <c r="V1215" s="9">
        <v>2</v>
      </c>
      <c r="W1215" s="9">
        <v>0</v>
      </c>
      <c r="X1215" s="9">
        <v>1</v>
      </c>
      <c r="AE1215" s="9">
        <f>IFERROR(VLOOKUP($A1215,pivot!$A:$G,計算式2026!AE$1,FALSE),0)</f>
        <v>0</v>
      </c>
      <c r="AF1215" s="9">
        <f>IFERROR(VLOOKUP($A1215,pivot!$A:$I,計算式2026!AF$1,FALSE),0)</f>
        <v>0</v>
      </c>
      <c r="AI1215" s="9">
        <f>IFERROR(VLOOKUP($A1215,pivot!$A:$I,計算式2026!AI$1,FALSE),0)</f>
        <v>0</v>
      </c>
      <c r="AJ1215" s="9">
        <f>IFERROR(VLOOKUP($A1215,pivot!$A:$I,計算式2026!AJ$1,FALSE),0)</f>
        <v>0</v>
      </c>
      <c r="AK1215" s="9">
        <f>IFERROR(VLOOKUP($A1215,pivot!$A:$I,計算式2026!AK$1,FALSE),0)</f>
        <v>0</v>
      </c>
      <c r="AL1215" s="9">
        <f>IFERROR(VLOOKUP($A1215,pivot!$A:$I,計算式2026!AL$1,FALSE),0)</f>
        <v>0</v>
      </c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</row>
    <row r="1216" spans="1:59" s="9" customFormat="1">
      <c r="A1216" s="8" t="s">
        <v>784</v>
      </c>
      <c r="B1216" s="8" t="s">
        <v>778</v>
      </c>
      <c r="C1216" s="9">
        <v>0</v>
      </c>
      <c r="D1216" s="9">
        <v>0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R1216" s="9">
        <v>0</v>
      </c>
      <c r="S1216" s="9">
        <v>1</v>
      </c>
      <c r="T1216" s="9">
        <v>1</v>
      </c>
      <c r="U1216" s="9">
        <v>0</v>
      </c>
      <c r="V1216" s="9">
        <v>1</v>
      </c>
      <c r="W1216" s="9">
        <v>0</v>
      </c>
      <c r="X1216" s="9">
        <v>1</v>
      </c>
      <c r="AE1216" s="9">
        <f>IFERROR(VLOOKUP($A1216,pivot!$A:$G,計算式2026!AE$1,FALSE),0)</f>
        <v>0</v>
      </c>
      <c r="AF1216" s="9">
        <f>IFERROR(VLOOKUP($A1216,pivot!$A:$I,計算式2026!AF$1,FALSE),0)</f>
        <v>0</v>
      </c>
      <c r="AI1216" s="9">
        <f>IFERROR(VLOOKUP($A1216,pivot!$A:$I,計算式2026!AI$1,FALSE),0)</f>
        <v>0</v>
      </c>
      <c r="AJ1216" s="9">
        <f>IFERROR(VLOOKUP($A1216,pivot!$A:$I,計算式2026!AJ$1,FALSE),0)</f>
        <v>0</v>
      </c>
      <c r="AK1216" s="9">
        <f>IFERROR(VLOOKUP($A1216,pivot!$A:$I,計算式2026!AK$1,FALSE),0)</f>
        <v>0</v>
      </c>
      <c r="AL1216" s="9">
        <f>IFERROR(VLOOKUP($A1216,pivot!$A:$I,計算式2026!AL$1,FALSE),0)</f>
        <v>0</v>
      </c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</row>
    <row r="1217" spans="1:59" s="9" customFormat="1">
      <c r="A1217" s="8">
        <v>8147103046</v>
      </c>
      <c r="B1217" s="8" t="s">
        <v>785</v>
      </c>
      <c r="C1217" s="9">
        <v>0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1</v>
      </c>
      <c r="W1217" s="9">
        <v>0</v>
      </c>
      <c r="X1217" s="9">
        <v>0</v>
      </c>
      <c r="AE1217" s="9">
        <f>IFERROR(VLOOKUP($A1217,pivot!$A:$G,計算式2026!AE$1,FALSE),0)</f>
        <v>0</v>
      </c>
      <c r="AF1217" s="9">
        <f>IFERROR(VLOOKUP($A1217,pivot!$A:$I,計算式2026!AF$1,FALSE),0)</f>
        <v>0</v>
      </c>
      <c r="AI1217" s="9">
        <f>IFERROR(VLOOKUP($A1217,pivot!$A:$I,計算式2026!AI$1,FALSE),0)</f>
        <v>0</v>
      </c>
      <c r="AJ1217" s="9">
        <f>IFERROR(VLOOKUP($A1217,pivot!$A:$I,計算式2026!AJ$1,FALSE),0)</f>
        <v>0</v>
      </c>
      <c r="AK1217" s="9">
        <f>IFERROR(VLOOKUP($A1217,pivot!$A:$I,計算式2026!AK$1,FALSE),0)</f>
        <v>0</v>
      </c>
      <c r="AL1217" s="9">
        <f>IFERROR(VLOOKUP($A1217,pivot!$A:$I,計算式2026!AL$1,FALSE),0)</f>
        <v>0</v>
      </c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</row>
    <row r="1218" spans="1:59" s="9" customFormat="1">
      <c r="A1218" s="8">
        <v>8147103048</v>
      </c>
      <c r="B1218" s="8" t="s">
        <v>785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R1218" s="9">
        <v>0</v>
      </c>
      <c r="S1218" s="9">
        <v>0</v>
      </c>
      <c r="T1218" s="9">
        <v>1</v>
      </c>
      <c r="U1218" s="9">
        <v>0</v>
      </c>
      <c r="V1218" s="9">
        <v>0</v>
      </c>
      <c r="W1218" s="9">
        <v>0</v>
      </c>
      <c r="X1218" s="9">
        <v>0</v>
      </c>
      <c r="AE1218" s="9">
        <f>IFERROR(VLOOKUP($A1218,pivot!$A:$G,計算式2026!AE$1,FALSE),0)</f>
        <v>0</v>
      </c>
      <c r="AF1218" s="9">
        <f>IFERROR(VLOOKUP($A1218,pivot!$A:$I,計算式2026!AF$1,FALSE),0)</f>
        <v>0</v>
      </c>
      <c r="AI1218" s="9">
        <f>IFERROR(VLOOKUP($A1218,pivot!$A:$I,計算式2026!AI$1,FALSE),0)</f>
        <v>0</v>
      </c>
      <c r="AJ1218" s="9">
        <f>IFERROR(VLOOKUP($A1218,pivot!$A:$I,計算式2026!AJ$1,FALSE),0)</f>
        <v>0</v>
      </c>
      <c r="AK1218" s="9">
        <f>IFERROR(VLOOKUP($A1218,pivot!$A:$I,計算式2026!AK$1,FALSE),0)</f>
        <v>0</v>
      </c>
      <c r="AL1218" s="9">
        <f>IFERROR(VLOOKUP($A1218,pivot!$A:$I,計算式2026!AL$1,FALSE),0)</f>
        <v>0</v>
      </c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</row>
    <row r="1219" spans="1:59" s="9" customFormat="1">
      <c r="A1219" s="8">
        <v>8147103050</v>
      </c>
      <c r="B1219" s="8" t="s">
        <v>785</v>
      </c>
      <c r="C1219" s="9">
        <v>0</v>
      </c>
      <c r="D1219" s="9">
        <v>0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R1219" s="9">
        <v>0</v>
      </c>
      <c r="S1219" s="9">
        <v>0</v>
      </c>
      <c r="T1219" s="9">
        <v>2</v>
      </c>
      <c r="U1219" s="9">
        <v>0</v>
      </c>
      <c r="V1219" s="9">
        <v>0</v>
      </c>
      <c r="W1219" s="9">
        <v>0</v>
      </c>
      <c r="X1219" s="9">
        <v>0</v>
      </c>
      <c r="AE1219" s="9">
        <f>IFERROR(VLOOKUP($A1219,pivot!$A:$G,計算式2026!AE$1,FALSE),0)</f>
        <v>0</v>
      </c>
      <c r="AF1219" s="9">
        <f>IFERROR(VLOOKUP($A1219,pivot!$A:$I,計算式2026!AF$1,FALSE),0)</f>
        <v>0</v>
      </c>
      <c r="AI1219" s="9">
        <f>IFERROR(VLOOKUP($A1219,pivot!$A:$I,計算式2026!AI$1,FALSE),0)</f>
        <v>0</v>
      </c>
      <c r="AJ1219" s="9">
        <f>IFERROR(VLOOKUP($A1219,pivot!$A:$I,計算式2026!AJ$1,FALSE),0)</f>
        <v>0</v>
      </c>
      <c r="AK1219" s="9">
        <f>IFERROR(VLOOKUP($A1219,pivot!$A:$I,計算式2026!AK$1,FALSE),0)</f>
        <v>0</v>
      </c>
      <c r="AL1219" s="9">
        <f>IFERROR(VLOOKUP($A1219,pivot!$A:$I,計算式2026!AL$1,FALSE),0)</f>
        <v>0</v>
      </c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</row>
    <row r="1220" spans="1:59" s="9" customFormat="1">
      <c r="A1220" s="8">
        <v>8147163346</v>
      </c>
      <c r="B1220" s="8" t="s">
        <v>785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R1220" s="9">
        <v>0</v>
      </c>
      <c r="S1220" s="9">
        <v>0</v>
      </c>
      <c r="T1220" s="9">
        <v>1</v>
      </c>
      <c r="U1220" s="9">
        <v>0</v>
      </c>
      <c r="V1220" s="9">
        <v>0</v>
      </c>
      <c r="W1220" s="9">
        <v>0</v>
      </c>
      <c r="X1220" s="9">
        <v>1</v>
      </c>
      <c r="AE1220" s="9">
        <f>IFERROR(VLOOKUP($A1220,pivot!$A:$G,計算式2026!AE$1,FALSE),0)</f>
        <v>0</v>
      </c>
      <c r="AF1220" s="9">
        <f>IFERROR(VLOOKUP($A1220,pivot!$A:$I,計算式2026!AF$1,FALSE),0)</f>
        <v>0</v>
      </c>
      <c r="AI1220" s="9">
        <f>IFERROR(VLOOKUP($A1220,pivot!$A:$I,計算式2026!AI$1,FALSE),0)</f>
        <v>0</v>
      </c>
      <c r="AJ1220" s="9">
        <f>IFERROR(VLOOKUP($A1220,pivot!$A:$I,計算式2026!AJ$1,FALSE),0)</f>
        <v>0</v>
      </c>
      <c r="AK1220" s="9">
        <f>IFERROR(VLOOKUP($A1220,pivot!$A:$I,計算式2026!AK$1,FALSE),0)</f>
        <v>0</v>
      </c>
      <c r="AL1220" s="9">
        <f>IFERROR(VLOOKUP($A1220,pivot!$A:$I,計算式2026!AL$1,FALSE),0)</f>
        <v>0</v>
      </c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</row>
    <row r="1221" spans="1:59" s="9" customFormat="1">
      <c r="A1221" s="8">
        <v>8147163348</v>
      </c>
      <c r="B1221" s="8" t="s">
        <v>785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R1221" s="9">
        <v>0</v>
      </c>
      <c r="S1221" s="9">
        <v>0</v>
      </c>
      <c r="T1221" s="9">
        <v>2</v>
      </c>
      <c r="U1221" s="9">
        <v>0</v>
      </c>
      <c r="V1221" s="9">
        <v>0</v>
      </c>
      <c r="W1221" s="9">
        <v>0</v>
      </c>
      <c r="X1221" s="9">
        <v>2</v>
      </c>
      <c r="AE1221" s="9">
        <f>IFERROR(VLOOKUP($A1221,pivot!$A:$G,計算式2026!AE$1,FALSE),0)</f>
        <v>0</v>
      </c>
      <c r="AF1221" s="9">
        <f>IFERROR(VLOOKUP($A1221,pivot!$A:$I,計算式2026!AF$1,FALSE),0)</f>
        <v>0</v>
      </c>
      <c r="AI1221" s="9">
        <f>IFERROR(VLOOKUP($A1221,pivot!$A:$I,計算式2026!AI$1,FALSE),0)</f>
        <v>0</v>
      </c>
      <c r="AJ1221" s="9">
        <f>IFERROR(VLOOKUP($A1221,pivot!$A:$I,計算式2026!AJ$1,FALSE),0)</f>
        <v>0</v>
      </c>
      <c r="AK1221" s="9">
        <f>IFERROR(VLOOKUP($A1221,pivot!$A:$I,計算式2026!AK$1,FALSE),0)</f>
        <v>0</v>
      </c>
      <c r="AL1221" s="9">
        <f>IFERROR(VLOOKUP($A1221,pivot!$A:$I,計算式2026!AL$1,FALSE),0)</f>
        <v>0</v>
      </c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</row>
    <row r="1222" spans="1:59" s="9" customFormat="1">
      <c r="A1222" s="8" t="s">
        <v>786</v>
      </c>
      <c r="B1222" s="8" t="s">
        <v>787</v>
      </c>
      <c r="C1222" s="9">
        <v>0</v>
      </c>
      <c r="D1222" s="9">
        <v>0</v>
      </c>
      <c r="E1222" s="9">
        <v>0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AE1222" s="9">
        <f>IFERROR(VLOOKUP($A1222,pivot!$A:$G,計算式2026!AE$1,FALSE),0)</f>
        <v>0</v>
      </c>
      <c r="AF1222" s="9">
        <f>IFERROR(VLOOKUP($A1222,pivot!$A:$I,計算式2026!AF$1,FALSE),0)</f>
        <v>0</v>
      </c>
      <c r="AI1222" s="9">
        <f>IFERROR(VLOOKUP($A1222,pivot!$A:$I,計算式2026!AI$1,FALSE),0)</f>
        <v>0</v>
      </c>
      <c r="AJ1222" s="9">
        <f>IFERROR(VLOOKUP($A1222,pivot!$A:$I,計算式2026!AJ$1,FALSE),0)</f>
        <v>0</v>
      </c>
      <c r="AK1222" s="9">
        <f>IFERROR(VLOOKUP($A1222,pivot!$A:$I,計算式2026!AK$1,FALSE),0)</f>
        <v>0</v>
      </c>
      <c r="AL1222" s="9">
        <f>IFERROR(VLOOKUP($A1222,pivot!$A:$I,計算式2026!AL$1,FALSE),0)</f>
        <v>0</v>
      </c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</row>
    <row r="1223" spans="1:59" s="9" customFormat="1">
      <c r="A1223" s="8" t="s">
        <v>788</v>
      </c>
      <c r="B1223" s="8" t="s">
        <v>787</v>
      </c>
      <c r="C1223" s="9">
        <v>0</v>
      </c>
      <c r="D1223" s="9">
        <v>0</v>
      </c>
      <c r="E1223" s="9">
        <v>0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AE1223" s="9">
        <f>IFERROR(VLOOKUP($A1223,pivot!$A:$G,計算式2026!AE$1,FALSE),0)</f>
        <v>0</v>
      </c>
      <c r="AF1223" s="9">
        <f>IFERROR(VLOOKUP($A1223,pivot!$A:$I,計算式2026!AF$1,FALSE),0)</f>
        <v>0</v>
      </c>
      <c r="AI1223" s="9">
        <f>IFERROR(VLOOKUP($A1223,pivot!$A:$I,計算式2026!AI$1,FALSE),0)</f>
        <v>0</v>
      </c>
      <c r="AJ1223" s="9">
        <f>IFERROR(VLOOKUP($A1223,pivot!$A:$I,計算式2026!AJ$1,FALSE),0)</f>
        <v>0</v>
      </c>
      <c r="AK1223" s="9">
        <f>IFERROR(VLOOKUP($A1223,pivot!$A:$I,計算式2026!AK$1,FALSE),0)</f>
        <v>0</v>
      </c>
      <c r="AL1223" s="9">
        <f>IFERROR(VLOOKUP($A1223,pivot!$A:$I,計算式2026!AL$1,FALSE),0)</f>
        <v>0</v>
      </c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</row>
    <row r="1224" spans="1:59" s="9" customFormat="1">
      <c r="A1224" s="8" t="s">
        <v>2191</v>
      </c>
      <c r="B1224" s="8" t="s">
        <v>2192</v>
      </c>
      <c r="C1224" s="9">
        <v>5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R1224" s="9">
        <v>0</v>
      </c>
      <c r="S1224" s="9">
        <v>0</v>
      </c>
      <c r="T1224" s="9">
        <v>1</v>
      </c>
      <c r="U1224" s="9">
        <v>0</v>
      </c>
      <c r="V1224" s="9">
        <v>0</v>
      </c>
      <c r="W1224" s="9">
        <v>0</v>
      </c>
      <c r="X1224" s="9">
        <v>1</v>
      </c>
      <c r="AE1224" s="9">
        <f>IFERROR(VLOOKUP($A1224,pivot!$A:$G,計算式2026!AE$1,FALSE),0)</f>
        <v>0</v>
      </c>
      <c r="AF1224" s="9">
        <f>IFERROR(VLOOKUP($A1224,pivot!$A:$I,計算式2026!AF$1,FALSE),0)</f>
        <v>0</v>
      </c>
      <c r="AI1224" s="9">
        <f>IFERROR(VLOOKUP($A1224,pivot!$A:$I,計算式2026!AI$1,FALSE),0)</f>
        <v>0</v>
      </c>
      <c r="AJ1224" s="9">
        <f>IFERROR(VLOOKUP($A1224,pivot!$A:$I,計算式2026!AJ$1,FALSE),0)</f>
        <v>0</v>
      </c>
      <c r="AK1224" s="9">
        <f>IFERROR(VLOOKUP($A1224,pivot!$A:$I,計算式2026!AK$1,FALSE),0)</f>
        <v>0</v>
      </c>
      <c r="AL1224" s="9">
        <f>IFERROR(VLOOKUP($A1224,pivot!$A:$I,計算式2026!AL$1,FALSE),0)</f>
        <v>0</v>
      </c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</row>
    <row r="1225" spans="1:59" s="9" customFormat="1">
      <c r="A1225" s="8" t="s">
        <v>2193</v>
      </c>
      <c r="B1225" s="8" t="s">
        <v>2192</v>
      </c>
      <c r="C1225" s="9">
        <v>1</v>
      </c>
      <c r="D1225" s="9">
        <v>0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1</v>
      </c>
      <c r="AE1225" s="9">
        <f>IFERROR(VLOOKUP($A1225,pivot!$A:$G,計算式2026!AE$1,FALSE),0)</f>
        <v>0</v>
      </c>
      <c r="AF1225" s="9">
        <f>IFERROR(VLOOKUP($A1225,pivot!$A:$I,計算式2026!AF$1,FALSE),0)</f>
        <v>0</v>
      </c>
      <c r="AI1225" s="9">
        <f>IFERROR(VLOOKUP($A1225,pivot!$A:$I,計算式2026!AI$1,FALSE),0)</f>
        <v>0</v>
      </c>
      <c r="AJ1225" s="9">
        <f>IFERROR(VLOOKUP($A1225,pivot!$A:$I,計算式2026!AJ$1,FALSE),0)</f>
        <v>0</v>
      </c>
      <c r="AK1225" s="9">
        <f>IFERROR(VLOOKUP($A1225,pivot!$A:$I,計算式2026!AK$1,FALSE),0)</f>
        <v>0</v>
      </c>
      <c r="AL1225" s="9">
        <f>IFERROR(VLOOKUP($A1225,pivot!$A:$I,計算式2026!AL$1,FALSE),0)</f>
        <v>0</v>
      </c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</row>
    <row r="1226" spans="1:59" s="9" customFormat="1">
      <c r="A1226" s="8" t="s">
        <v>2194</v>
      </c>
      <c r="B1226" s="8" t="s">
        <v>2192</v>
      </c>
      <c r="C1226" s="9">
        <v>12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R1226" s="9">
        <v>0</v>
      </c>
      <c r="S1226" s="9">
        <v>0</v>
      </c>
      <c r="T1226" s="9">
        <v>1</v>
      </c>
      <c r="U1226" s="9">
        <v>0</v>
      </c>
      <c r="V1226" s="9">
        <v>0</v>
      </c>
      <c r="W1226" s="9">
        <v>0</v>
      </c>
      <c r="X1226" s="9">
        <v>1</v>
      </c>
      <c r="AE1226" s="9">
        <f>IFERROR(VLOOKUP($A1226,pivot!$A:$G,計算式2026!AE$1,FALSE),0)</f>
        <v>0</v>
      </c>
      <c r="AF1226" s="9">
        <f>IFERROR(VLOOKUP($A1226,pivot!$A:$I,計算式2026!AF$1,FALSE),0)</f>
        <v>0</v>
      </c>
      <c r="AI1226" s="9">
        <f>IFERROR(VLOOKUP($A1226,pivot!$A:$I,計算式2026!AI$1,FALSE),0)</f>
        <v>0</v>
      </c>
      <c r="AJ1226" s="9">
        <f>IFERROR(VLOOKUP($A1226,pivot!$A:$I,計算式2026!AJ$1,FALSE),0)</f>
        <v>1</v>
      </c>
      <c r="AK1226" s="9">
        <f>IFERROR(VLOOKUP($A1226,pivot!$A:$I,計算式2026!AK$1,FALSE),0)</f>
        <v>0</v>
      </c>
      <c r="AL1226" s="9">
        <f>IFERROR(VLOOKUP($A1226,pivot!$A:$I,計算式2026!AL$1,FALSE),0)</f>
        <v>0</v>
      </c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</row>
    <row r="1227" spans="1:59" s="9" customFormat="1">
      <c r="A1227" s="8" t="s">
        <v>2195</v>
      </c>
      <c r="B1227" s="8" t="s">
        <v>2192</v>
      </c>
      <c r="C1227" s="9">
        <v>5</v>
      </c>
      <c r="D1227" s="9">
        <v>0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1</v>
      </c>
      <c r="AE1227" s="9">
        <f>IFERROR(VLOOKUP($A1227,pivot!$A:$G,計算式2026!AE$1,FALSE),0)</f>
        <v>0</v>
      </c>
      <c r="AF1227" s="9">
        <f>IFERROR(VLOOKUP($A1227,pivot!$A:$I,計算式2026!AF$1,FALSE),0)</f>
        <v>0</v>
      </c>
      <c r="AI1227" s="9">
        <f>IFERROR(VLOOKUP($A1227,pivot!$A:$I,計算式2026!AI$1,FALSE),0)</f>
        <v>0</v>
      </c>
      <c r="AJ1227" s="9">
        <f>IFERROR(VLOOKUP($A1227,pivot!$A:$I,計算式2026!AJ$1,FALSE),0)</f>
        <v>0</v>
      </c>
      <c r="AK1227" s="9">
        <f>IFERROR(VLOOKUP($A1227,pivot!$A:$I,計算式2026!AK$1,FALSE),0)</f>
        <v>0</v>
      </c>
      <c r="AL1227" s="9">
        <f>IFERROR(VLOOKUP($A1227,pivot!$A:$I,計算式2026!AL$1,FALSE),0)</f>
        <v>0</v>
      </c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</row>
    <row r="1228" spans="1:59" s="9" customFormat="1">
      <c r="A1228" s="8" t="s">
        <v>790</v>
      </c>
      <c r="B1228" s="8" t="s">
        <v>789</v>
      </c>
      <c r="C1228" s="9">
        <v>1</v>
      </c>
      <c r="D1228" s="9">
        <v>0</v>
      </c>
      <c r="E1228" s="9">
        <v>0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AE1228" s="9">
        <f>IFERROR(VLOOKUP($A1228,pivot!$A:$G,計算式2026!AE$1,FALSE),0)</f>
        <v>0</v>
      </c>
      <c r="AF1228" s="9">
        <f>IFERROR(VLOOKUP($A1228,pivot!$A:$I,計算式2026!AF$1,FALSE),0)</f>
        <v>0</v>
      </c>
      <c r="AI1228" s="9">
        <f>IFERROR(VLOOKUP($A1228,pivot!$A:$I,計算式2026!AI$1,FALSE),0)</f>
        <v>0</v>
      </c>
      <c r="AJ1228" s="9">
        <f>IFERROR(VLOOKUP($A1228,pivot!$A:$I,計算式2026!AJ$1,FALSE),0)</f>
        <v>0</v>
      </c>
      <c r="AK1228" s="9">
        <f>IFERROR(VLOOKUP($A1228,pivot!$A:$I,計算式2026!AK$1,FALSE),0)</f>
        <v>0</v>
      </c>
      <c r="AL1228" s="9">
        <f>IFERROR(VLOOKUP($A1228,pivot!$A:$I,計算式2026!AL$1,FALSE),0)</f>
        <v>0</v>
      </c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</row>
    <row r="1229" spans="1:59" s="9" customFormat="1">
      <c r="A1229" s="8" t="s">
        <v>791</v>
      </c>
      <c r="B1229" s="8" t="s">
        <v>789</v>
      </c>
      <c r="C1229" s="9">
        <v>1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R1229" s="9">
        <v>0</v>
      </c>
      <c r="S1229" s="9">
        <v>0</v>
      </c>
      <c r="T1229" s="9">
        <v>1</v>
      </c>
      <c r="U1229" s="9">
        <v>0</v>
      </c>
      <c r="V1229" s="9">
        <v>0</v>
      </c>
      <c r="W1229" s="9">
        <v>0</v>
      </c>
      <c r="X1229" s="9">
        <v>0</v>
      </c>
      <c r="AE1229" s="9">
        <f>IFERROR(VLOOKUP($A1229,pivot!$A:$G,計算式2026!AE$1,FALSE),0)</f>
        <v>0</v>
      </c>
      <c r="AF1229" s="9">
        <f>IFERROR(VLOOKUP($A1229,pivot!$A:$I,計算式2026!AF$1,FALSE),0)</f>
        <v>0</v>
      </c>
      <c r="AI1229" s="9">
        <f>IFERROR(VLOOKUP($A1229,pivot!$A:$I,計算式2026!AI$1,FALSE),0)</f>
        <v>0</v>
      </c>
      <c r="AJ1229" s="9">
        <f>IFERROR(VLOOKUP($A1229,pivot!$A:$I,計算式2026!AJ$1,FALSE),0)</f>
        <v>0</v>
      </c>
      <c r="AK1229" s="9">
        <f>IFERROR(VLOOKUP($A1229,pivot!$A:$I,計算式2026!AK$1,FALSE),0)</f>
        <v>0</v>
      </c>
      <c r="AL1229" s="9">
        <f>IFERROR(VLOOKUP($A1229,pivot!$A:$I,計算式2026!AL$1,FALSE),0)</f>
        <v>0</v>
      </c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</row>
    <row r="1230" spans="1:59" s="9" customFormat="1">
      <c r="A1230" s="8" t="s">
        <v>792</v>
      </c>
      <c r="B1230" s="8" t="s">
        <v>789</v>
      </c>
      <c r="C1230" s="9">
        <v>1</v>
      </c>
      <c r="D1230" s="9">
        <v>0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R1230" s="9">
        <v>0</v>
      </c>
      <c r="S1230" s="9">
        <v>0</v>
      </c>
      <c r="T1230" s="9">
        <v>1</v>
      </c>
      <c r="U1230" s="9">
        <v>0</v>
      </c>
      <c r="V1230" s="9">
        <v>0</v>
      </c>
      <c r="W1230" s="9">
        <v>0</v>
      </c>
      <c r="X1230" s="9">
        <v>0</v>
      </c>
      <c r="AE1230" s="9">
        <f>IFERROR(VLOOKUP($A1230,pivot!$A:$G,計算式2026!AE$1,FALSE),0)</f>
        <v>0</v>
      </c>
      <c r="AF1230" s="9">
        <f>IFERROR(VLOOKUP($A1230,pivot!$A:$I,計算式2026!AF$1,FALSE),0)</f>
        <v>0</v>
      </c>
      <c r="AI1230" s="9">
        <f>IFERROR(VLOOKUP($A1230,pivot!$A:$I,計算式2026!AI$1,FALSE),0)</f>
        <v>0</v>
      </c>
      <c r="AJ1230" s="9">
        <f>IFERROR(VLOOKUP($A1230,pivot!$A:$I,計算式2026!AJ$1,FALSE),0)</f>
        <v>0</v>
      </c>
      <c r="AK1230" s="9">
        <f>IFERROR(VLOOKUP($A1230,pivot!$A:$I,計算式2026!AK$1,FALSE),0)</f>
        <v>0</v>
      </c>
      <c r="AL1230" s="9">
        <f>IFERROR(VLOOKUP($A1230,pivot!$A:$I,計算式2026!AL$1,FALSE),0)</f>
        <v>0</v>
      </c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</row>
    <row r="1231" spans="1:59" s="9" customFormat="1">
      <c r="A1231" s="8" t="s">
        <v>793</v>
      </c>
      <c r="B1231" s="8" t="s">
        <v>789</v>
      </c>
      <c r="C1231" s="9">
        <v>1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0</v>
      </c>
      <c r="R1231" s="9">
        <v>0</v>
      </c>
      <c r="S1231" s="9">
        <v>0</v>
      </c>
      <c r="T1231" s="9">
        <v>1</v>
      </c>
      <c r="U1231" s="9">
        <v>0</v>
      </c>
      <c r="V1231" s="9">
        <v>0</v>
      </c>
      <c r="W1231" s="9">
        <v>0</v>
      </c>
      <c r="X1231" s="9">
        <v>0</v>
      </c>
      <c r="AE1231" s="9">
        <f>IFERROR(VLOOKUP($A1231,pivot!$A:$G,計算式2026!AE$1,FALSE),0)</f>
        <v>0</v>
      </c>
      <c r="AF1231" s="9">
        <f>IFERROR(VLOOKUP($A1231,pivot!$A:$I,計算式2026!AF$1,FALSE),0)</f>
        <v>0</v>
      </c>
      <c r="AI1231" s="9">
        <f>IFERROR(VLOOKUP($A1231,pivot!$A:$I,計算式2026!AI$1,FALSE),0)</f>
        <v>0</v>
      </c>
      <c r="AJ1231" s="9">
        <f>IFERROR(VLOOKUP($A1231,pivot!$A:$I,計算式2026!AJ$1,FALSE),0)</f>
        <v>0</v>
      </c>
      <c r="AK1231" s="9">
        <f>IFERROR(VLOOKUP($A1231,pivot!$A:$I,計算式2026!AK$1,FALSE),0)</f>
        <v>0</v>
      </c>
      <c r="AL1231" s="9">
        <f>IFERROR(VLOOKUP($A1231,pivot!$A:$I,計算式2026!AL$1,FALSE),0)</f>
        <v>0</v>
      </c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</row>
    <row r="1232" spans="1:59" s="9" customFormat="1">
      <c r="A1232" s="8" t="s">
        <v>794</v>
      </c>
      <c r="B1232" s="8" t="s">
        <v>789</v>
      </c>
      <c r="C1232" s="9">
        <v>2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R1232" s="9">
        <v>0</v>
      </c>
      <c r="S1232" s="9">
        <v>0</v>
      </c>
      <c r="T1232" s="9">
        <v>1</v>
      </c>
      <c r="U1232" s="9">
        <v>0</v>
      </c>
      <c r="V1232" s="9">
        <v>0</v>
      </c>
      <c r="W1232" s="9">
        <v>0</v>
      </c>
      <c r="X1232" s="9">
        <v>0</v>
      </c>
      <c r="AE1232" s="9">
        <f>IFERROR(VLOOKUP($A1232,pivot!$A:$G,計算式2026!AE$1,FALSE),0)</f>
        <v>0</v>
      </c>
      <c r="AF1232" s="9">
        <f>IFERROR(VLOOKUP($A1232,pivot!$A:$I,計算式2026!AF$1,FALSE),0)</f>
        <v>0</v>
      </c>
      <c r="AI1232" s="9">
        <f>IFERROR(VLOOKUP($A1232,pivot!$A:$I,計算式2026!AI$1,FALSE),0)</f>
        <v>0</v>
      </c>
      <c r="AJ1232" s="9">
        <f>IFERROR(VLOOKUP($A1232,pivot!$A:$I,計算式2026!AJ$1,FALSE),0)</f>
        <v>0</v>
      </c>
      <c r="AK1232" s="9">
        <f>IFERROR(VLOOKUP($A1232,pivot!$A:$I,計算式2026!AK$1,FALSE),0)</f>
        <v>0</v>
      </c>
      <c r="AL1232" s="9">
        <f>IFERROR(VLOOKUP($A1232,pivot!$A:$I,計算式2026!AL$1,FALSE),0)</f>
        <v>0</v>
      </c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</row>
    <row r="1233" spans="1:59" s="9" customFormat="1">
      <c r="A1233" s="8" t="s">
        <v>1838</v>
      </c>
      <c r="B1233" s="8" t="s">
        <v>2196</v>
      </c>
      <c r="C1233" s="9">
        <v>0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0</v>
      </c>
      <c r="R1233" s="9">
        <v>0</v>
      </c>
      <c r="S1233" s="9">
        <v>1</v>
      </c>
      <c r="T1233" s="9">
        <v>2</v>
      </c>
      <c r="U1233" s="9">
        <v>0</v>
      </c>
      <c r="V1233" s="9">
        <v>0</v>
      </c>
      <c r="W1233" s="9">
        <v>0</v>
      </c>
      <c r="X1233" s="9">
        <v>0</v>
      </c>
      <c r="AE1233" s="9">
        <f>IFERROR(VLOOKUP($A1233,pivot!$A:$G,計算式2026!AE$1,FALSE),0)</f>
        <v>0</v>
      </c>
      <c r="AF1233" s="9">
        <f>IFERROR(VLOOKUP($A1233,pivot!$A:$I,計算式2026!AF$1,FALSE),0)</f>
        <v>0</v>
      </c>
      <c r="AI1233" s="9">
        <f>IFERROR(VLOOKUP($A1233,pivot!$A:$I,計算式2026!AI$1,FALSE),0)</f>
        <v>0</v>
      </c>
      <c r="AJ1233" s="9">
        <f>IFERROR(VLOOKUP($A1233,pivot!$A:$I,計算式2026!AJ$1,FALSE),0)</f>
        <v>0</v>
      </c>
      <c r="AK1233" s="9">
        <f>IFERROR(VLOOKUP($A1233,pivot!$A:$I,計算式2026!AK$1,FALSE),0)</f>
        <v>0</v>
      </c>
      <c r="AL1233" s="9">
        <f>IFERROR(VLOOKUP($A1233,pivot!$A:$I,計算式2026!AL$1,FALSE),0)</f>
        <v>0</v>
      </c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</row>
    <row r="1234" spans="1:59" s="9" customFormat="1">
      <c r="A1234" s="8" t="s">
        <v>1839</v>
      </c>
      <c r="B1234" s="8" t="s">
        <v>2196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R1234" s="9">
        <v>0</v>
      </c>
      <c r="S1234" s="9">
        <v>1</v>
      </c>
      <c r="T1234" s="9">
        <v>1</v>
      </c>
      <c r="U1234" s="9">
        <v>1</v>
      </c>
      <c r="V1234" s="9">
        <v>1</v>
      </c>
      <c r="W1234" s="9">
        <v>0</v>
      </c>
      <c r="X1234" s="9">
        <v>0</v>
      </c>
      <c r="AE1234" s="9">
        <f>IFERROR(VLOOKUP($A1234,pivot!$A:$G,計算式2026!AE$1,FALSE),0)</f>
        <v>0</v>
      </c>
      <c r="AF1234" s="9">
        <f>IFERROR(VLOOKUP($A1234,pivot!$A:$I,計算式2026!AF$1,FALSE),0)</f>
        <v>0</v>
      </c>
      <c r="AI1234" s="9">
        <f>IFERROR(VLOOKUP($A1234,pivot!$A:$I,計算式2026!AI$1,FALSE),0)</f>
        <v>0</v>
      </c>
      <c r="AJ1234" s="9">
        <f>IFERROR(VLOOKUP($A1234,pivot!$A:$I,計算式2026!AJ$1,FALSE),0)</f>
        <v>0</v>
      </c>
      <c r="AK1234" s="9">
        <f>IFERROR(VLOOKUP($A1234,pivot!$A:$I,計算式2026!AK$1,FALSE),0)</f>
        <v>0</v>
      </c>
      <c r="AL1234" s="9">
        <f>IFERROR(VLOOKUP($A1234,pivot!$A:$I,計算式2026!AL$1,FALSE),0)</f>
        <v>0</v>
      </c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</row>
    <row r="1235" spans="1:59" s="9" customFormat="1">
      <c r="A1235" s="8">
        <v>8152303246</v>
      </c>
      <c r="B1235" s="8" t="s">
        <v>795</v>
      </c>
      <c r="C1235" s="9">
        <v>1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R1235" s="9">
        <v>0</v>
      </c>
      <c r="S1235" s="9">
        <v>0</v>
      </c>
      <c r="T1235" s="9">
        <v>2</v>
      </c>
      <c r="U1235" s="9">
        <v>0</v>
      </c>
      <c r="V1235" s="9">
        <v>0</v>
      </c>
      <c r="W1235" s="9">
        <v>0</v>
      </c>
      <c r="X1235" s="9">
        <v>1</v>
      </c>
      <c r="AE1235" s="9">
        <f>IFERROR(VLOOKUP($A1235,pivot!$A:$G,計算式2026!AE$1,FALSE),0)</f>
        <v>0</v>
      </c>
      <c r="AF1235" s="9">
        <f>IFERROR(VLOOKUP($A1235,pivot!$A:$I,計算式2026!AF$1,FALSE),0)</f>
        <v>0</v>
      </c>
      <c r="AI1235" s="9">
        <f>IFERROR(VLOOKUP($A1235,pivot!$A:$I,計算式2026!AI$1,FALSE),0)</f>
        <v>0</v>
      </c>
      <c r="AJ1235" s="9">
        <f>IFERROR(VLOOKUP($A1235,pivot!$A:$I,計算式2026!AJ$1,FALSE),0)</f>
        <v>0</v>
      </c>
      <c r="AK1235" s="9">
        <f>IFERROR(VLOOKUP($A1235,pivot!$A:$I,計算式2026!AK$1,FALSE),0)</f>
        <v>0</v>
      </c>
      <c r="AL1235" s="9">
        <f>IFERROR(VLOOKUP($A1235,pivot!$A:$I,計算式2026!AL$1,FALSE),0)</f>
        <v>0</v>
      </c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</row>
    <row r="1236" spans="1:59" s="9" customFormat="1">
      <c r="A1236" s="8">
        <v>8152303248</v>
      </c>
      <c r="B1236" s="8" t="s">
        <v>795</v>
      </c>
      <c r="C1236" s="9">
        <v>5</v>
      </c>
      <c r="D1236" s="9">
        <v>0</v>
      </c>
      <c r="E1236" s="9">
        <v>0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R1236" s="9">
        <v>0</v>
      </c>
      <c r="S1236" s="9">
        <v>0</v>
      </c>
      <c r="T1236" s="9">
        <v>2</v>
      </c>
      <c r="U1236" s="9">
        <v>0</v>
      </c>
      <c r="V1236" s="9">
        <v>0</v>
      </c>
      <c r="W1236" s="9">
        <v>0</v>
      </c>
      <c r="X1236" s="9">
        <v>1</v>
      </c>
      <c r="AE1236" s="9">
        <f>IFERROR(VLOOKUP($A1236,pivot!$A:$G,計算式2026!AE$1,FALSE),0)</f>
        <v>0</v>
      </c>
      <c r="AF1236" s="9">
        <f>IFERROR(VLOOKUP($A1236,pivot!$A:$I,計算式2026!AF$1,FALSE),0)</f>
        <v>0</v>
      </c>
      <c r="AI1236" s="9">
        <f>IFERROR(VLOOKUP($A1236,pivot!$A:$I,計算式2026!AI$1,FALSE),0)</f>
        <v>0</v>
      </c>
      <c r="AJ1236" s="9">
        <f>IFERROR(VLOOKUP($A1236,pivot!$A:$I,計算式2026!AJ$1,FALSE),0)</f>
        <v>0</v>
      </c>
      <c r="AK1236" s="9">
        <f>IFERROR(VLOOKUP($A1236,pivot!$A:$I,計算式2026!AK$1,FALSE),0)</f>
        <v>0</v>
      </c>
      <c r="AL1236" s="9">
        <f>IFERROR(VLOOKUP($A1236,pivot!$A:$I,計算式2026!AL$1,FALSE),0)</f>
        <v>0</v>
      </c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</row>
    <row r="1237" spans="1:59" s="9" customFormat="1">
      <c r="A1237" s="8">
        <v>8152303250</v>
      </c>
      <c r="B1237" s="8" t="s">
        <v>795</v>
      </c>
      <c r="C1237" s="9">
        <v>4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R1237" s="9">
        <v>0</v>
      </c>
      <c r="S1237" s="9">
        <v>0</v>
      </c>
      <c r="T1237" s="9">
        <v>2</v>
      </c>
      <c r="U1237" s="9">
        <v>0</v>
      </c>
      <c r="V1237" s="9">
        <v>0</v>
      </c>
      <c r="W1237" s="9">
        <v>0</v>
      </c>
      <c r="X1237" s="9">
        <v>1</v>
      </c>
      <c r="AE1237" s="9">
        <f>IFERROR(VLOOKUP($A1237,pivot!$A:$G,計算式2026!AE$1,FALSE),0)</f>
        <v>0</v>
      </c>
      <c r="AF1237" s="9">
        <f>IFERROR(VLOOKUP($A1237,pivot!$A:$I,計算式2026!AF$1,FALSE),0)</f>
        <v>0</v>
      </c>
      <c r="AI1237" s="9">
        <f>IFERROR(VLOOKUP($A1237,pivot!$A:$I,計算式2026!AI$1,FALSE),0)</f>
        <v>0</v>
      </c>
      <c r="AJ1237" s="9">
        <f>IFERROR(VLOOKUP($A1237,pivot!$A:$I,計算式2026!AJ$1,FALSE),0)</f>
        <v>0</v>
      </c>
      <c r="AK1237" s="9">
        <f>IFERROR(VLOOKUP($A1237,pivot!$A:$I,計算式2026!AK$1,FALSE),0)</f>
        <v>0</v>
      </c>
      <c r="AL1237" s="9">
        <f>IFERROR(VLOOKUP($A1237,pivot!$A:$I,計算式2026!AL$1,FALSE),0)</f>
        <v>0</v>
      </c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</row>
    <row r="1238" spans="1:59" s="9" customFormat="1">
      <c r="A1238" s="8">
        <v>8152356046</v>
      </c>
      <c r="B1238" s="8" t="s">
        <v>795</v>
      </c>
      <c r="C1238" s="9">
        <v>1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R1238" s="9">
        <v>0</v>
      </c>
      <c r="S1238" s="9">
        <v>0</v>
      </c>
      <c r="T1238" s="9">
        <v>2</v>
      </c>
      <c r="U1238" s="9">
        <v>0</v>
      </c>
      <c r="V1238" s="9">
        <v>0</v>
      </c>
      <c r="W1238" s="9">
        <v>0</v>
      </c>
      <c r="X1238" s="9">
        <v>1</v>
      </c>
      <c r="AE1238" s="9">
        <f>IFERROR(VLOOKUP($A1238,pivot!$A:$G,計算式2026!AE$1,FALSE),0)</f>
        <v>0</v>
      </c>
      <c r="AF1238" s="9">
        <f>IFERROR(VLOOKUP($A1238,pivot!$A:$I,計算式2026!AF$1,FALSE),0)</f>
        <v>0</v>
      </c>
      <c r="AI1238" s="9">
        <f>IFERROR(VLOOKUP($A1238,pivot!$A:$I,計算式2026!AI$1,FALSE),0)</f>
        <v>0</v>
      </c>
      <c r="AJ1238" s="9">
        <f>IFERROR(VLOOKUP($A1238,pivot!$A:$I,計算式2026!AJ$1,FALSE),0)</f>
        <v>0</v>
      </c>
      <c r="AK1238" s="9">
        <f>IFERROR(VLOOKUP($A1238,pivot!$A:$I,計算式2026!AK$1,FALSE),0)</f>
        <v>0</v>
      </c>
      <c r="AL1238" s="9">
        <f>IFERROR(VLOOKUP($A1238,pivot!$A:$I,計算式2026!AL$1,FALSE),0)</f>
        <v>0</v>
      </c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</row>
    <row r="1239" spans="1:59" s="9" customFormat="1">
      <c r="A1239" s="8">
        <v>8152356048</v>
      </c>
      <c r="B1239" s="8" t="s">
        <v>795</v>
      </c>
      <c r="C1239" s="9">
        <v>0</v>
      </c>
      <c r="D1239" s="9">
        <v>0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R1239" s="9">
        <v>0</v>
      </c>
      <c r="S1239" s="9">
        <v>0</v>
      </c>
      <c r="T1239" s="9">
        <v>2</v>
      </c>
      <c r="U1239" s="9">
        <v>0</v>
      </c>
      <c r="V1239" s="9">
        <v>0</v>
      </c>
      <c r="W1239" s="9">
        <v>0</v>
      </c>
      <c r="X1239" s="9">
        <v>1</v>
      </c>
      <c r="AE1239" s="9">
        <f>IFERROR(VLOOKUP($A1239,pivot!$A:$G,計算式2026!AE$1,FALSE),0)</f>
        <v>0</v>
      </c>
      <c r="AF1239" s="9">
        <f>IFERROR(VLOOKUP($A1239,pivot!$A:$I,計算式2026!AF$1,FALSE),0)</f>
        <v>0</v>
      </c>
      <c r="AI1239" s="9">
        <f>IFERROR(VLOOKUP($A1239,pivot!$A:$I,計算式2026!AI$1,FALSE),0)</f>
        <v>0</v>
      </c>
      <c r="AJ1239" s="9">
        <f>IFERROR(VLOOKUP($A1239,pivot!$A:$I,計算式2026!AJ$1,FALSE),0)</f>
        <v>0</v>
      </c>
      <c r="AK1239" s="9">
        <f>IFERROR(VLOOKUP($A1239,pivot!$A:$I,計算式2026!AK$1,FALSE),0)</f>
        <v>0</v>
      </c>
      <c r="AL1239" s="9">
        <f>IFERROR(VLOOKUP($A1239,pivot!$A:$I,計算式2026!AL$1,FALSE),0)</f>
        <v>0</v>
      </c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</row>
    <row r="1240" spans="1:59" s="9" customFormat="1">
      <c r="A1240" s="8">
        <v>8152356050</v>
      </c>
      <c r="B1240" s="8" t="s">
        <v>795</v>
      </c>
      <c r="C1240" s="9">
        <v>0</v>
      </c>
      <c r="D1240" s="9">
        <v>0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R1240" s="9">
        <v>0</v>
      </c>
      <c r="S1240" s="9">
        <v>0</v>
      </c>
      <c r="T1240" s="9">
        <v>2</v>
      </c>
      <c r="U1240" s="9">
        <v>0</v>
      </c>
      <c r="V1240" s="9">
        <v>0</v>
      </c>
      <c r="W1240" s="9">
        <v>0</v>
      </c>
      <c r="X1240" s="9">
        <v>1</v>
      </c>
      <c r="AE1240" s="9">
        <f>IFERROR(VLOOKUP($A1240,pivot!$A:$G,計算式2026!AE$1,FALSE),0)</f>
        <v>0</v>
      </c>
      <c r="AF1240" s="9">
        <f>IFERROR(VLOOKUP($A1240,pivot!$A:$I,計算式2026!AF$1,FALSE),0)</f>
        <v>0</v>
      </c>
      <c r="AI1240" s="9">
        <f>IFERROR(VLOOKUP($A1240,pivot!$A:$I,計算式2026!AI$1,FALSE),0)</f>
        <v>0</v>
      </c>
      <c r="AJ1240" s="9">
        <f>IFERROR(VLOOKUP($A1240,pivot!$A:$I,計算式2026!AJ$1,FALSE),0)</f>
        <v>0</v>
      </c>
      <c r="AK1240" s="9">
        <f>IFERROR(VLOOKUP($A1240,pivot!$A:$I,計算式2026!AK$1,FALSE),0)</f>
        <v>0</v>
      </c>
      <c r="AL1240" s="9">
        <f>IFERROR(VLOOKUP($A1240,pivot!$A:$I,計算式2026!AL$1,FALSE),0)</f>
        <v>0</v>
      </c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</row>
    <row r="1241" spans="1:59" s="9" customFormat="1">
      <c r="A1241" s="8" t="s">
        <v>2197</v>
      </c>
      <c r="B1241" s="8" t="s">
        <v>795</v>
      </c>
      <c r="C1241" s="9">
        <v>0</v>
      </c>
      <c r="D1241" s="9">
        <v>0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R1241" s="9">
        <v>0</v>
      </c>
      <c r="S1241" s="9">
        <v>1</v>
      </c>
      <c r="T1241" s="9">
        <v>1</v>
      </c>
      <c r="U1241" s="9">
        <v>0</v>
      </c>
      <c r="V1241" s="9">
        <v>2</v>
      </c>
      <c r="W1241" s="9">
        <v>0</v>
      </c>
      <c r="X1241" s="9">
        <v>1</v>
      </c>
      <c r="AE1241" s="9">
        <f>IFERROR(VLOOKUP($A1241,pivot!$A:$G,計算式2026!AE$1,FALSE),0)</f>
        <v>0</v>
      </c>
      <c r="AF1241" s="9">
        <f>IFERROR(VLOOKUP($A1241,pivot!$A:$I,計算式2026!AF$1,FALSE),0)</f>
        <v>0</v>
      </c>
      <c r="AI1241" s="9">
        <f>IFERROR(VLOOKUP($A1241,pivot!$A:$I,計算式2026!AI$1,FALSE),0)</f>
        <v>0</v>
      </c>
      <c r="AJ1241" s="9">
        <f>IFERROR(VLOOKUP($A1241,pivot!$A:$I,計算式2026!AJ$1,FALSE),0)</f>
        <v>0</v>
      </c>
      <c r="AK1241" s="9">
        <f>IFERROR(VLOOKUP($A1241,pivot!$A:$I,計算式2026!AK$1,FALSE),0)</f>
        <v>0</v>
      </c>
      <c r="AL1241" s="9">
        <f>IFERROR(VLOOKUP($A1241,pivot!$A:$I,計算式2026!AL$1,FALSE),0)</f>
        <v>0</v>
      </c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</row>
    <row r="1242" spans="1:59" s="9" customFormat="1">
      <c r="A1242" s="8" t="s">
        <v>2198</v>
      </c>
      <c r="B1242" s="8" t="s">
        <v>795</v>
      </c>
      <c r="C1242" s="9">
        <v>0</v>
      </c>
      <c r="D1242" s="9">
        <v>0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R1242" s="9">
        <v>0</v>
      </c>
      <c r="S1242" s="9">
        <v>0</v>
      </c>
      <c r="T1242" s="9">
        <v>1</v>
      </c>
      <c r="U1242" s="9">
        <v>0</v>
      </c>
      <c r="V1242" s="9">
        <v>0</v>
      </c>
      <c r="W1242" s="9">
        <v>0</v>
      </c>
      <c r="X1242" s="9">
        <v>0</v>
      </c>
      <c r="AE1242" s="9">
        <f>IFERROR(VLOOKUP($A1242,pivot!$A:$G,計算式2026!AE$1,FALSE),0)</f>
        <v>0</v>
      </c>
      <c r="AF1242" s="9">
        <f>IFERROR(VLOOKUP($A1242,pivot!$A:$I,計算式2026!AF$1,FALSE),0)</f>
        <v>0</v>
      </c>
      <c r="AI1242" s="9">
        <f>IFERROR(VLOOKUP($A1242,pivot!$A:$I,計算式2026!AI$1,FALSE),0)</f>
        <v>0</v>
      </c>
      <c r="AJ1242" s="9">
        <f>IFERROR(VLOOKUP($A1242,pivot!$A:$I,計算式2026!AJ$1,FALSE),0)</f>
        <v>0</v>
      </c>
      <c r="AK1242" s="9">
        <f>IFERROR(VLOOKUP($A1242,pivot!$A:$I,計算式2026!AK$1,FALSE),0)</f>
        <v>0</v>
      </c>
      <c r="AL1242" s="9">
        <f>IFERROR(VLOOKUP($A1242,pivot!$A:$I,計算式2026!AL$1,FALSE),0)</f>
        <v>0</v>
      </c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</row>
    <row r="1243" spans="1:59" s="9" customFormat="1">
      <c r="A1243" s="8" t="s">
        <v>2199</v>
      </c>
      <c r="B1243" s="8" t="s">
        <v>795</v>
      </c>
      <c r="C1243" s="9">
        <v>0</v>
      </c>
      <c r="D1243" s="9">
        <v>0</v>
      </c>
      <c r="E1243" s="9">
        <v>0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0</v>
      </c>
      <c r="R1243" s="9">
        <v>0</v>
      </c>
      <c r="S1243" s="9">
        <v>1</v>
      </c>
      <c r="T1243" s="9">
        <v>0</v>
      </c>
      <c r="U1243" s="9">
        <v>0</v>
      </c>
      <c r="V1243" s="9">
        <v>1</v>
      </c>
      <c r="W1243" s="9">
        <v>0</v>
      </c>
      <c r="X1243" s="9">
        <v>1</v>
      </c>
      <c r="AE1243" s="9">
        <f>IFERROR(VLOOKUP($A1243,pivot!$A:$G,計算式2026!AE$1,FALSE),0)</f>
        <v>0</v>
      </c>
      <c r="AF1243" s="9">
        <f>IFERROR(VLOOKUP($A1243,pivot!$A:$I,計算式2026!AF$1,FALSE),0)</f>
        <v>0</v>
      </c>
      <c r="AI1243" s="9">
        <f>IFERROR(VLOOKUP($A1243,pivot!$A:$I,計算式2026!AI$1,FALSE),0)</f>
        <v>0</v>
      </c>
      <c r="AJ1243" s="9">
        <f>IFERROR(VLOOKUP($A1243,pivot!$A:$I,計算式2026!AJ$1,FALSE),0)</f>
        <v>0</v>
      </c>
      <c r="AK1243" s="9">
        <f>IFERROR(VLOOKUP($A1243,pivot!$A:$I,計算式2026!AK$1,FALSE),0)</f>
        <v>0</v>
      </c>
      <c r="AL1243" s="9">
        <f>IFERROR(VLOOKUP($A1243,pivot!$A:$I,計算式2026!AL$1,FALSE),0)</f>
        <v>0</v>
      </c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</row>
    <row r="1244" spans="1:59" s="9" customFormat="1">
      <c r="A1244" s="8" t="s">
        <v>2200</v>
      </c>
      <c r="B1244" s="8" t="s">
        <v>795</v>
      </c>
      <c r="C1244" s="9">
        <v>0</v>
      </c>
      <c r="D1244" s="9">
        <v>2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R1244" s="9">
        <v>0</v>
      </c>
      <c r="S1244" s="9">
        <v>2</v>
      </c>
      <c r="T1244" s="9">
        <v>1</v>
      </c>
      <c r="U1244" s="9">
        <v>0</v>
      </c>
      <c r="V1244" s="9">
        <v>2</v>
      </c>
      <c r="W1244" s="9">
        <v>0</v>
      </c>
      <c r="X1244" s="9">
        <v>1</v>
      </c>
      <c r="AE1244" s="9">
        <f>IFERROR(VLOOKUP($A1244,pivot!$A:$G,計算式2026!AE$1,FALSE),0)</f>
        <v>0</v>
      </c>
      <c r="AF1244" s="9">
        <f>IFERROR(VLOOKUP($A1244,pivot!$A:$I,計算式2026!AF$1,FALSE),0)</f>
        <v>0</v>
      </c>
      <c r="AI1244" s="9">
        <f>IFERROR(VLOOKUP($A1244,pivot!$A:$I,計算式2026!AI$1,FALSE),0)</f>
        <v>0</v>
      </c>
      <c r="AJ1244" s="9">
        <f>IFERROR(VLOOKUP($A1244,pivot!$A:$I,計算式2026!AJ$1,FALSE),0)</f>
        <v>0</v>
      </c>
      <c r="AK1244" s="9">
        <f>IFERROR(VLOOKUP($A1244,pivot!$A:$I,計算式2026!AK$1,FALSE),0)</f>
        <v>0</v>
      </c>
      <c r="AL1244" s="9">
        <f>IFERROR(VLOOKUP($A1244,pivot!$A:$I,計算式2026!AL$1,FALSE),0)</f>
        <v>0</v>
      </c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</row>
    <row r="1245" spans="1:59" s="9" customFormat="1">
      <c r="A1245" s="8" t="s">
        <v>2201</v>
      </c>
      <c r="B1245" s="8" t="s">
        <v>795</v>
      </c>
      <c r="C1245" s="9">
        <v>0</v>
      </c>
      <c r="D1245" s="9">
        <v>0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R1245" s="9">
        <v>0</v>
      </c>
      <c r="S1245" s="9">
        <v>0</v>
      </c>
      <c r="T1245" s="9">
        <v>1</v>
      </c>
      <c r="U1245" s="9">
        <v>0</v>
      </c>
      <c r="V1245" s="9">
        <v>0</v>
      </c>
      <c r="W1245" s="9">
        <v>0</v>
      </c>
      <c r="X1245" s="9">
        <v>1</v>
      </c>
      <c r="AE1245" s="9">
        <f>IFERROR(VLOOKUP($A1245,pivot!$A:$G,計算式2026!AE$1,FALSE),0)</f>
        <v>0</v>
      </c>
      <c r="AF1245" s="9">
        <f>IFERROR(VLOOKUP($A1245,pivot!$A:$I,計算式2026!AF$1,FALSE),0)</f>
        <v>0</v>
      </c>
      <c r="AI1245" s="9">
        <f>IFERROR(VLOOKUP($A1245,pivot!$A:$I,計算式2026!AI$1,FALSE),0)</f>
        <v>0</v>
      </c>
      <c r="AJ1245" s="9">
        <f>IFERROR(VLOOKUP($A1245,pivot!$A:$I,計算式2026!AJ$1,FALSE),0)</f>
        <v>0</v>
      </c>
      <c r="AK1245" s="9">
        <f>IFERROR(VLOOKUP($A1245,pivot!$A:$I,計算式2026!AK$1,FALSE),0)</f>
        <v>0</v>
      </c>
      <c r="AL1245" s="9">
        <f>IFERROR(VLOOKUP($A1245,pivot!$A:$I,計算式2026!AL$1,FALSE),0)</f>
        <v>0</v>
      </c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</row>
    <row r="1246" spans="1:59" s="9" customFormat="1">
      <c r="A1246" s="8" t="s">
        <v>2202</v>
      </c>
      <c r="B1246" s="8" t="s">
        <v>795</v>
      </c>
      <c r="C1246" s="9">
        <v>0</v>
      </c>
      <c r="D1246" s="9">
        <v>4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R1246" s="9">
        <v>0</v>
      </c>
      <c r="S1246" s="9">
        <v>2</v>
      </c>
      <c r="T1246" s="9">
        <v>0</v>
      </c>
      <c r="U1246" s="9">
        <v>0</v>
      </c>
      <c r="V1246" s="9">
        <v>2</v>
      </c>
      <c r="W1246" s="9">
        <v>0</v>
      </c>
      <c r="X1246" s="9">
        <v>1</v>
      </c>
      <c r="AE1246" s="9">
        <f>IFERROR(VLOOKUP($A1246,pivot!$A:$G,計算式2026!AE$1,FALSE),0)</f>
        <v>0</v>
      </c>
      <c r="AF1246" s="9">
        <f>IFERROR(VLOOKUP($A1246,pivot!$A:$I,計算式2026!AF$1,FALSE),0)</f>
        <v>0</v>
      </c>
      <c r="AI1246" s="9">
        <f>IFERROR(VLOOKUP($A1246,pivot!$A:$I,計算式2026!AI$1,FALSE),0)</f>
        <v>0</v>
      </c>
      <c r="AJ1246" s="9">
        <f>IFERROR(VLOOKUP($A1246,pivot!$A:$I,計算式2026!AJ$1,FALSE),0)</f>
        <v>0</v>
      </c>
      <c r="AK1246" s="9">
        <f>IFERROR(VLOOKUP($A1246,pivot!$A:$I,計算式2026!AK$1,FALSE),0)</f>
        <v>0</v>
      </c>
      <c r="AL1246" s="9">
        <f>IFERROR(VLOOKUP($A1246,pivot!$A:$I,計算式2026!AL$1,FALSE),0)</f>
        <v>0</v>
      </c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</row>
    <row r="1247" spans="1:59" s="9" customFormat="1">
      <c r="A1247" s="8" t="s">
        <v>796</v>
      </c>
      <c r="B1247" s="8" t="s">
        <v>797</v>
      </c>
      <c r="C1247" s="9">
        <v>0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1</v>
      </c>
      <c r="AE1247" s="9">
        <f>IFERROR(VLOOKUP($A1247,pivot!$A:$G,計算式2026!AE$1,FALSE),0)</f>
        <v>0</v>
      </c>
      <c r="AF1247" s="9">
        <f>IFERROR(VLOOKUP($A1247,pivot!$A:$I,計算式2026!AF$1,FALSE),0)</f>
        <v>0</v>
      </c>
      <c r="AI1247" s="9">
        <f>IFERROR(VLOOKUP($A1247,pivot!$A:$I,計算式2026!AI$1,FALSE),0)</f>
        <v>0</v>
      </c>
      <c r="AJ1247" s="9">
        <f>IFERROR(VLOOKUP($A1247,pivot!$A:$I,計算式2026!AJ$1,FALSE),0)</f>
        <v>0</v>
      </c>
      <c r="AK1247" s="9">
        <f>IFERROR(VLOOKUP($A1247,pivot!$A:$I,計算式2026!AK$1,FALSE),0)</f>
        <v>0</v>
      </c>
      <c r="AL1247" s="9">
        <f>IFERROR(VLOOKUP($A1247,pivot!$A:$I,計算式2026!AL$1,FALSE),0)</f>
        <v>0</v>
      </c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</row>
    <row r="1248" spans="1:59" s="9" customFormat="1">
      <c r="A1248" s="8" t="s">
        <v>798</v>
      </c>
      <c r="B1248" s="8" t="s">
        <v>797</v>
      </c>
      <c r="C1248" s="9">
        <v>1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1</v>
      </c>
      <c r="AE1248" s="9">
        <f>IFERROR(VLOOKUP($A1248,pivot!$A:$G,計算式2026!AE$1,FALSE),0)</f>
        <v>0</v>
      </c>
      <c r="AF1248" s="9">
        <f>IFERROR(VLOOKUP($A1248,pivot!$A:$I,計算式2026!AF$1,FALSE),0)</f>
        <v>0</v>
      </c>
      <c r="AI1248" s="9">
        <f>IFERROR(VLOOKUP($A1248,pivot!$A:$I,計算式2026!AI$1,FALSE),0)</f>
        <v>0</v>
      </c>
      <c r="AJ1248" s="9">
        <f>IFERROR(VLOOKUP($A1248,pivot!$A:$I,計算式2026!AJ$1,FALSE),0)</f>
        <v>0</v>
      </c>
      <c r="AK1248" s="9">
        <f>IFERROR(VLOOKUP($A1248,pivot!$A:$I,計算式2026!AK$1,FALSE),0)</f>
        <v>0</v>
      </c>
      <c r="AL1248" s="9">
        <f>IFERROR(VLOOKUP($A1248,pivot!$A:$I,計算式2026!AL$1,FALSE),0)</f>
        <v>0</v>
      </c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</row>
    <row r="1249" spans="1:59" s="9" customFormat="1">
      <c r="A1249" s="8" t="s">
        <v>799</v>
      </c>
      <c r="B1249" s="8" t="s">
        <v>797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R1249" s="9">
        <v>0</v>
      </c>
      <c r="S1249" s="9">
        <v>0</v>
      </c>
      <c r="T1249" s="9">
        <v>1</v>
      </c>
      <c r="U1249" s="9">
        <v>0</v>
      </c>
      <c r="V1249" s="9">
        <v>0</v>
      </c>
      <c r="W1249" s="9">
        <v>0</v>
      </c>
      <c r="X1249" s="9">
        <v>1</v>
      </c>
      <c r="AE1249" s="9">
        <f>IFERROR(VLOOKUP($A1249,pivot!$A:$G,計算式2026!AE$1,FALSE),0)</f>
        <v>0</v>
      </c>
      <c r="AF1249" s="9">
        <f>IFERROR(VLOOKUP($A1249,pivot!$A:$I,計算式2026!AF$1,FALSE),0)</f>
        <v>0</v>
      </c>
      <c r="AI1249" s="9">
        <f>IFERROR(VLOOKUP($A1249,pivot!$A:$I,計算式2026!AI$1,FALSE),0)</f>
        <v>0</v>
      </c>
      <c r="AJ1249" s="9">
        <f>IFERROR(VLOOKUP($A1249,pivot!$A:$I,計算式2026!AJ$1,FALSE),0)</f>
        <v>0</v>
      </c>
      <c r="AK1249" s="9">
        <f>IFERROR(VLOOKUP($A1249,pivot!$A:$I,計算式2026!AK$1,FALSE),0)</f>
        <v>0</v>
      </c>
      <c r="AL1249" s="9">
        <f>IFERROR(VLOOKUP($A1249,pivot!$A:$I,計算式2026!AL$1,FALSE),0)</f>
        <v>0</v>
      </c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</row>
    <row r="1250" spans="1:59" s="9" customFormat="1">
      <c r="A1250" s="8" t="s">
        <v>800</v>
      </c>
      <c r="B1250" s="8" t="s">
        <v>797</v>
      </c>
      <c r="C1250" s="9">
        <v>0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1</v>
      </c>
      <c r="AE1250" s="9">
        <f>IFERROR(VLOOKUP($A1250,pivot!$A:$G,計算式2026!AE$1,FALSE),0)</f>
        <v>0</v>
      </c>
      <c r="AF1250" s="9">
        <f>IFERROR(VLOOKUP($A1250,pivot!$A:$I,計算式2026!AF$1,FALSE),0)</f>
        <v>0</v>
      </c>
      <c r="AI1250" s="9">
        <f>IFERROR(VLOOKUP($A1250,pivot!$A:$I,計算式2026!AI$1,FALSE),0)</f>
        <v>0</v>
      </c>
      <c r="AJ1250" s="9">
        <f>IFERROR(VLOOKUP($A1250,pivot!$A:$I,計算式2026!AJ$1,FALSE),0)</f>
        <v>0</v>
      </c>
      <c r="AK1250" s="9">
        <f>IFERROR(VLOOKUP($A1250,pivot!$A:$I,計算式2026!AK$1,FALSE),0)</f>
        <v>0</v>
      </c>
      <c r="AL1250" s="9">
        <f>IFERROR(VLOOKUP($A1250,pivot!$A:$I,計算式2026!AL$1,FALSE),0)</f>
        <v>0</v>
      </c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</row>
    <row r="1251" spans="1:59" s="9" customFormat="1">
      <c r="A1251" s="8" t="s">
        <v>801</v>
      </c>
      <c r="B1251" s="8" t="s">
        <v>797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1</v>
      </c>
      <c r="AE1251" s="9">
        <f>IFERROR(VLOOKUP($A1251,pivot!$A:$G,計算式2026!AE$1,FALSE),0)</f>
        <v>0</v>
      </c>
      <c r="AF1251" s="9">
        <f>IFERROR(VLOOKUP($A1251,pivot!$A:$I,計算式2026!AF$1,FALSE),0)</f>
        <v>0</v>
      </c>
      <c r="AI1251" s="9">
        <f>IFERROR(VLOOKUP($A1251,pivot!$A:$I,計算式2026!AI$1,FALSE),0)</f>
        <v>0</v>
      </c>
      <c r="AJ1251" s="9">
        <f>IFERROR(VLOOKUP($A1251,pivot!$A:$I,計算式2026!AJ$1,FALSE),0)</f>
        <v>0</v>
      </c>
      <c r="AK1251" s="9">
        <f>IFERROR(VLOOKUP($A1251,pivot!$A:$I,計算式2026!AK$1,FALSE),0)</f>
        <v>0</v>
      </c>
      <c r="AL1251" s="9">
        <f>IFERROR(VLOOKUP($A1251,pivot!$A:$I,計算式2026!AL$1,FALSE),0)</f>
        <v>0</v>
      </c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</row>
    <row r="1252" spans="1:59" s="9" customFormat="1">
      <c r="A1252" s="8" t="s">
        <v>802</v>
      </c>
      <c r="B1252" s="8" t="s">
        <v>797</v>
      </c>
      <c r="C1252" s="9">
        <v>0</v>
      </c>
      <c r="D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1</v>
      </c>
      <c r="AE1252" s="9">
        <f>IFERROR(VLOOKUP($A1252,pivot!$A:$G,計算式2026!AE$1,FALSE),0)</f>
        <v>0</v>
      </c>
      <c r="AF1252" s="9">
        <f>IFERROR(VLOOKUP($A1252,pivot!$A:$I,計算式2026!AF$1,FALSE),0)</f>
        <v>0</v>
      </c>
      <c r="AI1252" s="9">
        <f>IFERROR(VLOOKUP($A1252,pivot!$A:$I,計算式2026!AI$1,FALSE),0)</f>
        <v>0</v>
      </c>
      <c r="AJ1252" s="9">
        <f>IFERROR(VLOOKUP($A1252,pivot!$A:$I,計算式2026!AJ$1,FALSE),0)</f>
        <v>0</v>
      </c>
      <c r="AK1252" s="9">
        <f>IFERROR(VLOOKUP($A1252,pivot!$A:$I,計算式2026!AK$1,FALSE),0)</f>
        <v>0</v>
      </c>
      <c r="AL1252" s="9">
        <f>IFERROR(VLOOKUP($A1252,pivot!$A:$I,計算式2026!AL$1,FALSE),0)</f>
        <v>0</v>
      </c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</row>
    <row r="1253" spans="1:59" s="9" customFormat="1">
      <c r="A1253" s="8" t="s">
        <v>803</v>
      </c>
      <c r="B1253" s="8" t="s">
        <v>804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R1253" s="9">
        <v>0</v>
      </c>
      <c r="S1253" s="9">
        <v>0</v>
      </c>
      <c r="T1253" s="9">
        <v>1</v>
      </c>
      <c r="U1253" s="9">
        <v>0</v>
      </c>
      <c r="V1253" s="9">
        <v>1</v>
      </c>
      <c r="W1253" s="9">
        <v>0</v>
      </c>
      <c r="X1253" s="9">
        <v>1</v>
      </c>
      <c r="AE1253" s="9">
        <f>IFERROR(VLOOKUP($A1253,pivot!$A:$G,計算式2026!AE$1,FALSE),0)</f>
        <v>0</v>
      </c>
      <c r="AF1253" s="9">
        <f>IFERROR(VLOOKUP($A1253,pivot!$A:$I,計算式2026!AF$1,FALSE),0)</f>
        <v>0</v>
      </c>
      <c r="AI1253" s="9">
        <f>IFERROR(VLOOKUP($A1253,pivot!$A:$I,計算式2026!AI$1,FALSE),0)</f>
        <v>0</v>
      </c>
      <c r="AJ1253" s="9">
        <f>IFERROR(VLOOKUP($A1253,pivot!$A:$I,計算式2026!AJ$1,FALSE),0)</f>
        <v>0</v>
      </c>
      <c r="AK1253" s="9">
        <f>IFERROR(VLOOKUP($A1253,pivot!$A:$I,計算式2026!AK$1,FALSE),0)</f>
        <v>0</v>
      </c>
      <c r="AL1253" s="9">
        <f>IFERROR(VLOOKUP($A1253,pivot!$A:$I,計算式2026!AL$1,FALSE),0)</f>
        <v>0</v>
      </c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</row>
    <row r="1254" spans="1:59" s="9" customFormat="1">
      <c r="A1254" s="8" t="s">
        <v>805</v>
      </c>
      <c r="B1254" s="8" t="s">
        <v>804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1</v>
      </c>
      <c r="AE1254" s="9">
        <f>IFERROR(VLOOKUP($A1254,pivot!$A:$G,計算式2026!AE$1,FALSE),0)</f>
        <v>0</v>
      </c>
      <c r="AF1254" s="9">
        <f>IFERROR(VLOOKUP($A1254,pivot!$A:$I,計算式2026!AF$1,FALSE),0)</f>
        <v>0</v>
      </c>
      <c r="AI1254" s="9">
        <f>IFERROR(VLOOKUP($A1254,pivot!$A:$I,計算式2026!AI$1,FALSE),0)</f>
        <v>0</v>
      </c>
      <c r="AJ1254" s="9">
        <f>IFERROR(VLOOKUP($A1254,pivot!$A:$I,計算式2026!AJ$1,FALSE),0)</f>
        <v>0</v>
      </c>
      <c r="AK1254" s="9">
        <f>IFERROR(VLOOKUP($A1254,pivot!$A:$I,計算式2026!AK$1,FALSE),0)</f>
        <v>0</v>
      </c>
      <c r="AL1254" s="9">
        <f>IFERROR(VLOOKUP($A1254,pivot!$A:$I,計算式2026!AL$1,FALSE),0)</f>
        <v>0</v>
      </c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</row>
    <row r="1255" spans="1:59" s="9" customFormat="1">
      <c r="A1255" s="8" t="s">
        <v>2203</v>
      </c>
      <c r="B1255" s="8" t="s">
        <v>804</v>
      </c>
      <c r="C1255" s="9">
        <v>0</v>
      </c>
      <c r="D1255" s="9">
        <v>0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AE1255" s="9">
        <f>IFERROR(VLOOKUP($A1255,pivot!$A:$G,計算式2026!AE$1,FALSE),0)</f>
        <v>0</v>
      </c>
      <c r="AF1255" s="9">
        <f>IFERROR(VLOOKUP($A1255,pivot!$A:$I,計算式2026!AF$1,FALSE),0)</f>
        <v>0</v>
      </c>
      <c r="AI1255" s="9">
        <f>IFERROR(VLOOKUP($A1255,pivot!$A:$I,計算式2026!AI$1,FALSE),0)</f>
        <v>0</v>
      </c>
      <c r="AJ1255" s="9">
        <f>IFERROR(VLOOKUP($A1255,pivot!$A:$I,計算式2026!AJ$1,FALSE),0)</f>
        <v>0</v>
      </c>
      <c r="AK1255" s="9">
        <f>IFERROR(VLOOKUP($A1255,pivot!$A:$I,計算式2026!AK$1,FALSE),0)</f>
        <v>0</v>
      </c>
      <c r="AL1255" s="9">
        <f>IFERROR(VLOOKUP($A1255,pivot!$A:$I,計算式2026!AL$1,FALSE),0)</f>
        <v>0</v>
      </c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</row>
    <row r="1256" spans="1:59" s="9" customFormat="1">
      <c r="A1256" s="8" t="s">
        <v>2204</v>
      </c>
      <c r="B1256" s="8" t="s">
        <v>804</v>
      </c>
      <c r="C1256" s="9">
        <v>0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R1256" s="9">
        <v>0</v>
      </c>
      <c r="S1256" s="9">
        <v>0</v>
      </c>
      <c r="T1256" s="9">
        <v>0</v>
      </c>
      <c r="U1256" s="9">
        <v>1</v>
      </c>
      <c r="V1256" s="9">
        <v>1</v>
      </c>
      <c r="W1256" s="9">
        <v>0</v>
      </c>
      <c r="X1256" s="9">
        <v>1</v>
      </c>
      <c r="AE1256" s="9">
        <f>IFERROR(VLOOKUP($A1256,pivot!$A:$G,計算式2026!AE$1,FALSE),0)</f>
        <v>0</v>
      </c>
      <c r="AF1256" s="9">
        <f>IFERROR(VLOOKUP($A1256,pivot!$A:$I,計算式2026!AF$1,FALSE),0)</f>
        <v>0</v>
      </c>
      <c r="AI1256" s="9">
        <f>IFERROR(VLOOKUP($A1256,pivot!$A:$I,計算式2026!AI$1,FALSE),0)</f>
        <v>0</v>
      </c>
      <c r="AJ1256" s="9">
        <f>IFERROR(VLOOKUP($A1256,pivot!$A:$I,計算式2026!AJ$1,FALSE),0)</f>
        <v>0</v>
      </c>
      <c r="AK1256" s="9">
        <f>IFERROR(VLOOKUP($A1256,pivot!$A:$I,計算式2026!AK$1,FALSE),0)</f>
        <v>0</v>
      </c>
      <c r="AL1256" s="9">
        <f>IFERROR(VLOOKUP($A1256,pivot!$A:$I,計算式2026!AL$1,FALSE),0)</f>
        <v>0</v>
      </c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</row>
    <row r="1257" spans="1:59" s="9" customFormat="1">
      <c r="A1257" s="8" t="s">
        <v>2205</v>
      </c>
      <c r="B1257" s="8" t="s">
        <v>804</v>
      </c>
      <c r="C1257" s="9">
        <v>0</v>
      </c>
      <c r="D1257" s="9">
        <v>0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2</v>
      </c>
      <c r="W1257" s="9">
        <v>0</v>
      </c>
      <c r="X1257" s="9">
        <v>0</v>
      </c>
      <c r="AE1257" s="9">
        <f>IFERROR(VLOOKUP($A1257,pivot!$A:$G,計算式2026!AE$1,FALSE),0)</f>
        <v>0</v>
      </c>
      <c r="AF1257" s="9">
        <f>IFERROR(VLOOKUP($A1257,pivot!$A:$I,計算式2026!AF$1,FALSE),0)</f>
        <v>0</v>
      </c>
      <c r="AI1257" s="9">
        <f>IFERROR(VLOOKUP($A1257,pivot!$A:$I,計算式2026!AI$1,FALSE),0)</f>
        <v>0</v>
      </c>
      <c r="AJ1257" s="9">
        <f>IFERROR(VLOOKUP($A1257,pivot!$A:$I,計算式2026!AJ$1,FALSE),0)</f>
        <v>0</v>
      </c>
      <c r="AK1257" s="9">
        <f>IFERROR(VLOOKUP($A1257,pivot!$A:$I,計算式2026!AK$1,FALSE),0)</f>
        <v>0</v>
      </c>
      <c r="AL1257" s="9">
        <f>IFERROR(VLOOKUP($A1257,pivot!$A:$I,計算式2026!AL$1,FALSE),0)</f>
        <v>0</v>
      </c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</row>
    <row r="1258" spans="1:59" s="9" customFormat="1">
      <c r="A1258" s="8" t="s">
        <v>2206</v>
      </c>
      <c r="B1258" s="8" t="s">
        <v>804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1</v>
      </c>
      <c r="AE1258" s="9">
        <f>IFERROR(VLOOKUP($A1258,pivot!$A:$G,計算式2026!AE$1,FALSE),0)</f>
        <v>0</v>
      </c>
      <c r="AF1258" s="9">
        <f>IFERROR(VLOOKUP($A1258,pivot!$A:$I,計算式2026!AF$1,FALSE),0)</f>
        <v>0</v>
      </c>
      <c r="AI1258" s="9">
        <f>IFERROR(VLOOKUP($A1258,pivot!$A:$I,計算式2026!AI$1,FALSE),0)</f>
        <v>0</v>
      </c>
      <c r="AJ1258" s="9">
        <f>IFERROR(VLOOKUP($A1258,pivot!$A:$I,計算式2026!AJ$1,FALSE),0)</f>
        <v>0</v>
      </c>
      <c r="AK1258" s="9">
        <f>IFERROR(VLOOKUP($A1258,pivot!$A:$I,計算式2026!AK$1,FALSE),0)</f>
        <v>0</v>
      </c>
      <c r="AL1258" s="9">
        <f>IFERROR(VLOOKUP($A1258,pivot!$A:$I,計算式2026!AL$1,FALSE),0)</f>
        <v>0</v>
      </c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</row>
    <row r="1259" spans="1:59" s="9" customFormat="1">
      <c r="A1259" s="8" t="s">
        <v>1494</v>
      </c>
      <c r="B1259" s="8" t="s">
        <v>804</v>
      </c>
      <c r="C1259" s="9">
        <v>0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1</v>
      </c>
      <c r="W1259" s="9">
        <v>0</v>
      </c>
      <c r="X1259" s="9">
        <v>1</v>
      </c>
      <c r="AE1259" s="9">
        <f>IFERROR(VLOOKUP($A1259,pivot!$A:$G,計算式2026!AE$1,FALSE),0)</f>
        <v>0</v>
      </c>
      <c r="AF1259" s="9">
        <f>IFERROR(VLOOKUP($A1259,pivot!$A:$I,計算式2026!AF$1,FALSE),0)</f>
        <v>0</v>
      </c>
      <c r="AI1259" s="9">
        <f>IFERROR(VLOOKUP($A1259,pivot!$A:$I,計算式2026!AI$1,FALSE),0)</f>
        <v>0</v>
      </c>
      <c r="AJ1259" s="9">
        <f>IFERROR(VLOOKUP($A1259,pivot!$A:$I,計算式2026!AJ$1,FALSE),0)</f>
        <v>0</v>
      </c>
      <c r="AK1259" s="9">
        <f>IFERROR(VLOOKUP($A1259,pivot!$A:$I,計算式2026!AK$1,FALSE),0)</f>
        <v>0</v>
      </c>
      <c r="AL1259" s="9">
        <f>IFERROR(VLOOKUP($A1259,pivot!$A:$I,計算式2026!AL$1,FALSE),0)</f>
        <v>0</v>
      </c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</row>
    <row r="1260" spans="1:59" s="9" customFormat="1">
      <c r="A1260" s="8" t="s">
        <v>1495</v>
      </c>
      <c r="B1260" s="8" t="s">
        <v>804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1</v>
      </c>
      <c r="W1260" s="9">
        <v>0</v>
      </c>
      <c r="X1260" s="9">
        <v>0</v>
      </c>
      <c r="AE1260" s="9">
        <f>IFERROR(VLOOKUP($A1260,pivot!$A:$G,計算式2026!AE$1,FALSE),0)</f>
        <v>0</v>
      </c>
      <c r="AF1260" s="9">
        <f>IFERROR(VLOOKUP($A1260,pivot!$A:$I,計算式2026!AF$1,FALSE),0)</f>
        <v>0</v>
      </c>
      <c r="AI1260" s="9">
        <f>IFERROR(VLOOKUP($A1260,pivot!$A:$I,計算式2026!AI$1,FALSE),0)</f>
        <v>0</v>
      </c>
      <c r="AJ1260" s="9">
        <f>IFERROR(VLOOKUP($A1260,pivot!$A:$I,計算式2026!AJ$1,FALSE),0)</f>
        <v>0</v>
      </c>
      <c r="AK1260" s="9">
        <f>IFERROR(VLOOKUP($A1260,pivot!$A:$I,計算式2026!AK$1,FALSE),0)</f>
        <v>0</v>
      </c>
      <c r="AL1260" s="9">
        <f>IFERROR(VLOOKUP($A1260,pivot!$A:$I,計算式2026!AL$1,FALSE),0)</f>
        <v>0</v>
      </c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</row>
    <row r="1261" spans="1:59" s="9" customFormat="1">
      <c r="A1261" s="8" t="s">
        <v>1496</v>
      </c>
      <c r="B1261" s="8" t="s">
        <v>804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1</v>
      </c>
      <c r="W1261" s="9">
        <v>0</v>
      </c>
      <c r="X1261" s="9">
        <v>1</v>
      </c>
      <c r="AE1261" s="9">
        <f>IFERROR(VLOOKUP($A1261,pivot!$A:$G,計算式2026!AE$1,FALSE),0)</f>
        <v>0</v>
      </c>
      <c r="AF1261" s="9">
        <f>IFERROR(VLOOKUP($A1261,pivot!$A:$I,計算式2026!AF$1,FALSE),0)</f>
        <v>0</v>
      </c>
      <c r="AI1261" s="9">
        <f>IFERROR(VLOOKUP($A1261,pivot!$A:$I,計算式2026!AI$1,FALSE),0)</f>
        <v>0</v>
      </c>
      <c r="AJ1261" s="9">
        <f>IFERROR(VLOOKUP($A1261,pivot!$A:$I,計算式2026!AJ$1,FALSE),0)</f>
        <v>0</v>
      </c>
      <c r="AK1261" s="9">
        <f>IFERROR(VLOOKUP($A1261,pivot!$A:$I,計算式2026!AK$1,FALSE),0)</f>
        <v>0</v>
      </c>
      <c r="AL1261" s="9">
        <f>IFERROR(VLOOKUP($A1261,pivot!$A:$I,計算式2026!AL$1,FALSE),0)</f>
        <v>0</v>
      </c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</row>
    <row r="1262" spans="1:59" s="9" customFormat="1">
      <c r="A1262" s="8" t="s">
        <v>2207</v>
      </c>
      <c r="B1262" s="8" t="s">
        <v>804</v>
      </c>
      <c r="C1262" s="9">
        <v>0</v>
      </c>
      <c r="D1262" s="9">
        <v>0</v>
      </c>
      <c r="E1262" s="9">
        <v>0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1</v>
      </c>
      <c r="AE1262" s="9">
        <f>IFERROR(VLOOKUP($A1262,pivot!$A:$G,計算式2026!AE$1,FALSE),0)</f>
        <v>0</v>
      </c>
      <c r="AF1262" s="9">
        <f>IFERROR(VLOOKUP($A1262,pivot!$A:$I,計算式2026!AF$1,FALSE),0)</f>
        <v>0</v>
      </c>
      <c r="AI1262" s="9">
        <f>IFERROR(VLOOKUP($A1262,pivot!$A:$I,計算式2026!AI$1,FALSE),0)</f>
        <v>0</v>
      </c>
      <c r="AJ1262" s="9">
        <f>IFERROR(VLOOKUP($A1262,pivot!$A:$I,計算式2026!AJ$1,FALSE),0)</f>
        <v>0</v>
      </c>
      <c r="AK1262" s="9">
        <f>IFERROR(VLOOKUP($A1262,pivot!$A:$I,計算式2026!AK$1,FALSE),0)</f>
        <v>0</v>
      </c>
      <c r="AL1262" s="9">
        <f>IFERROR(VLOOKUP($A1262,pivot!$A:$I,計算式2026!AL$1,FALSE),0)</f>
        <v>0</v>
      </c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</row>
    <row r="1263" spans="1:59" s="9" customFormat="1">
      <c r="A1263" s="8" t="s">
        <v>2208</v>
      </c>
      <c r="B1263" s="8" t="s">
        <v>804</v>
      </c>
      <c r="C1263" s="9">
        <v>0</v>
      </c>
      <c r="D1263" s="9">
        <v>0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R1263" s="9">
        <v>1</v>
      </c>
      <c r="S1263" s="9">
        <v>0</v>
      </c>
      <c r="T1263" s="9">
        <v>0</v>
      </c>
      <c r="U1263" s="9">
        <v>0</v>
      </c>
      <c r="V1263" s="9">
        <v>2</v>
      </c>
      <c r="W1263" s="9">
        <v>0</v>
      </c>
      <c r="X1263" s="9">
        <v>1</v>
      </c>
      <c r="AE1263" s="9">
        <f>IFERROR(VLOOKUP($A1263,pivot!$A:$G,計算式2026!AE$1,FALSE),0)</f>
        <v>0</v>
      </c>
      <c r="AF1263" s="9">
        <f>IFERROR(VLOOKUP($A1263,pivot!$A:$I,計算式2026!AF$1,FALSE),0)</f>
        <v>0</v>
      </c>
      <c r="AI1263" s="9">
        <f>IFERROR(VLOOKUP($A1263,pivot!$A:$I,計算式2026!AI$1,FALSE),0)</f>
        <v>0</v>
      </c>
      <c r="AJ1263" s="9">
        <f>IFERROR(VLOOKUP($A1263,pivot!$A:$I,計算式2026!AJ$1,FALSE),0)</f>
        <v>0</v>
      </c>
      <c r="AK1263" s="9">
        <f>IFERROR(VLOOKUP($A1263,pivot!$A:$I,計算式2026!AK$1,FALSE),0)</f>
        <v>0</v>
      </c>
      <c r="AL1263" s="9">
        <f>IFERROR(VLOOKUP($A1263,pivot!$A:$I,計算式2026!AL$1,FALSE),0)</f>
        <v>0</v>
      </c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</row>
    <row r="1264" spans="1:59" s="9" customFormat="1">
      <c r="A1264" s="8" t="s">
        <v>2209</v>
      </c>
      <c r="B1264" s="8" t="s">
        <v>804</v>
      </c>
      <c r="C1264" s="9">
        <v>0</v>
      </c>
      <c r="D1264" s="9">
        <v>0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R1264" s="9">
        <v>0</v>
      </c>
      <c r="S1264" s="9">
        <v>1</v>
      </c>
      <c r="T1264" s="9">
        <v>0</v>
      </c>
      <c r="U1264" s="9">
        <v>1</v>
      </c>
      <c r="V1264" s="9">
        <v>2</v>
      </c>
      <c r="W1264" s="9">
        <v>0</v>
      </c>
      <c r="X1264" s="9">
        <v>1</v>
      </c>
      <c r="AE1264" s="9">
        <f>IFERROR(VLOOKUP($A1264,pivot!$A:$G,計算式2026!AE$1,FALSE),0)</f>
        <v>0</v>
      </c>
      <c r="AF1264" s="9">
        <f>IFERROR(VLOOKUP($A1264,pivot!$A:$I,計算式2026!AF$1,FALSE),0)</f>
        <v>0</v>
      </c>
      <c r="AI1264" s="9">
        <f>IFERROR(VLOOKUP($A1264,pivot!$A:$I,計算式2026!AI$1,FALSE),0)</f>
        <v>0</v>
      </c>
      <c r="AJ1264" s="9">
        <f>IFERROR(VLOOKUP($A1264,pivot!$A:$I,計算式2026!AJ$1,FALSE),0)</f>
        <v>0</v>
      </c>
      <c r="AK1264" s="9">
        <f>IFERROR(VLOOKUP($A1264,pivot!$A:$I,計算式2026!AK$1,FALSE),0)</f>
        <v>0</v>
      </c>
      <c r="AL1264" s="9">
        <f>IFERROR(VLOOKUP($A1264,pivot!$A:$I,計算式2026!AL$1,FALSE),0)</f>
        <v>0</v>
      </c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</row>
    <row r="1265" spans="1:59" s="9" customFormat="1">
      <c r="A1265" s="8" t="s">
        <v>2210</v>
      </c>
      <c r="B1265" s="8" t="s">
        <v>804</v>
      </c>
      <c r="C1265" s="9">
        <v>0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1</v>
      </c>
      <c r="W1265" s="9">
        <v>0</v>
      </c>
      <c r="X1265" s="9">
        <v>1</v>
      </c>
      <c r="AE1265" s="9">
        <f>IFERROR(VLOOKUP($A1265,pivot!$A:$G,計算式2026!AE$1,FALSE),0)</f>
        <v>0</v>
      </c>
      <c r="AF1265" s="9">
        <f>IFERROR(VLOOKUP($A1265,pivot!$A:$I,計算式2026!AF$1,FALSE),0)</f>
        <v>0</v>
      </c>
      <c r="AI1265" s="9">
        <f>IFERROR(VLOOKUP($A1265,pivot!$A:$I,計算式2026!AI$1,FALSE),0)</f>
        <v>0</v>
      </c>
      <c r="AJ1265" s="9">
        <f>IFERROR(VLOOKUP($A1265,pivot!$A:$I,計算式2026!AJ$1,FALSE),0)</f>
        <v>0</v>
      </c>
      <c r="AK1265" s="9">
        <f>IFERROR(VLOOKUP($A1265,pivot!$A:$I,計算式2026!AK$1,FALSE),0)</f>
        <v>0</v>
      </c>
      <c r="AL1265" s="9">
        <f>IFERROR(VLOOKUP($A1265,pivot!$A:$I,計算式2026!AL$1,FALSE),0)</f>
        <v>0</v>
      </c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</row>
    <row r="1266" spans="1:59" s="9" customFormat="1">
      <c r="A1266" s="8" t="s">
        <v>806</v>
      </c>
      <c r="B1266" s="8" t="s">
        <v>804</v>
      </c>
      <c r="C1266" s="9">
        <v>0</v>
      </c>
      <c r="D1266" s="9">
        <v>0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R1266" s="9">
        <v>0</v>
      </c>
      <c r="S1266" s="9">
        <v>0</v>
      </c>
      <c r="T1266" s="9">
        <v>1</v>
      </c>
      <c r="U1266" s="9">
        <v>0</v>
      </c>
      <c r="V1266" s="9">
        <v>1</v>
      </c>
      <c r="W1266" s="9">
        <v>0</v>
      </c>
      <c r="X1266" s="9">
        <v>1</v>
      </c>
      <c r="AE1266" s="9">
        <f>IFERROR(VLOOKUP($A1266,pivot!$A:$G,計算式2026!AE$1,FALSE),0)</f>
        <v>0</v>
      </c>
      <c r="AF1266" s="9">
        <f>IFERROR(VLOOKUP($A1266,pivot!$A:$I,計算式2026!AF$1,FALSE),0)</f>
        <v>0</v>
      </c>
      <c r="AI1266" s="9">
        <f>IFERROR(VLOOKUP($A1266,pivot!$A:$I,計算式2026!AI$1,FALSE),0)</f>
        <v>0</v>
      </c>
      <c r="AJ1266" s="9">
        <f>IFERROR(VLOOKUP($A1266,pivot!$A:$I,計算式2026!AJ$1,FALSE),0)</f>
        <v>0</v>
      </c>
      <c r="AK1266" s="9">
        <f>IFERROR(VLOOKUP($A1266,pivot!$A:$I,計算式2026!AK$1,FALSE),0)</f>
        <v>0</v>
      </c>
      <c r="AL1266" s="9">
        <f>IFERROR(VLOOKUP($A1266,pivot!$A:$I,計算式2026!AL$1,FALSE),0)</f>
        <v>0</v>
      </c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</row>
    <row r="1267" spans="1:59" s="9" customFormat="1">
      <c r="A1267" s="8" t="s">
        <v>2211</v>
      </c>
      <c r="B1267" s="8" t="s">
        <v>2212</v>
      </c>
      <c r="C1267" s="9">
        <v>1</v>
      </c>
      <c r="D1267" s="9">
        <v>0</v>
      </c>
      <c r="E1267" s="9">
        <v>0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R1267" s="9">
        <v>0</v>
      </c>
      <c r="S1267" s="9">
        <v>0</v>
      </c>
      <c r="T1267" s="9">
        <v>1</v>
      </c>
      <c r="U1267" s="9">
        <v>0</v>
      </c>
      <c r="V1267" s="9">
        <v>0</v>
      </c>
      <c r="W1267" s="9">
        <v>0</v>
      </c>
      <c r="X1267" s="9">
        <v>1</v>
      </c>
      <c r="AE1267" s="9">
        <f>IFERROR(VLOOKUP($A1267,pivot!$A:$G,計算式2026!AE$1,FALSE),0)</f>
        <v>0</v>
      </c>
      <c r="AF1267" s="9">
        <f>IFERROR(VLOOKUP($A1267,pivot!$A:$I,計算式2026!AF$1,FALSE),0)</f>
        <v>0</v>
      </c>
      <c r="AI1267" s="9">
        <f>IFERROR(VLOOKUP($A1267,pivot!$A:$I,計算式2026!AI$1,FALSE),0)</f>
        <v>0</v>
      </c>
      <c r="AJ1267" s="9">
        <f>IFERROR(VLOOKUP($A1267,pivot!$A:$I,計算式2026!AJ$1,FALSE),0)</f>
        <v>0</v>
      </c>
      <c r="AK1267" s="9">
        <f>IFERROR(VLOOKUP($A1267,pivot!$A:$I,計算式2026!AK$1,FALSE),0)</f>
        <v>0</v>
      </c>
      <c r="AL1267" s="9">
        <f>IFERROR(VLOOKUP($A1267,pivot!$A:$I,計算式2026!AL$1,FALSE),0)</f>
        <v>0</v>
      </c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</row>
    <row r="1268" spans="1:59" s="9" customFormat="1">
      <c r="A1268" s="8" t="s">
        <v>2213</v>
      </c>
      <c r="B1268" s="8" t="s">
        <v>2212</v>
      </c>
      <c r="C1268" s="9">
        <v>1</v>
      </c>
      <c r="D1268" s="9">
        <v>0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</v>
      </c>
      <c r="R1268" s="9">
        <v>0</v>
      </c>
      <c r="S1268" s="9">
        <v>0</v>
      </c>
      <c r="T1268" s="9">
        <v>1</v>
      </c>
      <c r="U1268" s="9">
        <v>0</v>
      </c>
      <c r="V1268" s="9">
        <v>0</v>
      </c>
      <c r="W1268" s="9">
        <v>0</v>
      </c>
      <c r="X1268" s="9">
        <v>1</v>
      </c>
      <c r="AE1268" s="9">
        <f>IFERROR(VLOOKUP($A1268,pivot!$A:$G,計算式2026!AE$1,FALSE),0)</f>
        <v>0</v>
      </c>
      <c r="AF1268" s="9">
        <f>IFERROR(VLOOKUP($A1268,pivot!$A:$I,計算式2026!AF$1,FALSE),0)</f>
        <v>0</v>
      </c>
      <c r="AI1268" s="9">
        <f>IFERROR(VLOOKUP($A1268,pivot!$A:$I,計算式2026!AI$1,FALSE),0)</f>
        <v>0</v>
      </c>
      <c r="AJ1268" s="9">
        <f>IFERROR(VLOOKUP($A1268,pivot!$A:$I,計算式2026!AJ$1,FALSE),0)</f>
        <v>0</v>
      </c>
      <c r="AK1268" s="9">
        <f>IFERROR(VLOOKUP($A1268,pivot!$A:$I,計算式2026!AK$1,FALSE),0)</f>
        <v>0</v>
      </c>
      <c r="AL1268" s="9">
        <f>IFERROR(VLOOKUP($A1268,pivot!$A:$I,計算式2026!AL$1,FALSE),0)</f>
        <v>0</v>
      </c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</row>
    <row r="1269" spans="1:59" s="9" customFormat="1">
      <c r="A1269" s="8" t="s">
        <v>2214</v>
      </c>
      <c r="B1269" s="8" t="s">
        <v>2212</v>
      </c>
      <c r="C1269" s="9">
        <v>1</v>
      </c>
      <c r="D1269" s="9">
        <v>0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R1269" s="9">
        <v>0</v>
      </c>
      <c r="S1269" s="9">
        <v>0</v>
      </c>
      <c r="T1269" s="9">
        <v>1</v>
      </c>
      <c r="U1269" s="9">
        <v>0</v>
      </c>
      <c r="V1269" s="9">
        <v>0</v>
      </c>
      <c r="W1269" s="9">
        <v>0</v>
      </c>
      <c r="X1269" s="9">
        <v>1</v>
      </c>
      <c r="AE1269" s="9">
        <f>IFERROR(VLOOKUP($A1269,pivot!$A:$G,計算式2026!AE$1,FALSE),0)</f>
        <v>0</v>
      </c>
      <c r="AF1269" s="9">
        <f>IFERROR(VLOOKUP($A1269,pivot!$A:$I,計算式2026!AF$1,FALSE),0)</f>
        <v>0</v>
      </c>
      <c r="AI1269" s="9">
        <f>IFERROR(VLOOKUP($A1269,pivot!$A:$I,計算式2026!AI$1,FALSE),0)</f>
        <v>0</v>
      </c>
      <c r="AJ1269" s="9">
        <f>IFERROR(VLOOKUP($A1269,pivot!$A:$I,計算式2026!AJ$1,FALSE),0)</f>
        <v>0</v>
      </c>
      <c r="AK1269" s="9">
        <f>IFERROR(VLOOKUP($A1269,pivot!$A:$I,計算式2026!AK$1,FALSE),0)</f>
        <v>0</v>
      </c>
      <c r="AL1269" s="9">
        <f>IFERROR(VLOOKUP($A1269,pivot!$A:$I,計算式2026!AL$1,FALSE),0)</f>
        <v>0</v>
      </c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</row>
    <row r="1270" spans="1:59" s="9" customFormat="1">
      <c r="A1270" s="8" t="s">
        <v>2215</v>
      </c>
      <c r="B1270" s="8" t="s">
        <v>2212</v>
      </c>
      <c r="C1270" s="9">
        <v>0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R1270" s="9">
        <v>0</v>
      </c>
      <c r="S1270" s="9">
        <v>0</v>
      </c>
      <c r="T1270" s="9">
        <v>1</v>
      </c>
      <c r="U1270" s="9">
        <v>0</v>
      </c>
      <c r="V1270" s="9">
        <v>0</v>
      </c>
      <c r="W1270" s="9">
        <v>0</v>
      </c>
      <c r="X1270" s="9">
        <v>0</v>
      </c>
      <c r="AE1270" s="9">
        <f>IFERROR(VLOOKUP($A1270,pivot!$A:$G,計算式2026!AE$1,FALSE),0)</f>
        <v>0</v>
      </c>
      <c r="AF1270" s="9">
        <f>IFERROR(VLOOKUP($A1270,pivot!$A:$I,計算式2026!AF$1,FALSE),0)</f>
        <v>0</v>
      </c>
      <c r="AI1270" s="9">
        <f>IFERROR(VLOOKUP($A1270,pivot!$A:$I,計算式2026!AI$1,FALSE),0)</f>
        <v>0</v>
      </c>
      <c r="AJ1270" s="9">
        <f>IFERROR(VLOOKUP($A1270,pivot!$A:$I,計算式2026!AJ$1,FALSE),0)</f>
        <v>0</v>
      </c>
      <c r="AK1270" s="9">
        <f>IFERROR(VLOOKUP($A1270,pivot!$A:$I,計算式2026!AK$1,FALSE),0)</f>
        <v>0</v>
      </c>
      <c r="AL1270" s="9">
        <f>IFERROR(VLOOKUP($A1270,pivot!$A:$I,計算式2026!AL$1,FALSE),0)</f>
        <v>0</v>
      </c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</row>
    <row r="1271" spans="1:59" s="9" customFormat="1">
      <c r="A1271" s="8" t="s">
        <v>807</v>
      </c>
      <c r="B1271" s="8" t="s">
        <v>808</v>
      </c>
      <c r="C1271" s="9">
        <v>0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R1271" s="9">
        <v>0</v>
      </c>
      <c r="S1271" s="9">
        <v>0</v>
      </c>
      <c r="T1271" s="9">
        <v>1</v>
      </c>
      <c r="U1271" s="9">
        <v>0</v>
      </c>
      <c r="V1271" s="9">
        <v>2</v>
      </c>
      <c r="W1271" s="9">
        <v>0</v>
      </c>
      <c r="X1271" s="9">
        <v>1</v>
      </c>
      <c r="AE1271" s="9">
        <f>IFERROR(VLOOKUP($A1271,pivot!$A:$G,計算式2026!AE$1,FALSE),0)</f>
        <v>0</v>
      </c>
      <c r="AF1271" s="9">
        <f>IFERROR(VLOOKUP($A1271,pivot!$A:$I,計算式2026!AF$1,FALSE),0)</f>
        <v>0</v>
      </c>
      <c r="AI1271" s="9">
        <f>IFERROR(VLOOKUP($A1271,pivot!$A:$I,計算式2026!AI$1,FALSE),0)</f>
        <v>0</v>
      </c>
      <c r="AJ1271" s="9">
        <f>IFERROR(VLOOKUP($A1271,pivot!$A:$I,計算式2026!AJ$1,FALSE),0)</f>
        <v>0</v>
      </c>
      <c r="AK1271" s="9">
        <f>IFERROR(VLOOKUP($A1271,pivot!$A:$I,計算式2026!AK$1,FALSE),0)</f>
        <v>0</v>
      </c>
      <c r="AL1271" s="9">
        <f>IFERROR(VLOOKUP($A1271,pivot!$A:$I,計算式2026!AL$1,FALSE),0)</f>
        <v>0</v>
      </c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</row>
    <row r="1272" spans="1:59" s="9" customFormat="1">
      <c r="A1272" s="8" t="s">
        <v>809</v>
      </c>
      <c r="B1272" s="8" t="s">
        <v>808</v>
      </c>
      <c r="C1272" s="9">
        <v>0</v>
      </c>
      <c r="D1272" s="9">
        <v>0</v>
      </c>
      <c r="E1272" s="9">
        <v>0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R1272" s="9">
        <v>0</v>
      </c>
      <c r="S1272" s="9">
        <v>1</v>
      </c>
      <c r="T1272" s="9">
        <v>1</v>
      </c>
      <c r="U1272" s="9">
        <v>0</v>
      </c>
      <c r="V1272" s="9">
        <v>3</v>
      </c>
      <c r="W1272" s="9">
        <v>0</v>
      </c>
      <c r="X1272" s="9">
        <v>1</v>
      </c>
      <c r="AE1272" s="9">
        <f>IFERROR(VLOOKUP($A1272,pivot!$A:$G,計算式2026!AE$1,FALSE),0)</f>
        <v>0</v>
      </c>
      <c r="AF1272" s="9">
        <f>IFERROR(VLOOKUP($A1272,pivot!$A:$I,計算式2026!AF$1,FALSE),0)</f>
        <v>0</v>
      </c>
      <c r="AI1272" s="9">
        <f>IFERROR(VLOOKUP($A1272,pivot!$A:$I,計算式2026!AI$1,FALSE),0)</f>
        <v>0</v>
      </c>
      <c r="AJ1272" s="9">
        <f>IFERROR(VLOOKUP($A1272,pivot!$A:$I,計算式2026!AJ$1,FALSE),0)</f>
        <v>0</v>
      </c>
      <c r="AK1272" s="9">
        <f>IFERROR(VLOOKUP($A1272,pivot!$A:$I,計算式2026!AK$1,FALSE),0)</f>
        <v>0</v>
      </c>
      <c r="AL1272" s="9">
        <f>IFERROR(VLOOKUP($A1272,pivot!$A:$I,計算式2026!AL$1,FALSE),0)</f>
        <v>0</v>
      </c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</row>
    <row r="1273" spans="1:59" s="9" customFormat="1">
      <c r="A1273" s="8" t="s">
        <v>810</v>
      </c>
      <c r="B1273" s="8" t="s">
        <v>808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R1273" s="9">
        <v>0</v>
      </c>
      <c r="S1273" s="9">
        <v>1</v>
      </c>
      <c r="T1273" s="9">
        <v>1</v>
      </c>
      <c r="U1273" s="9">
        <v>0</v>
      </c>
      <c r="V1273" s="9">
        <v>1</v>
      </c>
      <c r="W1273" s="9">
        <v>0</v>
      </c>
      <c r="X1273" s="9">
        <v>1</v>
      </c>
      <c r="AE1273" s="9">
        <f>IFERROR(VLOOKUP($A1273,pivot!$A:$G,計算式2026!AE$1,FALSE),0)</f>
        <v>0</v>
      </c>
      <c r="AF1273" s="9">
        <f>IFERROR(VLOOKUP($A1273,pivot!$A:$I,計算式2026!AF$1,FALSE),0)</f>
        <v>0</v>
      </c>
      <c r="AI1273" s="9">
        <f>IFERROR(VLOOKUP($A1273,pivot!$A:$I,計算式2026!AI$1,FALSE),0)</f>
        <v>0</v>
      </c>
      <c r="AJ1273" s="9">
        <f>IFERROR(VLOOKUP($A1273,pivot!$A:$I,計算式2026!AJ$1,FALSE),0)</f>
        <v>0</v>
      </c>
      <c r="AK1273" s="9">
        <f>IFERROR(VLOOKUP($A1273,pivot!$A:$I,計算式2026!AK$1,FALSE),0)</f>
        <v>0</v>
      </c>
      <c r="AL1273" s="9">
        <f>IFERROR(VLOOKUP($A1273,pivot!$A:$I,計算式2026!AL$1,FALSE),0)</f>
        <v>0</v>
      </c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</row>
    <row r="1274" spans="1:59" s="9" customFormat="1">
      <c r="A1274" s="8" t="s">
        <v>812</v>
      </c>
      <c r="B1274" s="8" t="s">
        <v>811</v>
      </c>
      <c r="C1274" s="9">
        <v>0</v>
      </c>
      <c r="D1274" s="9">
        <v>0</v>
      </c>
      <c r="E1274" s="9">
        <v>0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R1274" s="9">
        <v>0</v>
      </c>
      <c r="S1274" s="9">
        <v>0</v>
      </c>
      <c r="T1274" s="9">
        <v>1</v>
      </c>
      <c r="U1274" s="9">
        <v>0</v>
      </c>
      <c r="V1274" s="9">
        <v>0</v>
      </c>
      <c r="W1274" s="9">
        <v>0</v>
      </c>
      <c r="X1274" s="9">
        <v>0</v>
      </c>
      <c r="AE1274" s="9">
        <f>IFERROR(VLOOKUP($A1274,pivot!$A:$G,計算式2026!AE$1,FALSE),0)</f>
        <v>0</v>
      </c>
      <c r="AF1274" s="9">
        <f>IFERROR(VLOOKUP($A1274,pivot!$A:$I,計算式2026!AF$1,FALSE),0)</f>
        <v>0</v>
      </c>
      <c r="AI1274" s="9">
        <f>IFERROR(VLOOKUP($A1274,pivot!$A:$I,計算式2026!AI$1,FALSE),0)</f>
        <v>0</v>
      </c>
      <c r="AJ1274" s="9">
        <f>IFERROR(VLOOKUP($A1274,pivot!$A:$I,計算式2026!AJ$1,FALSE),0)</f>
        <v>0</v>
      </c>
      <c r="AK1274" s="9">
        <f>IFERROR(VLOOKUP($A1274,pivot!$A:$I,計算式2026!AK$1,FALSE),0)</f>
        <v>0</v>
      </c>
      <c r="AL1274" s="9">
        <f>IFERROR(VLOOKUP($A1274,pivot!$A:$I,計算式2026!AL$1,FALSE),0)</f>
        <v>0</v>
      </c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</row>
    <row r="1275" spans="1:59" s="9" customFormat="1">
      <c r="A1275" s="8" t="s">
        <v>813</v>
      </c>
      <c r="B1275" s="8" t="s">
        <v>811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R1275" s="9">
        <v>0</v>
      </c>
      <c r="S1275" s="9">
        <v>1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AE1275" s="9">
        <f>IFERROR(VLOOKUP($A1275,pivot!$A:$G,計算式2026!AE$1,FALSE),0)</f>
        <v>0</v>
      </c>
      <c r="AF1275" s="9">
        <f>IFERROR(VLOOKUP($A1275,pivot!$A:$I,計算式2026!AF$1,FALSE),0)</f>
        <v>0</v>
      </c>
      <c r="AI1275" s="9">
        <f>IFERROR(VLOOKUP($A1275,pivot!$A:$I,計算式2026!AI$1,FALSE),0)</f>
        <v>0</v>
      </c>
      <c r="AJ1275" s="9">
        <f>IFERROR(VLOOKUP($A1275,pivot!$A:$I,計算式2026!AJ$1,FALSE),0)</f>
        <v>0</v>
      </c>
      <c r="AK1275" s="9">
        <f>IFERROR(VLOOKUP($A1275,pivot!$A:$I,計算式2026!AK$1,FALSE),0)</f>
        <v>0</v>
      </c>
      <c r="AL1275" s="9">
        <f>IFERROR(VLOOKUP($A1275,pivot!$A:$I,計算式2026!AL$1,FALSE),0)</f>
        <v>0</v>
      </c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</row>
    <row r="1276" spans="1:59" s="9" customFormat="1">
      <c r="A1276" s="8" t="s">
        <v>814</v>
      </c>
      <c r="B1276" s="8" t="s">
        <v>811</v>
      </c>
      <c r="C1276" s="9">
        <v>0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R1276" s="9">
        <v>0</v>
      </c>
      <c r="S1276" s="9">
        <v>1</v>
      </c>
      <c r="T1276" s="9">
        <v>0</v>
      </c>
      <c r="U1276" s="9">
        <v>0</v>
      </c>
      <c r="V1276" s="9">
        <v>1</v>
      </c>
      <c r="W1276" s="9">
        <v>0</v>
      </c>
      <c r="X1276" s="9">
        <v>0</v>
      </c>
      <c r="AE1276" s="9">
        <f>IFERROR(VLOOKUP($A1276,pivot!$A:$G,計算式2026!AE$1,FALSE),0)</f>
        <v>0</v>
      </c>
      <c r="AF1276" s="9">
        <f>IFERROR(VLOOKUP($A1276,pivot!$A:$I,計算式2026!AF$1,FALSE),0)</f>
        <v>0</v>
      </c>
      <c r="AI1276" s="9">
        <f>IFERROR(VLOOKUP($A1276,pivot!$A:$I,計算式2026!AI$1,FALSE),0)</f>
        <v>0</v>
      </c>
      <c r="AJ1276" s="9">
        <f>IFERROR(VLOOKUP($A1276,pivot!$A:$I,計算式2026!AJ$1,FALSE),0)</f>
        <v>0</v>
      </c>
      <c r="AK1276" s="9">
        <f>IFERROR(VLOOKUP($A1276,pivot!$A:$I,計算式2026!AK$1,FALSE),0)</f>
        <v>0</v>
      </c>
      <c r="AL1276" s="9">
        <f>IFERROR(VLOOKUP($A1276,pivot!$A:$I,計算式2026!AL$1,FALSE),0)</f>
        <v>0</v>
      </c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</row>
    <row r="1277" spans="1:59" s="9" customFormat="1">
      <c r="A1277" s="8" t="s">
        <v>1805</v>
      </c>
      <c r="B1277" s="8" t="s">
        <v>815</v>
      </c>
      <c r="C1277" s="9">
        <v>1</v>
      </c>
      <c r="D1277" s="9">
        <v>0</v>
      </c>
      <c r="E1277" s="9">
        <v>0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R1277" s="9">
        <v>0</v>
      </c>
      <c r="S1277" s="9">
        <v>1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AE1277" s="9">
        <f>IFERROR(VLOOKUP($A1277,pivot!$A:$G,計算式2026!AE$1,FALSE),0)</f>
        <v>0</v>
      </c>
      <c r="AF1277" s="9">
        <f>IFERROR(VLOOKUP($A1277,pivot!$A:$I,計算式2026!AF$1,FALSE),0)</f>
        <v>0</v>
      </c>
      <c r="AI1277" s="9">
        <f>IFERROR(VLOOKUP($A1277,pivot!$A:$I,計算式2026!AI$1,FALSE),0)</f>
        <v>0</v>
      </c>
      <c r="AJ1277" s="9">
        <f>IFERROR(VLOOKUP($A1277,pivot!$A:$I,計算式2026!AJ$1,FALSE),0)</f>
        <v>0</v>
      </c>
      <c r="AK1277" s="9">
        <f>IFERROR(VLOOKUP($A1277,pivot!$A:$I,計算式2026!AK$1,FALSE),0)</f>
        <v>0</v>
      </c>
      <c r="AL1277" s="9">
        <f>IFERROR(VLOOKUP($A1277,pivot!$A:$I,計算式2026!AL$1,FALSE),0)</f>
        <v>0</v>
      </c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</row>
    <row r="1278" spans="1:59" s="9" customFormat="1">
      <c r="A1278" s="8" t="s">
        <v>1806</v>
      </c>
      <c r="B1278" s="8" t="s">
        <v>815</v>
      </c>
      <c r="C1278" s="9">
        <v>1</v>
      </c>
      <c r="D1278" s="9">
        <v>0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R1278" s="9">
        <v>0</v>
      </c>
      <c r="S1278" s="9">
        <v>1</v>
      </c>
      <c r="T1278" s="9">
        <v>0</v>
      </c>
      <c r="U1278" s="9">
        <v>0</v>
      </c>
      <c r="V1278" s="9">
        <v>1</v>
      </c>
      <c r="W1278" s="9">
        <v>0</v>
      </c>
      <c r="X1278" s="9">
        <v>0</v>
      </c>
      <c r="AE1278" s="9">
        <f>IFERROR(VLOOKUP($A1278,pivot!$A:$G,計算式2026!AE$1,FALSE),0)</f>
        <v>0</v>
      </c>
      <c r="AF1278" s="9">
        <f>IFERROR(VLOOKUP($A1278,pivot!$A:$I,計算式2026!AF$1,FALSE),0)</f>
        <v>0</v>
      </c>
      <c r="AI1278" s="9">
        <f>IFERROR(VLOOKUP($A1278,pivot!$A:$I,計算式2026!AI$1,FALSE),0)</f>
        <v>0</v>
      </c>
      <c r="AJ1278" s="9">
        <f>IFERROR(VLOOKUP($A1278,pivot!$A:$I,計算式2026!AJ$1,FALSE),0)</f>
        <v>0</v>
      </c>
      <c r="AK1278" s="9">
        <f>IFERROR(VLOOKUP($A1278,pivot!$A:$I,計算式2026!AK$1,FALSE),0)</f>
        <v>0</v>
      </c>
      <c r="AL1278" s="9">
        <f>IFERROR(VLOOKUP($A1278,pivot!$A:$I,計算式2026!AL$1,FALSE),0)</f>
        <v>0</v>
      </c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</row>
    <row r="1279" spans="1:59" s="9" customFormat="1">
      <c r="A1279" s="8" t="s">
        <v>1807</v>
      </c>
      <c r="B1279" s="8" t="s">
        <v>815</v>
      </c>
      <c r="C1279" s="9">
        <v>0</v>
      </c>
      <c r="D1279" s="9">
        <v>0</v>
      </c>
      <c r="E1279" s="9">
        <v>0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1</v>
      </c>
      <c r="W1279" s="9">
        <v>0</v>
      </c>
      <c r="X1279" s="9">
        <v>0</v>
      </c>
      <c r="AE1279" s="9">
        <f>IFERROR(VLOOKUP($A1279,pivot!$A:$G,計算式2026!AE$1,FALSE),0)</f>
        <v>0</v>
      </c>
      <c r="AF1279" s="9">
        <f>IFERROR(VLOOKUP($A1279,pivot!$A:$I,計算式2026!AF$1,FALSE),0)</f>
        <v>0</v>
      </c>
      <c r="AI1279" s="9">
        <f>IFERROR(VLOOKUP($A1279,pivot!$A:$I,計算式2026!AI$1,FALSE),0)</f>
        <v>0</v>
      </c>
      <c r="AJ1279" s="9">
        <f>IFERROR(VLOOKUP($A1279,pivot!$A:$I,計算式2026!AJ$1,FALSE),0)</f>
        <v>0</v>
      </c>
      <c r="AK1279" s="9">
        <f>IFERROR(VLOOKUP($A1279,pivot!$A:$I,計算式2026!AK$1,FALSE),0)</f>
        <v>0</v>
      </c>
      <c r="AL1279" s="9">
        <f>IFERROR(VLOOKUP($A1279,pivot!$A:$I,計算式2026!AL$1,FALSE),0)</f>
        <v>0</v>
      </c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</row>
    <row r="1280" spans="1:59" s="9" customFormat="1">
      <c r="A1280" s="8" t="s">
        <v>1808</v>
      </c>
      <c r="B1280" s="8" t="s">
        <v>815</v>
      </c>
      <c r="C1280" s="9">
        <v>0</v>
      </c>
      <c r="D1280" s="9">
        <v>0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1</v>
      </c>
      <c r="W1280" s="9">
        <v>0</v>
      </c>
      <c r="X1280" s="9">
        <v>0</v>
      </c>
      <c r="AE1280" s="9">
        <f>IFERROR(VLOOKUP($A1280,pivot!$A:$G,計算式2026!AE$1,FALSE),0)</f>
        <v>0</v>
      </c>
      <c r="AF1280" s="9">
        <f>IFERROR(VLOOKUP($A1280,pivot!$A:$I,計算式2026!AF$1,FALSE),0)</f>
        <v>0</v>
      </c>
      <c r="AI1280" s="9">
        <f>IFERROR(VLOOKUP($A1280,pivot!$A:$I,計算式2026!AI$1,FALSE),0)</f>
        <v>0</v>
      </c>
      <c r="AJ1280" s="9">
        <f>IFERROR(VLOOKUP($A1280,pivot!$A:$I,計算式2026!AJ$1,FALSE),0)</f>
        <v>0</v>
      </c>
      <c r="AK1280" s="9">
        <f>IFERROR(VLOOKUP($A1280,pivot!$A:$I,計算式2026!AK$1,FALSE),0)</f>
        <v>0</v>
      </c>
      <c r="AL1280" s="9">
        <f>IFERROR(VLOOKUP($A1280,pivot!$A:$I,計算式2026!AL$1,FALSE),0)</f>
        <v>0</v>
      </c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</row>
    <row r="1281" spans="1:59" s="9" customFormat="1">
      <c r="A1281" s="8" t="s">
        <v>816</v>
      </c>
      <c r="B1281" s="8" t="s">
        <v>815</v>
      </c>
      <c r="C1281" s="9">
        <v>0</v>
      </c>
      <c r="D1281" s="9">
        <v>0</v>
      </c>
      <c r="E1281" s="9">
        <v>0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R1281" s="9">
        <v>0</v>
      </c>
      <c r="S1281" s="9">
        <v>1</v>
      </c>
      <c r="T1281" s="9">
        <v>0</v>
      </c>
      <c r="U1281" s="9">
        <v>0</v>
      </c>
      <c r="V1281" s="9">
        <v>2</v>
      </c>
      <c r="W1281" s="9">
        <v>0</v>
      </c>
      <c r="X1281" s="9">
        <v>0</v>
      </c>
      <c r="AE1281" s="9">
        <f>IFERROR(VLOOKUP($A1281,pivot!$A:$G,計算式2026!AE$1,FALSE),0)</f>
        <v>0</v>
      </c>
      <c r="AF1281" s="9">
        <f>IFERROR(VLOOKUP($A1281,pivot!$A:$I,計算式2026!AF$1,FALSE),0)</f>
        <v>0</v>
      </c>
      <c r="AI1281" s="9">
        <f>IFERROR(VLOOKUP($A1281,pivot!$A:$I,計算式2026!AI$1,FALSE),0)</f>
        <v>0</v>
      </c>
      <c r="AJ1281" s="9">
        <f>IFERROR(VLOOKUP($A1281,pivot!$A:$I,計算式2026!AJ$1,FALSE),0)</f>
        <v>0</v>
      </c>
      <c r="AK1281" s="9">
        <f>IFERROR(VLOOKUP($A1281,pivot!$A:$I,計算式2026!AK$1,FALSE),0)</f>
        <v>0</v>
      </c>
      <c r="AL1281" s="9">
        <f>IFERROR(VLOOKUP($A1281,pivot!$A:$I,計算式2026!AL$1,FALSE),0)</f>
        <v>0</v>
      </c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</row>
    <row r="1282" spans="1:59" s="9" customFormat="1">
      <c r="A1282" s="8" t="s">
        <v>817</v>
      </c>
      <c r="B1282" s="8" t="s">
        <v>815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R1282" s="9">
        <v>0</v>
      </c>
      <c r="S1282" s="9">
        <v>1</v>
      </c>
      <c r="T1282" s="9">
        <v>1</v>
      </c>
      <c r="U1282" s="9">
        <v>0</v>
      </c>
      <c r="V1282" s="9">
        <v>1</v>
      </c>
      <c r="W1282" s="9">
        <v>0</v>
      </c>
      <c r="X1282" s="9">
        <v>0</v>
      </c>
      <c r="AE1282" s="9">
        <f>IFERROR(VLOOKUP($A1282,pivot!$A:$G,計算式2026!AE$1,FALSE),0)</f>
        <v>0</v>
      </c>
      <c r="AF1282" s="9">
        <f>IFERROR(VLOOKUP($A1282,pivot!$A:$I,計算式2026!AF$1,FALSE),0)</f>
        <v>0</v>
      </c>
      <c r="AI1282" s="9">
        <f>IFERROR(VLOOKUP($A1282,pivot!$A:$I,計算式2026!AI$1,FALSE),0)</f>
        <v>0</v>
      </c>
      <c r="AJ1282" s="9">
        <f>IFERROR(VLOOKUP($A1282,pivot!$A:$I,計算式2026!AJ$1,FALSE),0)</f>
        <v>0</v>
      </c>
      <c r="AK1282" s="9">
        <f>IFERROR(VLOOKUP($A1282,pivot!$A:$I,計算式2026!AK$1,FALSE),0)</f>
        <v>0</v>
      </c>
      <c r="AL1282" s="9">
        <f>IFERROR(VLOOKUP($A1282,pivot!$A:$I,計算式2026!AL$1,FALSE),0)</f>
        <v>0</v>
      </c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</row>
    <row r="1283" spans="1:59" s="9" customFormat="1">
      <c r="A1283" s="8" t="s">
        <v>818</v>
      </c>
      <c r="B1283" s="8" t="s">
        <v>815</v>
      </c>
      <c r="C1283" s="9">
        <v>0</v>
      </c>
      <c r="D1283" s="9">
        <v>0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R1283" s="9">
        <v>0</v>
      </c>
      <c r="S1283" s="9">
        <v>1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AE1283" s="9">
        <f>IFERROR(VLOOKUP($A1283,pivot!$A:$G,計算式2026!AE$1,FALSE),0)</f>
        <v>0</v>
      </c>
      <c r="AF1283" s="9">
        <f>IFERROR(VLOOKUP($A1283,pivot!$A:$I,計算式2026!AF$1,FALSE),0)</f>
        <v>0</v>
      </c>
      <c r="AI1283" s="9">
        <f>IFERROR(VLOOKUP($A1283,pivot!$A:$I,計算式2026!AI$1,FALSE),0)</f>
        <v>0</v>
      </c>
      <c r="AJ1283" s="9">
        <f>IFERROR(VLOOKUP($A1283,pivot!$A:$I,計算式2026!AJ$1,FALSE),0)</f>
        <v>0</v>
      </c>
      <c r="AK1283" s="9">
        <f>IFERROR(VLOOKUP($A1283,pivot!$A:$I,計算式2026!AK$1,FALSE),0)</f>
        <v>0</v>
      </c>
      <c r="AL1283" s="9">
        <f>IFERROR(VLOOKUP($A1283,pivot!$A:$I,計算式2026!AL$1,FALSE),0)</f>
        <v>0</v>
      </c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</row>
    <row r="1284" spans="1:59" s="9" customFormat="1">
      <c r="A1284" s="8" t="s">
        <v>820</v>
      </c>
      <c r="B1284" s="8" t="s">
        <v>819</v>
      </c>
      <c r="C1284" s="9">
        <v>0</v>
      </c>
      <c r="D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R1284" s="9">
        <v>0</v>
      </c>
      <c r="S1284" s="9">
        <v>2</v>
      </c>
      <c r="T1284" s="9">
        <v>0</v>
      </c>
      <c r="U1284" s="9">
        <v>0</v>
      </c>
      <c r="V1284" s="9">
        <v>1</v>
      </c>
      <c r="W1284" s="9">
        <v>0</v>
      </c>
      <c r="X1284" s="9">
        <v>0</v>
      </c>
      <c r="AE1284" s="9">
        <f>IFERROR(VLOOKUP($A1284,pivot!$A:$G,計算式2026!AE$1,FALSE),0)</f>
        <v>0</v>
      </c>
      <c r="AF1284" s="9">
        <f>IFERROR(VLOOKUP($A1284,pivot!$A:$I,計算式2026!AF$1,FALSE),0)</f>
        <v>0</v>
      </c>
      <c r="AI1284" s="9">
        <f>IFERROR(VLOOKUP($A1284,pivot!$A:$I,計算式2026!AI$1,FALSE),0)</f>
        <v>0</v>
      </c>
      <c r="AJ1284" s="9">
        <f>IFERROR(VLOOKUP($A1284,pivot!$A:$I,計算式2026!AJ$1,FALSE),0)</f>
        <v>0</v>
      </c>
      <c r="AK1284" s="9">
        <f>IFERROR(VLOOKUP($A1284,pivot!$A:$I,計算式2026!AK$1,FALSE),0)</f>
        <v>0</v>
      </c>
      <c r="AL1284" s="9">
        <f>IFERROR(VLOOKUP($A1284,pivot!$A:$I,計算式2026!AL$1,FALSE),0)</f>
        <v>0</v>
      </c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</row>
    <row r="1285" spans="1:59" s="9" customFormat="1">
      <c r="A1285" s="8" t="s">
        <v>821</v>
      </c>
      <c r="B1285" s="8" t="s">
        <v>819</v>
      </c>
      <c r="C1285" s="9">
        <v>0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1</v>
      </c>
      <c r="W1285" s="9">
        <v>0</v>
      </c>
      <c r="X1285" s="9">
        <v>0</v>
      </c>
      <c r="AE1285" s="9">
        <f>IFERROR(VLOOKUP($A1285,pivot!$A:$G,計算式2026!AE$1,FALSE),0)</f>
        <v>0</v>
      </c>
      <c r="AF1285" s="9">
        <f>IFERROR(VLOOKUP($A1285,pivot!$A:$I,計算式2026!AF$1,FALSE),0)</f>
        <v>0</v>
      </c>
      <c r="AI1285" s="9">
        <f>IFERROR(VLOOKUP($A1285,pivot!$A:$I,計算式2026!AI$1,FALSE),0)</f>
        <v>0</v>
      </c>
      <c r="AJ1285" s="9">
        <f>IFERROR(VLOOKUP($A1285,pivot!$A:$I,計算式2026!AJ$1,FALSE),0)</f>
        <v>0</v>
      </c>
      <c r="AK1285" s="9">
        <f>IFERROR(VLOOKUP($A1285,pivot!$A:$I,計算式2026!AK$1,FALSE),0)</f>
        <v>0</v>
      </c>
      <c r="AL1285" s="9">
        <f>IFERROR(VLOOKUP($A1285,pivot!$A:$I,計算式2026!AL$1,FALSE),0)</f>
        <v>0</v>
      </c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</row>
    <row r="1286" spans="1:59" s="9" customFormat="1">
      <c r="A1286" s="8" t="s">
        <v>2216</v>
      </c>
      <c r="B1286" s="8" t="s">
        <v>822</v>
      </c>
      <c r="C1286" s="9">
        <v>0</v>
      </c>
      <c r="D1286" s="9">
        <v>0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R1286" s="9">
        <v>0</v>
      </c>
      <c r="S1286" s="9">
        <v>1</v>
      </c>
      <c r="T1286" s="9">
        <v>0</v>
      </c>
      <c r="U1286" s="9">
        <v>0</v>
      </c>
      <c r="V1286" s="9">
        <v>1</v>
      </c>
      <c r="W1286" s="9">
        <v>0</v>
      </c>
      <c r="X1286" s="9">
        <v>0</v>
      </c>
      <c r="AE1286" s="9">
        <f>IFERROR(VLOOKUP($A1286,pivot!$A:$G,計算式2026!AE$1,FALSE),0)</f>
        <v>0</v>
      </c>
      <c r="AF1286" s="9">
        <f>IFERROR(VLOOKUP($A1286,pivot!$A:$I,計算式2026!AF$1,FALSE),0)</f>
        <v>0</v>
      </c>
      <c r="AI1286" s="9">
        <f>IFERROR(VLOOKUP($A1286,pivot!$A:$I,計算式2026!AI$1,FALSE),0)</f>
        <v>0</v>
      </c>
      <c r="AJ1286" s="9">
        <f>IFERROR(VLOOKUP($A1286,pivot!$A:$I,計算式2026!AJ$1,FALSE),0)</f>
        <v>0</v>
      </c>
      <c r="AK1286" s="9">
        <f>IFERROR(VLOOKUP($A1286,pivot!$A:$I,計算式2026!AK$1,FALSE),0)</f>
        <v>0</v>
      </c>
      <c r="AL1286" s="9">
        <f>IFERROR(VLOOKUP($A1286,pivot!$A:$I,計算式2026!AL$1,FALSE),0)</f>
        <v>0</v>
      </c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</row>
    <row r="1287" spans="1:59" s="9" customFormat="1">
      <c r="A1287" s="8" t="s">
        <v>2217</v>
      </c>
      <c r="B1287" s="8" t="s">
        <v>822</v>
      </c>
      <c r="C1287" s="9">
        <v>0</v>
      </c>
      <c r="D1287" s="9">
        <v>0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R1287" s="9">
        <v>0</v>
      </c>
      <c r="S1287" s="9">
        <v>1</v>
      </c>
      <c r="T1287" s="9">
        <v>0</v>
      </c>
      <c r="U1287" s="9">
        <v>0</v>
      </c>
      <c r="V1287" s="9">
        <v>1</v>
      </c>
      <c r="W1287" s="9">
        <v>0</v>
      </c>
      <c r="X1287" s="9">
        <v>0</v>
      </c>
      <c r="AE1287" s="9">
        <f>IFERROR(VLOOKUP($A1287,pivot!$A:$G,計算式2026!AE$1,FALSE),0)</f>
        <v>0</v>
      </c>
      <c r="AF1287" s="9">
        <f>IFERROR(VLOOKUP($A1287,pivot!$A:$I,計算式2026!AF$1,FALSE),0)</f>
        <v>0</v>
      </c>
      <c r="AI1287" s="9">
        <f>IFERROR(VLOOKUP($A1287,pivot!$A:$I,計算式2026!AI$1,FALSE),0)</f>
        <v>0</v>
      </c>
      <c r="AJ1287" s="9">
        <f>IFERROR(VLOOKUP($A1287,pivot!$A:$I,計算式2026!AJ$1,FALSE),0)</f>
        <v>0</v>
      </c>
      <c r="AK1287" s="9">
        <f>IFERROR(VLOOKUP($A1287,pivot!$A:$I,計算式2026!AK$1,FALSE),0)</f>
        <v>0</v>
      </c>
      <c r="AL1287" s="9">
        <f>IFERROR(VLOOKUP($A1287,pivot!$A:$I,計算式2026!AL$1,FALSE),0)</f>
        <v>0</v>
      </c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</row>
    <row r="1288" spans="1:59" s="9" customFormat="1">
      <c r="A1288" s="8" t="s">
        <v>2218</v>
      </c>
      <c r="B1288" s="8" t="s">
        <v>822</v>
      </c>
      <c r="C1288" s="9">
        <v>0</v>
      </c>
      <c r="D1288" s="9">
        <v>0</v>
      </c>
      <c r="E1288" s="9">
        <v>0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R1288" s="9">
        <v>0</v>
      </c>
      <c r="S1288" s="9">
        <v>1</v>
      </c>
      <c r="T1288" s="9">
        <v>0</v>
      </c>
      <c r="U1288" s="9">
        <v>0</v>
      </c>
      <c r="V1288" s="9">
        <v>1</v>
      </c>
      <c r="W1288" s="9">
        <v>0</v>
      </c>
      <c r="X1288" s="9">
        <v>0</v>
      </c>
      <c r="AE1288" s="9">
        <f>IFERROR(VLOOKUP($A1288,pivot!$A:$G,計算式2026!AE$1,FALSE),0)</f>
        <v>0</v>
      </c>
      <c r="AF1288" s="9">
        <f>IFERROR(VLOOKUP($A1288,pivot!$A:$I,計算式2026!AF$1,FALSE),0)</f>
        <v>0</v>
      </c>
      <c r="AI1288" s="9">
        <f>IFERROR(VLOOKUP($A1288,pivot!$A:$I,計算式2026!AI$1,FALSE),0)</f>
        <v>0</v>
      </c>
      <c r="AJ1288" s="9">
        <f>IFERROR(VLOOKUP($A1288,pivot!$A:$I,計算式2026!AJ$1,FALSE),0)</f>
        <v>0</v>
      </c>
      <c r="AK1288" s="9">
        <f>IFERROR(VLOOKUP($A1288,pivot!$A:$I,計算式2026!AK$1,FALSE),0)</f>
        <v>0</v>
      </c>
      <c r="AL1288" s="9">
        <f>IFERROR(VLOOKUP($A1288,pivot!$A:$I,計算式2026!AL$1,FALSE),0)</f>
        <v>0</v>
      </c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</row>
    <row r="1289" spans="1:59" s="9" customFormat="1">
      <c r="A1289" s="8" t="s">
        <v>2219</v>
      </c>
      <c r="B1289" s="8" t="s">
        <v>822</v>
      </c>
      <c r="C1289" s="9">
        <v>0</v>
      </c>
      <c r="D1289" s="9">
        <v>0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AE1289" s="9">
        <f>IFERROR(VLOOKUP($A1289,pivot!$A:$G,計算式2026!AE$1,FALSE),0)</f>
        <v>0</v>
      </c>
      <c r="AF1289" s="9">
        <f>IFERROR(VLOOKUP($A1289,pivot!$A:$I,計算式2026!AF$1,FALSE),0)</f>
        <v>0</v>
      </c>
      <c r="AI1289" s="9">
        <f>IFERROR(VLOOKUP($A1289,pivot!$A:$I,計算式2026!AI$1,FALSE),0)</f>
        <v>0</v>
      </c>
      <c r="AJ1289" s="9">
        <f>IFERROR(VLOOKUP($A1289,pivot!$A:$I,計算式2026!AJ$1,FALSE),0)</f>
        <v>0</v>
      </c>
      <c r="AK1289" s="9">
        <f>IFERROR(VLOOKUP($A1289,pivot!$A:$I,計算式2026!AK$1,FALSE),0)</f>
        <v>0</v>
      </c>
      <c r="AL1289" s="9">
        <f>IFERROR(VLOOKUP($A1289,pivot!$A:$I,計算式2026!AL$1,FALSE),0)</f>
        <v>0</v>
      </c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</row>
    <row r="1290" spans="1:59" s="9" customFormat="1">
      <c r="A1290" s="8" t="s">
        <v>2816</v>
      </c>
      <c r="B1290" s="8" t="s">
        <v>822</v>
      </c>
      <c r="C1290" s="9">
        <v>0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1</v>
      </c>
      <c r="W1290" s="9">
        <v>0</v>
      </c>
      <c r="X1290" s="9">
        <v>0</v>
      </c>
      <c r="AE1290" s="9">
        <f>IFERROR(VLOOKUP($A1290,pivot!$A:$G,計算式2026!AE$1,FALSE),0)</f>
        <v>0</v>
      </c>
      <c r="AF1290" s="9">
        <f>IFERROR(VLOOKUP($A1290,pivot!$A:$I,計算式2026!AF$1,FALSE),0)</f>
        <v>0</v>
      </c>
      <c r="AI1290" s="9">
        <f>IFERROR(VLOOKUP($A1290,pivot!$A:$I,計算式2026!AI$1,FALSE),0)</f>
        <v>0</v>
      </c>
      <c r="AJ1290" s="9">
        <f>IFERROR(VLOOKUP($A1290,pivot!$A:$I,計算式2026!AJ$1,FALSE),0)</f>
        <v>0</v>
      </c>
      <c r="AK1290" s="9">
        <f>IFERROR(VLOOKUP($A1290,pivot!$A:$I,計算式2026!AK$1,FALSE),0)</f>
        <v>0</v>
      </c>
      <c r="AL1290" s="9">
        <f>IFERROR(VLOOKUP($A1290,pivot!$A:$I,計算式2026!AL$1,FALSE),0)</f>
        <v>0</v>
      </c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8"/>
      <c r="BG1290" s="8"/>
    </row>
    <row r="1291" spans="1:59" s="9" customFormat="1">
      <c r="A1291" s="8" t="s">
        <v>2220</v>
      </c>
      <c r="B1291" s="8" t="s">
        <v>822</v>
      </c>
      <c r="C1291" s="9">
        <v>0</v>
      </c>
      <c r="D1291" s="9">
        <v>0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R1291" s="9">
        <v>0</v>
      </c>
      <c r="S1291" s="9">
        <v>1</v>
      </c>
      <c r="T1291" s="9">
        <v>0</v>
      </c>
      <c r="U1291" s="9">
        <v>0</v>
      </c>
      <c r="V1291" s="9">
        <v>1</v>
      </c>
      <c r="W1291" s="9">
        <v>0</v>
      </c>
      <c r="X1291" s="9">
        <v>1</v>
      </c>
      <c r="AE1291" s="9">
        <f>IFERROR(VLOOKUP($A1291,pivot!$A:$G,計算式2026!AE$1,FALSE),0)</f>
        <v>0</v>
      </c>
      <c r="AF1291" s="9">
        <f>IFERROR(VLOOKUP($A1291,pivot!$A:$I,計算式2026!AF$1,FALSE),0)</f>
        <v>0</v>
      </c>
      <c r="AI1291" s="9">
        <f>IFERROR(VLOOKUP($A1291,pivot!$A:$I,計算式2026!AI$1,FALSE),0)</f>
        <v>0</v>
      </c>
      <c r="AJ1291" s="9">
        <f>IFERROR(VLOOKUP($A1291,pivot!$A:$I,計算式2026!AJ$1,FALSE),0)</f>
        <v>0</v>
      </c>
      <c r="AK1291" s="9">
        <f>IFERROR(VLOOKUP($A1291,pivot!$A:$I,計算式2026!AK$1,FALSE),0)</f>
        <v>0</v>
      </c>
      <c r="AL1291" s="9">
        <f>IFERROR(VLOOKUP($A1291,pivot!$A:$I,計算式2026!AL$1,FALSE),0)</f>
        <v>0</v>
      </c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8"/>
      <c r="BG1291" s="8"/>
    </row>
    <row r="1292" spans="1:59" s="9" customFormat="1">
      <c r="A1292" s="8" t="s">
        <v>2221</v>
      </c>
      <c r="B1292" s="8" t="s">
        <v>822</v>
      </c>
      <c r="C1292" s="9">
        <v>0</v>
      </c>
      <c r="D1292" s="9">
        <v>0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R1292" s="9">
        <v>0</v>
      </c>
      <c r="S1292" s="9">
        <v>1</v>
      </c>
      <c r="T1292" s="9">
        <v>0</v>
      </c>
      <c r="U1292" s="9">
        <v>0</v>
      </c>
      <c r="V1292" s="9">
        <v>2</v>
      </c>
      <c r="W1292" s="9">
        <v>0</v>
      </c>
      <c r="X1292" s="9">
        <v>1</v>
      </c>
      <c r="AE1292" s="9">
        <f>IFERROR(VLOOKUP($A1292,pivot!$A:$G,計算式2026!AE$1,FALSE),0)</f>
        <v>0</v>
      </c>
      <c r="AF1292" s="9">
        <f>IFERROR(VLOOKUP($A1292,pivot!$A:$I,計算式2026!AF$1,FALSE),0)</f>
        <v>0</v>
      </c>
      <c r="AI1292" s="9">
        <f>IFERROR(VLOOKUP($A1292,pivot!$A:$I,計算式2026!AI$1,FALSE),0)</f>
        <v>0</v>
      </c>
      <c r="AJ1292" s="9">
        <f>IFERROR(VLOOKUP($A1292,pivot!$A:$I,計算式2026!AJ$1,FALSE),0)</f>
        <v>0</v>
      </c>
      <c r="AK1292" s="9">
        <f>IFERROR(VLOOKUP($A1292,pivot!$A:$I,計算式2026!AK$1,FALSE),0)</f>
        <v>0</v>
      </c>
      <c r="AL1292" s="9">
        <f>IFERROR(VLOOKUP($A1292,pivot!$A:$I,計算式2026!AL$1,FALSE),0)</f>
        <v>0</v>
      </c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8"/>
      <c r="BG1292" s="8"/>
    </row>
    <row r="1293" spans="1:59" s="9" customFormat="1">
      <c r="A1293" s="8" t="s">
        <v>2222</v>
      </c>
      <c r="B1293" s="8" t="s">
        <v>822</v>
      </c>
      <c r="C1293" s="9">
        <v>0</v>
      </c>
      <c r="D1293" s="9">
        <v>0</v>
      </c>
      <c r="E1293" s="9">
        <v>0</v>
      </c>
      <c r="F1293" s="9">
        <v>0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1</v>
      </c>
      <c r="AE1293" s="9">
        <f>IFERROR(VLOOKUP($A1293,pivot!$A:$G,計算式2026!AE$1,FALSE),0)</f>
        <v>0</v>
      </c>
      <c r="AF1293" s="9">
        <f>IFERROR(VLOOKUP($A1293,pivot!$A:$I,計算式2026!AF$1,FALSE),0)</f>
        <v>0</v>
      </c>
      <c r="AI1293" s="9">
        <f>IFERROR(VLOOKUP($A1293,pivot!$A:$I,計算式2026!AI$1,FALSE),0)</f>
        <v>0</v>
      </c>
      <c r="AJ1293" s="9">
        <f>IFERROR(VLOOKUP($A1293,pivot!$A:$I,計算式2026!AJ$1,FALSE),0)</f>
        <v>0</v>
      </c>
      <c r="AK1293" s="9">
        <f>IFERROR(VLOOKUP($A1293,pivot!$A:$I,計算式2026!AK$1,FALSE),0)</f>
        <v>0</v>
      </c>
      <c r="AL1293" s="9">
        <f>IFERROR(VLOOKUP($A1293,pivot!$A:$I,計算式2026!AL$1,FALSE),0)</f>
        <v>0</v>
      </c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  <c r="BB1293" s="8"/>
      <c r="BC1293" s="8"/>
      <c r="BD1293" s="8"/>
      <c r="BE1293" s="8"/>
      <c r="BF1293" s="8"/>
      <c r="BG1293" s="8"/>
    </row>
    <row r="1294" spans="1:59" s="9" customFormat="1">
      <c r="A1294" s="8" t="s">
        <v>2223</v>
      </c>
      <c r="B1294" s="8" t="s">
        <v>822</v>
      </c>
      <c r="C1294" s="9">
        <v>0</v>
      </c>
      <c r="D1294" s="9">
        <v>0</v>
      </c>
      <c r="E1294" s="9">
        <v>0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R1294" s="9">
        <v>0</v>
      </c>
      <c r="S1294" s="9">
        <v>1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AE1294" s="9">
        <f>IFERROR(VLOOKUP($A1294,pivot!$A:$G,計算式2026!AE$1,FALSE),0)</f>
        <v>0</v>
      </c>
      <c r="AF1294" s="9">
        <f>IFERROR(VLOOKUP($A1294,pivot!$A:$I,計算式2026!AF$1,FALSE),0)</f>
        <v>0</v>
      </c>
      <c r="AI1294" s="9">
        <f>IFERROR(VLOOKUP($A1294,pivot!$A:$I,計算式2026!AI$1,FALSE),0)</f>
        <v>0</v>
      </c>
      <c r="AJ1294" s="9">
        <f>IFERROR(VLOOKUP($A1294,pivot!$A:$I,計算式2026!AJ$1,FALSE),0)</f>
        <v>0</v>
      </c>
      <c r="AK1294" s="9">
        <f>IFERROR(VLOOKUP($A1294,pivot!$A:$I,計算式2026!AK$1,FALSE),0)</f>
        <v>0</v>
      </c>
      <c r="AL1294" s="9">
        <f>IFERROR(VLOOKUP($A1294,pivot!$A:$I,計算式2026!AL$1,FALSE),0)</f>
        <v>0</v>
      </c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8"/>
      <c r="BG1294" s="8"/>
    </row>
    <row r="1295" spans="1:59" s="9" customFormat="1">
      <c r="A1295" s="8">
        <v>8176134546</v>
      </c>
      <c r="B1295" s="8" t="s">
        <v>822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1</v>
      </c>
      <c r="W1295" s="9">
        <v>0</v>
      </c>
      <c r="X1295" s="9">
        <v>0</v>
      </c>
      <c r="AE1295" s="9">
        <f>IFERROR(VLOOKUP($A1295,pivot!$A:$G,計算式2026!AE$1,FALSE),0)</f>
        <v>0</v>
      </c>
      <c r="AF1295" s="9">
        <f>IFERROR(VLOOKUP($A1295,pivot!$A:$I,計算式2026!AF$1,FALSE),0)</f>
        <v>0</v>
      </c>
      <c r="AI1295" s="9">
        <f>IFERROR(VLOOKUP($A1295,pivot!$A:$I,計算式2026!AI$1,FALSE),0)</f>
        <v>0</v>
      </c>
      <c r="AJ1295" s="9">
        <f>IFERROR(VLOOKUP($A1295,pivot!$A:$I,計算式2026!AJ$1,FALSE),0)</f>
        <v>0</v>
      </c>
      <c r="AK1295" s="9">
        <f>IFERROR(VLOOKUP($A1295,pivot!$A:$I,計算式2026!AK$1,FALSE),0)</f>
        <v>0</v>
      </c>
      <c r="AL1295" s="9">
        <f>IFERROR(VLOOKUP($A1295,pivot!$A:$I,計算式2026!AL$1,FALSE),0)</f>
        <v>0</v>
      </c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8"/>
      <c r="BG1295" s="8"/>
    </row>
    <row r="1296" spans="1:59" s="9" customFormat="1">
      <c r="A1296" s="8">
        <v>8176134548</v>
      </c>
      <c r="B1296" s="8" t="s">
        <v>822</v>
      </c>
      <c r="C1296" s="9">
        <v>0</v>
      </c>
      <c r="D1296" s="9">
        <v>0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R1296" s="9">
        <v>0</v>
      </c>
      <c r="S1296" s="9">
        <v>2</v>
      </c>
      <c r="T1296" s="9">
        <v>0</v>
      </c>
      <c r="U1296" s="9">
        <v>0</v>
      </c>
      <c r="V1296" s="9">
        <v>3</v>
      </c>
      <c r="W1296" s="9">
        <v>0</v>
      </c>
      <c r="X1296" s="9">
        <v>0</v>
      </c>
      <c r="AE1296" s="9">
        <f>IFERROR(VLOOKUP($A1296,pivot!$A:$G,計算式2026!AE$1,FALSE),0)</f>
        <v>0</v>
      </c>
      <c r="AF1296" s="9">
        <f>IFERROR(VLOOKUP($A1296,pivot!$A:$I,計算式2026!AF$1,FALSE),0)</f>
        <v>0</v>
      </c>
      <c r="AI1296" s="9">
        <f>IFERROR(VLOOKUP($A1296,pivot!$A:$I,計算式2026!AI$1,FALSE),0)</f>
        <v>0</v>
      </c>
      <c r="AJ1296" s="9">
        <f>IFERROR(VLOOKUP($A1296,pivot!$A:$I,計算式2026!AJ$1,FALSE),0)</f>
        <v>0</v>
      </c>
      <c r="AK1296" s="9">
        <f>IFERROR(VLOOKUP($A1296,pivot!$A:$I,計算式2026!AK$1,FALSE),0)</f>
        <v>0</v>
      </c>
      <c r="AL1296" s="9">
        <f>IFERROR(VLOOKUP($A1296,pivot!$A:$I,計算式2026!AL$1,FALSE),0)</f>
        <v>0</v>
      </c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8"/>
      <c r="BG1296" s="8"/>
    </row>
    <row r="1297" spans="1:59" s="9" customFormat="1">
      <c r="A1297" s="8">
        <v>8176134550</v>
      </c>
      <c r="B1297" s="8" t="s">
        <v>822</v>
      </c>
      <c r="C1297" s="9">
        <v>0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R1297" s="9">
        <v>0</v>
      </c>
      <c r="S1297" s="9">
        <v>1</v>
      </c>
      <c r="T1297" s="9">
        <v>0</v>
      </c>
      <c r="U1297" s="9">
        <v>0</v>
      </c>
      <c r="V1297" s="9">
        <v>1</v>
      </c>
      <c r="W1297" s="9">
        <v>0</v>
      </c>
      <c r="X1297" s="9">
        <v>0</v>
      </c>
      <c r="AE1297" s="9">
        <f>IFERROR(VLOOKUP($A1297,pivot!$A:$G,計算式2026!AE$1,FALSE),0)</f>
        <v>0</v>
      </c>
      <c r="AF1297" s="9">
        <f>IFERROR(VLOOKUP($A1297,pivot!$A:$I,計算式2026!AF$1,FALSE),0)</f>
        <v>0</v>
      </c>
      <c r="AI1297" s="9">
        <f>IFERROR(VLOOKUP($A1297,pivot!$A:$I,計算式2026!AI$1,FALSE),0)</f>
        <v>0</v>
      </c>
      <c r="AJ1297" s="9">
        <f>IFERROR(VLOOKUP($A1297,pivot!$A:$I,計算式2026!AJ$1,FALSE),0)</f>
        <v>0</v>
      </c>
      <c r="AK1297" s="9">
        <f>IFERROR(VLOOKUP($A1297,pivot!$A:$I,計算式2026!AK$1,FALSE),0)</f>
        <v>0</v>
      </c>
      <c r="AL1297" s="9">
        <f>IFERROR(VLOOKUP($A1297,pivot!$A:$I,計算式2026!AL$1,FALSE),0)</f>
        <v>0</v>
      </c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8"/>
      <c r="BG1297" s="8"/>
    </row>
    <row r="1298" spans="1:59" s="9" customFormat="1">
      <c r="A1298" s="8" t="s">
        <v>2224</v>
      </c>
      <c r="B1298" s="8" t="s">
        <v>822</v>
      </c>
      <c r="C1298" s="9">
        <v>0</v>
      </c>
      <c r="D1298" s="9">
        <v>0</v>
      </c>
      <c r="E1298" s="9">
        <v>0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R1298" s="9">
        <v>0</v>
      </c>
      <c r="S1298" s="9">
        <v>1</v>
      </c>
      <c r="T1298" s="9">
        <v>0</v>
      </c>
      <c r="U1298" s="9">
        <v>0</v>
      </c>
      <c r="V1298" s="9">
        <v>2</v>
      </c>
      <c r="W1298" s="9">
        <v>0</v>
      </c>
      <c r="X1298" s="9">
        <v>0</v>
      </c>
      <c r="AE1298" s="9">
        <f>IFERROR(VLOOKUP($A1298,pivot!$A:$G,計算式2026!AE$1,FALSE),0)</f>
        <v>0</v>
      </c>
      <c r="AF1298" s="9">
        <f>IFERROR(VLOOKUP($A1298,pivot!$A:$I,計算式2026!AF$1,FALSE),0)</f>
        <v>0</v>
      </c>
      <c r="AI1298" s="9">
        <f>IFERROR(VLOOKUP($A1298,pivot!$A:$I,計算式2026!AI$1,FALSE),0)</f>
        <v>0</v>
      </c>
      <c r="AJ1298" s="9">
        <f>IFERROR(VLOOKUP($A1298,pivot!$A:$I,計算式2026!AJ$1,FALSE),0)</f>
        <v>0</v>
      </c>
      <c r="AK1298" s="9">
        <f>IFERROR(VLOOKUP($A1298,pivot!$A:$I,計算式2026!AK$1,FALSE),0)</f>
        <v>0</v>
      </c>
      <c r="AL1298" s="9">
        <f>IFERROR(VLOOKUP($A1298,pivot!$A:$I,計算式2026!AL$1,FALSE),0)</f>
        <v>0</v>
      </c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8"/>
      <c r="BG1298" s="8"/>
    </row>
    <row r="1299" spans="1:59" s="9" customFormat="1">
      <c r="A1299" s="8" t="s">
        <v>2225</v>
      </c>
      <c r="B1299" s="8" t="s">
        <v>822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R1299" s="9">
        <v>0</v>
      </c>
      <c r="S1299" s="9">
        <v>1</v>
      </c>
      <c r="T1299" s="9">
        <v>0</v>
      </c>
      <c r="U1299" s="9">
        <v>0</v>
      </c>
      <c r="V1299" s="9">
        <v>1</v>
      </c>
      <c r="W1299" s="9">
        <v>0</v>
      </c>
      <c r="X1299" s="9">
        <v>1</v>
      </c>
      <c r="AE1299" s="9">
        <f>IFERROR(VLOOKUP($A1299,pivot!$A:$G,計算式2026!AE$1,FALSE),0)</f>
        <v>0</v>
      </c>
      <c r="AF1299" s="9">
        <f>IFERROR(VLOOKUP($A1299,pivot!$A:$I,計算式2026!AF$1,FALSE),0)</f>
        <v>0</v>
      </c>
      <c r="AI1299" s="9">
        <f>IFERROR(VLOOKUP($A1299,pivot!$A:$I,計算式2026!AI$1,FALSE),0)</f>
        <v>0</v>
      </c>
      <c r="AJ1299" s="9">
        <f>IFERROR(VLOOKUP($A1299,pivot!$A:$I,計算式2026!AJ$1,FALSE),0)</f>
        <v>0</v>
      </c>
      <c r="AK1299" s="9">
        <f>IFERROR(VLOOKUP($A1299,pivot!$A:$I,計算式2026!AK$1,FALSE),0)</f>
        <v>0</v>
      </c>
      <c r="AL1299" s="9">
        <f>IFERROR(VLOOKUP($A1299,pivot!$A:$I,計算式2026!AL$1,FALSE),0)</f>
        <v>0</v>
      </c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8"/>
      <c r="BG1299" s="8"/>
    </row>
    <row r="1300" spans="1:59" s="9" customFormat="1">
      <c r="A1300" s="8" t="s">
        <v>2670</v>
      </c>
      <c r="B1300" s="8" t="s">
        <v>822</v>
      </c>
      <c r="C1300" s="9">
        <v>0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R1300" s="9">
        <v>0</v>
      </c>
      <c r="S1300" s="9">
        <v>2</v>
      </c>
      <c r="T1300" s="9">
        <v>0</v>
      </c>
      <c r="U1300" s="9">
        <v>0</v>
      </c>
      <c r="V1300" s="9">
        <v>2</v>
      </c>
      <c r="W1300" s="9">
        <v>0</v>
      </c>
      <c r="X1300" s="9">
        <v>0</v>
      </c>
      <c r="AE1300" s="9">
        <f>IFERROR(VLOOKUP($A1300,pivot!$A:$G,計算式2026!AE$1,FALSE),0)</f>
        <v>0</v>
      </c>
      <c r="AF1300" s="9">
        <f>IFERROR(VLOOKUP($A1300,pivot!$A:$I,計算式2026!AF$1,FALSE),0)</f>
        <v>0</v>
      </c>
      <c r="AI1300" s="9">
        <f>IFERROR(VLOOKUP($A1300,pivot!$A:$I,計算式2026!AI$1,FALSE),0)</f>
        <v>0</v>
      </c>
      <c r="AJ1300" s="9">
        <f>IFERROR(VLOOKUP($A1300,pivot!$A:$I,計算式2026!AJ$1,FALSE),0)</f>
        <v>0</v>
      </c>
      <c r="AK1300" s="9">
        <f>IFERROR(VLOOKUP($A1300,pivot!$A:$I,計算式2026!AK$1,FALSE),0)</f>
        <v>0</v>
      </c>
      <c r="AL1300" s="9">
        <f>IFERROR(VLOOKUP($A1300,pivot!$A:$I,計算式2026!AL$1,FALSE),0)</f>
        <v>0</v>
      </c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8"/>
      <c r="BG1300" s="8"/>
    </row>
    <row r="1301" spans="1:59" s="9" customFormat="1">
      <c r="A1301" s="8" t="s">
        <v>2681</v>
      </c>
      <c r="B1301" s="8" t="s">
        <v>822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R1301" s="9">
        <v>0</v>
      </c>
      <c r="S1301" s="9">
        <v>2</v>
      </c>
      <c r="T1301" s="9">
        <v>0</v>
      </c>
      <c r="U1301" s="9">
        <v>0</v>
      </c>
      <c r="V1301" s="9">
        <v>2</v>
      </c>
      <c r="W1301" s="9">
        <v>0</v>
      </c>
      <c r="X1301" s="9">
        <v>1</v>
      </c>
      <c r="AE1301" s="9">
        <f>IFERROR(VLOOKUP($A1301,pivot!$A:$G,計算式2026!AE$1,FALSE),0)</f>
        <v>0</v>
      </c>
      <c r="AF1301" s="9">
        <f>IFERROR(VLOOKUP($A1301,pivot!$A:$I,計算式2026!AF$1,FALSE),0)</f>
        <v>0</v>
      </c>
      <c r="AI1301" s="9">
        <f>IFERROR(VLOOKUP($A1301,pivot!$A:$I,計算式2026!AI$1,FALSE),0)</f>
        <v>0</v>
      </c>
      <c r="AJ1301" s="9">
        <f>IFERROR(VLOOKUP($A1301,pivot!$A:$I,計算式2026!AJ$1,FALSE),0)</f>
        <v>0</v>
      </c>
      <c r="AK1301" s="9">
        <f>IFERROR(VLOOKUP($A1301,pivot!$A:$I,計算式2026!AK$1,FALSE),0)</f>
        <v>0</v>
      </c>
      <c r="AL1301" s="9">
        <f>IFERROR(VLOOKUP($A1301,pivot!$A:$I,計算式2026!AL$1,FALSE),0)</f>
        <v>0</v>
      </c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8"/>
      <c r="BG1301" s="8"/>
    </row>
    <row r="1302" spans="1:59" s="9" customFormat="1">
      <c r="A1302" s="8" t="s">
        <v>2817</v>
      </c>
      <c r="B1302" s="8" t="s">
        <v>822</v>
      </c>
      <c r="C1302" s="9">
        <v>0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R1302" s="9">
        <v>0</v>
      </c>
      <c r="S1302" s="9">
        <v>1</v>
      </c>
      <c r="T1302" s="9">
        <v>0</v>
      </c>
      <c r="U1302" s="9">
        <v>0</v>
      </c>
      <c r="V1302" s="9">
        <v>2</v>
      </c>
      <c r="W1302" s="9">
        <v>0</v>
      </c>
      <c r="X1302" s="9">
        <v>1</v>
      </c>
      <c r="AE1302" s="9">
        <f>IFERROR(VLOOKUP($A1302,pivot!$A:$G,計算式2026!AE$1,FALSE),0)</f>
        <v>0</v>
      </c>
      <c r="AF1302" s="9">
        <f>IFERROR(VLOOKUP($A1302,pivot!$A:$I,計算式2026!AF$1,FALSE),0)</f>
        <v>0</v>
      </c>
      <c r="AI1302" s="9">
        <f>IFERROR(VLOOKUP($A1302,pivot!$A:$I,計算式2026!AI$1,FALSE),0)</f>
        <v>0</v>
      </c>
      <c r="AJ1302" s="9">
        <f>IFERROR(VLOOKUP($A1302,pivot!$A:$I,計算式2026!AJ$1,FALSE),0)</f>
        <v>0</v>
      </c>
      <c r="AK1302" s="9">
        <f>IFERROR(VLOOKUP($A1302,pivot!$A:$I,計算式2026!AK$1,FALSE),0)</f>
        <v>0</v>
      </c>
      <c r="AL1302" s="9">
        <f>IFERROR(VLOOKUP($A1302,pivot!$A:$I,計算式2026!AL$1,FALSE),0)</f>
        <v>0</v>
      </c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8"/>
      <c r="BG1302" s="8"/>
    </row>
    <row r="1303" spans="1:59" s="9" customFormat="1">
      <c r="A1303" s="8" t="s">
        <v>2818</v>
      </c>
      <c r="B1303" s="8" t="s">
        <v>822</v>
      </c>
      <c r="C1303" s="9">
        <v>0</v>
      </c>
      <c r="D1303" s="9">
        <v>0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R1303" s="9">
        <v>0</v>
      </c>
      <c r="S1303" s="9">
        <v>1</v>
      </c>
      <c r="T1303" s="9">
        <v>0</v>
      </c>
      <c r="U1303" s="9">
        <v>0</v>
      </c>
      <c r="V1303" s="9">
        <v>1</v>
      </c>
      <c r="W1303" s="9">
        <v>0</v>
      </c>
      <c r="X1303" s="9">
        <v>0</v>
      </c>
      <c r="AE1303" s="9">
        <f>IFERROR(VLOOKUP($A1303,pivot!$A:$G,計算式2026!AE$1,FALSE),0)</f>
        <v>0</v>
      </c>
      <c r="AF1303" s="9">
        <f>IFERROR(VLOOKUP($A1303,pivot!$A:$I,計算式2026!AF$1,FALSE),0)</f>
        <v>0</v>
      </c>
      <c r="AI1303" s="9">
        <f>IFERROR(VLOOKUP($A1303,pivot!$A:$I,計算式2026!AI$1,FALSE),0)</f>
        <v>0</v>
      </c>
      <c r="AJ1303" s="9">
        <f>IFERROR(VLOOKUP($A1303,pivot!$A:$I,計算式2026!AJ$1,FALSE),0)</f>
        <v>0</v>
      </c>
      <c r="AK1303" s="9">
        <f>IFERROR(VLOOKUP($A1303,pivot!$A:$I,計算式2026!AK$1,FALSE),0)</f>
        <v>0</v>
      </c>
      <c r="AL1303" s="9">
        <f>IFERROR(VLOOKUP($A1303,pivot!$A:$I,計算式2026!AL$1,FALSE),0)</f>
        <v>0</v>
      </c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8"/>
      <c r="BG1303" s="8"/>
    </row>
    <row r="1304" spans="1:59" s="9" customFormat="1">
      <c r="A1304" s="8" t="s">
        <v>823</v>
      </c>
      <c r="B1304" s="8" t="s">
        <v>822</v>
      </c>
      <c r="C1304" s="9">
        <v>0</v>
      </c>
      <c r="D1304" s="9">
        <v>0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R1304" s="9">
        <v>0</v>
      </c>
      <c r="S1304" s="9">
        <v>2</v>
      </c>
      <c r="T1304" s="9">
        <v>0</v>
      </c>
      <c r="U1304" s="9">
        <v>0</v>
      </c>
      <c r="V1304" s="9">
        <v>2</v>
      </c>
      <c r="W1304" s="9">
        <v>0</v>
      </c>
      <c r="X1304" s="9">
        <v>0</v>
      </c>
      <c r="AE1304" s="9">
        <f>IFERROR(VLOOKUP($A1304,pivot!$A:$G,計算式2026!AE$1,FALSE),0)</f>
        <v>0</v>
      </c>
      <c r="AF1304" s="9">
        <f>IFERROR(VLOOKUP($A1304,pivot!$A:$I,計算式2026!AF$1,FALSE),0)</f>
        <v>0</v>
      </c>
      <c r="AI1304" s="9">
        <f>IFERROR(VLOOKUP($A1304,pivot!$A:$I,計算式2026!AI$1,FALSE),0)</f>
        <v>0</v>
      </c>
      <c r="AJ1304" s="9">
        <f>IFERROR(VLOOKUP($A1304,pivot!$A:$I,計算式2026!AJ$1,FALSE),0)</f>
        <v>0</v>
      </c>
      <c r="AK1304" s="9">
        <f>IFERROR(VLOOKUP($A1304,pivot!$A:$I,計算式2026!AK$1,FALSE),0)</f>
        <v>0</v>
      </c>
      <c r="AL1304" s="9">
        <f>IFERROR(VLOOKUP($A1304,pivot!$A:$I,計算式2026!AL$1,FALSE),0)</f>
        <v>0</v>
      </c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  <c r="BB1304" s="8"/>
      <c r="BC1304" s="8"/>
      <c r="BD1304" s="8"/>
      <c r="BE1304" s="8"/>
      <c r="BF1304" s="8"/>
      <c r="BG1304" s="8"/>
    </row>
    <row r="1305" spans="1:59" s="9" customFormat="1">
      <c r="A1305" s="8" t="s">
        <v>824</v>
      </c>
      <c r="B1305" s="8" t="s">
        <v>822</v>
      </c>
      <c r="C1305" s="9">
        <v>0</v>
      </c>
      <c r="D1305" s="9">
        <v>0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R1305" s="9">
        <v>0</v>
      </c>
      <c r="S1305" s="9">
        <v>1</v>
      </c>
      <c r="T1305" s="9">
        <v>0</v>
      </c>
      <c r="U1305" s="9">
        <v>0</v>
      </c>
      <c r="V1305" s="9">
        <v>1</v>
      </c>
      <c r="W1305" s="9">
        <v>0</v>
      </c>
      <c r="X1305" s="9">
        <v>0</v>
      </c>
      <c r="AE1305" s="9">
        <f>IFERROR(VLOOKUP($A1305,pivot!$A:$G,計算式2026!AE$1,FALSE),0)</f>
        <v>0</v>
      </c>
      <c r="AF1305" s="9">
        <f>IFERROR(VLOOKUP($A1305,pivot!$A:$I,計算式2026!AF$1,FALSE),0)</f>
        <v>0</v>
      </c>
      <c r="AI1305" s="9">
        <f>IFERROR(VLOOKUP($A1305,pivot!$A:$I,計算式2026!AI$1,FALSE),0)</f>
        <v>0</v>
      </c>
      <c r="AJ1305" s="9">
        <f>IFERROR(VLOOKUP($A1305,pivot!$A:$I,計算式2026!AJ$1,FALSE),0)</f>
        <v>0</v>
      </c>
      <c r="AK1305" s="9">
        <f>IFERROR(VLOOKUP($A1305,pivot!$A:$I,計算式2026!AK$1,FALSE),0)</f>
        <v>0</v>
      </c>
      <c r="AL1305" s="9">
        <f>IFERROR(VLOOKUP($A1305,pivot!$A:$I,計算式2026!AL$1,FALSE),0)</f>
        <v>0</v>
      </c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  <c r="BB1305" s="8"/>
      <c r="BC1305" s="8"/>
      <c r="BD1305" s="8"/>
      <c r="BE1305" s="8"/>
      <c r="BF1305" s="8"/>
      <c r="BG1305" s="8"/>
    </row>
    <row r="1306" spans="1:59" s="9" customFormat="1">
      <c r="A1306" s="8" t="s">
        <v>1617</v>
      </c>
      <c r="B1306" s="8" t="s">
        <v>822</v>
      </c>
      <c r="C1306" s="9">
        <v>0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AE1306" s="9">
        <f>IFERROR(VLOOKUP($A1306,pivot!$A:$G,計算式2026!AE$1,FALSE),0)</f>
        <v>0</v>
      </c>
      <c r="AF1306" s="9">
        <f>IFERROR(VLOOKUP($A1306,pivot!$A:$I,計算式2026!AF$1,FALSE),0)</f>
        <v>0</v>
      </c>
      <c r="AI1306" s="9">
        <f>IFERROR(VLOOKUP($A1306,pivot!$A:$I,計算式2026!AI$1,FALSE),0)</f>
        <v>0</v>
      </c>
      <c r="AJ1306" s="9">
        <f>IFERROR(VLOOKUP($A1306,pivot!$A:$I,計算式2026!AJ$1,FALSE),0)</f>
        <v>0</v>
      </c>
      <c r="AK1306" s="9">
        <f>IFERROR(VLOOKUP($A1306,pivot!$A:$I,計算式2026!AK$1,FALSE),0)</f>
        <v>0</v>
      </c>
      <c r="AL1306" s="9">
        <f>IFERROR(VLOOKUP($A1306,pivot!$A:$I,計算式2026!AL$1,FALSE),0)</f>
        <v>0</v>
      </c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8"/>
      <c r="BG1306" s="8"/>
    </row>
    <row r="1307" spans="1:59" s="9" customFormat="1">
      <c r="A1307" s="8" t="s">
        <v>1618</v>
      </c>
      <c r="B1307" s="8" t="s">
        <v>822</v>
      </c>
      <c r="C1307" s="9">
        <v>0</v>
      </c>
      <c r="D1307" s="9">
        <v>0</v>
      </c>
      <c r="E1307" s="9">
        <v>0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1</v>
      </c>
      <c r="AE1307" s="9">
        <f>IFERROR(VLOOKUP($A1307,pivot!$A:$G,計算式2026!AE$1,FALSE),0)</f>
        <v>0</v>
      </c>
      <c r="AF1307" s="9">
        <f>IFERROR(VLOOKUP($A1307,pivot!$A:$I,計算式2026!AF$1,FALSE),0)</f>
        <v>0</v>
      </c>
      <c r="AI1307" s="9">
        <f>IFERROR(VLOOKUP($A1307,pivot!$A:$I,計算式2026!AI$1,FALSE),0)</f>
        <v>0</v>
      </c>
      <c r="AJ1307" s="9">
        <f>IFERROR(VLOOKUP($A1307,pivot!$A:$I,計算式2026!AJ$1,FALSE),0)</f>
        <v>0</v>
      </c>
      <c r="AK1307" s="9">
        <f>IFERROR(VLOOKUP($A1307,pivot!$A:$I,計算式2026!AK$1,FALSE),0)</f>
        <v>0</v>
      </c>
      <c r="AL1307" s="9">
        <f>IFERROR(VLOOKUP($A1307,pivot!$A:$I,計算式2026!AL$1,FALSE),0)</f>
        <v>0</v>
      </c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8"/>
      <c r="BG1307" s="8"/>
    </row>
    <row r="1308" spans="1:59" s="9" customFormat="1">
      <c r="A1308" s="8" t="s">
        <v>1481</v>
      </c>
      <c r="B1308" s="8" t="s">
        <v>822</v>
      </c>
      <c r="C1308" s="9">
        <v>0</v>
      </c>
      <c r="D1308" s="9">
        <v>0</v>
      </c>
      <c r="E1308" s="9">
        <v>0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1</v>
      </c>
      <c r="W1308" s="9">
        <v>0</v>
      </c>
      <c r="X1308" s="9">
        <v>0</v>
      </c>
      <c r="AE1308" s="9">
        <f>IFERROR(VLOOKUP($A1308,pivot!$A:$G,計算式2026!AE$1,FALSE),0)</f>
        <v>0</v>
      </c>
      <c r="AF1308" s="9">
        <f>IFERROR(VLOOKUP($A1308,pivot!$A:$I,計算式2026!AF$1,FALSE),0)</f>
        <v>0</v>
      </c>
      <c r="AI1308" s="9">
        <f>IFERROR(VLOOKUP($A1308,pivot!$A:$I,計算式2026!AI$1,FALSE),0)</f>
        <v>0</v>
      </c>
      <c r="AJ1308" s="9">
        <f>IFERROR(VLOOKUP($A1308,pivot!$A:$I,計算式2026!AJ$1,FALSE),0)</f>
        <v>0</v>
      </c>
      <c r="AK1308" s="9">
        <f>IFERROR(VLOOKUP($A1308,pivot!$A:$I,計算式2026!AK$1,FALSE),0)</f>
        <v>0</v>
      </c>
      <c r="AL1308" s="9">
        <f>IFERROR(VLOOKUP($A1308,pivot!$A:$I,計算式2026!AL$1,FALSE),0)</f>
        <v>0</v>
      </c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8"/>
      <c r="BG1308" s="8"/>
    </row>
    <row r="1309" spans="1:59" s="9" customFormat="1">
      <c r="A1309" s="8" t="s">
        <v>1482</v>
      </c>
      <c r="B1309" s="8" t="s">
        <v>822</v>
      </c>
      <c r="C1309" s="9">
        <v>1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0</v>
      </c>
      <c r="K1309" s="9">
        <v>0</v>
      </c>
      <c r="R1309" s="9">
        <v>0</v>
      </c>
      <c r="S1309" s="9">
        <v>2</v>
      </c>
      <c r="T1309" s="9">
        <v>0</v>
      </c>
      <c r="U1309" s="9">
        <v>0</v>
      </c>
      <c r="V1309" s="9">
        <v>2</v>
      </c>
      <c r="W1309" s="9">
        <v>0</v>
      </c>
      <c r="X1309" s="9">
        <v>1</v>
      </c>
      <c r="AE1309" s="9">
        <f>IFERROR(VLOOKUP($A1309,pivot!$A:$G,計算式2026!AE$1,FALSE),0)</f>
        <v>0</v>
      </c>
      <c r="AF1309" s="9">
        <f>IFERROR(VLOOKUP($A1309,pivot!$A:$I,計算式2026!AF$1,FALSE),0)</f>
        <v>0</v>
      </c>
      <c r="AI1309" s="9">
        <f>IFERROR(VLOOKUP($A1309,pivot!$A:$I,計算式2026!AI$1,FALSE),0)</f>
        <v>0</v>
      </c>
      <c r="AJ1309" s="9">
        <f>IFERROR(VLOOKUP($A1309,pivot!$A:$I,計算式2026!AJ$1,FALSE),0)</f>
        <v>0</v>
      </c>
      <c r="AK1309" s="9">
        <f>IFERROR(VLOOKUP($A1309,pivot!$A:$I,計算式2026!AK$1,FALSE),0)</f>
        <v>0</v>
      </c>
      <c r="AL1309" s="9">
        <f>IFERROR(VLOOKUP($A1309,pivot!$A:$I,計算式2026!AL$1,FALSE),0)</f>
        <v>0</v>
      </c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  <c r="BB1309" s="8"/>
      <c r="BC1309" s="8"/>
      <c r="BD1309" s="8"/>
      <c r="BE1309" s="8"/>
      <c r="BF1309" s="8"/>
      <c r="BG1309" s="8"/>
    </row>
    <row r="1310" spans="1:59" s="9" customFormat="1">
      <c r="A1310" s="8" t="s">
        <v>1483</v>
      </c>
      <c r="B1310" s="8" t="s">
        <v>822</v>
      </c>
      <c r="C1310" s="9">
        <v>0</v>
      </c>
      <c r="D1310" s="9">
        <v>0</v>
      </c>
      <c r="E1310" s="9">
        <v>0</v>
      </c>
      <c r="F1310" s="9">
        <v>0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1</v>
      </c>
      <c r="W1310" s="9">
        <v>0</v>
      </c>
      <c r="X1310" s="9">
        <v>0</v>
      </c>
      <c r="AE1310" s="9">
        <f>IFERROR(VLOOKUP($A1310,pivot!$A:$G,計算式2026!AE$1,FALSE),0)</f>
        <v>0</v>
      </c>
      <c r="AF1310" s="9">
        <f>IFERROR(VLOOKUP($A1310,pivot!$A:$I,計算式2026!AF$1,FALSE),0)</f>
        <v>0</v>
      </c>
      <c r="AI1310" s="9">
        <f>IFERROR(VLOOKUP($A1310,pivot!$A:$I,計算式2026!AI$1,FALSE),0)</f>
        <v>0</v>
      </c>
      <c r="AJ1310" s="9">
        <f>IFERROR(VLOOKUP($A1310,pivot!$A:$I,計算式2026!AJ$1,FALSE),0)</f>
        <v>0</v>
      </c>
      <c r="AK1310" s="9">
        <f>IFERROR(VLOOKUP($A1310,pivot!$A:$I,計算式2026!AK$1,FALSE),0)</f>
        <v>0</v>
      </c>
      <c r="AL1310" s="9">
        <f>IFERROR(VLOOKUP($A1310,pivot!$A:$I,計算式2026!AL$1,FALSE),0)</f>
        <v>0</v>
      </c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8"/>
      <c r="BG1310" s="8"/>
    </row>
    <row r="1311" spans="1:59" s="9" customFormat="1">
      <c r="A1311" s="8" t="s">
        <v>1619</v>
      </c>
      <c r="B1311" s="8" t="s">
        <v>822</v>
      </c>
      <c r="C1311" s="9">
        <v>0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AE1311" s="9">
        <f>IFERROR(VLOOKUP($A1311,pivot!$A:$G,計算式2026!AE$1,FALSE),0)</f>
        <v>0</v>
      </c>
      <c r="AF1311" s="9">
        <f>IFERROR(VLOOKUP($A1311,pivot!$A:$I,計算式2026!AF$1,FALSE),0)</f>
        <v>0</v>
      </c>
      <c r="AI1311" s="9">
        <f>IFERROR(VLOOKUP($A1311,pivot!$A:$I,計算式2026!AI$1,FALSE),0)</f>
        <v>0</v>
      </c>
      <c r="AJ1311" s="9">
        <f>IFERROR(VLOOKUP($A1311,pivot!$A:$I,計算式2026!AJ$1,FALSE),0)</f>
        <v>0</v>
      </c>
      <c r="AK1311" s="9">
        <f>IFERROR(VLOOKUP($A1311,pivot!$A:$I,計算式2026!AK$1,FALSE),0)</f>
        <v>0</v>
      </c>
      <c r="AL1311" s="9">
        <f>IFERROR(VLOOKUP($A1311,pivot!$A:$I,計算式2026!AL$1,FALSE),0)</f>
        <v>0</v>
      </c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8"/>
      <c r="BG1311" s="8"/>
    </row>
    <row r="1312" spans="1:59" s="9" customFormat="1">
      <c r="A1312" s="8" t="s">
        <v>825</v>
      </c>
      <c r="B1312" s="8" t="s">
        <v>822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2</v>
      </c>
      <c r="W1312" s="9">
        <v>0</v>
      </c>
      <c r="X1312" s="9">
        <v>1</v>
      </c>
      <c r="AE1312" s="9">
        <f>IFERROR(VLOOKUP($A1312,pivot!$A:$G,計算式2026!AE$1,FALSE),0)</f>
        <v>0</v>
      </c>
      <c r="AF1312" s="9">
        <f>IFERROR(VLOOKUP($A1312,pivot!$A:$I,計算式2026!AF$1,FALSE),0)</f>
        <v>0</v>
      </c>
      <c r="AI1312" s="9">
        <f>IFERROR(VLOOKUP($A1312,pivot!$A:$I,計算式2026!AI$1,FALSE),0)</f>
        <v>0</v>
      </c>
      <c r="AJ1312" s="9">
        <f>IFERROR(VLOOKUP($A1312,pivot!$A:$I,計算式2026!AJ$1,FALSE),0)</f>
        <v>0</v>
      </c>
      <c r="AK1312" s="9">
        <f>IFERROR(VLOOKUP($A1312,pivot!$A:$I,計算式2026!AK$1,FALSE),0)</f>
        <v>0</v>
      </c>
      <c r="AL1312" s="9">
        <f>IFERROR(VLOOKUP($A1312,pivot!$A:$I,計算式2026!AL$1,FALSE),0)</f>
        <v>0</v>
      </c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8"/>
      <c r="BG1312" s="8"/>
    </row>
    <row r="1313" spans="1:59" s="9" customFormat="1">
      <c r="A1313" s="8" t="s">
        <v>1484</v>
      </c>
      <c r="B1313" s="8" t="s">
        <v>826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1</v>
      </c>
      <c r="AE1313" s="9">
        <f>IFERROR(VLOOKUP($A1313,pivot!$A:$G,計算式2026!AE$1,FALSE),0)</f>
        <v>0</v>
      </c>
      <c r="AF1313" s="9">
        <f>IFERROR(VLOOKUP($A1313,pivot!$A:$I,計算式2026!AF$1,FALSE),0)</f>
        <v>0</v>
      </c>
      <c r="AI1313" s="9">
        <f>IFERROR(VLOOKUP($A1313,pivot!$A:$I,計算式2026!AI$1,FALSE),0)</f>
        <v>0</v>
      </c>
      <c r="AJ1313" s="9">
        <f>IFERROR(VLOOKUP($A1313,pivot!$A:$I,計算式2026!AJ$1,FALSE),0)</f>
        <v>0</v>
      </c>
      <c r="AK1313" s="9">
        <f>IFERROR(VLOOKUP($A1313,pivot!$A:$I,計算式2026!AK$1,FALSE),0)</f>
        <v>0</v>
      </c>
      <c r="AL1313" s="9">
        <f>IFERROR(VLOOKUP($A1313,pivot!$A:$I,計算式2026!AL$1,FALSE),0)</f>
        <v>0</v>
      </c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8"/>
      <c r="BG1313" s="8"/>
    </row>
    <row r="1314" spans="1:59" s="9" customFormat="1">
      <c r="A1314" s="8" t="s">
        <v>1820</v>
      </c>
      <c r="B1314" s="8" t="s">
        <v>826</v>
      </c>
      <c r="C1314" s="9">
        <v>0</v>
      </c>
      <c r="D1314" s="9">
        <v>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1</v>
      </c>
      <c r="W1314" s="9">
        <v>0</v>
      </c>
      <c r="X1314" s="9">
        <v>1</v>
      </c>
      <c r="AE1314" s="9">
        <f>IFERROR(VLOOKUP($A1314,pivot!$A:$G,計算式2026!AE$1,FALSE),0)</f>
        <v>0</v>
      </c>
      <c r="AF1314" s="9">
        <f>IFERROR(VLOOKUP($A1314,pivot!$A:$I,計算式2026!AF$1,FALSE),0)</f>
        <v>0</v>
      </c>
      <c r="AI1314" s="9">
        <f>IFERROR(VLOOKUP($A1314,pivot!$A:$I,計算式2026!AI$1,FALSE),0)</f>
        <v>0</v>
      </c>
      <c r="AJ1314" s="9">
        <f>IFERROR(VLOOKUP($A1314,pivot!$A:$I,計算式2026!AJ$1,FALSE),0)</f>
        <v>0</v>
      </c>
      <c r="AK1314" s="9">
        <f>IFERROR(VLOOKUP($A1314,pivot!$A:$I,計算式2026!AK$1,FALSE),0)</f>
        <v>0</v>
      </c>
      <c r="AL1314" s="9">
        <f>IFERROR(VLOOKUP($A1314,pivot!$A:$I,計算式2026!AL$1,FALSE),0)</f>
        <v>0</v>
      </c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8"/>
      <c r="BG1314" s="8"/>
    </row>
    <row r="1315" spans="1:59" s="9" customFormat="1">
      <c r="A1315" s="8" t="s">
        <v>1677</v>
      </c>
      <c r="B1315" s="8" t="s">
        <v>826</v>
      </c>
      <c r="C1315" s="9">
        <v>0</v>
      </c>
      <c r="D1315" s="9">
        <v>0</v>
      </c>
      <c r="E1315" s="9">
        <v>0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R1315" s="9">
        <v>0</v>
      </c>
      <c r="S1315" s="9">
        <v>1</v>
      </c>
      <c r="T1315" s="9">
        <v>0</v>
      </c>
      <c r="U1315" s="9">
        <v>0</v>
      </c>
      <c r="V1315" s="9">
        <v>0</v>
      </c>
      <c r="W1315" s="9">
        <v>0</v>
      </c>
      <c r="X1315" s="9">
        <v>1</v>
      </c>
      <c r="AE1315" s="9">
        <f>IFERROR(VLOOKUP($A1315,pivot!$A:$G,計算式2026!AE$1,FALSE),0)</f>
        <v>0</v>
      </c>
      <c r="AF1315" s="9">
        <f>IFERROR(VLOOKUP($A1315,pivot!$A:$I,計算式2026!AF$1,FALSE),0)</f>
        <v>0</v>
      </c>
      <c r="AI1315" s="9">
        <f>IFERROR(VLOOKUP($A1315,pivot!$A:$I,計算式2026!AI$1,FALSE),0)</f>
        <v>0</v>
      </c>
      <c r="AJ1315" s="9">
        <f>IFERROR(VLOOKUP($A1315,pivot!$A:$I,計算式2026!AJ$1,FALSE),0)</f>
        <v>0</v>
      </c>
      <c r="AK1315" s="9">
        <f>IFERROR(VLOOKUP($A1315,pivot!$A:$I,計算式2026!AK$1,FALSE),0)</f>
        <v>0</v>
      </c>
      <c r="AL1315" s="9">
        <f>IFERROR(VLOOKUP($A1315,pivot!$A:$I,計算式2026!AL$1,FALSE),0)</f>
        <v>0</v>
      </c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8"/>
      <c r="BG1315" s="8"/>
    </row>
    <row r="1316" spans="1:59" s="9" customFormat="1">
      <c r="A1316" s="8" t="s">
        <v>1678</v>
      </c>
      <c r="B1316" s="8" t="s">
        <v>826</v>
      </c>
      <c r="C1316" s="9">
        <v>0</v>
      </c>
      <c r="D1316" s="9">
        <v>0</v>
      </c>
      <c r="E1316" s="9">
        <v>0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0</v>
      </c>
      <c r="R1316" s="9">
        <v>0</v>
      </c>
      <c r="S1316" s="9">
        <v>1</v>
      </c>
      <c r="T1316" s="9">
        <v>0</v>
      </c>
      <c r="U1316" s="9">
        <v>0</v>
      </c>
      <c r="V1316" s="9">
        <v>0</v>
      </c>
      <c r="W1316" s="9">
        <v>0</v>
      </c>
      <c r="X1316" s="9">
        <v>1</v>
      </c>
      <c r="AE1316" s="9">
        <f>IFERROR(VLOOKUP($A1316,pivot!$A:$G,計算式2026!AE$1,FALSE),0)</f>
        <v>0</v>
      </c>
      <c r="AF1316" s="9">
        <f>IFERROR(VLOOKUP($A1316,pivot!$A:$I,計算式2026!AF$1,FALSE),0)</f>
        <v>0</v>
      </c>
      <c r="AI1316" s="9">
        <f>IFERROR(VLOOKUP($A1316,pivot!$A:$I,計算式2026!AI$1,FALSE),0)</f>
        <v>0</v>
      </c>
      <c r="AJ1316" s="9">
        <f>IFERROR(VLOOKUP($A1316,pivot!$A:$I,計算式2026!AJ$1,FALSE),0)</f>
        <v>0</v>
      </c>
      <c r="AK1316" s="9">
        <f>IFERROR(VLOOKUP($A1316,pivot!$A:$I,計算式2026!AK$1,FALSE),0)</f>
        <v>0</v>
      </c>
      <c r="AL1316" s="9">
        <f>IFERROR(VLOOKUP($A1316,pivot!$A:$I,計算式2026!AL$1,FALSE),0)</f>
        <v>0</v>
      </c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8"/>
      <c r="BG1316" s="8"/>
    </row>
    <row r="1317" spans="1:59" s="9" customFormat="1">
      <c r="A1317" s="8" t="s">
        <v>1679</v>
      </c>
      <c r="B1317" s="8" t="s">
        <v>826</v>
      </c>
      <c r="C1317" s="9">
        <v>0</v>
      </c>
      <c r="D1317" s="9">
        <v>0</v>
      </c>
      <c r="E1317" s="9">
        <v>0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R1317" s="9">
        <v>0</v>
      </c>
      <c r="S1317" s="9">
        <v>1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AE1317" s="9">
        <f>IFERROR(VLOOKUP($A1317,pivot!$A:$G,計算式2026!AE$1,FALSE),0)</f>
        <v>0</v>
      </c>
      <c r="AF1317" s="9">
        <f>IFERROR(VLOOKUP($A1317,pivot!$A:$I,計算式2026!AF$1,FALSE),0)</f>
        <v>0</v>
      </c>
      <c r="AI1317" s="9">
        <f>IFERROR(VLOOKUP($A1317,pivot!$A:$I,計算式2026!AI$1,FALSE),0)</f>
        <v>0</v>
      </c>
      <c r="AJ1317" s="9">
        <f>IFERROR(VLOOKUP($A1317,pivot!$A:$I,計算式2026!AJ$1,FALSE),0)</f>
        <v>0</v>
      </c>
      <c r="AK1317" s="9">
        <f>IFERROR(VLOOKUP($A1317,pivot!$A:$I,計算式2026!AK$1,FALSE),0)</f>
        <v>0</v>
      </c>
      <c r="AL1317" s="9">
        <f>IFERROR(VLOOKUP($A1317,pivot!$A:$I,計算式2026!AL$1,FALSE),0)</f>
        <v>0</v>
      </c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8"/>
      <c r="BG1317" s="8"/>
    </row>
    <row r="1318" spans="1:59" s="9" customFormat="1">
      <c r="A1318" s="8" t="s">
        <v>2226</v>
      </c>
      <c r="B1318" s="8" t="s">
        <v>826</v>
      </c>
      <c r="C1318" s="9">
        <v>0</v>
      </c>
      <c r="D1318" s="9">
        <v>0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1</v>
      </c>
      <c r="AE1318" s="9">
        <f>IFERROR(VLOOKUP($A1318,pivot!$A:$G,計算式2026!AE$1,FALSE),0)</f>
        <v>0</v>
      </c>
      <c r="AF1318" s="9">
        <f>IFERROR(VLOOKUP($A1318,pivot!$A:$I,計算式2026!AF$1,FALSE),0)</f>
        <v>0</v>
      </c>
      <c r="AI1318" s="9">
        <f>IFERROR(VLOOKUP($A1318,pivot!$A:$I,計算式2026!AI$1,FALSE),0)</f>
        <v>0</v>
      </c>
      <c r="AJ1318" s="9">
        <f>IFERROR(VLOOKUP($A1318,pivot!$A:$I,計算式2026!AJ$1,FALSE),0)</f>
        <v>0</v>
      </c>
      <c r="AK1318" s="9">
        <f>IFERROR(VLOOKUP($A1318,pivot!$A:$I,計算式2026!AK$1,FALSE),0)</f>
        <v>0</v>
      </c>
      <c r="AL1318" s="9">
        <f>IFERROR(VLOOKUP($A1318,pivot!$A:$I,計算式2026!AL$1,FALSE),0)</f>
        <v>0</v>
      </c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8"/>
      <c r="BG1318" s="8"/>
    </row>
    <row r="1319" spans="1:59" s="9" customFormat="1">
      <c r="A1319" s="8" t="s">
        <v>2227</v>
      </c>
      <c r="B1319" s="8" t="s">
        <v>826</v>
      </c>
      <c r="C1319" s="9">
        <v>0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R1319" s="9">
        <v>0</v>
      </c>
      <c r="S1319" s="9">
        <v>0</v>
      </c>
      <c r="T1319" s="9">
        <v>1</v>
      </c>
      <c r="U1319" s="9">
        <v>0</v>
      </c>
      <c r="V1319" s="9">
        <v>0</v>
      </c>
      <c r="W1319" s="9">
        <v>0</v>
      </c>
      <c r="X1319" s="9">
        <v>1</v>
      </c>
      <c r="AE1319" s="9">
        <f>IFERROR(VLOOKUP($A1319,pivot!$A:$G,計算式2026!AE$1,FALSE),0)</f>
        <v>0</v>
      </c>
      <c r="AF1319" s="9">
        <f>IFERROR(VLOOKUP($A1319,pivot!$A:$I,計算式2026!AF$1,FALSE),0)</f>
        <v>0</v>
      </c>
      <c r="AI1319" s="9">
        <f>IFERROR(VLOOKUP($A1319,pivot!$A:$I,計算式2026!AI$1,FALSE),0)</f>
        <v>0</v>
      </c>
      <c r="AJ1319" s="9">
        <f>IFERROR(VLOOKUP($A1319,pivot!$A:$I,計算式2026!AJ$1,FALSE),0)</f>
        <v>0</v>
      </c>
      <c r="AK1319" s="9">
        <f>IFERROR(VLOOKUP($A1319,pivot!$A:$I,計算式2026!AK$1,FALSE),0)</f>
        <v>0</v>
      </c>
      <c r="AL1319" s="9">
        <f>IFERROR(VLOOKUP($A1319,pivot!$A:$I,計算式2026!AL$1,FALSE),0)</f>
        <v>0</v>
      </c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  <c r="BB1319" s="8"/>
      <c r="BC1319" s="8"/>
      <c r="BD1319" s="8"/>
      <c r="BE1319" s="8"/>
      <c r="BF1319" s="8"/>
      <c r="BG1319" s="8"/>
    </row>
    <row r="1320" spans="1:59" s="9" customFormat="1">
      <c r="A1320" s="8" t="s">
        <v>2228</v>
      </c>
      <c r="B1320" s="8" t="s">
        <v>826</v>
      </c>
      <c r="C1320" s="9">
        <v>0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1</v>
      </c>
      <c r="AE1320" s="9">
        <f>IFERROR(VLOOKUP($A1320,pivot!$A:$G,計算式2026!AE$1,FALSE),0)</f>
        <v>0</v>
      </c>
      <c r="AF1320" s="9">
        <f>IFERROR(VLOOKUP($A1320,pivot!$A:$I,計算式2026!AF$1,FALSE),0)</f>
        <v>0</v>
      </c>
      <c r="AI1320" s="9">
        <f>IFERROR(VLOOKUP($A1320,pivot!$A:$I,計算式2026!AI$1,FALSE),0)</f>
        <v>0</v>
      </c>
      <c r="AJ1320" s="9">
        <f>IFERROR(VLOOKUP($A1320,pivot!$A:$I,計算式2026!AJ$1,FALSE),0)</f>
        <v>0</v>
      </c>
      <c r="AK1320" s="9">
        <f>IFERROR(VLOOKUP($A1320,pivot!$A:$I,計算式2026!AK$1,FALSE),0)</f>
        <v>0</v>
      </c>
      <c r="AL1320" s="9">
        <f>IFERROR(VLOOKUP($A1320,pivot!$A:$I,計算式2026!AL$1,FALSE),0)</f>
        <v>0</v>
      </c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8"/>
      <c r="BG1320" s="8"/>
    </row>
    <row r="1321" spans="1:59" s="9" customFormat="1">
      <c r="A1321" s="8" t="s">
        <v>827</v>
      </c>
      <c r="B1321" s="8" t="s">
        <v>826</v>
      </c>
      <c r="C1321" s="9">
        <v>0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1</v>
      </c>
      <c r="AE1321" s="9">
        <f>IFERROR(VLOOKUP($A1321,pivot!$A:$G,計算式2026!AE$1,FALSE),0)</f>
        <v>0</v>
      </c>
      <c r="AF1321" s="9">
        <f>IFERROR(VLOOKUP($A1321,pivot!$A:$I,計算式2026!AF$1,FALSE),0)</f>
        <v>0</v>
      </c>
      <c r="AI1321" s="9">
        <f>IFERROR(VLOOKUP($A1321,pivot!$A:$I,計算式2026!AI$1,FALSE),0)</f>
        <v>0</v>
      </c>
      <c r="AJ1321" s="9">
        <f>IFERROR(VLOOKUP($A1321,pivot!$A:$I,計算式2026!AJ$1,FALSE),0)</f>
        <v>0</v>
      </c>
      <c r="AK1321" s="9">
        <f>IFERROR(VLOOKUP($A1321,pivot!$A:$I,計算式2026!AK$1,FALSE),0)</f>
        <v>0</v>
      </c>
      <c r="AL1321" s="9">
        <f>IFERROR(VLOOKUP($A1321,pivot!$A:$I,計算式2026!AL$1,FALSE),0)</f>
        <v>0</v>
      </c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  <c r="BB1321" s="8"/>
      <c r="BC1321" s="8"/>
      <c r="BD1321" s="8"/>
      <c r="BE1321" s="8"/>
      <c r="BF1321" s="8"/>
      <c r="BG1321" s="8"/>
    </row>
    <row r="1322" spans="1:59" s="9" customFormat="1">
      <c r="A1322" s="8" t="s">
        <v>1680</v>
      </c>
      <c r="B1322" s="8" t="s">
        <v>826</v>
      </c>
      <c r="C1322" s="9">
        <v>0</v>
      </c>
      <c r="D1322" s="9">
        <v>0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1</v>
      </c>
      <c r="AE1322" s="9">
        <f>IFERROR(VLOOKUP($A1322,pivot!$A:$G,計算式2026!AE$1,FALSE),0)</f>
        <v>0</v>
      </c>
      <c r="AF1322" s="9">
        <f>IFERROR(VLOOKUP($A1322,pivot!$A:$I,計算式2026!AF$1,FALSE),0)</f>
        <v>0</v>
      </c>
      <c r="AI1322" s="9">
        <f>IFERROR(VLOOKUP($A1322,pivot!$A:$I,計算式2026!AI$1,FALSE),0)</f>
        <v>0</v>
      </c>
      <c r="AJ1322" s="9">
        <f>IFERROR(VLOOKUP($A1322,pivot!$A:$I,計算式2026!AJ$1,FALSE),0)</f>
        <v>0</v>
      </c>
      <c r="AK1322" s="9">
        <f>IFERROR(VLOOKUP($A1322,pivot!$A:$I,計算式2026!AK$1,FALSE),0)</f>
        <v>0</v>
      </c>
      <c r="AL1322" s="9">
        <f>IFERROR(VLOOKUP($A1322,pivot!$A:$I,計算式2026!AL$1,FALSE),0)</f>
        <v>0</v>
      </c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8"/>
      <c r="BG1322" s="8"/>
    </row>
    <row r="1323" spans="1:59" s="9" customFormat="1">
      <c r="A1323" s="8" t="s">
        <v>1681</v>
      </c>
      <c r="B1323" s="8" t="s">
        <v>826</v>
      </c>
      <c r="C1323" s="9">
        <v>0</v>
      </c>
      <c r="D1323" s="9">
        <v>0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R1323" s="9">
        <v>0</v>
      </c>
      <c r="S1323" s="9">
        <v>1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AE1323" s="9">
        <f>IFERROR(VLOOKUP($A1323,pivot!$A:$G,計算式2026!AE$1,FALSE),0)</f>
        <v>0</v>
      </c>
      <c r="AF1323" s="9">
        <f>IFERROR(VLOOKUP($A1323,pivot!$A:$I,計算式2026!AF$1,FALSE),0)</f>
        <v>0</v>
      </c>
      <c r="AI1323" s="9">
        <f>IFERROR(VLOOKUP($A1323,pivot!$A:$I,計算式2026!AI$1,FALSE),0)</f>
        <v>0</v>
      </c>
      <c r="AJ1323" s="9">
        <f>IFERROR(VLOOKUP($A1323,pivot!$A:$I,計算式2026!AJ$1,FALSE),0)</f>
        <v>0</v>
      </c>
      <c r="AK1323" s="9">
        <f>IFERROR(VLOOKUP($A1323,pivot!$A:$I,計算式2026!AK$1,FALSE),0)</f>
        <v>0</v>
      </c>
      <c r="AL1323" s="9">
        <f>IFERROR(VLOOKUP($A1323,pivot!$A:$I,計算式2026!AL$1,FALSE),0)</f>
        <v>0</v>
      </c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8"/>
      <c r="BG1323" s="8"/>
    </row>
    <row r="1324" spans="1:59" s="9" customFormat="1">
      <c r="A1324" s="8" t="s">
        <v>828</v>
      </c>
      <c r="B1324" s="8" t="s">
        <v>826</v>
      </c>
      <c r="C1324" s="9">
        <v>0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1</v>
      </c>
      <c r="AE1324" s="9">
        <f>IFERROR(VLOOKUP($A1324,pivot!$A:$G,計算式2026!AE$1,FALSE),0)</f>
        <v>0</v>
      </c>
      <c r="AF1324" s="9">
        <f>IFERROR(VLOOKUP($A1324,pivot!$A:$I,計算式2026!AF$1,FALSE),0)</f>
        <v>0</v>
      </c>
      <c r="AI1324" s="9">
        <f>IFERROR(VLOOKUP($A1324,pivot!$A:$I,計算式2026!AI$1,FALSE),0)</f>
        <v>0</v>
      </c>
      <c r="AJ1324" s="9">
        <f>IFERROR(VLOOKUP($A1324,pivot!$A:$I,計算式2026!AJ$1,FALSE),0)</f>
        <v>0</v>
      </c>
      <c r="AK1324" s="9">
        <f>IFERROR(VLOOKUP($A1324,pivot!$A:$I,計算式2026!AK$1,FALSE),0)</f>
        <v>0</v>
      </c>
      <c r="AL1324" s="9">
        <f>IFERROR(VLOOKUP($A1324,pivot!$A:$I,計算式2026!AL$1,FALSE),0)</f>
        <v>0</v>
      </c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8"/>
      <c r="BG1324" s="8"/>
    </row>
    <row r="1325" spans="1:59" s="9" customFormat="1">
      <c r="A1325" s="8" t="s">
        <v>1682</v>
      </c>
      <c r="B1325" s="8" t="s">
        <v>826</v>
      </c>
      <c r="C1325" s="9">
        <v>0</v>
      </c>
      <c r="D1325" s="9">
        <v>0</v>
      </c>
      <c r="E1325" s="9">
        <v>0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R1325" s="9">
        <v>0</v>
      </c>
      <c r="S1325" s="9">
        <v>0</v>
      </c>
      <c r="T1325" s="9">
        <v>1</v>
      </c>
      <c r="U1325" s="9">
        <v>0</v>
      </c>
      <c r="V1325" s="9">
        <v>1</v>
      </c>
      <c r="W1325" s="9">
        <v>0</v>
      </c>
      <c r="X1325" s="9">
        <v>1</v>
      </c>
      <c r="AE1325" s="9">
        <f>IFERROR(VLOOKUP($A1325,pivot!$A:$G,計算式2026!AE$1,FALSE),0)</f>
        <v>0</v>
      </c>
      <c r="AF1325" s="9">
        <f>IFERROR(VLOOKUP($A1325,pivot!$A:$I,計算式2026!AF$1,FALSE),0)</f>
        <v>0</v>
      </c>
      <c r="AI1325" s="9">
        <f>IFERROR(VLOOKUP($A1325,pivot!$A:$I,計算式2026!AI$1,FALSE),0)</f>
        <v>0</v>
      </c>
      <c r="AJ1325" s="9">
        <f>IFERROR(VLOOKUP($A1325,pivot!$A:$I,計算式2026!AJ$1,FALSE),0)</f>
        <v>0</v>
      </c>
      <c r="AK1325" s="9">
        <f>IFERROR(VLOOKUP($A1325,pivot!$A:$I,計算式2026!AK$1,FALSE),0)</f>
        <v>0</v>
      </c>
      <c r="AL1325" s="9">
        <f>IFERROR(VLOOKUP($A1325,pivot!$A:$I,計算式2026!AL$1,FALSE),0)</f>
        <v>0</v>
      </c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  <c r="BB1325" s="8"/>
      <c r="BC1325" s="8"/>
      <c r="BD1325" s="8"/>
      <c r="BE1325" s="8"/>
      <c r="BF1325" s="8"/>
      <c r="BG1325" s="8"/>
    </row>
    <row r="1326" spans="1:59" s="9" customFormat="1">
      <c r="A1326" s="8" t="s">
        <v>1683</v>
      </c>
      <c r="B1326" s="8" t="s">
        <v>826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R1326" s="9">
        <v>0</v>
      </c>
      <c r="S1326" s="9">
        <v>1</v>
      </c>
      <c r="T1326" s="9">
        <v>2</v>
      </c>
      <c r="U1326" s="9">
        <v>1</v>
      </c>
      <c r="V1326" s="9">
        <v>5</v>
      </c>
      <c r="W1326" s="9">
        <v>0</v>
      </c>
      <c r="X1326" s="9">
        <v>0</v>
      </c>
      <c r="AE1326" s="9">
        <f>IFERROR(VLOOKUP($A1326,pivot!$A:$G,計算式2026!AE$1,FALSE),0)</f>
        <v>0</v>
      </c>
      <c r="AF1326" s="9">
        <f>IFERROR(VLOOKUP($A1326,pivot!$A:$I,計算式2026!AF$1,FALSE),0)</f>
        <v>0</v>
      </c>
      <c r="AI1326" s="9">
        <f>IFERROR(VLOOKUP($A1326,pivot!$A:$I,計算式2026!AI$1,FALSE),0)</f>
        <v>0</v>
      </c>
      <c r="AJ1326" s="9">
        <f>IFERROR(VLOOKUP($A1326,pivot!$A:$I,計算式2026!AJ$1,FALSE),0)</f>
        <v>0</v>
      </c>
      <c r="AK1326" s="9">
        <f>IFERROR(VLOOKUP($A1326,pivot!$A:$I,計算式2026!AK$1,FALSE),0)</f>
        <v>0</v>
      </c>
      <c r="AL1326" s="9">
        <f>IFERROR(VLOOKUP($A1326,pivot!$A:$I,計算式2026!AL$1,FALSE),0)</f>
        <v>0</v>
      </c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8"/>
      <c r="BG1326" s="8"/>
    </row>
    <row r="1327" spans="1:59" s="9" customFormat="1">
      <c r="A1327" s="8" t="s">
        <v>1684</v>
      </c>
      <c r="B1327" s="8" t="s">
        <v>826</v>
      </c>
      <c r="C1327" s="9">
        <v>0</v>
      </c>
      <c r="D1327" s="9">
        <v>0</v>
      </c>
      <c r="E1327" s="9">
        <v>0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1</v>
      </c>
      <c r="W1327" s="9">
        <v>0</v>
      </c>
      <c r="X1327" s="9">
        <v>1</v>
      </c>
      <c r="AE1327" s="9">
        <f>IFERROR(VLOOKUP($A1327,pivot!$A:$G,計算式2026!AE$1,FALSE),0)</f>
        <v>0</v>
      </c>
      <c r="AF1327" s="9">
        <f>IFERROR(VLOOKUP($A1327,pivot!$A:$I,計算式2026!AF$1,FALSE),0)</f>
        <v>0</v>
      </c>
      <c r="AI1327" s="9">
        <f>IFERROR(VLOOKUP($A1327,pivot!$A:$I,計算式2026!AI$1,FALSE),0)</f>
        <v>0</v>
      </c>
      <c r="AJ1327" s="9">
        <f>IFERROR(VLOOKUP($A1327,pivot!$A:$I,計算式2026!AJ$1,FALSE),0)</f>
        <v>0</v>
      </c>
      <c r="AK1327" s="9">
        <f>IFERROR(VLOOKUP($A1327,pivot!$A:$I,計算式2026!AK$1,FALSE),0)</f>
        <v>0</v>
      </c>
      <c r="AL1327" s="9">
        <f>IFERROR(VLOOKUP($A1327,pivot!$A:$I,計算式2026!AL$1,FALSE),0)</f>
        <v>0</v>
      </c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8"/>
      <c r="BG1327" s="8"/>
    </row>
    <row r="1328" spans="1:59" s="9" customFormat="1">
      <c r="A1328" s="8" t="s">
        <v>2229</v>
      </c>
      <c r="B1328" s="8" t="s">
        <v>826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1</v>
      </c>
      <c r="AE1328" s="9">
        <f>IFERROR(VLOOKUP($A1328,pivot!$A:$G,計算式2026!AE$1,FALSE),0)</f>
        <v>0</v>
      </c>
      <c r="AF1328" s="9">
        <f>IFERROR(VLOOKUP($A1328,pivot!$A:$I,計算式2026!AF$1,FALSE),0)</f>
        <v>0</v>
      </c>
      <c r="AI1328" s="9">
        <f>IFERROR(VLOOKUP($A1328,pivot!$A:$I,計算式2026!AI$1,FALSE),0)</f>
        <v>0</v>
      </c>
      <c r="AJ1328" s="9">
        <f>IFERROR(VLOOKUP($A1328,pivot!$A:$I,計算式2026!AJ$1,FALSE),0)</f>
        <v>0</v>
      </c>
      <c r="AK1328" s="9">
        <f>IFERROR(VLOOKUP($A1328,pivot!$A:$I,計算式2026!AK$1,FALSE),0)</f>
        <v>0</v>
      </c>
      <c r="AL1328" s="9">
        <f>IFERROR(VLOOKUP($A1328,pivot!$A:$I,計算式2026!AL$1,FALSE),0)</f>
        <v>0</v>
      </c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8"/>
      <c r="BG1328" s="8"/>
    </row>
    <row r="1329" spans="1:59" s="9" customFormat="1">
      <c r="A1329" s="8" t="s">
        <v>2230</v>
      </c>
      <c r="B1329" s="8" t="s">
        <v>826</v>
      </c>
      <c r="C1329" s="9">
        <v>0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1</v>
      </c>
      <c r="AE1329" s="9">
        <f>IFERROR(VLOOKUP($A1329,pivot!$A:$G,計算式2026!AE$1,FALSE),0)</f>
        <v>0</v>
      </c>
      <c r="AF1329" s="9">
        <f>IFERROR(VLOOKUP($A1329,pivot!$A:$I,計算式2026!AF$1,FALSE),0)</f>
        <v>0</v>
      </c>
      <c r="AI1329" s="9">
        <f>IFERROR(VLOOKUP($A1329,pivot!$A:$I,計算式2026!AI$1,FALSE),0)</f>
        <v>0</v>
      </c>
      <c r="AJ1329" s="9">
        <f>IFERROR(VLOOKUP($A1329,pivot!$A:$I,計算式2026!AJ$1,FALSE),0)</f>
        <v>0</v>
      </c>
      <c r="AK1329" s="9">
        <f>IFERROR(VLOOKUP($A1329,pivot!$A:$I,計算式2026!AK$1,FALSE),0)</f>
        <v>0</v>
      </c>
      <c r="AL1329" s="9">
        <f>IFERROR(VLOOKUP($A1329,pivot!$A:$I,計算式2026!AL$1,FALSE),0)</f>
        <v>0</v>
      </c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8"/>
      <c r="BG1329" s="8"/>
    </row>
    <row r="1330" spans="1:59" s="9" customFormat="1">
      <c r="A1330" s="8" t="s">
        <v>829</v>
      </c>
      <c r="B1330" s="8" t="s">
        <v>826</v>
      </c>
      <c r="C1330" s="9">
        <v>0</v>
      </c>
      <c r="D1330" s="9">
        <v>0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1</v>
      </c>
      <c r="AE1330" s="9">
        <f>IFERROR(VLOOKUP($A1330,pivot!$A:$G,計算式2026!AE$1,FALSE),0)</f>
        <v>0</v>
      </c>
      <c r="AF1330" s="9">
        <f>IFERROR(VLOOKUP($A1330,pivot!$A:$I,計算式2026!AF$1,FALSE),0)</f>
        <v>0</v>
      </c>
      <c r="AI1330" s="9">
        <f>IFERROR(VLOOKUP($A1330,pivot!$A:$I,計算式2026!AI$1,FALSE),0)</f>
        <v>0</v>
      </c>
      <c r="AJ1330" s="9">
        <f>IFERROR(VLOOKUP($A1330,pivot!$A:$I,計算式2026!AJ$1,FALSE),0)</f>
        <v>0</v>
      </c>
      <c r="AK1330" s="9">
        <f>IFERROR(VLOOKUP($A1330,pivot!$A:$I,計算式2026!AK$1,FALSE),0)</f>
        <v>0</v>
      </c>
      <c r="AL1330" s="9">
        <f>IFERROR(VLOOKUP($A1330,pivot!$A:$I,計算式2026!AL$1,FALSE),0)</f>
        <v>0</v>
      </c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  <c r="BB1330" s="8"/>
      <c r="BC1330" s="8"/>
      <c r="BD1330" s="8"/>
      <c r="BE1330" s="8"/>
      <c r="BF1330" s="8"/>
      <c r="BG1330" s="8"/>
    </row>
    <row r="1331" spans="1:59" s="9" customFormat="1">
      <c r="A1331" s="8" t="s">
        <v>2231</v>
      </c>
      <c r="B1331" s="8" t="s">
        <v>826</v>
      </c>
      <c r="C1331" s="9">
        <v>0</v>
      </c>
      <c r="D1331" s="9">
        <v>0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1</v>
      </c>
      <c r="AE1331" s="9">
        <f>IFERROR(VLOOKUP($A1331,pivot!$A:$G,計算式2026!AE$1,FALSE),0)</f>
        <v>0</v>
      </c>
      <c r="AF1331" s="9">
        <f>IFERROR(VLOOKUP($A1331,pivot!$A:$I,計算式2026!AF$1,FALSE),0)</f>
        <v>0</v>
      </c>
      <c r="AI1331" s="9">
        <f>IFERROR(VLOOKUP($A1331,pivot!$A:$I,計算式2026!AI$1,FALSE),0)</f>
        <v>0</v>
      </c>
      <c r="AJ1331" s="9">
        <f>IFERROR(VLOOKUP($A1331,pivot!$A:$I,計算式2026!AJ$1,FALSE),0)</f>
        <v>0</v>
      </c>
      <c r="AK1331" s="9">
        <f>IFERROR(VLOOKUP($A1331,pivot!$A:$I,計算式2026!AK$1,FALSE),0)</f>
        <v>0</v>
      </c>
      <c r="AL1331" s="9">
        <f>IFERROR(VLOOKUP($A1331,pivot!$A:$I,計算式2026!AL$1,FALSE),0)</f>
        <v>0</v>
      </c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  <c r="BB1331" s="8"/>
      <c r="BC1331" s="8"/>
      <c r="BD1331" s="8"/>
      <c r="BE1331" s="8"/>
      <c r="BF1331" s="8"/>
      <c r="BG1331" s="8"/>
    </row>
    <row r="1332" spans="1:59" s="9" customFormat="1">
      <c r="A1332" s="8" t="s">
        <v>2232</v>
      </c>
      <c r="B1332" s="8" t="s">
        <v>826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1</v>
      </c>
      <c r="AE1332" s="9">
        <f>IFERROR(VLOOKUP($A1332,pivot!$A:$G,計算式2026!AE$1,FALSE),0)</f>
        <v>0</v>
      </c>
      <c r="AF1332" s="9">
        <f>IFERROR(VLOOKUP($A1332,pivot!$A:$I,計算式2026!AF$1,FALSE),0)</f>
        <v>0</v>
      </c>
      <c r="AI1332" s="9">
        <f>IFERROR(VLOOKUP($A1332,pivot!$A:$I,計算式2026!AI$1,FALSE),0)</f>
        <v>0</v>
      </c>
      <c r="AJ1332" s="9">
        <f>IFERROR(VLOOKUP($A1332,pivot!$A:$I,計算式2026!AJ$1,FALSE),0)</f>
        <v>0</v>
      </c>
      <c r="AK1332" s="9">
        <f>IFERROR(VLOOKUP($A1332,pivot!$A:$I,計算式2026!AK$1,FALSE),0)</f>
        <v>0</v>
      </c>
      <c r="AL1332" s="9">
        <f>IFERROR(VLOOKUP($A1332,pivot!$A:$I,計算式2026!AL$1,FALSE),0)</f>
        <v>0</v>
      </c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8"/>
      <c r="BG1332" s="8"/>
    </row>
    <row r="1333" spans="1:59" s="9" customFormat="1">
      <c r="A1333" s="8" t="s">
        <v>2233</v>
      </c>
      <c r="B1333" s="8" t="s">
        <v>826</v>
      </c>
      <c r="C1333" s="9">
        <v>0</v>
      </c>
      <c r="D1333" s="9">
        <v>0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R1333" s="9">
        <v>0</v>
      </c>
      <c r="S1333" s="9">
        <v>0</v>
      </c>
      <c r="T1333" s="9">
        <v>1</v>
      </c>
      <c r="U1333" s="9">
        <v>0</v>
      </c>
      <c r="V1333" s="9">
        <v>0</v>
      </c>
      <c r="W1333" s="9">
        <v>0</v>
      </c>
      <c r="X1333" s="9">
        <v>1</v>
      </c>
      <c r="AE1333" s="9">
        <f>IFERROR(VLOOKUP($A1333,pivot!$A:$G,計算式2026!AE$1,FALSE),0)</f>
        <v>0</v>
      </c>
      <c r="AF1333" s="9">
        <f>IFERROR(VLOOKUP($A1333,pivot!$A:$I,計算式2026!AF$1,FALSE),0)</f>
        <v>0</v>
      </c>
      <c r="AI1333" s="9">
        <f>IFERROR(VLOOKUP($A1333,pivot!$A:$I,計算式2026!AI$1,FALSE),0)</f>
        <v>0</v>
      </c>
      <c r="AJ1333" s="9">
        <f>IFERROR(VLOOKUP($A1333,pivot!$A:$I,計算式2026!AJ$1,FALSE),0)</f>
        <v>0</v>
      </c>
      <c r="AK1333" s="9">
        <f>IFERROR(VLOOKUP($A1333,pivot!$A:$I,計算式2026!AK$1,FALSE),0)</f>
        <v>0</v>
      </c>
      <c r="AL1333" s="9">
        <f>IFERROR(VLOOKUP($A1333,pivot!$A:$I,計算式2026!AL$1,FALSE),0)</f>
        <v>0</v>
      </c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8"/>
      <c r="BG1333" s="8"/>
    </row>
    <row r="1334" spans="1:59" s="9" customFormat="1">
      <c r="A1334" s="8" t="s">
        <v>830</v>
      </c>
      <c r="B1334" s="8" t="s">
        <v>831</v>
      </c>
      <c r="C1334" s="9">
        <v>0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R1334" s="9">
        <v>1</v>
      </c>
      <c r="S1334" s="9">
        <v>1</v>
      </c>
      <c r="T1334" s="9">
        <v>1</v>
      </c>
      <c r="U1334" s="9">
        <v>0</v>
      </c>
      <c r="V1334" s="9">
        <v>1</v>
      </c>
      <c r="W1334" s="9">
        <v>0</v>
      </c>
      <c r="X1334" s="9">
        <v>1</v>
      </c>
      <c r="AE1334" s="9">
        <f>IFERROR(VLOOKUP($A1334,pivot!$A:$G,計算式2026!AE$1,FALSE),0)</f>
        <v>0</v>
      </c>
      <c r="AF1334" s="9">
        <f>IFERROR(VLOOKUP($A1334,pivot!$A:$I,計算式2026!AF$1,FALSE),0)</f>
        <v>0</v>
      </c>
      <c r="AI1334" s="9">
        <f>IFERROR(VLOOKUP($A1334,pivot!$A:$I,計算式2026!AI$1,FALSE),0)</f>
        <v>0</v>
      </c>
      <c r="AJ1334" s="9">
        <f>IFERROR(VLOOKUP($A1334,pivot!$A:$I,計算式2026!AJ$1,FALSE),0)</f>
        <v>0</v>
      </c>
      <c r="AK1334" s="9">
        <f>IFERROR(VLOOKUP($A1334,pivot!$A:$I,計算式2026!AK$1,FALSE),0)</f>
        <v>0</v>
      </c>
      <c r="AL1334" s="9">
        <f>IFERROR(VLOOKUP($A1334,pivot!$A:$I,計算式2026!AL$1,FALSE),0)</f>
        <v>0</v>
      </c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8"/>
      <c r="BG1334" s="8"/>
    </row>
    <row r="1335" spans="1:59" s="9" customFormat="1">
      <c r="A1335" s="8" t="s">
        <v>832</v>
      </c>
      <c r="B1335" s="8" t="s">
        <v>831</v>
      </c>
      <c r="C1335" s="9">
        <v>0</v>
      </c>
      <c r="D1335" s="9">
        <v>5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R1335" s="9">
        <v>1</v>
      </c>
      <c r="S1335" s="9">
        <v>1</v>
      </c>
      <c r="T1335" s="9">
        <v>1</v>
      </c>
      <c r="U1335" s="9">
        <v>0</v>
      </c>
      <c r="V1335" s="9">
        <v>1</v>
      </c>
      <c r="W1335" s="9">
        <v>0</v>
      </c>
      <c r="X1335" s="9">
        <v>1</v>
      </c>
      <c r="AE1335" s="9">
        <f>IFERROR(VLOOKUP($A1335,pivot!$A:$G,計算式2026!AE$1,FALSE),0)</f>
        <v>0</v>
      </c>
      <c r="AF1335" s="9">
        <f>IFERROR(VLOOKUP($A1335,pivot!$A:$I,計算式2026!AF$1,FALSE),0)</f>
        <v>0</v>
      </c>
      <c r="AI1335" s="9">
        <f>IFERROR(VLOOKUP($A1335,pivot!$A:$I,計算式2026!AI$1,FALSE),0)</f>
        <v>0</v>
      </c>
      <c r="AJ1335" s="9">
        <f>IFERROR(VLOOKUP($A1335,pivot!$A:$I,計算式2026!AJ$1,FALSE),0)</f>
        <v>0</v>
      </c>
      <c r="AK1335" s="9">
        <f>IFERROR(VLOOKUP($A1335,pivot!$A:$I,計算式2026!AK$1,FALSE),0)</f>
        <v>0</v>
      </c>
      <c r="AL1335" s="9">
        <f>IFERROR(VLOOKUP($A1335,pivot!$A:$I,計算式2026!AL$1,FALSE),0)</f>
        <v>0</v>
      </c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8"/>
      <c r="BG1335" s="8"/>
    </row>
    <row r="1336" spans="1:59" s="9" customFormat="1">
      <c r="A1336" s="8" t="s">
        <v>833</v>
      </c>
      <c r="B1336" s="8" t="s">
        <v>831</v>
      </c>
      <c r="C1336" s="9">
        <v>0</v>
      </c>
      <c r="D1336" s="9">
        <v>0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R1336" s="9">
        <v>0</v>
      </c>
      <c r="S1336" s="9">
        <v>1</v>
      </c>
      <c r="T1336" s="9">
        <v>1</v>
      </c>
      <c r="U1336" s="9">
        <v>0</v>
      </c>
      <c r="V1336" s="9">
        <v>1</v>
      </c>
      <c r="W1336" s="9">
        <v>0</v>
      </c>
      <c r="X1336" s="9">
        <v>1</v>
      </c>
      <c r="AE1336" s="9">
        <f>IFERROR(VLOOKUP($A1336,pivot!$A:$G,計算式2026!AE$1,FALSE),0)</f>
        <v>0</v>
      </c>
      <c r="AF1336" s="9">
        <f>IFERROR(VLOOKUP($A1336,pivot!$A:$I,計算式2026!AF$1,FALSE),0)</f>
        <v>0</v>
      </c>
      <c r="AI1336" s="9">
        <f>IFERROR(VLOOKUP($A1336,pivot!$A:$I,計算式2026!AI$1,FALSE),0)</f>
        <v>0</v>
      </c>
      <c r="AJ1336" s="9">
        <f>IFERROR(VLOOKUP($A1336,pivot!$A:$I,計算式2026!AJ$1,FALSE),0)</f>
        <v>0</v>
      </c>
      <c r="AK1336" s="9">
        <f>IFERROR(VLOOKUP($A1336,pivot!$A:$I,計算式2026!AK$1,FALSE),0)</f>
        <v>0</v>
      </c>
      <c r="AL1336" s="9">
        <f>IFERROR(VLOOKUP($A1336,pivot!$A:$I,計算式2026!AL$1,FALSE),0)</f>
        <v>0</v>
      </c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8"/>
      <c r="BG1336" s="8"/>
    </row>
    <row r="1337" spans="1:59" s="9" customFormat="1">
      <c r="A1337" s="8" t="s">
        <v>834</v>
      </c>
      <c r="B1337" s="8" t="s">
        <v>831</v>
      </c>
      <c r="C1337" s="9">
        <v>0</v>
      </c>
      <c r="D1337" s="9">
        <v>2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R1337" s="9">
        <v>1</v>
      </c>
      <c r="S1337" s="9">
        <v>1</v>
      </c>
      <c r="T1337" s="9">
        <v>1</v>
      </c>
      <c r="U1337" s="9">
        <v>0</v>
      </c>
      <c r="V1337" s="9">
        <v>1</v>
      </c>
      <c r="W1337" s="9">
        <v>0</v>
      </c>
      <c r="X1337" s="9">
        <v>1</v>
      </c>
      <c r="AE1337" s="9">
        <f>IFERROR(VLOOKUP($A1337,pivot!$A:$G,計算式2026!AE$1,FALSE),0)</f>
        <v>0</v>
      </c>
      <c r="AF1337" s="9">
        <f>IFERROR(VLOOKUP($A1337,pivot!$A:$I,計算式2026!AF$1,FALSE),0)</f>
        <v>0</v>
      </c>
      <c r="AI1337" s="9">
        <f>IFERROR(VLOOKUP($A1337,pivot!$A:$I,計算式2026!AI$1,FALSE),0)</f>
        <v>0</v>
      </c>
      <c r="AJ1337" s="9">
        <f>IFERROR(VLOOKUP($A1337,pivot!$A:$I,計算式2026!AJ$1,FALSE),0)</f>
        <v>0</v>
      </c>
      <c r="AK1337" s="9">
        <f>IFERROR(VLOOKUP($A1337,pivot!$A:$I,計算式2026!AK$1,FALSE),0)</f>
        <v>0</v>
      </c>
      <c r="AL1337" s="9">
        <f>IFERROR(VLOOKUP($A1337,pivot!$A:$I,計算式2026!AL$1,FALSE),0)</f>
        <v>0</v>
      </c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8"/>
      <c r="BG1337" s="8"/>
    </row>
    <row r="1338" spans="1:59" s="9" customFormat="1">
      <c r="A1338" s="8" t="s">
        <v>835</v>
      </c>
      <c r="B1338" s="8" t="s">
        <v>831</v>
      </c>
      <c r="C1338" s="9">
        <v>0</v>
      </c>
      <c r="D1338" s="9">
        <v>2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R1338" s="9">
        <v>1</v>
      </c>
      <c r="S1338" s="9">
        <v>1</v>
      </c>
      <c r="T1338" s="9">
        <v>1</v>
      </c>
      <c r="U1338" s="9">
        <v>0</v>
      </c>
      <c r="V1338" s="9">
        <v>1</v>
      </c>
      <c r="W1338" s="9">
        <v>0</v>
      </c>
      <c r="X1338" s="9">
        <v>1</v>
      </c>
      <c r="AE1338" s="9">
        <f>IFERROR(VLOOKUP($A1338,pivot!$A:$G,計算式2026!AE$1,FALSE),0)</f>
        <v>0</v>
      </c>
      <c r="AF1338" s="9">
        <f>IFERROR(VLOOKUP($A1338,pivot!$A:$I,計算式2026!AF$1,FALSE),0)</f>
        <v>0</v>
      </c>
      <c r="AI1338" s="9">
        <f>IFERROR(VLOOKUP($A1338,pivot!$A:$I,計算式2026!AI$1,FALSE),0)</f>
        <v>0</v>
      </c>
      <c r="AJ1338" s="9">
        <f>IFERROR(VLOOKUP($A1338,pivot!$A:$I,計算式2026!AJ$1,FALSE),0)</f>
        <v>0</v>
      </c>
      <c r="AK1338" s="9">
        <f>IFERROR(VLOOKUP($A1338,pivot!$A:$I,計算式2026!AK$1,FALSE),0)</f>
        <v>0</v>
      </c>
      <c r="AL1338" s="9">
        <f>IFERROR(VLOOKUP($A1338,pivot!$A:$I,計算式2026!AL$1,FALSE),0)</f>
        <v>0</v>
      </c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8"/>
      <c r="BG1338" s="8"/>
    </row>
    <row r="1339" spans="1:59" s="9" customFormat="1">
      <c r="A1339" s="8" t="s">
        <v>836</v>
      </c>
      <c r="B1339" s="8" t="s">
        <v>831</v>
      </c>
      <c r="C1339" s="9">
        <v>0</v>
      </c>
      <c r="D1339" s="9">
        <v>3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R1339" s="9">
        <v>1</v>
      </c>
      <c r="S1339" s="9">
        <v>1</v>
      </c>
      <c r="T1339" s="9">
        <v>1</v>
      </c>
      <c r="U1339" s="9">
        <v>0</v>
      </c>
      <c r="V1339" s="9">
        <v>1</v>
      </c>
      <c r="W1339" s="9">
        <v>0</v>
      </c>
      <c r="X1339" s="9">
        <v>1</v>
      </c>
      <c r="AE1339" s="9">
        <f>IFERROR(VLOOKUP($A1339,pivot!$A:$G,計算式2026!AE$1,FALSE),0)</f>
        <v>0</v>
      </c>
      <c r="AF1339" s="9">
        <f>IFERROR(VLOOKUP($A1339,pivot!$A:$I,計算式2026!AF$1,FALSE),0)</f>
        <v>0</v>
      </c>
      <c r="AI1339" s="9">
        <f>IFERROR(VLOOKUP($A1339,pivot!$A:$I,計算式2026!AI$1,FALSE),0)</f>
        <v>0</v>
      </c>
      <c r="AJ1339" s="9">
        <f>IFERROR(VLOOKUP($A1339,pivot!$A:$I,計算式2026!AJ$1,FALSE),0)</f>
        <v>0</v>
      </c>
      <c r="AK1339" s="9">
        <f>IFERROR(VLOOKUP($A1339,pivot!$A:$I,計算式2026!AK$1,FALSE),0)</f>
        <v>0</v>
      </c>
      <c r="AL1339" s="9">
        <f>IFERROR(VLOOKUP($A1339,pivot!$A:$I,計算式2026!AL$1,FALSE),0)</f>
        <v>0</v>
      </c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  <c r="BB1339" s="8"/>
      <c r="BC1339" s="8"/>
      <c r="BD1339" s="8"/>
      <c r="BE1339" s="8"/>
      <c r="BF1339" s="8"/>
      <c r="BG1339" s="8"/>
    </row>
    <row r="1340" spans="1:59" s="9" customFormat="1">
      <c r="A1340" s="8" t="s">
        <v>2234</v>
      </c>
      <c r="B1340" s="8" t="s">
        <v>2235</v>
      </c>
      <c r="C1340" s="9">
        <v>6</v>
      </c>
      <c r="D1340" s="9">
        <v>0</v>
      </c>
      <c r="E1340" s="9">
        <v>0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R1340" s="9">
        <v>0</v>
      </c>
      <c r="S1340" s="9">
        <v>0</v>
      </c>
      <c r="T1340" s="9">
        <v>1</v>
      </c>
      <c r="U1340" s="9">
        <v>0</v>
      </c>
      <c r="V1340" s="9">
        <v>0</v>
      </c>
      <c r="W1340" s="9">
        <v>0</v>
      </c>
      <c r="X1340" s="9">
        <v>1</v>
      </c>
      <c r="AE1340" s="9">
        <f>IFERROR(VLOOKUP($A1340,pivot!$A:$G,計算式2026!AE$1,FALSE),0)</f>
        <v>0</v>
      </c>
      <c r="AF1340" s="9">
        <f>IFERROR(VLOOKUP($A1340,pivot!$A:$I,計算式2026!AF$1,FALSE),0)</f>
        <v>0</v>
      </c>
      <c r="AI1340" s="9">
        <f>IFERROR(VLOOKUP($A1340,pivot!$A:$I,計算式2026!AI$1,FALSE),0)</f>
        <v>0</v>
      </c>
      <c r="AJ1340" s="9">
        <f>IFERROR(VLOOKUP($A1340,pivot!$A:$I,計算式2026!AJ$1,FALSE),0)</f>
        <v>0</v>
      </c>
      <c r="AK1340" s="9">
        <f>IFERROR(VLOOKUP($A1340,pivot!$A:$I,計算式2026!AK$1,FALSE),0)</f>
        <v>0</v>
      </c>
      <c r="AL1340" s="9">
        <f>IFERROR(VLOOKUP($A1340,pivot!$A:$I,計算式2026!AL$1,FALSE),0)</f>
        <v>0</v>
      </c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8"/>
      <c r="BG1340" s="8"/>
    </row>
    <row r="1341" spans="1:59" s="9" customFormat="1">
      <c r="A1341" s="8" t="s">
        <v>2236</v>
      </c>
      <c r="B1341" s="8" t="s">
        <v>2235</v>
      </c>
      <c r="C1341" s="9">
        <v>8</v>
      </c>
      <c r="D1341" s="9">
        <v>1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R1341" s="9">
        <v>0</v>
      </c>
      <c r="S1341" s="9">
        <v>0</v>
      </c>
      <c r="T1341" s="9">
        <v>1</v>
      </c>
      <c r="U1341" s="9">
        <v>0</v>
      </c>
      <c r="V1341" s="9">
        <v>0</v>
      </c>
      <c r="W1341" s="9">
        <v>0</v>
      </c>
      <c r="X1341" s="9">
        <v>1</v>
      </c>
      <c r="AE1341" s="9">
        <f>IFERROR(VLOOKUP($A1341,pivot!$A:$G,計算式2026!AE$1,FALSE),0)</f>
        <v>0</v>
      </c>
      <c r="AF1341" s="9">
        <f>IFERROR(VLOOKUP($A1341,pivot!$A:$I,計算式2026!AF$1,FALSE),0)</f>
        <v>0</v>
      </c>
      <c r="AI1341" s="9">
        <f>IFERROR(VLOOKUP($A1341,pivot!$A:$I,計算式2026!AI$1,FALSE),0)</f>
        <v>0</v>
      </c>
      <c r="AJ1341" s="9">
        <f>IFERROR(VLOOKUP($A1341,pivot!$A:$I,計算式2026!AJ$1,FALSE),0)</f>
        <v>0</v>
      </c>
      <c r="AK1341" s="9">
        <f>IFERROR(VLOOKUP($A1341,pivot!$A:$I,計算式2026!AK$1,FALSE),0)</f>
        <v>0</v>
      </c>
      <c r="AL1341" s="9">
        <f>IFERROR(VLOOKUP($A1341,pivot!$A:$I,計算式2026!AL$1,FALSE),0)</f>
        <v>0</v>
      </c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8"/>
      <c r="BG1341" s="8"/>
    </row>
    <row r="1342" spans="1:59" s="9" customFormat="1">
      <c r="A1342" s="8" t="s">
        <v>2237</v>
      </c>
      <c r="B1342" s="8" t="s">
        <v>2235</v>
      </c>
      <c r="C1342" s="9">
        <v>4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R1342" s="9">
        <v>0</v>
      </c>
      <c r="S1342" s="9">
        <v>0</v>
      </c>
      <c r="T1342" s="9">
        <v>1</v>
      </c>
      <c r="U1342" s="9">
        <v>0</v>
      </c>
      <c r="V1342" s="9">
        <v>0</v>
      </c>
      <c r="W1342" s="9">
        <v>0</v>
      </c>
      <c r="X1342" s="9">
        <v>1</v>
      </c>
      <c r="AE1342" s="9">
        <f>IFERROR(VLOOKUP($A1342,pivot!$A:$G,計算式2026!AE$1,FALSE),0)</f>
        <v>0</v>
      </c>
      <c r="AF1342" s="9">
        <f>IFERROR(VLOOKUP($A1342,pivot!$A:$I,計算式2026!AF$1,FALSE),0)</f>
        <v>0</v>
      </c>
      <c r="AI1342" s="9">
        <f>IFERROR(VLOOKUP($A1342,pivot!$A:$I,計算式2026!AI$1,FALSE),0)</f>
        <v>0</v>
      </c>
      <c r="AJ1342" s="9">
        <f>IFERROR(VLOOKUP($A1342,pivot!$A:$I,計算式2026!AJ$1,FALSE),0)</f>
        <v>0</v>
      </c>
      <c r="AK1342" s="9">
        <f>IFERROR(VLOOKUP($A1342,pivot!$A:$I,計算式2026!AK$1,FALSE),0)</f>
        <v>0</v>
      </c>
      <c r="AL1342" s="9">
        <f>IFERROR(VLOOKUP($A1342,pivot!$A:$I,計算式2026!AL$1,FALSE),0)</f>
        <v>0</v>
      </c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  <c r="BB1342" s="8"/>
      <c r="BC1342" s="8"/>
      <c r="BD1342" s="8"/>
      <c r="BE1342" s="8"/>
      <c r="BF1342" s="8"/>
      <c r="BG1342" s="8"/>
    </row>
    <row r="1343" spans="1:59" s="9" customFormat="1">
      <c r="A1343" s="8" t="s">
        <v>2238</v>
      </c>
      <c r="B1343" s="8" t="s">
        <v>2235</v>
      </c>
      <c r="C1343" s="9">
        <v>4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1</v>
      </c>
      <c r="AE1343" s="9">
        <f>IFERROR(VLOOKUP($A1343,pivot!$A:$G,計算式2026!AE$1,FALSE),0)</f>
        <v>0</v>
      </c>
      <c r="AF1343" s="9">
        <f>IFERROR(VLOOKUP($A1343,pivot!$A:$I,計算式2026!AF$1,FALSE),0)</f>
        <v>0</v>
      </c>
      <c r="AI1343" s="9">
        <f>IFERROR(VLOOKUP($A1343,pivot!$A:$I,計算式2026!AI$1,FALSE),0)</f>
        <v>0</v>
      </c>
      <c r="AJ1343" s="9">
        <f>IFERROR(VLOOKUP($A1343,pivot!$A:$I,計算式2026!AJ$1,FALSE),0)</f>
        <v>0</v>
      </c>
      <c r="AK1343" s="9">
        <f>IFERROR(VLOOKUP($A1343,pivot!$A:$I,計算式2026!AK$1,FALSE),0)</f>
        <v>0</v>
      </c>
      <c r="AL1343" s="9">
        <f>IFERROR(VLOOKUP($A1343,pivot!$A:$I,計算式2026!AL$1,FALSE),0)</f>
        <v>0</v>
      </c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  <c r="BB1343" s="8"/>
      <c r="BC1343" s="8"/>
      <c r="BD1343" s="8"/>
      <c r="BE1343" s="8"/>
      <c r="BF1343" s="8"/>
      <c r="BG1343" s="8"/>
    </row>
    <row r="1344" spans="1:59" s="9" customFormat="1">
      <c r="A1344" s="8" t="s">
        <v>838</v>
      </c>
      <c r="B1344" s="8" t="s">
        <v>837</v>
      </c>
      <c r="C1344" s="9">
        <v>1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AE1344" s="9">
        <f>IFERROR(VLOOKUP($A1344,pivot!$A:$G,計算式2026!AE$1,FALSE),0)</f>
        <v>0</v>
      </c>
      <c r="AF1344" s="9">
        <f>IFERROR(VLOOKUP($A1344,pivot!$A:$I,計算式2026!AF$1,FALSE),0)</f>
        <v>0</v>
      </c>
      <c r="AI1344" s="9">
        <f>IFERROR(VLOOKUP($A1344,pivot!$A:$I,計算式2026!AI$1,FALSE),0)</f>
        <v>0</v>
      </c>
      <c r="AJ1344" s="9">
        <f>IFERROR(VLOOKUP($A1344,pivot!$A:$I,計算式2026!AJ$1,FALSE),0)</f>
        <v>0</v>
      </c>
      <c r="AK1344" s="9">
        <f>IFERROR(VLOOKUP($A1344,pivot!$A:$I,計算式2026!AK$1,FALSE),0)</f>
        <v>0</v>
      </c>
      <c r="AL1344" s="9">
        <f>IFERROR(VLOOKUP($A1344,pivot!$A:$I,計算式2026!AL$1,FALSE),0)</f>
        <v>0</v>
      </c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8"/>
      <c r="BG1344" s="8"/>
    </row>
    <row r="1345" spans="1:59" s="9" customFormat="1">
      <c r="A1345" s="8" t="s">
        <v>839</v>
      </c>
      <c r="B1345" s="8" t="s">
        <v>840</v>
      </c>
      <c r="C1345" s="9">
        <v>0</v>
      </c>
      <c r="D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R1345" s="9">
        <v>0</v>
      </c>
      <c r="S1345" s="9">
        <v>1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AE1345" s="9">
        <f>IFERROR(VLOOKUP($A1345,pivot!$A:$G,計算式2026!AE$1,FALSE),0)</f>
        <v>0</v>
      </c>
      <c r="AF1345" s="9">
        <f>IFERROR(VLOOKUP($A1345,pivot!$A:$I,計算式2026!AF$1,FALSE),0)</f>
        <v>0</v>
      </c>
      <c r="AI1345" s="9">
        <f>IFERROR(VLOOKUP($A1345,pivot!$A:$I,計算式2026!AI$1,FALSE),0)</f>
        <v>0</v>
      </c>
      <c r="AJ1345" s="9">
        <f>IFERROR(VLOOKUP($A1345,pivot!$A:$I,計算式2026!AJ$1,FALSE),0)</f>
        <v>0</v>
      </c>
      <c r="AK1345" s="9">
        <f>IFERROR(VLOOKUP($A1345,pivot!$A:$I,計算式2026!AK$1,FALSE),0)</f>
        <v>0</v>
      </c>
      <c r="AL1345" s="9">
        <f>IFERROR(VLOOKUP($A1345,pivot!$A:$I,計算式2026!AL$1,FALSE),0)</f>
        <v>0</v>
      </c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8"/>
      <c r="BG1345" s="8"/>
    </row>
    <row r="1346" spans="1:59" s="9" customFormat="1">
      <c r="A1346" s="8" t="s">
        <v>841</v>
      </c>
      <c r="B1346" s="8" t="s">
        <v>840</v>
      </c>
      <c r="C1346" s="9">
        <v>0</v>
      </c>
      <c r="D1346" s="9">
        <v>0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1</v>
      </c>
      <c r="W1346" s="9">
        <v>0</v>
      </c>
      <c r="X1346" s="9">
        <v>0</v>
      </c>
      <c r="AE1346" s="9">
        <f>IFERROR(VLOOKUP($A1346,pivot!$A:$G,計算式2026!AE$1,FALSE),0)</f>
        <v>0</v>
      </c>
      <c r="AF1346" s="9">
        <f>IFERROR(VLOOKUP($A1346,pivot!$A:$I,計算式2026!AF$1,FALSE),0)</f>
        <v>0</v>
      </c>
      <c r="AI1346" s="9">
        <f>IFERROR(VLOOKUP($A1346,pivot!$A:$I,計算式2026!AI$1,FALSE),0)</f>
        <v>0</v>
      </c>
      <c r="AJ1346" s="9">
        <f>IFERROR(VLOOKUP($A1346,pivot!$A:$I,計算式2026!AJ$1,FALSE),0)</f>
        <v>0</v>
      </c>
      <c r="AK1346" s="9">
        <f>IFERROR(VLOOKUP($A1346,pivot!$A:$I,計算式2026!AK$1,FALSE),0)</f>
        <v>0</v>
      </c>
      <c r="AL1346" s="9">
        <f>IFERROR(VLOOKUP($A1346,pivot!$A:$I,計算式2026!AL$1,FALSE),0)</f>
        <v>0</v>
      </c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  <c r="BB1346" s="8"/>
      <c r="BC1346" s="8"/>
      <c r="BD1346" s="8"/>
      <c r="BE1346" s="8"/>
      <c r="BF1346" s="8"/>
      <c r="BG1346" s="8"/>
    </row>
    <row r="1347" spans="1:59" s="9" customFormat="1">
      <c r="A1347" s="8" t="s">
        <v>842</v>
      </c>
      <c r="B1347" s="8" t="s">
        <v>840</v>
      </c>
      <c r="C1347" s="9">
        <v>0</v>
      </c>
      <c r="D1347" s="9">
        <v>0</v>
      </c>
      <c r="E1347" s="9">
        <v>0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AE1347" s="9">
        <f>IFERROR(VLOOKUP($A1347,pivot!$A:$G,計算式2026!AE$1,FALSE),0)</f>
        <v>0</v>
      </c>
      <c r="AF1347" s="9">
        <f>IFERROR(VLOOKUP($A1347,pivot!$A:$I,計算式2026!AF$1,FALSE),0)</f>
        <v>0</v>
      </c>
      <c r="AI1347" s="9">
        <f>IFERROR(VLOOKUP($A1347,pivot!$A:$I,計算式2026!AI$1,FALSE),0)</f>
        <v>0</v>
      </c>
      <c r="AJ1347" s="9">
        <f>IFERROR(VLOOKUP($A1347,pivot!$A:$I,計算式2026!AJ$1,FALSE),0)</f>
        <v>0</v>
      </c>
      <c r="AK1347" s="9">
        <f>IFERROR(VLOOKUP($A1347,pivot!$A:$I,計算式2026!AK$1,FALSE),0)</f>
        <v>0</v>
      </c>
      <c r="AL1347" s="9">
        <f>IFERROR(VLOOKUP($A1347,pivot!$A:$I,計算式2026!AL$1,FALSE),0)</f>
        <v>0</v>
      </c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8"/>
      <c r="BG1347" s="8"/>
    </row>
    <row r="1348" spans="1:59" s="9" customFormat="1">
      <c r="A1348" s="8" t="s">
        <v>844</v>
      </c>
      <c r="B1348" s="8" t="s">
        <v>843</v>
      </c>
      <c r="C1348" s="9">
        <v>0</v>
      </c>
      <c r="D1348" s="9">
        <v>0</v>
      </c>
      <c r="E1348" s="9">
        <v>0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AE1348" s="9">
        <f>IFERROR(VLOOKUP($A1348,pivot!$A:$G,計算式2026!AE$1,FALSE),0)</f>
        <v>0</v>
      </c>
      <c r="AF1348" s="9">
        <f>IFERROR(VLOOKUP($A1348,pivot!$A:$I,計算式2026!AF$1,FALSE),0)</f>
        <v>0</v>
      </c>
      <c r="AI1348" s="9">
        <f>IFERROR(VLOOKUP($A1348,pivot!$A:$I,計算式2026!AI$1,FALSE),0)</f>
        <v>0</v>
      </c>
      <c r="AJ1348" s="9">
        <f>IFERROR(VLOOKUP($A1348,pivot!$A:$I,計算式2026!AJ$1,FALSE),0)</f>
        <v>0</v>
      </c>
      <c r="AK1348" s="9">
        <f>IFERROR(VLOOKUP($A1348,pivot!$A:$I,計算式2026!AK$1,FALSE),0)</f>
        <v>0</v>
      </c>
      <c r="AL1348" s="9">
        <f>IFERROR(VLOOKUP($A1348,pivot!$A:$I,計算式2026!AL$1,FALSE),0)</f>
        <v>0</v>
      </c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  <c r="BB1348" s="8"/>
      <c r="BC1348" s="8"/>
      <c r="BD1348" s="8"/>
      <c r="BE1348" s="8"/>
      <c r="BF1348" s="8"/>
      <c r="BG1348" s="8"/>
    </row>
    <row r="1349" spans="1:59" s="9" customFormat="1">
      <c r="A1349" s="8" t="s">
        <v>845</v>
      </c>
      <c r="B1349" s="8" t="s">
        <v>843</v>
      </c>
      <c r="C1349" s="9">
        <v>0</v>
      </c>
      <c r="D1349" s="9">
        <v>0</v>
      </c>
      <c r="E1349" s="9">
        <v>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1</v>
      </c>
      <c r="W1349" s="9">
        <v>0</v>
      </c>
      <c r="X1349" s="9">
        <v>0</v>
      </c>
      <c r="AE1349" s="9">
        <f>IFERROR(VLOOKUP($A1349,pivot!$A:$G,計算式2026!AE$1,FALSE),0)</f>
        <v>0</v>
      </c>
      <c r="AF1349" s="9">
        <f>IFERROR(VLOOKUP($A1349,pivot!$A:$I,計算式2026!AF$1,FALSE),0)</f>
        <v>0</v>
      </c>
      <c r="AI1349" s="9">
        <f>IFERROR(VLOOKUP($A1349,pivot!$A:$I,計算式2026!AI$1,FALSE),0)</f>
        <v>0</v>
      </c>
      <c r="AJ1349" s="9">
        <f>IFERROR(VLOOKUP($A1349,pivot!$A:$I,計算式2026!AJ$1,FALSE),0)</f>
        <v>0</v>
      </c>
      <c r="AK1349" s="9">
        <f>IFERROR(VLOOKUP($A1349,pivot!$A:$I,計算式2026!AK$1,FALSE),0)</f>
        <v>0</v>
      </c>
      <c r="AL1349" s="9">
        <f>IFERROR(VLOOKUP($A1349,pivot!$A:$I,計算式2026!AL$1,FALSE),0)</f>
        <v>0</v>
      </c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8"/>
      <c r="BG1349" s="8"/>
    </row>
    <row r="1350" spans="1:59" s="9" customFormat="1">
      <c r="A1350" s="8" t="s">
        <v>2239</v>
      </c>
      <c r="B1350" s="8" t="s">
        <v>2240</v>
      </c>
      <c r="C1350" s="9">
        <v>1</v>
      </c>
      <c r="D1350" s="9">
        <v>0</v>
      </c>
      <c r="E1350" s="9">
        <v>0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AE1350" s="9">
        <f>IFERROR(VLOOKUP($A1350,pivot!$A:$G,計算式2026!AE$1,FALSE),0)</f>
        <v>0</v>
      </c>
      <c r="AF1350" s="9">
        <f>IFERROR(VLOOKUP($A1350,pivot!$A:$I,計算式2026!AF$1,FALSE),0)</f>
        <v>0</v>
      </c>
      <c r="AI1350" s="9">
        <f>IFERROR(VLOOKUP($A1350,pivot!$A:$I,計算式2026!AI$1,FALSE),0)</f>
        <v>0</v>
      </c>
      <c r="AJ1350" s="9">
        <f>IFERROR(VLOOKUP($A1350,pivot!$A:$I,計算式2026!AJ$1,FALSE),0)</f>
        <v>0</v>
      </c>
      <c r="AK1350" s="9">
        <f>IFERROR(VLOOKUP($A1350,pivot!$A:$I,計算式2026!AK$1,FALSE),0)</f>
        <v>0</v>
      </c>
      <c r="AL1350" s="9">
        <f>IFERROR(VLOOKUP($A1350,pivot!$A:$I,計算式2026!AL$1,FALSE),0)</f>
        <v>0</v>
      </c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8"/>
      <c r="BG1350" s="8"/>
    </row>
    <row r="1351" spans="1:59" s="9" customFormat="1">
      <c r="A1351" s="8" t="s">
        <v>2241</v>
      </c>
      <c r="B1351" s="8" t="s">
        <v>2240</v>
      </c>
      <c r="C1351" s="9">
        <v>1</v>
      </c>
      <c r="D1351" s="9">
        <v>0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AE1351" s="9">
        <f>IFERROR(VLOOKUP($A1351,pivot!$A:$G,計算式2026!AE$1,FALSE),0)</f>
        <v>0</v>
      </c>
      <c r="AF1351" s="9">
        <f>IFERROR(VLOOKUP($A1351,pivot!$A:$I,計算式2026!AF$1,FALSE),0)</f>
        <v>0</v>
      </c>
      <c r="AI1351" s="9">
        <f>IFERROR(VLOOKUP($A1351,pivot!$A:$I,計算式2026!AI$1,FALSE),0)</f>
        <v>0</v>
      </c>
      <c r="AJ1351" s="9">
        <f>IFERROR(VLOOKUP($A1351,pivot!$A:$I,計算式2026!AJ$1,FALSE),0)</f>
        <v>0</v>
      </c>
      <c r="AK1351" s="9">
        <f>IFERROR(VLOOKUP($A1351,pivot!$A:$I,計算式2026!AK$1,FALSE),0)</f>
        <v>0</v>
      </c>
      <c r="AL1351" s="9">
        <f>IFERROR(VLOOKUP($A1351,pivot!$A:$I,計算式2026!AL$1,FALSE),0)</f>
        <v>0</v>
      </c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8"/>
      <c r="BG1351" s="8"/>
    </row>
    <row r="1352" spans="1:59" s="9" customFormat="1">
      <c r="A1352" s="8" t="s">
        <v>2242</v>
      </c>
      <c r="B1352" s="8" t="s">
        <v>2240</v>
      </c>
      <c r="C1352" s="9">
        <v>1</v>
      </c>
      <c r="D1352" s="9">
        <v>0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AE1352" s="9">
        <f>IFERROR(VLOOKUP($A1352,pivot!$A:$G,計算式2026!AE$1,FALSE),0)</f>
        <v>0</v>
      </c>
      <c r="AF1352" s="9">
        <f>IFERROR(VLOOKUP($A1352,pivot!$A:$I,計算式2026!AF$1,FALSE),0)</f>
        <v>0</v>
      </c>
      <c r="AI1352" s="9">
        <f>IFERROR(VLOOKUP($A1352,pivot!$A:$I,計算式2026!AI$1,FALSE),0)</f>
        <v>0</v>
      </c>
      <c r="AJ1352" s="9">
        <f>IFERROR(VLOOKUP($A1352,pivot!$A:$I,計算式2026!AJ$1,FALSE),0)</f>
        <v>0</v>
      </c>
      <c r="AK1352" s="9">
        <f>IFERROR(VLOOKUP($A1352,pivot!$A:$I,計算式2026!AK$1,FALSE),0)</f>
        <v>0</v>
      </c>
      <c r="AL1352" s="9">
        <f>IFERROR(VLOOKUP($A1352,pivot!$A:$I,計算式2026!AL$1,FALSE),0)</f>
        <v>0</v>
      </c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8"/>
      <c r="BG1352" s="8"/>
    </row>
    <row r="1353" spans="1:59" s="9" customFormat="1">
      <c r="A1353" s="8" t="s">
        <v>2243</v>
      </c>
      <c r="B1353" s="8" t="s">
        <v>2240</v>
      </c>
      <c r="C1353" s="9">
        <v>1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AE1353" s="9">
        <f>IFERROR(VLOOKUP($A1353,pivot!$A:$G,計算式2026!AE$1,FALSE),0)</f>
        <v>0</v>
      </c>
      <c r="AF1353" s="9">
        <f>IFERROR(VLOOKUP($A1353,pivot!$A:$I,計算式2026!AF$1,FALSE),0)</f>
        <v>0</v>
      </c>
      <c r="AI1353" s="9">
        <f>IFERROR(VLOOKUP($A1353,pivot!$A:$I,計算式2026!AI$1,FALSE),0)</f>
        <v>0</v>
      </c>
      <c r="AJ1353" s="9">
        <f>IFERROR(VLOOKUP($A1353,pivot!$A:$I,計算式2026!AJ$1,FALSE),0)</f>
        <v>0</v>
      </c>
      <c r="AK1353" s="9">
        <f>IFERROR(VLOOKUP($A1353,pivot!$A:$I,計算式2026!AK$1,FALSE),0)</f>
        <v>0</v>
      </c>
      <c r="AL1353" s="9">
        <f>IFERROR(VLOOKUP($A1353,pivot!$A:$I,計算式2026!AL$1,FALSE),0)</f>
        <v>0</v>
      </c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  <c r="BB1353" s="8"/>
      <c r="BC1353" s="8"/>
      <c r="BD1353" s="8"/>
      <c r="BE1353" s="8"/>
      <c r="BF1353" s="8"/>
      <c r="BG1353" s="8"/>
    </row>
    <row r="1354" spans="1:59" s="9" customFormat="1">
      <c r="A1354" s="8" t="s">
        <v>846</v>
      </c>
      <c r="B1354" s="8" t="s">
        <v>847</v>
      </c>
      <c r="C1354" s="9">
        <v>0</v>
      </c>
      <c r="D1354" s="9">
        <v>0</v>
      </c>
      <c r="E1354" s="9">
        <v>0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R1354" s="9">
        <v>0</v>
      </c>
      <c r="S1354" s="9">
        <v>0</v>
      </c>
      <c r="T1354" s="9">
        <v>1</v>
      </c>
      <c r="U1354" s="9">
        <v>0</v>
      </c>
      <c r="V1354" s="9">
        <v>0</v>
      </c>
      <c r="W1354" s="9">
        <v>0</v>
      </c>
      <c r="X1354" s="9">
        <v>0</v>
      </c>
      <c r="AE1354" s="9">
        <f>IFERROR(VLOOKUP($A1354,pivot!$A:$G,計算式2026!AE$1,FALSE),0)</f>
        <v>0</v>
      </c>
      <c r="AF1354" s="9">
        <f>IFERROR(VLOOKUP($A1354,pivot!$A:$I,計算式2026!AF$1,FALSE),0)</f>
        <v>0</v>
      </c>
      <c r="AI1354" s="9">
        <f>IFERROR(VLOOKUP($A1354,pivot!$A:$I,計算式2026!AI$1,FALSE),0)</f>
        <v>0</v>
      </c>
      <c r="AJ1354" s="9">
        <f>IFERROR(VLOOKUP($A1354,pivot!$A:$I,計算式2026!AJ$1,FALSE),0)</f>
        <v>0</v>
      </c>
      <c r="AK1354" s="9">
        <f>IFERROR(VLOOKUP($A1354,pivot!$A:$I,計算式2026!AK$1,FALSE),0)</f>
        <v>0</v>
      </c>
      <c r="AL1354" s="9">
        <f>IFERROR(VLOOKUP($A1354,pivot!$A:$I,計算式2026!AL$1,FALSE),0)</f>
        <v>0</v>
      </c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8"/>
      <c r="BG1354" s="8"/>
    </row>
    <row r="1355" spans="1:59" s="9" customFormat="1">
      <c r="A1355" s="8" t="s">
        <v>848</v>
      </c>
      <c r="B1355" s="8" t="s">
        <v>847</v>
      </c>
      <c r="C1355" s="9">
        <v>0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R1355" s="9">
        <v>0</v>
      </c>
      <c r="S1355" s="9">
        <v>0</v>
      </c>
      <c r="T1355" s="9">
        <v>1</v>
      </c>
      <c r="U1355" s="9">
        <v>0</v>
      </c>
      <c r="V1355" s="9">
        <v>2</v>
      </c>
      <c r="W1355" s="9">
        <v>0</v>
      </c>
      <c r="X1355" s="9">
        <v>1</v>
      </c>
      <c r="AE1355" s="9">
        <f>IFERROR(VLOOKUP($A1355,pivot!$A:$G,計算式2026!AE$1,FALSE),0)</f>
        <v>0</v>
      </c>
      <c r="AF1355" s="9">
        <f>IFERROR(VLOOKUP($A1355,pivot!$A:$I,計算式2026!AF$1,FALSE),0)</f>
        <v>0</v>
      </c>
      <c r="AI1355" s="9">
        <f>IFERROR(VLOOKUP($A1355,pivot!$A:$I,計算式2026!AI$1,FALSE),0)</f>
        <v>0</v>
      </c>
      <c r="AJ1355" s="9">
        <f>IFERROR(VLOOKUP($A1355,pivot!$A:$I,計算式2026!AJ$1,FALSE),0)</f>
        <v>0</v>
      </c>
      <c r="AK1355" s="9">
        <f>IFERROR(VLOOKUP($A1355,pivot!$A:$I,計算式2026!AK$1,FALSE),0)</f>
        <v>0</v>
      </c>
      <c r="AL1355" s="9">
        <f>IFERROR(VLOOKUP($A1355,pivot!$A:$I,計算式2026!AL$1,FALSE),0)</f>
        <v>0</v>
      </c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  <c r="BB1355" s="8"/>
      <c r="BC1355" s="8"/>
      <c r="BD1355" s="8"/>
      <c r="BE1355" s="8"/>
      <c r="BF1355" s="8"/>
      <c r="BG1355" s="8"/>
    </row>
    <row r="1356" spans="1:59" s="9" customFormat="1">
      <c r="A1356" s="8" t="s">
        <v>849</v>
      </c>
      <c r="B1356" s="8" t="s">
        <v>847</v>
      </c>
      <c r="C1356" s="9">
        <v>0</v>
      </c>
      <c r="D1356" s="9">
        <v>0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1</v>
      </c>
      <c r="AE1356" s="9">
        <f>IFERROR(VLOOKUP($A1356,pivot!$A:$G,計算式2026!AE$1,FALSE),0)</f>
        <v>0</v>
      </c>
      <c r="AF1356" s="9">
        <f>IFERROR(VLOOKUP($A1356,pivot!$A:$I,計算式2026!AF$1,FALSE),0)</f>
        <v>0</v>
      </c>
      <c r="AI1356" s="9">
        <f>IFERROR(VLOOKUP($A1356,pivot!$A:$I,計算式2026!AI$1,FALSE),0)</f>
        <v>0</v>
      </c>
      <c r="AJ1356" s="9">
        <f>IFERROR(VLOOKUP($A1356,pivot!$A:$I,計算式2026!AJ$1,FALSE),0)</f>
        <v>0</v>
      </c>
      <c r="AK1356" s="9">
        <f>IFERROR(VLOOKUP($A1356,pivot!$A:$I,計算式2026!AK$1,FALSE),0)</f>
        <v>0</v>
      </c>
      <c r="AL1356" s="9">
        <f>IFERROR(VLOOKUP($A1356,pivot!$A:$I,計算式2026!AL$1,FALSE),0)</f>
        <v>0</v>
      </c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8"/>
      <c r="BG1356" s="8"/>
    </row>
    <row r="1357" spans="1:59" s="9" customFormat="1">
      <c r="A1357" s="8" t="s">
        <v>850</v>
      </c>
      <c r="B1357" s="8" t="s">
        <v>847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1</v>
      </c>
      <c r="AE1357" s="9">
        <f>IFERROR(VLOOKUP($A1357,pivot!$A:$G,計算式2026!AE$1,FALSE),0)</f>
        <v>0</v>
      </c>
      <c r="AF1357" s="9">
        <f>IFERROR(VLOOKUP($A1357,pivot!$A:$I,計算式2026!AF$1,FALSE),0)</f>
        <v>0</v>
      </c>
      <c r="AI1357" s="9">
        <f>IFERROR(VLOOKUP($A1357,pivot!$A:$I,計算式2026!AI$1,FALSE),0)</f>
        <v>0</v>
      </c>
      <c r="AJ1357" s="9">
        <f>IFERROR(VLOOKUP($A1357,pivot!$A:$I,計算式2026!AJ$1,FALSE),0)</f>
        <v>0</v>
      </c>
      <c r="AK1357" s="9">
        <f>IFERROR(VLOOKUP($A1357,pivot!$A:$I,計算式2026!AK$1,FALSE),0)</f>
        <v>0</v>
      </c>
      <c r="AL1357" s="9">
        <f>IFERROR(VLOOKUP($A1357,pivot!$A:$I,計算式2026!AL$1,FALSE),0)</f>
        <v>0</v>
      </c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8"/>
      <c r="BG1357" s="8"/>
    </row>
    <row r="1358" spans="1:59" s="9" customFormat="1">
      <c r="A1358" s="8" t="s">
        <v>851</v>
      </c>
      <c r="B1358" s="8" t="s">
        <v>847</v>
      </c>
      <c r="C1358" s="9">
        <v>3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R1358" s="9">
        <v>0</v>
      </c>
      <c r="S1358" s="9">
        <v>1</v>
      </c>
      <c r="T1358" s="9">
        <v>1</v>
      </c>
      <c r="U1358" s="9">
        <v>0</v>
      </c>
      <c r="V1358" s="9">
        <v>2</v>
      </c>
      <c r="W1358" s="9">
        <v>0</v>
      </c>
      <c r="X1358" s="9">
        <v>2</v>
      </c>
      <c r="AE1358" s="9">
        <f>IFERROR(VLOOKUP($A1358,pivot!$A:$G,計算式2026!AE$1,FALSE),0)</f>
        <v>0</v>
      </c>
      <c r="AF1358" s="9">
        <f>IFERROR(VLOOKUP($A1358,pivot!$A:$I,計算式2026!AF$1,FALSE),0)</f>
        <v>0</v>
      </c>
      <c r="AI1358" s="9">
        <f>IFERROR(VLOOKUP($A1358,pivot!$A:$I,計算式2026!AI$1,FALSE),0)</f>
        <v>0</v>
      </c>
      <c r="AJ1358" s="9">
        <f>IFERROR(VLOOKUP($A1358,pivot!$A:$I,計算式2026!AJ$1,FALSE),0)</f>
        <v>0</v>
      </c>
      <c r="AK1358" s="9">
        <f>IFERROR(VLOOKUP($A1358,pivot!$A:$I,計算式2026!AK$1,FALSE),0)</f>
        <v>0</v>
      </c>
      <c r="AL1358" s="9">
        <f>IFERROR(VLOOKUP($A1358,pivot!$A:$I,計算式2026!AL$1,FALSE),0)</f>
        <v>0</v>
      </c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8"/>
      <c r="BG1358" s="8"/>
    </row>
    <row r="1359" spans="1:59" s="9" customFormat="1">
      <c r="A1359" s="8" t="s">
        <v>853</v>
      </c>
      <c r="B1359" s="8" t="s">
        <v>852</v>
      </c>
      <c r="C1359" s="9">
        <v>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R1359" s="9">
        <v>0</v>
      </c>
      <c r="S1359" s="9">
        <v>0</v>
      </c>
      <c r="T1359" s="9">
        <v>1</v>
      </c>
      <c r="U1359" s="9">
        <v>0</v>
      </c>
      <c r="V1359" s="9">
        <v>0</v>
      </c>
      <c r="W1359" s="9">
        <v>0</v>
      </c>
      <c r="X1359" s="9">
        <v>0</v>
      </c>
      <c r="AE1359" s="9">
        <f>IFERROR(VLOOKUP($A1359,pivot!$A:$G,計算式2026!AE$1,FALSE),0)</f>
        <v>0</v>
      </c>
      <c r="AF1359" s="9">
        <f>IFERROR(VLOOKUP($A1359,pivot!$A:$I,計算式2026!AF$1,FALSE),0)</f>
        <v>0</v>
      </c>
      <c r="AI1359" s="9">
        <f>IFERROR(VLOOKUP($A1359,pivot!$A:$I,計算式2026!AI$1,FALSE),0)</f>
        <v>0</v>
      </c>
      <c r="AJ1359" s="9">
        <f>IFERROR(VLOOKUP($A1359,pivot!$A:$I,計算式2026!AJ$1,FALSE),0)</f>
        <v>0</v>
      </c>
      <c r="AK1359" s="9">
        <f>IFERROR(VLOOKUP($A1359,pivot!$A:$I,計算式2026!AK$1,FALSE),0)</f>
        <v>0</v>
      </c>
      <c r="AL1359" s="9">
        <f>IFERROR(VLOOKUP($A1359,pivot!$A:$I,計算式2026!AL$1,FALSE),0)</f>
        <v>0</v>
      </c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8"/>
      <c r="BG1359" s="8"/>
    </row>
    <row r="1360" spans="1:59" s="9" customFormat="1">
      <c r="A1360" s="8" t="s">
        <v>854</v>
      </c>
      <c r="B1360" s="8" t="s">
        <v>852</v>
      </c>
      <c r="C1360" s="9">
        <v>0</v>
      </c>
      <c r="D1360" s="9">
        <v>0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R1360" s="9">
        <v>0</v>
      </c>
      <c r="S1360" s="9">
        <v>0</v>
      </c>
      <c r="T1360" s="9">
        <v>1</v>
      </c>
      <c r="U1360" s="9">
        <v>0</v>
      </c>
      <c r="V1360" s="9">
        <v>0</v>
      </c>
      <c r="W1360" s="9">
        <v>0</v>
      </c>
      <c r="X1360" s="9">
        <v>0</v>
      </c>
      <c r="AE1360" s="9">
        <f>IFERROR(VLOOKUP($A1360,pivot!$A:$G,計算式2026!AE$1,FALSE),0)</f>
        <v>0</v>
      </c>
      <c r="AF1360" s="9">
        <f>IFERROR(VLOOKUP($A1360,pivot!$A:$I,計算式2026!AF$1,FALSE),0)</f>
        <v>0</v>
      </c>
      <c r="AI1360" s="9">
        <f>IFERROR(VLOOKUP($A1360,pivot!$A:$I,計算式2026!AI$1,FALSE),0)</f>
        <v>0</v>
      </c>
      <c r="AJ1360" s="9">
        <f>IFERROR(VLOOKUP($A1360,pivot!$A:$I,計算式2026!AJ$1,FALSE),0)</f>
        <v>0</v>
      </c>
      <c r="AK1360" s="9">
        <f>IFERROR(VLOOKUP($A1360,pivot!$A:$I,計算式2026!AK$1,FALSE),0)</f>
        <v>0</v>
      </c>
      <c r="AL1360" s="9">
        <f>IFERROR(VLOOKUP($A1360,pivot!$A:$I,計算式2026!AL$1,FALSE),0)</f>
        <v>0</v>
      </c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8"/>
      <c r="BG1360" s="8"/>
    </row>
    <row r="1361" spans="1:59" s="9" customFormat="1">
      <c r="A1361" s="8" t="s">
        <v>855</v>
      </c>
      <c r="B1361" s="8" t="s">
        <v>852</v>
      </c>
      <c r="C1361" s="9">
        <v>0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R1361" s="9">
        <v>0</v>
      </c>
      <c r="S1361" s="9">
        <v>0</v>
      </c>
      <c r="T1361" s="9">
        <v>1</v>
      </c>
      <c r="U1361" s="9">
        <v>0</v>
      </c>
      <c r="V1361" s="9">
        <v>0</v>
      </c>
      <c r="W1361" s="9">
        <v>0</v>
      </c>
      <c r="X1361" s="9">
        <v>0</v>
      </c>
      <c r="AE1361" s="9">
        <f>IFERROR(VLOOKUP($A1361,pivot!$A:$G,計算式2026!AE$1,FALSE),0)</f>
        <v>0</v>
      </c>
      <c r="AF1361" s="9">
        <f>IFERROR(VLOOKUP($A1361,pivot!$A:$I,計算式2026!AF$1,FALSE),0)</f>
        <v>0</v>
      </c>
      <c r="AI1361" s="9">
        <f>IFERROR(VLOOKUP($A1361,pivot!$A:$I,計算式2026!AI$1,FALSE),0)</f>
        <v>0</v>
      </c>
      <c r="AJ1361" s="9">
        <f>IFERROR(VLOOKUP($A1361,pivot!$A:$I,計算式2026!AJ$1,FALSE),0)</f>
        <v>0</v>
      </c>
      <c r="AK1361" s="9">
        <f>IFERROR(VLOOKUP($A1361,pivot!$A:$I,計算式2026!AK$1,FALSE),0)</f>
        <v>0</v>
      </c>
      <c r="AL1361" s="9">
        <f>IFERROR(VLOOKUP($A1361,pivot!$A:$I,計算式2026!AL$1,FALSE),0)</f>
        <v>0</v>
      </c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  <c r="BB1361" s="8"/>
      <c r="BC1361" s="8"/>
      <c r="BD1361" s="8"/>
      <c r="BE1361" s="8"/>
      <c r="BF1361" s="8"/>
      <c r="BG1361" s="8"/>
    </row>
    <row r="1362" spans="1:59" s="9" customFormat="1">
      <c r="A1362" s="8" t="s">
        <v>856</v>
      </c>
      <c r="B1362" s="8" t="s">
        <v>852</v>
      </c>
      <c r="C1362" s="9">
        <v>0</v>
      </c>
      <c r="D1362" s="9">
        <v>0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R1362" s="9">
        <v>0</v>
      </c>
      <c r="S1362" s="9">
        <v>0</v>
      </c>
      <c r="T1362" s="9">
        <v>1</v>
      </c>
      <c r="U1362" s="9">
        <v>0</v>
      </c>
      <c r="V1362" s="9">
        <v>0</v>
      </c>
      <c r="W1362" s="9">
        <v>0</v>
      </c>
      <c r="X1362" s="9">
        <v>0</v>
      </c>
      <c r="AE1362" s="9">
        <f>IFERROR(VLOOKUP($A1362,pivot!$A:$G,計算式2026!AE$1,FALSE),0)</f>
        <v>0</v>
      </c>
      <c r="AF1362" s="9">
        <f>IFERROR(VLOOKUP($A1362,pivot!$A:$I,計算式2026!AF$1,FALSE),0)</f>
        <v>0</v>
      </c>
      <c r="AI1362" s="9">
        <f>IFERROR(VLOOKUP($A1362,pivot!$A:$I,計算式2026!AI$1,FALSE),0)</f>
        <v>0</v>
      </c>
      <c r="AJ1362" s="9">
        <f>IFERROR(VLOOKUP($A1362,pivot!$A:$I,計算式2026!AJ$1,FALSE),0)</f>
        <v>0</v>
      </c>
      <c r="AK1362" s="9">
        <f>IFERROR(VLOOKUP($A1362,pivot!$A:$I,計算式2026!AK$1,FALSE),0)</f>
        <v>0</v>
      </c>
      <c r="AL1362" s="9">
        <f>IFERROR(VLOOKUP($A1362,pivot!$A:$I,計算式2026!AL$1,FALSE),0)</f>
        <v>0</v>
      </c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8"/>
      <c r="BG1362" s="8"/>
    </row>
    <row r="1363" spans="1:59" s="9" customFormat="1">
      <c r="A1363" s="8" t="s">
        <v>2819</v>
      </c>
      <c r="B1363" s="8" t="s">
        <v>2820</v>
      </c>
      <c r="C1363" s="9">
        <v>0</v>
      </c>
      <c r="D1363" s="9">
        <v>0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1</v>
      </c>
      <c r="W1363" s="9">
        <v>0</v>
      </c>
      <c r="X1363" s="9">
        <v>0</v>
      </c>
      <c r="AE1363" s="9">
        <f>IFERROR(VLOOKUP($A1363,pivot!$A:$G,計算式2026!AE$1,FALSE),0)</f>
        <v>0</v>
      </c>
      <c r="AF1363" s="9">
        <f>IFERROR(VLOOKUP($A1363,pivot!$A:$I,計算式2026!AF$1,FALSE),0)</f>
        <v>0</v>
      </c>
      <c r="AI1363" s="9">
        <f>IFERROR(VLOOKUP($A1363,pivot!$A:$I,計算式2026!AI$1,FALSE),0)</f>
        <v>0</v>
      </c>
      <c r="AJ1363" s="9">
        <f>IFERROR(VLOOKUP($A1363,pivot!$A:$I,計算式2026!AJ$1,FALSE),0)</f>
        <v>0</v>
      </c>
      <c r="AK1363" s="9">
        <f>IFERROR(VLOOKUP($A1363,pivot!$A:$I,計算式2026!AK$1,FALSE),0)</f>
        <v>0</v>
      </c>
      <c r="AL1363" s="9">
        <f>IFERROR(VLOOKUP($A1363,pivot!$A:$I,計算式2026!AL$1,FALSE),0)</f>
        <v>0</v>
      </c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  <c r="BB1363" s="8"/>
      <c r="BC1363" s="8"/>
      <c r="BD1363" s="8"/>
      <c r="BE1363" s="8"/>
      <c r="BF1363" s="8"/>
      <c r="BG1363" s="8"/>
    </row>
    <row r="1364" spans="1:59" s="9" customFormat="1">
      <c r="A1364" s="8" t="s">
        <v>2821</v>
      </c>
      <c r="B1364" s="8" t="s">
        <v>2820</v>
      </c>
      <c r="C1364" s="9">
        <v>0</v>
      </c>
      <c r="D1364" s="9">
        <v>2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R1364" s="9">
        <v>0</v>
      </c>
      <c r="S1364" s="9">
        <v>2</v>
      </c>
      <c r="T1364" s="9">
        <v>0</v>
      </c>
      <c r="U1364" s="9">
        <v>0</v>
      </c>
      <c r="V1364" s="9">
        <v>2</v>
      </c>
      <c r="W1364" s="9">
        <v>0</v>
      </c>
      <c r="X1364" s="9">
        <v>1</v>
      </c>
      <c r="AE1364" s="9">
        <f>IFERROR(VLOOKUP($A1364,pivot!$A:$G,計算式2026!AE$1,FALSE),0)</f>
        <v>0</v>
      </c>
      <c r="AF1364" s="9">
        <f>IFERROR(VLOOKUP($A1364,pivot!$A:$I,計算式2026!AF$1,FALSE),0)</f>
        <v>0</v>
      </c>
      <c r="AI1364" s="9">
        <f>IFERROR(VLOOKUP($A1364,pivot!$A:$I,計算式2026!AI$1,FALSE),0)</f>
        <v>0</v>
      </c>
      <c r="AJ1364" s="9">
        <f>IFERROR(VLOOKUP($A1364,pivot!$A:$I,計算式2026!AJ$1,FALSE),0)</f>
        <v>0</v>
      </c>
      <c r="AK1364" s="9">
        <f>IFERROR(VLOOKUP($A1364,pivot!$A:$I,計算式2026!AK$1,FALSE),0)</f>
        <v>0</v>
      </c>
      <c r="AL1364" s="9">
        <f>IFERROR(VLOOKUP($A1364,pivot!$A:$I,計算式2026!AL$1,FALSE),0)</f>
        <v>0</v>
      </c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  <c r="BB1364" s="8"/>
      <c r="BC1364" s="8"/>
      <c r="BD1364" s="8"/>
      <c r="BE1364" s="8"/>
      <c r="BF1364" s="8"/>
      <c r="BG1364" s="8"/>
    </row>
    <row r="1365" spans="1:59" s="9" customFormat="1">
      <c r="A1365" s="8" t="s">
        <v>2822</v>
      </c>
      <c r="B1365" s="8" t="s">
        <v>2820</v>
      </c>
      <c r="C1365" s="9">
        <v>0</v>
      </c>
      <c r="D1365" s="9">
        <v>0</v>
      </c>
      <c r="E1365" s="9">
        <v>0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R1365" s="9">
        <v>0</v>
      </c>
      <c r="S1365" s="9">
        <v>2</v>
      </c>
      <c r="T1365" s="9">
        <v>0</v>
      </c>
      <c r="U1365" s="9">
        <v>0</v>
      </c>
      <c r="V1365" s="9">
        <v>1</v>
      </c>
      <c r="W1365" s="9">
        <v>0</v>
      </c>
      <c r="X1365" s="9">
        <v>1</v>
      </c>
      <c r="AE1365" s="9">
        <f>IFERROR(VLOOKUP($A1365,pivot!$A:$G,計算式2026!AE$1,FALSE),0)</f>
        <v>0</v>
      </c>
      <c r="AF1365" s="9">
        <f>IFERROR(VLOOKUP($A1365,pivot!$A:$I,計算式2026!AF$1,FALSE),0)</f>
        <v>0</v>
      </c>
      <c r="AI1365" s="9">
        <f>IFERROR(VLOOKUP($A1365,pivot!$A:$I,計算式2026!AI$1,FALSE),0)</f>
        <v>0</v>
      </c>
      <c r="AJ1365" s="9">
        <f>IFERROR(VLOOKUP($A1365,pivot!$A:$I,計算式2026!AJ$1,FALSE),0)</f>
        <v>0</v>
      </c>
      <c r="AK1365" s="9">
        <f>IFERROR(VLOOKUP($A1365,pivot!$A:$I,計算式2026!AK$1,FALSE),0)</f>
        <v>0</v>
      </c>
      <c r="AL1365" s="9">
        <f>IFERROR(VLOOKUP($A1365,pivot!$A:$I,計算式2026!AL$1,FALSE),0)</f>
        <v>0</v>
      </c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8"/>
      <c r="BG1365" s="8"/>
    </row>
    <row r="1366" spans="1:59" s="9" customFormat="1">
      <c r="A1366" s="8" t="s">
        <v>1620</v>
      </c>
      <c r="B1366" s="8" t="s">
        <v>2244</v>
      </c>
      <c r="C1366" s="9">
        <v>0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R1366" s="9">
        <v>0</v>
      </c>
      <c r="S1366" s="9">
        <v>1</v>
      </c>
      <c r="T1366" s="9">
        <v>1</v>
      </c>
      <c r="U1366" s="9">
        <v>0</v>
      </c>
      <c r="V1366" s="9">
        <v>0</v>
      </c>
      <c r="W1366" s="9">
        <v>0</v>
      </c>
      <c r="X1366" s="9">
        <v>1</v>
      </c>
      <c r="AE1366" s="9">
        <f>IFERROR(VLOOKUP($A1366,pivot!$A:$G,計算式2026!AE$1,FALSE),0)</f>
        <v>0</v>
      </c>
      <c r="AF1366" s="9">
        <f>IFERROR(VLOOKUP($A1366,pivot!$A:$I,計算式2026!AF$1,FALSE),0)</f>
        <v>0</v>
      </c>
      <c r="AI1366" s="9">
        <f>IFERROR(VLOOKUP($A1366,pivot!$A:$I,計算式2026!AI$1,FALSE),0)</f>
        <v>0</v>
      </c>
      <c r="AJ1366" s="9">
        <f>IFERROR(VLOOKUP($A1366,pivot!$A:$I,計算式2026!AJ$1,FALSE),0)</f>
        <v>0</v>
      </c>
      <c r="AK1366" s="9">
        <f>IFERROR(VLOOKUP($A1366,pivot!$A:$I,計算式2026!AK$1,FALSE),0)</f>
        <v>0</v>
      </c>
      <c r="AL1366" s="9">
        <f>IFERROR(VLOOKUP($A1366,pivot!$A:$I,計算式2026!AL$1,FALSE),0)</f>
        <v>0</v>
      </c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8"/>
      <c r="BG1366" s="8"/>
    </row>
    <row r="1367" spans="1:59" s="9" customFormat="1">
      <c r="A1367" s="8" t="s">
        <v>1621</v>
      </c>
      <c r="B1367" s="8" t="s">
        <v>2244</v>
      </c>
      <c r="C1367" s="9">
        <v>2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R1367" s="9">
        <v>0</v>
      </c>
      <c r="S1367" s="9">
        <v>2</v>
      </c>
      <c r="T1367" s="9">
        <v>1</v>
      </c>
      <c r="U1367" s="9">
        <v>0</v>
      </c>
      <c r="V1367" s="9">
        <v>0</v>
      </c>
      <c r="W1367" s="9">
        <v>0</v>
      </c>
      <c r="X1367" s="9">
        <v>1</v>
      </c>
      <c r="AE1367" s="9">
        <f>IFERROR(VLOOKUP($A1367,pivot!$A:$G,計算式2026!AE$1,FALSE),0)</f>
        <v>0</v>
      </c>
      <c r="AF1367" s="9">
        <f>IFERROR(VLOOKUP($A1367,pivot!$A:$I,計算式2026!AF$1,FALSE),0)</f>
        <v>0</v>
      </c>
      <c r="AI1367" s="9">
        <f>IFERROR(VLOOKUP($A1367,pivot!$A:$I,計算式2026!AI$1,FALSE),0)</f>
        <v>0</v>
      </c>
      <c r="AJ1367" s="9">
        <f>IFERROR(VLOOKUP($A1367,pivot!$A:$I,計算式2026!AJ$1,FALSE),0)</f>
        <v>0</v>
      </c>
      <c r="AK1367" s="9">
        <f>IFERROR(VLOOKUP($A1367,pivot!$A:$I,計算式2026!AK$1,FALSE),0)</f>
        <v>0</v>
      </c>
      <c r="AL1367" s="9">
        <f>IFERROR(VLOOKUP($A1367,pivot!$A:$I,計算式2026!AL$1,FALSE),0)</f>
        <v>0</v>
      </c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8"/>
      <c r="BG1367" s="8"/>
    </row>
    <row r="1368" spans="1:59" s="9" customFormat="1">
      <c r="A1368" s="8" t="s">
        <v>1622</v>
      </c>
      <c r="B1368" s="8" t="s">
        <v>2244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1</v>
      </c>
      <c r="AE1368" s="9">
        <f>IFERROR(VLOOKUP($A1368,pivot!$A:$G,計算式2026!AE$1,FALSE),0)</f>
        <v>0</v>
      </c>
      <c r="AF1368" s="9">
        <f>IFERROR(VLOOKUP($A1368,pivot!$A:$I,計算式2026!AF$1,FALSE),0)</f>
        <v>0</v>
      </c>
      <c r="AI1368" s="9">
        <f>IFERROR(VLOOKUP($A1368,pivot!$A:$I,計算式2026!AI$1,FALSE),0)</f>
        <v>0</v>
      </c>
      <c r="AJ1368" s="9">
        <f>IFERROR(VLOOKUP($A1368,pivot!$A:$I,計算式2026!AJ$1,FALSE),0)</f>
        <v>0</v>
      </c>
      <c r="AK1368" s="9">
        <f>IFERROR(VLOOKUP($A1368,pivot!$A:$I,計算式2026!AK$1,FALSE),0)</f>
        <v>0</v>
      </c>
      <c r="AL1368" s="9">
        <f>IFERROR(VLOOKUP($A1368,pivot!$A:$I,計算式2026!AL$1,FALSE),0)</f>
        <v>0</v>
      </c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8"/>
      <c r="BG1368" s="8"/>
    </row>
    <row r="1369" spans="1:59" s="9" customFormat="1">
      <c r="A1369" s="8" t="s">
        <v>1623</v>
      </c>
      <c r="B1369" s="8" t="s">
        <v>2244</v>
      </c>
      <c r="C1369" s="9">
        <v>0</v>
      </c>
      <c r="D1369" s="9">
        <v>0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AE1369" s="9">
        <f>IFERROR(VLOOKUP($A1369,pivot!$A:$G,計算式2026!AE$1,FALSE),0)</f>
        <v>0</v>
      </c>
      <c r="AF1369" s="9">
        <f>IFERROR(VLOOKUP($A1369,pivot!$A:$I,計算式2026!AF$1,FALSE),0)</f>
        <v>0</v>
      </c>
      <c r="AI1369" s="9">
        <f>IFERROR(VLOOKUP($A1369,pivot!$A:$I,計算式2026!AI$1,FALSE),0)</f>
        <v>0</v>
      </c>
      <c r="AJ1369" s="9">
        <f>IFERROR(VLOOKUP($A1369,pivot!$A:$I,計算式2026!AJ$1,FALSE),0)</f>
        <v>0</v>
      </c>
      <c r="AK1369" s="9">
        <f>IFERROR(VLOOKUP($A1369,pivot!$A:$I,計算式2026!AK$1,FALSE),0)</f>
        <v>0</v>
      </c>
      <c r="AL1369" s="9">
        <f>IFERROR(VLOOKUP($A1369,pivot!$A:$I,計算式2026!AL$1,FALSE),0)</f>
        <v>0</v>
      </c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8"/>
      <c r="BG1369" s="8"/>
    </row>
    <row r="1370" spans="1:59" s="9" customFormat="1">
      <c r="A1370" s="8" t="s">
        <v>1624</v>
      </c>
      <c r="B1370" s="8" t="s">
        <v>2244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AE1370" s="9">
        <f>IFERROR(VLOOKUP($A1370,pivot!$A:$G,計算式2026!AE$1,FALSE),0)</f>
        <v>0</v>
      </c>
      <c r="AF1370" s="9">
        <f>IFERROR(VLOOKUP($A1370,pivot!$A:$I,計算式2026!AF$1,FALSE),0)</f>
        <v>0</v>
      </c>
      <c r="AI1370" s="9">
        <f>IFERROR(VLOOKUP($A1370,pivot!$A:$I,計算式2026!AI$1,FALSE),0)</f>
        <v>0</v>
      </c>
      <c r="AJ1370" s="9">
        <f>IFERROR(VLOOKUP($A1370,pivot!$A:$I,計算式2026!AJ$1,FALSE),0)</f>
        <v>0</v>
      </c>
      <c r="AK1370" s="9">
        <f>IFERROR(VLOOKUP($A1370,pivot!$A:$I,計算式2026!AK$1,FALSE),0)</f>
        <v>0</v>
      </c>
      <c r="AL1370" s="9">
        <f>IFERROR(VLOOKUP($A1370,pivot!$A:$I,計算式2026!AL$1,FALSE),0)</f>
        <v>0</v>
      </c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8"/>
      <c r="BG1370" s="8"/>
    </row>
    <row r="1371" spans="1:59" s="9" customFormat="1">
      <c r="A1371" s="8" t="s">
        <v>1625</v>
      </c>
      <c r="B1371" s="8" t="s">
        <v>2244</v>
      </c>
      <c r="C1371" s="9">
        <v>3</v>
      </c>
      <c r="D1371" s="9">
        <v>0</v>
      </c>
      <c r="E1371" s="9">
        <v>0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R1371" s="9">
        <v>0</v>
      </c>
      <c r="S1371" s="9">
        <v>2</v>
      </c>
      <c r="T1371" s="9">
        <v>1</v>
      </c>
      <c r="U1371" s="9">
        <v>0</v>
      </c>
      <c r="V1371" s="9">
        <v>2</v>
      </c>
      <c r="W1371" s="9">
        <v>0</v>
      </c>
      <c r="X1371" s="9">
        <v>1</v>
      </c>
      <c r="AE1371" s="9">
        <f>IFERROR(VLOOKUP($A1371,pivot!$A:$G,計算式2026!AE$1,FALSE),0)</f>
        <v>0</v>
      </c>
      <c r="AF1371" s="9">
        <f>IFERROR(VLOOKUP($A1371,pivot!$A:$I,計算式2026!AF$1,FALSE),0)</f>
        <v>0</v>
      </c>
      <c r="AI1371" s="9">
        <f>IFERROR(VLOOKUP($A1371,pivot!$A:$I,計算式2026!AI$1,FALSE),0)</f>
        <v>0</v>
      </c>
      <c r="AJ1371" s="9">
        <f>IFERROR(VLOOKUP($A1371,pivot!$A:$I,計算式2026!AJ$1,FALSE),0)</f>
        <v>0</v>
      </c>
      <c r="AK1371" s="9">
        <f>IFERROR(VLOOKUP($A1371,pivot!$A:$I,計算式2026!AK$1,FALSE),0)</f>
        <v>0</v>
      </c>
      <c r="AL1371" s="9">
        <f>IFERROR(VLOOKUP($A1371,pivot!$A:$I,計算式2026!AL$1,FALSE),0)</f>
        <v>0</v>
      </c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8"/>
      <c r="BG1371" s="8"/>
    </row>
    <row r="1372" spans="1:59" s="9" customFormat="1">
      <c r="A1372" s="8" t="s">
        <v>1626</v>
      </c>
      <c r="B1372" s="8" t="s">
        <v>2244</v>
      </c>
      <c r="C1372" s="9">
        <v>1</v>
      </c>
      <c r="D1372" s="9">
        <v>0</v>
      </c>
      <c r="E1372" s="9">
        <v>0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R1372" s="9">
        <v>0</v>
      </c>
      <c r="S1372" s="9">
        <v>1</v>
      </c>
      <c r="T1372" s="9">
        <v>1</v>
      </c>
      <c r="U1372" s="9">
        <v>0</v>
      </c>
      <c r="V1372" s="9">
        <v>2</v>
      </c>
      <c r="W1372" s="9">
        <v>0</v>
      </c>
      <c r="X1372" s="9">
        <v>1</v>
      </c>
      <c r="AE1372" s="9">
        <f>IFERROR(VLOOKUP($A1372,pivot!$A:$G,計算式2026!AE$1,FALSE),0)</f>
        <v>0</v>
      </c>
      <c r="AF1372" s="9">
        <f>IFERROR(VLOOKUP($A1372,pivot!$A:$I,計算式2026!AF$1,FALSE),0)</f>
        <v>0</v>
      </c>
      <c r="AI1372" s="9">
        <f>IFERROR(VLOOKUP($A1372,pivot!$A:$I,計算式2026!AI$1,FALSE),0)</f>
        <v>0</v>
      </c>
      <c r="AJ1372" s="9">
        <f>IFERROR(VLOOKUP($A1372,pivot!$A:$I,計算式2026!AJ$1,FALSE),0)</f>
        <v>0</v>
      </c>
      <c r="AK1372" s="9">
        <f>IFERROR(VLOOKUP($A1372,pivot!$A:$I,計算式2026!AK$1,FALSE),0)</f>
        <v>0</v>
      </c>
      <c r="AL1372" s="9">
        <f>IFERROR(VLOOKUP($A1372,pivot!$A:$I,計算式2026!AL$1,FALSE),0)</f>
        <v>0</v>
      </c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8"/>
      <c r="BG1372" s="8"/>
    </row>
    <row r="1373" spans="1:59" s="9" customFormat="1">
      <c r="A1373" s="8" t="s">
        <v>1627</v>
      </c>
      <c r="B1373" s="8" t="s">
        <v>2244</v>
      </c>
      <c r="C1373" s="9">
        <v>0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1</v>
      </c>
      <c r="W1373" s="9">
        <v>0</v>
      </c>
      <c r="X1373" s="9">
        <v>1</v>
      </c>
      <c r="AE1373" s="9">
        <f>IFERROR(VLOOKUP($A1373,pivot!$A:$G,計算式2026!AE$1,FALSE),0)</f>
        <v>0</v>
      </c>
      <c r="AF1373" s="9">
        <f>IFERROR(VLOOKUP($A1373,pivot!$A:$I,計算式2026!AF$1,FALSE),0)</f>
        <v>0</v>
      </c>
      <c r="AI1373" s="9">
        <f>IFERROR(VLOOKUP($A1373,pivot!$A:$I,計算式2026!AI$1,FALSE),0)</f>
        <v>0</v>
      </c>
      <c r="AJ1373" s="9">
        <f>IFERROR(VLOOKUP($A1373,pivot!$A:$I,計算式2026!AJ$1,FALSE),0)</f>
        <v>0</v>
      </c>
      <c r="AK1373" s="9">
        <f>IFERROR(VLOOKUP($A1373,pivot!$A:$I,計算式2026!AK$1,FALSE),0)</f>
        <v>0</v>
      </c>
      <c r="AL1373" s="9">
        <f>IFERROR(VLOOKUP($A1373,pivot!$A:$I,計算式2026!AL$1,FALSE),0)</f>
        <v>0</v>
      </c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8"/>
      <c r="BG1373" s="8"/>
    </row>
    <row r="1374" spans="1:59" s="9" customFormat="1">
      <c r="A1374" s="8" t="s">
        <v>1628</v>
      </c>
      <c r="B1374" s="8" t="s">
        <v>2244</v>
      </c>
      <c r="C1374" s="9">
        <v>0</v>
      </c>
      <c r="D1374" s="9">
        <v>0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AE1374" s="9">
        <f>IFERROR(VLOOKUP($A1374,pivot!$A:$G,計算式2026!AE$1,FALSE),0)</f>
        <v>0</v>
      </c>
      <c r="AF1374" s="9">
        <f>IFERROR(VLOOKUP($A1374,pivot!$A:$I,計算式2026!AF$1,FALSE),0)</f>
        <v>0</v>
      </c>
      <c r="AI1374" s="9">
        <f>IFERROR(VLOOKUP($A1374,pivot!$A:$I,計算式2026!AI$1,FALSE),0)</f>
        <v>0</v>
      </c>
      <c r="AJ1374" s="9">
        <f>IFERROR(VLOOKUP($A1374,pivot!$A:$I,計算式2026!AJ$1,FALSE),0)</f>
        <v>0</v>
      </c>
      <c r="AK1374" s="9">
        <f>IFERROR(VLOOKUP($A1374,pivot!$A:$I,計算式2026!AK$1,FALSE),0)</f>
        <v>0</v>
      </c>
      <c r="AL1374" s="9">
        <f>IFERROR(VLOOKUP($A1374,pivot!$A:$I,計算式2026!AL$1,FALSE),0)</f>
        <v>0</v>
      </c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  <c r="BB1374" s="8"/>
      <c r="BC1374" s="8"/>
      <c r="BD1374" s="8"/>
      <c r="BE1374" s="8"/>
      <c r="BF1374" s="8"/>
      <c r="BG1374" s="8"/>
    </row>
    <row r="1375" spans="1:59" s="9" customFormat="1">
      <c r="A1375" s="8" t="s">
        <v>1629</v>
      </c>
      <c r="B1375" s="8" t="s">
        <v>2244</v>
      </c>
      <c r="C1375" s="9">
        <v>0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1</v>
      </c>
      <c r="AE1375" s="9">
        <f>IFERROR(VLOOKUP($A1375,pivot!$A:$G,計算式2026!AE$1,FALSE),0)</f>
        <v>0</v>
      </c>
      <c r="AF1375" s="9">
        <f>IFERROR(VLOOKUP($A1375,pivot!$A:$I,計算式2026!AF$1,FALSE),0)</f>
        <v>0</v>
      </c>
      <c r="AI1375" s="9">
        <f>IFERROR(VLOOKUP($A1375,pivot!$A:$I,計算式2026!AI$1,FALSE),0)</f>
        <v>0</v>
      </c>
      <c r="AJ1375" s="9">
        <f>IFERROR(VLOOKUP($A1375,pivot!$A:$I,計算式2026!AJ$1,FALSE),0)</f>
        <v>0</v>
      </c>
      <c r="AK1375" s="9">
        <f>IFERROR(VLOOKUP($A1375,pivot!$A:$I,計算式2026!AK$1,FALSE),0)</f>
        <v>0</v>
      </c>
      <c r="AL1375" s="9">
        <f>IFERROR(VLOOKUP($A1375,pivot!$A:$I,計算式2026!AL$1,FALSE),0)</f>
        <v>0</v>
      </c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8"/>
      <c r="BG1375" s="8"/>
    </row>
    <row r="1376" spans="1:59" s="9" customFormat="1">
      <c r="A1376" s="8" t="s">
        <v>1630</v>
      </c>
      <c r="B1376" s="8" t="s">
        <v>2244</v>
      </c>
      <c r="C1376" s="9">
        <v>1</v>
      </c>
      <c r="D1376" s="9">
        <v>0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R1376" s="9">
        <v>0</v>
      </c>
      <c r="S1376" s="9">
        <v>2</v>
      </c>
      <c r="T1376" s="9">
        <v>0</v>
      </c>
      <c r="U1376" s="9">
        <v>0</v>
      </c>
      <c r="V1376" s="9">
        <v>0</v>
      </c>
      <c r="W1376" s="9">
        <v>0</v>
      </c>
      <c r="X1376" s="9">
        <v>1</v>
      </c>
      <c r="AE1376" s="9">
        <f>IFERROR(VLOOKUP($A1376,pivot!$A:$G,計算式2026!AE$1,FALSE),0)</f>
        <v>0</v>
      </c>
      <c r="AF1376" s="9">
        <f>IFERROR(VLOOKUP($A1376,pivot!$A:$I,計算式2026!AF$1,FALSE),0)</f>
        <v>0</v>
      </c>
      <c r="AI1376" s="9">
        <f>IFERROR(VLOOKUP($A1376,pivot!$A:$I,計算式2026!AI$1,FALSE),0)</f>
        <v>0</v>
      </c>
      <c r="AJ1376" s="9">
        <f>IFERROR(VLOOKUP($A1376,pivot!$A:$I,計算式2026!AJ$1,FALSE),0)</f>
        <v>0</v>
      </c>
      <c r="AK1376" s="9">
        <f>IFERROR(VLOOKUP($A1376,pivot!$A:$I,計算式2026!AK$1,FALSE),0)</f>
        <v>0</v>
      </c>
      <c r="AL1376" s="9">
        <f>IFERROR(VLOOKUP($A1376,pivot!$A:$I,計算式2026!AL$1,FALSE),0)</f>
        <v>0</v>
      </c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8"/>
      <c r="BG1376" s="8"/>
    </row>
    <row r="1377" spans="1:59" s="9" customFormat="1">
      <c r="A1377" s="8" t="s">
        <v>1631</v>
      </c>
      <c r="B1377" s="8" t="s">
        <v>2244</v>
      </c>
      <c r="C1377" s="9">
        <v>0</v>
      </c>
      <c r="D1377" s="9">
        <v>0</v>
      </c>
      <c r="E1377" s="9">
        <v>0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R1377" s="9">
        <v>0</v>
      </c>
      <c r="S1377" s="9">
        <v>1</v>
      </c>
      <c r="T1377" s="9">
        <v>0</v>
      </c>
      <c r="U1377" s="9">
        <v>0</v>
      </c>
      <c r="V1377" s="9">
        <v>0</v>
      </c>
      <c r="W1377" s="9">
        <v>0</v>
      </c>
      <c r="X1377" s="9">
        <v>1</v>
      </c>
      <c r="AE1377" s="9">
        <f>IFERROR(VLOOKUP($A1377,pivot!$A:$G,計算式2026!AE$1,FALSE),0)</f>
        <v>0</v>
      </c>
      <c r="AF1377" s="9">
        <f>IFERROR(VLOOKUP($A1377,pivot!$A:$I,計算式2026!AF$1,FALSE),0)</f>
        <v>0</v>
      </c>
      <c r="AI1377" s="9">
        <f>IFERROR(VLOOKUP($A1377,pivot!$A:$I,計算式2026!AI$1,FALSE),0)</f>
        <v>0</v>
      </c>
      <c r="AJ1377" s="9">
        <f>IFERROR(VLOOKUP($A1377,pivot!$A:$I,計算式2026!AJ$1,FALSE),0)</f>
        <v>0</v>
      </c>
      <c r="AK1377" s="9">
        <f>IFERROR(VLOOKUP($A1377,pivot!$A:$I,計算式2026!AK$1,FALSE),0)</f>
        <v>0</v>
      </c>
      <c r="AL1377" s="9">
        <f>IFERROR(VLOOKUP($A1377,pivot!$A:$I,計算式2026!AL$1,FALSE),0)</f>
        <v>0</v>
      </c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8"/>
      <c r="BG1377" s="8"/>
    </row>
    <row r="1378" spans="1:59" s="9" customFormat="1">
      <c r="A1378" s="8" t="s">
        <v>1632</v>
      </c>
      <c r="B1378" s="8" t="s">
        <v>2244</v>
      </c>
      <c r="C1378" s="9">
        <v>0</v>
      </c>
      <c r="D1378" s="9">
        <v>0</v>
      </c>
      <c r="E1378" s="9">
        <v>0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1</v>
      </c>
      <c r="AE1378" s="9">
        <f>IFERROR(VLOOKUP($A1378,pivot!$A:$G,計算式2026!AE$1,FALSE),0)</f>
        <v>0</v>
      </c>
      <c r="AF1378" s="9">
        <f>IFERROR(VLOOKUP($A1378,pivot!$A:$I,計算式2026!AF$1,FALSE),0)</f>
        <v>0</v>
      </c>
      <c r="AI1378" s="9">
        <f>IFERROR(VLOOKUP($A1378,pivot!$A:$I,計算式2026!AI$1,FALSE),0)</f>
        <v>0</v>
      </c>
      <c r="AJ1378" s="9">
        <f>IFERROR(VLOOKUP($A1378,pivot!$A:$I,計算式2026!AJ$1,FALSE),0)</f>
        <v>0</v>
      </c>
      <c r="AK1378" s="9">
        <f>IFERROR(VLOOKUP($A1378,pivot!$A:$I,計算式2026!AK$1,FALSE),0)</f>
        <v>0</v>
      </c>
      <c r="AL1378" s="9">
        <f>IFERROR(VLOOKUP($A1378,pivot!$A:$I,計算式2026!AL$1,FALSE),0)</f>
        <v>0</v>
      </c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  <c r="BB1378" s="8"/>
      <c r="BC1378" s="8"/>
      <c r="BD1378" s="8"/>
      <c r="BE1378" s="8"/>
      <c r="BF1378" s="8"/>
      <c r="BG1378" s="8"/>
    </row>
    <row r="1379" spans="1:59" s="9" customFormat="1">
      <c r="A1379" s="8" t="s">
        <v>1512</v>
      </c>
      <c r="B1379" s="8" t="s">
        <v>2245</v>
      </c>
      <c r="C1379" s="9">
        <v>0</v>
      </c>
      <c r="D1379" s="9">
        <v>0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R1379" s="9">
        <v>1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1</v>
      </c>
      <c r="AE1379" s="9">
        <f>IFERROR(VLOOKUP($A1379,pivot!$A:$G,計算式2026!AE$1,FALSE),0)</f>
        <v>0</v>
      </c>
      <c r="AF1379" s="9">
        <f>IFERROR(VLOOKUP($A1379,pivot!$A:$I,計算式2026!AF$1,FALSE),0)</f>
        <v>0</v>
      </c>
      <c r="AI1379" s="9">
        <f>IFERROR(VLOOKUP($A1379,pivot!$A:$I,計算式2026!AI$1,FALSE),0)</f>
        <v>0</v>
      </c>
      <c r="AJ1379" s="9">
        <f>IFERROR(VLOOKUP($A1379,pivot!$A:$I,計算式2026!AJ$1,FALSE),0)</f>
        <v>0</v>
      </c>
      <c r="AK1379" s="9">
        <f>IFERROR(VLOOKUP($A1379,pivot!$A:$I,計算式2026!AK$1,FALSE),0)</f>
        <v>0</v>
      </c>
      <c r="AL1379" s="9">
        <f>IFERROR(VLOOKUP($A1379,pivot!$A:$I,計算式2026!AL$1,FALSE),0)</f>
        <v>0</v>
      </c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8"/>
      <c r="BG1379" s="8"/>
    </row>
    <row r="1380" spans="1:59" s="9" customFormat="1">
      <c r="A1380" s="8" t="s">
        <v>1513</v>
      </c>
      <c r="B1380" s="8" t="s">
        <v>2245</v>
      </c>
      <c r="C1380" s="9">
        <v>0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R1380" s="9">
        <v>0</v>
      </c>
      <c r="S1380" s="9">
        <v>0</v>
      </c>
      <c r="T1380" s="9">
        <v>1</v>
      </c>
      <c r="U1380" s="9">
        <v>0</v>
      </c>
      <c r="V1380" s="9">
        <v>0</v>
      </c>
      <c r="W1380" s="9">
        <v>0</v>
      </c>
      <c r="X1380" s="9">
        <v>0</v>
      </c>
      <c r="AE1380" s="9">
        <f>IFERROR(VLOOKUP($A1380,pivot!$A:$G,計算式2026!AE$1,FALSE),0)</f>
        <v>0</v>
      </c>
      <c r="AF1380" s="9">
        <f>IFERROR(VLOOKUP($A1380,pivot!$A:$I,計算式2026!AF$1,FALSE),0)</f>
        <v>0</v>
      </c>
      <c r="AI1380" s="9">
        <f>IFERROR(VLOOKUP($A1380,pivot!$A:$I,計算式2026!AI$1,FALSE),0)</f>
        <v>0</v>
      </c>
      <c r="AJ1380" s="9">
        <f>IFERROR(VLOOKUP($A1380,pivot!$A:$I,計算式2026!AJ$1,FALSE),0)</f>
        <v>0</v>
      </c>
      <c r="AK1380" s="9">
        <f>IFERROR(VLOOKUP($A1380,pivot!$A:$I,計算式2026!AK$1,FALSE),0)</f>
        <v>0</v>
      </c>
      <c r="AL1380" s="9">
        <f>IFERROR(VLOOKUP($A1380,pivot!$A:$I,計算式2026!AL$1,FALSE),0)</f>
        <v>0</v>
      </c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8"/>
      <c r="BG1380" s="8"/>
    </row>
    <row r="1381" spans="1:59" s="9" customFormat="1">
      <c r="A1381" s="8" t="s">
        <v>1514</v>
      </c>
      <c r="B1381" s="8" t="s">
        <v>2245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R1381" s="9">
        <v>1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AE1381" s="9">
        <f>IFERROR(VLOOKUP($A1381,pivot!$A:$G,計算式2026!AE$1,FALSE),0)</f>
        <v>0</v>
      </c>
      <c r="AF1381" s="9">
        <f>IFERROR(VLOOKUP($A1381,pivot!$A:$I,計算式2026!AF$1,FALSE),0)</f>
        <v>0</v>
      </c>
      <c r="AI1381" s="9">
        <f>IFERROR(VLOOKUP($A1381,pivot!$A:$I,計算式2026!AI$1,FALSE),0)</f>
        <v>0</v>
      </c>
      <c r="AJ1381" s="9">
        <f>IFERROR(VLOOKUP($A1381,pivot!$A:$I,計算式2026!AJ$1,FALSE),0)</f>
        <v>0</v>
      </c>
      <c r="AK1381" s="9">
        <f>IFERROR(VLOOKUP($A1381,pivot!$A:$I,計算式2026!AK$1,FALSE),0)</f>
        <v>0</v>
      </c>
      <c r="AL1381" s="9">
        <f>IFERROR(VLOOKUP($A1381,pivot!$A:$I,計算式2026!AL$1,FALSE),0)</f>
        <v>0</v>
      </c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8"/>
      <c r="BG1381" s="8"/>
    </row>
    <row r="1382" spans="1:59" s="9" customFormat="1">
      <c r="A1382" s="8" t="s">
        <v>1515</v>
      </c>
      <c r="B1382" s="8" t="s">
        <v>2245</v>
      </c>
      <c r="C1382" s="9">
        <v>0</v>
      </c>
      <c r="D1382" s="9">
        <v>0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R1382" s="9">
        <v>0</v>
      </c>
      <c r="S1382" s="9">
        <v>0</v>
      </c>
      <c r="T1382" s="9">
        <v>1</v>
      </c>
      <c r="U1382" s="9">
        <v>0</v>
      </c>
      <c r="V1382" s="9">
        <v>1</v>
      </c>
      <c r="W1382" s="9">
        <v>0</v>
      </c>
      <c r="X1382" s="9">
        <v>1</v>
      </c>
      <c r="AE1382" s="9">
        <f>IFERROR(VLOOKUP($A1382,pivot!$A:$G,計算式2026!AE$1,FALSE),0)</f>
        <v>0</v>
      </c>
      <c r="AF1382" s="9">
        <f>IFERROR(VLOOKUP($A1382,pivot!$A:$I,計算式2026!AF$1,FALSE),0)</f>
        <v>0</v>
      </c>
      <c r="AI1382" s="9">
        <f>IFERROR(VLOOKUP($A1382,pivot!$A:$I,計算式2026!AI$1,FALSE),0)</f>
        <v>0</v>
      </c>
      <c r="AJ1382" s="9">
        <f>IFERROR(VLOOKUP($A1382,pivot!$A:$I,計算式2026!AJ$1,FALSE),0)</f>
        <v>0</v>
      </c>
      <c r="AK1382" s="9">
        <f>IFERROR(VLOOKUP($A1382,pivot!$A:$I,計算式2026!AK$1,FALSE),0)</f>
        <v>0</v>
      </c>
      <c r="AL1382" s="9">
        <f>IFERROR(VLOOKUP($A1382,pivot!$A:$I,計算式2026!AL$1,FALSE),0)</f>
        <v>0</v>
      </c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8"/>
      <c r="BG1382" s="8"/>
    </row>
    <row r="1383" spans="1:59" s="9" customFormat="1">
      <c r="A1383" s="8" t="s">
        <v>1516</v>
      </c>
      <c r="B1383" s="8" t="s">
        <v>2245</v>
      </c>
      <c r="C1383" s="9">
        <v>0</v>
      </c>
      <c r="D1383" s="9">
        <v>0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R1383" s="9">
        <v>0</v>
      </c>
      <c r="S1383" s="9">
        <v>0</v>
      </c>
      <c r="T1383" s="9">
        <v>1</v>
      </c>
      <c r="U1383" s="9">
        <v>0</v>
      </c>
      <c r="V1383" s="9">
        <v>0</v>
      </c>
      <c r="W1383" s="9">
        <v>0</v>
      </c>
      <c r="X1383" s="9">
        <v>1</v>
      </c>
      <c r="AE1383" s="9">
        <f>IFERROR(VLOOKUP($A1383,pivot!$A:$G,計算式2026!AE$1,FALSE),0)</f>
        <v>0</v>
      </c>
      <c r="AF1383" s="9">
        <f>IFERROR(VLOOKUP($A1383,pivot!$A:$I,計算式2026!AF$1,FALSE),0)</f>
        <v>0</v>
      </c>
      <c r="AI1383" s="9">
        <f>IFERROR(VLOOKUP($A1383,pivot!$A:$I,計算式2026!AI$1,FALSE),0)</f>
        <v>0</v>
      </c>
      <c r="AJ1383" s="9">
        <f>IFERROR(VLOOKUP($A1383,pivot!$A:$I,計算式2026!AJ$1,FALSE),0)</f>
        <v>0</v>
      </c>
      <c r="AK1383" s="9">
        <f>IFERROR(VLOOKUP($A1383,pivot!$A:$I,計算式2026!AK$1,FALSE),0)</f>
        <v>0</v>
      </c>
      <c r="AL1383" s="9">
        <f>IFERROR(VLOOKUP($A1383,pivot!$A:$I,計算式2026!AL$1,FALSE),0)</f>
        <v>0</v>
      </c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  <c r="BB1383" s="8"/>
      <c r="BC1383" s="8"/>
      <c r="BD1383" s="8"/>
      <c r="BE1383" s="8"/>
      <c r="BF1383" s="8"/>
      <c r="BG1383" s="8"/>
    </row>
    <row r="1384" spans="1:59" s="9" customFormat="1">
      <c r="A1384" s="8" t="s">
        <v>2823</v>
      </c>
      <c r="B1384" s="8" t="s">
        <v>2247</v>
      </c>
      <c r="C1384" s="9">
        <v>0</v>
      </c>
      <c r="D1384" s="9">
        <v>0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1</v>
      </c>
      <c r="AE1384" s="9">
        <f>IFERROR(VLOOKUP($A1384,pivot!$A:$G,計算式2026!AE$1,FALSE),0)</f>
        <v>0</v>
      </c>
      <c r="AF1384" s="9">
        <f>IFERROR(VLOOKUP($A1384,pivot!$A:$I,計算式2026!AF$1,FALSE),0)</f>
        <v>0</v>
      </c>
      <c r="AI1384" s="9">
        <f>IFERROR(VLOOKUP($A1384,pivot!$A:$I,計算式2026!AI$1,FALSE),0)</f>
        <v>0</v>
      </c>
      <c r="AJ1384" s="9">
        <f>IFERROR(VLOOKUP($A1384,pivot!$A:$I,計算式2026!AJ$1,FALSE),0)</f>
        <v>0</v>
      </c>
      <c r="AK1384" s="9">
        <f>IFERROR(VLOOKUP($A1384,pivot!$A:$I,計算式2026!AK$1,FALSE),0)</f>
        <v>0</v>
      </c>
      <c r="AL1384" s="9">
        <f>IFERROR(VLOOKUP($A1384,pivot!$A:$I,計算式2026!AL$1,FALSE),0)</f>
        <v>0</v>
      </c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8"/>
      <c r="BG1384" s="8"/>
    </row>
    <row r="1385" spans="1:59" s="9" customFormat="1">
      <c r="A1385" s="8" t="s">
        <v>2246</v>
      </c>
      <c r="B1385" s="8" t="s">
        <v>2247</v>
      </c>
      <c r="C1385" s="9">
        <v>0</v>
      </c>
      <c r="D1385" s="9">
        <v>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R1385" s="9">
        <v>1</v>
      </c>
      <c r="S1385" s="9">
        <v>1</v>
      </c>
      <c r="T1385" s="9">
        <v>0</v>
      </c>
      <c r="U1385" s="9">
        <v>0</v>
      </c>
      <c r="V1385" s="9">
        <v>2</v>
      </c>
      <c r="W1385" s="9">
        <v>0</v>
      </c>
      <c r="X1385" s="9">
        <v>1</v>
      </c>
      <c r="AE1385" s="9">
        <f>IFERROR(VLOOKUP($A1385,pivot!$A:$G,計算式2026!AE$1,FALSE),0)</f>
        <v>0</v>
      </c>
      <c r="AF1385" s="9">
        <f>IFERROR(VLOOKUP($A1385,pivot!$A:$I,計算式2026!AF$1,FALSE),0)</f>
        <v>0</v>
      </c>
      <c r="AI1385" s="9">
        <f>IFERROR(VLOOKUP($A1385,pivot!$A:$I,計算式2026!AI$1,FALSE),0)</f>
        <v>0</v>
      </c>
      <c r="AJ1385" s="9">
        <f>IFERROR(VLOOKUP($A1385,pivot!$A:$I,計算式2026!AJ$1,FALSE),0)</f>
        <v>0</v>
      </c>
      <c r="AK1385" s="9">
        <f>IFERROR(VLOOKUP($A1385,pivot!$A:$I,計算式2026!AK$1,FALSE),0)</f>
        <v>0</v>
      </c>
      <c r="AL1385" s="9">
        <f>IFERROR(VLOOKUP($A1385,pivot!$A:$I,計算式2026!AL$1,FALSE),0)</f>
        <v>0</v>
      </c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8"/>
      <c r="BG1385" s="8"/>
    </row>
    <row r="1386" spans="1:59" s="9" customFormat="1">
      <c r="A1386" s="8" t="s">
        <v>2248</v>
      </c>
      <c r="B1386" s="8" t="s">
        <v>2247</v>
      </c>
      <c r="C1386" s="9">
        <v>1</v>
      </c>
      <c r="D1386" s="9">
        <v>3</v>
      </c>
      <c r="E1386" s="9">
        <v>0</v>
      </c>
      <c r="F1386" s="9">
        <v>0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R1386" s="9">
        <v>1</v>
      </c>
      <c r="S1386" s="9">
        <v>1</v>
      </c>
      <c r="T1386" s="9">
        <v>0</v>
      </c>
      <c r="U1386" s="9">
        <v>0</v>
      </c>
      <c r="V1386" s="9">
        <v>2</v>
      </c>
      <c r="W1386" s="9">
        <v>0</v>
      </c>
      <c r="X1386" s="9">
        <v>1</v>
      </c>
      <c r="AE1386" s="9">
        <f>IFERROR(VLOOKUP($A1386,pivot!$A:$G,計算式2026!AE$1,FALSE),0)</f>
        <v>0</v>
      </c>
      <c r="AF1386" s="9">
        <f>IFERROR(VLOOKUP($A1386,pivot!$A:$I,計算式2026!AF$1,FALSE),0)</f>
        <v>0</v>
      </c>
      <c r="AI1386" s="9">
        <f>IFERROR(VLOOKUP($A1386,pivot!$A:$I,計算式2026!AI$1,FALSE),0)</f>
        <v>0</v>
      </c>
      <c r="AJ1386" s="9">
        <f>IFERROR(VLOOKUP($A1386,pivot!$A:$I,計算式2026!AJ$1,FALSE),0)</f>
        <v>0</v>
      </c>
      <c r="AK1386" s="9">
        <f>IFERROR(VLOOKUP($A1386,pivot!$A:$I,計算式2026!AK$1,FALSE),0)</f>
        <v>0</v>
      </c>
      <c r="AL1386" s="9">
        <f>IFERROR(VLOOKUP($A1386,pivot!$A:$I,計算式2026!AL$1,FALSE),0)</f>
        <v>0</v>
      </c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8"/>
      <c r="BG1386" s="8"/>
    </row>
    <row r="1387" spans="1:59" s="9" customFormat="1">
      <c r="A1387" s="8" t="s">
        <v>2249</v>
      </c>
      <c r="B1387" s="8" t="s">
        <v>2250</v>
      </c>
      <c r="C1387" s="9">
        <v>1</v>
      </c>
      <c r="D1387" s="9">
        <v>1</v>
      </c>
      <c r="E1387" s="9">
        <v>0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R1387" s="9">
        <v>0</v>
      </c>
      <c r="S1387" s="9">
        <v>1</v>
      </c>
      <c r="T1387" s="9">
        <v>0</v>
      </c>
      <c r="U1387" s="9">
        <v>0</v>
      </c>
      <c r="V1387" s="9">
        <v>2</v>
      </c>
      <c r="W1387" s="9">
        <v>0</v>
      </c>
      <c r="X1387" s="9">
        <v>1</v>
      </c>
      <c r="AE1387" s="9">
        <f>IFERROR(VLOOKUP($A1387,pivot!$A:$G,計算式2026!AE$1,FALSE),0)</f>
        <v>0</v>
      </c>
      <c r="AF1387" s="9">
        <f>IFERROR(VLOOKUP($A1387,pivot!$A:$I,計算式2026!AF$1,FALSE),0)</f>
        <v>0</v>
      </c>
      <c r="AI1387" s="9">
        <f>IFERROR(VLOOKUP($A1387,pivot!$A:$I,計算式2026!AI$1,FALSE),0)</f>
        <v>0</v>
      </c>
      <c r="AJ1387" s="9">
        <f>IFERROR(VLOOKUP($A1387,pivot!$A:$I,計算式2026!AJ$1,FALSE),0)</f>
        <v>0</v>
      </c>
      <c r="AK1387" s="9">
        <f>IFERROR(VLOOKUP($A1387,pivot!$A:$I,計算式2026!AK$1,FALSE),0)</f>
        <v>0</v>
      </c>
      <c r="AL1387" s="9">
        <f>IFERROR(VLOOKUP($A1387,pivot!$A:$I,計算式2026!AL$1,FALSE),0)</f>
        <v>0</v>
      </c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8"/>
      <c r="BG1387" s="8"/>
    </row>
    <row r="1388" spans="1:59" s="9" customFormat="1">
      <c r="A1388" s="8" t="s">
        <v>2251</v>
      </c>
      <c r="B1388" s="8" t="s">
        <v>2250</v>
      </c>
      <c r="C1388" s="9">
        <v>0</v>
      </c>
      <c r="D1388" s="9">
        <v>3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R1388" s="9">
        <v>0</v>
      </c>
      <c r="S1388" s="9">
        <v>1</v>
      </c>
      <c r="T1388" s="9">
        <v>0</v>
      </c>
      <c r="U1388" s="9">
        <v>0</v>
      </c>
      <c r="V1388" s="9">
        <v>2</v>
      </c>
      <c r="W1388" s="9">
        <v>0</v>
      </c>
      <c r="X1388" s="9">
        <v>2</v>
      </c>
      <c r="AE1388" s="9">
        <f>IFERROR(VLOOKUP($A1388,pivot!$A:$G,計算式2026!AE$1,FALSE),0)</f>
        <v>0</v>
      </c>
      <c r="AF1388" s="9">
        <f>IFERROR(VLOOKUP($A1388,pivot!$A:$I,計算式2026!AF$1,FALSE),0)</f>
        <v>0</v>
      </c>
      <c r="AI1388" s="9">
        <f>IFERROR(VLOOKUP($A1388,pivot!$A:$I,計算式2026!AI$1,FALSE),0)</f>
        <v>0</v>
      </c>
      <c r="AJ1388" s="9">
        <f>IFERROR(VLOOKUP($A1388,pivot!$A:$I,計算式2026!AJ$1,FALSE),0)</f>
        <v>0</v>
      </c>
      <c r="AK1388" s="9">
        <f>IFERROR(VLOOKUP($A1388,pivot!$A:$I,計算式2026!AK$1,FALSE),0)</f>
        <v>0</v>
      </c>
      <c r="AL1388" s="9">
        <f>IFERROR(VLOOKUP($A1388,pivot!$A:$I,計算式2026!AL$1,FALSE),0)</f>
        <v>0</v>
      </c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8"/>
      <c r="BG1388" s="8"/>
    </row>
    <row r="1389" spans="1:59" s="9" customFormat="1">
      <c r="A1389" s="8" t="s">
        <v>2824</v>
      </c>
      <c r="B1389" s="8" t="s">
        <v>2250</v>
      </c>
      <c r="C1389" s="9">
        <v>1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AE1389" s="9">
        <f>IFERROR(VLOOKUP($A1389,pivot!$A:$G,計算式2026!AE$1,FALSE),0)</f>
        <v>0</v>
      </c>
      <c r="AF1389" s="9">
        <f>IFERROR(VLOOKUP($A1389,pivot!$A:$I,計算式2026!AF$1,FALSE),0)</f>
        <v>0</v>
      </c>
      <c r="AI1389" s="9">
        <f>IFERROR(VLOOKUP($A1389,pivot!$A:$I,計算式2026!AI$1,FALSE),0)</f>
        <v>0</v>
      </c>
      <c r="AJ1389" s="9">
        <f>IFERROR(VLOOKUP($A1389,pivot!$A:$I,計算式2026!AJ$1,FALSE),0)</f>
        <v>0</v>
      </c>
      <c r="AK1389" s="9">
        <f>IFERROR(VLOOKUP($A1389,pivot!$A:$I,計算式2026!AK$1,FALSE),0)</f>
        <v>0</v>
      </c>
      <c r="AL1389" s="9">
        <f>IFERROR(VLOOKUP($A1389,pivot!$A:$I,計算式2026!AL$1,FALSE),0)</f>
        <v>0</v>
      </c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8"/>
      <c r="BG1389" s="8"/>
    </row>
    <row r="1390" spans="1:59" s="9" customFormat="1">
      <c r="A1390" s="8" t="s">
        <v>857</v>
      </c>
      <c r="B1390" s="8" t="s">
        <v>858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R1390" s="9">
        <v>0</v>
      </c>
      <c r="S1390" s="9">
        <v>0</v>
      </c>
      <c r="T1390" s="9">
        <v>0</v>
      </c>
      <c r="U1390" s="9">
        <v>1</v>
      </c>
      <c r="V1390" s="9">
        <v>0</v>
      </c>
      <c r="W1390" s="9">
        <v>0</v>
      </c>
      <c r="X1390" s="9">
        <v>0</v>
      </c>
      <c r="AE1390" s="9">
        <f>IFERROR(VLOOKUP($A1390,pivot!$A:$G,計算式2026!AE$1,FALSE),0)</f>
        <v>0</v>
      </c>
      <c r="AF1390" s="9">
        <f>IFERROR(VLOOKUP($A1390,pivot!$A:$I,計算式2026!AF$1,FALSE),0)</f>
        <v>0</v>
      </c>
      <c r="AI1390" s="9">
        <f>IFERROR(VLOOKUP($A1390,pivot!$A:$I,計算式2026!AI$1,FALSE),0)</f>
        <v>0</v>
      </c>
      <c r="AJ1390" s="9">
        <f>IFERROR(VLOOKUP($A1390,pivot!$A:$I,計算式2026!AJ$1,FALSE),0)</f>
        <v>0</v>
      </c>
      <c r="AK1390" s="9">
        <f>IFERROR(VLOOKUP($A1390,pivot!$A:$I,計算式2026!AK$1,FALSE),0)</f>
        <v>0</v>
      </c>
      <c r="AL1390" s="9">
        <f>IFERROR(VLOOKUP($A1390,pivot!$A:$I,計算式2026!AL$1,FALSE),0)</f>
        <v>0</v>
      </c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8"/>
      <c r="BG1390" s="8"/>
    </row>
    <row r="1391" spans="1:59" s="9" customFormat="1">
      <c r="A1391" s="8" t="s">
        <v>859</v>
      </c>
      <c r="B1391" s="8" t="s">
        <v>858</v>
      </c>
      <c r="C1391" s="9">
        <v>0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R1391" s="9">
        <v>0</v>
      </c>
      <c r="S1391" s="9">
        <v>0</v>
      </c>
      <c r="T1391" s="9">
        <v>0</v>
      </c>
      <c r="U1391" s="9">
        <v>1</v>
      </c>
      <c r="V1391" s="9">
        <v>1</v>
      </c>
      <c r="W1391" s="9">
        <v>0</v>
      </c>
      <c r="X1391" s="9">
        <v>0</v>
      </c>
      <c r="AE1391" s="9">
        <f>IFERROR(VLOOKUP($A1391,pivot!$A:$G,計算式2026!AE$1,FALSE),0)</f>
        <v>0</v>
      </c>
      <c r="AF1391" s="9">
        <f>IFERROR(VLOOKUP($A1391,pivot!$A:$I,計算式2026!AF$1,FALSE),0)</f>
        <v>0</v>
      </c>
      <c r="AI1391" s="9">
        <f>IFERROR(VLOOKUP($A1391,pivot!$A:$I,計算式2026!AI$1,FALSE),0)</f>
        <v>0</v>
      </c>
      <c r="AJ1391" s="9">
        <f>IFERROR(VLOOKUP($A1391,pivot!$A:$I,計算式2026!AJ$1,FALSE),0)</f>
        <v>0</v>
      </c>
      <c r="AK1391" s="9">
        <f>IFERROR(VLOOKUP($A1391,pivot!$A:$I,計算式2026!AK$1,FALSE),0)</f>
        <v>0</v>
      </c>
      <c r="AL1391" s="9">
        <f>IFERROR(VLOOKUP($A1391,pivot!$A:$I,計算式2026!AL$1,FALSE),0)</f>
        <v>0</v>
      </c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8"/>
      <c r="BG1391" s="8"/>
    </row>
    <row r="1392" spans="1:59" s="9" customFormat="1">
      <c r="A1392" s="8" t="s">
        <v>860</v>
      </c>
      <c r="B1392" s="8" t="s">
        <v>858</v>
      </c>
      <c r="C1392" s="9">
        <v>0</v>
      </c>
      <c r="D1392" s="9">
        <v>0</v>
      </c>
      <c r="E1392" s="9">
        <v>0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R1392" s="9">
        <v>0</v>
      </c>
      <c r="S1392" s="9">
        <v>0</v>
      </c>
      <c r="T1392" s="9">
        <v>0</v>
      </c>
      <c r="U1392" s="9">
        <v>1</v>
      </c>
      <c r="V1392" s="9">
        <v>1</v>
      </c>
      <c r="W1392" s="9">
        <v>0</v>
      </c>
      <c r="X1392" s="9">
        <v>0</v>
      </c>
      <c r="AE1392" s="9">
        <f>IFERROR(VLOOKUP($A1392,pivot!$A:$G,計算式2026!AE$1,FALSE),0)</f>
        <v>0</v>
      </c>
      <c r="AF1392" s="9">
        <f>IFERROR(VLOOKUP($A1392,pivot!$A:$I,計算式2026!AF$1,FALSE),0)</f>
        <v>0</v>
      </c>
      <c r="AI1392" s="9">
        <f>IFERROR(VLOOKUP($A1392,pivot!$A:$I,計算式2026!AI$1,FALSE),0)</f>
        <v>0</v>
      </c>
      <c r="AJ1392" s="9">
        <f>IFERROR(VLOOKUP($A1392,pivot!$A:$I,計算式2026!AJ$1,FALSE),0)</f>
        <v>0</v>
      </c>
      <c r="AK1392" s="9">
        <f>IFERROR(VLOOKUP($A1392,pivot!$A:$I,計算式2026!AK$1,FALSE),0)</f>
        <v>0</v>
      </c>
      <c r="AL1392" s="9">
        <f>IFERROR(VLOOKUP($A1392,pivot!$A:$I,計算式2026!AL$1,FALSE),0)</f>
        <v>0</v>
      </c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8"/>
      <c r="BG1392" s="8"/>
    </row>
    <row r="1393" spans="1:59" s="9" customFormat="1">
      <c r="A1393" s="8" t="s">
        <v>862</v>
      </c>
      <c r="B1393" s="8" t="s">
        <v>861</v>
      </c>
      <c r="C1393" s="9">
        <v>0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R1393" s="9">
        <v>0</v>
      </c>
      <c r="S1393" s="9">
        <v>0</v>
      </c>
      <c r="T1393" s="9">
        <v>0</v>
      </c>
      <c r="U1393" s="9">
        <v>1</v>
      </c>
      <c r="V1393" s="9">
        <v>0</v>
      </c>
      <c r="W1393" s="9">
        <v>0</v>
      </c>
      <c r="X1393" s="9">
        <v>0</v>
      </c>
      <c r="AE1393" s="9">
        <f>IFERROR(VLOOKUP($A1393,pivot!$A:$G,計算式2026!AE$1,FALSE),0)</f>
        <v>0</v>
      </c>
      <c r="AF1393" s="9">
        <f>IFERROR(VLOOKUP($A1393,pivot!$A:$I,計算式2026!AF$1,FALSE),0)</f>
        <v>0</v>
      </c>
      <c r="AI1393" s="9">
        <f>IFERROR(VLOOKUP($A1393,pivot!$A:$I,計算式2026!AI$1,FALSE),0)</f>
        <v>0</v>
      </c>
      <c r="AJ1393" s="9">
        <f>IFERROR(VLOOKUP($A1393,pivot!$A:$I,計算式2026!AJ$1,FALSE),0)</f>
        <v>0</v>
      </c>
      <c r="AK1393" s="9">
        <f>IFERROR(VLOOKUP($A1393,pivot!$A:$I,計算式2026!AK$1,FALSE),0)</f>
        <v>0</v>
      </c>
      <c r="AL1393" s="9">
        <f>IFERROR(VLOOKUP($A1393,pivot!$A:$I,計算式2026!AL$1,FALSE),0)</f>
        <v>0</v>
      </c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  <c r="BB1393" s="8"/>
      <c r="BC1393" s="8"/>
      <c r="BD1393" s="8"/>
      <c r="BE1393" s="8"/>
      <c r="BF1393" s="8"/>
      <c r="BG1393" s="8"/>
    </row>
    <row r="1394" spans="1:59" s="9" customFormat="1">
      <c r="A1394" s="8" t="s">
        <v>863</v>
      </c>
      <c r="B1394" s="8" t="s">
        <v>861</v>
      </c>
      <c r="C1394" s="9">
        <v>0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R1394" s="9">
        <v>0</v>
      </c>
      <c r="S1394" s="9">
        <v>0</v>
      </c>
      <c r="T1394" s="9">
        <v>0</v>
      </c>
      <c r="U1394" s="9">
        <v>1</v>
      </c>
      <c r="V1394" s="9">
        <v>0</v>
      </c>
      <c r="W1394" s="9">
        <v>0</v>
      </c>
      <c r="X1394" s="9">
        <v>0</v>
      </c>
      <c r="AE1394" s="9">
        <f>IFERROR(VLOOKUP($A1394,pivot!$A:$G,計算式2026!AE$1,FALSE),0)</f>
        <v>0</v>
      </c>
      <c r="AF1394" s="9">
        <f>IFERROR(VLOOKUP($A1394,pivot!$A:$I,計算式2026!AF$1,FALSE),0)</f>
        <v>0</v>
      </c>
      <c r="AI1394" s="9">
        <f>IFERROR(VLOOKUP($A1394,pivot!$A:$I,計算式2026!AI$1,FALSE),0)</f>
        <v>0</v>
      </c>
      <c r="AJ1394" s="9">
        <f>IFERROR(VLOOKUP($A1394,pivot!$A:$I,計算式2026!AJ$1,FALSE),0)</f>
        <v>0</v>
      </c>
      <c r="AK1394" s="9">
        <f>IFERROR(VLOOKUP($A1394,pivot!$A:$I,計算式2026!AK$1,FALSE),0)</f>
        <v>0</v>
      </c>
      <c r="AL1394" s="9">
        <f>IFERROR(VLOOKUP($A1394,pivot!$A:$I,計算式2026!AL$1,FALSE),0)</f>
        <v>0</v>
      </c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8"/>
      <c r="BG1394" s="8"/>
    </row>
    <row r="1395" spans="1:59" s="9" customFormat="1">
      <c r="A1395" s="8" t="s">
        <v>865</v>
      </c>
      <c r="B1395" s="8" t="s">
        <v>864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1</v>
      </c>
      <c r="W1395" s="9">
        <v>0</v>
      </c>
      <c r="X1395" s="9">
        <v>0</v>
      </c>
      <c r="AE1395" s="9">
        <f>IFERROR(VLOOKUP($A1395,pivot!$A:$G,計算式2026!AE$1,FALSE),0)</f>
        <v>0</v>
      </c>
      <c r="AF1395" s="9">
        <f>IFERROR(VLOOKUP($A1395,pivot!$A:$I,計算式2026!AF$1,FALSE),0)</f>
        <v>0</v>
      </c>
      <c r="AI1395" s="9">
        <f>IFERROR(VLOOKUP($A1395,pivot!$A:$I,計算式2026!AI$1,FALSE),0)</f>
        <v>0</v>
      </c>
      <c r="AJ1395" s="9">
        <f>IFERROR(VLOOKUP($A1395,pivot!$A:$I,計算式2026!AJ$1,FALSE),0)</f>
        <v>0</v>
      </c>
      <c r="AK1395" s="9">
        <f>IFERROR(VLOOKUP($A1395,pivot!$A:$I,計算式2026!AK$1,FALSE),0)</f>
        <v>0</v>
      </c>
      <c r="AL1395" s="9">
        <f>IFERROR(VLOOKUP($A1395,pivot!$A:$I,計算式2026!AL$1,FALSE),0)</f>
        <v>0</v>
      </c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8"/>
      <c r="BG1395" s="8"/>
    </row>
    <row r="1396" spans="1:59" s="9" customFormat="1">
      <c r="A1396" s="8" t="s">
        <v>866</v>
      </c>
      <c r="B1396" s="8" t="s">
        <v>864</v>
      </c>
      <c r="C1396" s="9">
        <v>0</v>
      </c>
      <c r="D1396" s="9">
        <v>0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R1396" s="9">
        <v>0</v>
      </c>
      <c r="S1396" s="9">
        <v>0</v>
      </c>
      <c r="T1396" s="9">
        <v>0</v>
      </c>
      <c r="U1396" s="9">
        <v>1</v>
      </c>
      <c r="V1396" s="9">
        <v>2</v>
      </c>
      <c r="W1396" s="9">
        <v>0</v>
      </c>
      <c r="X1396" s="9">
        <v>0</v>
      </c>
      <c r="AE1396" s="9">
        <f>IFERROR(VLOOKUP($A1396,pivot!$A:$G,計算式2026!AE$1,FALSE),0)</f>
        <v>0</v>
      </c>
      <c r="AF1396" s="9">
        <f>IFERROR(VLOOKUP($A1396,pivot!$A:$I,計算式2026!AF$1,FALSE),0)</f>
        <v>0</v>
      </c>
      <c r="AI1396" s="9">
        <f>IFERROR(VLOOKUP($A1396,pivot!$A:$I,計算式2026!AI$1,FALSE),0)</f>
        <v>0</v>
      </c>
      <c r="AJ1396" s="9">
        <f>IFERROR(VLOOKUP($A1396,pivot!$A:$I,計算式2026!AJ$1,FALSE),0)</f>
        <v>0</v>
      </c>
      <c r="AK1396" s="9">
        <f>IFERROR(VLOOKUP($A1396,pivot!$A:$I,計算式2026!AK$1,FALSE),0)</f>
        <v>0</v>
      </c>
      <c r="AL1396" s="9">
        <f>IFERROR(VLOOKUP($A1396,pivot!$A:$I,計算式2026!AL$1,FALSE),0)</f>
        <v>0</v>
      </c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8"/>
      <c r="BG1396" s="8"/>
    </row>
    <row r="1397" spans="1:59" s="9" customFormat="1">
      <c r="A1397" s="8" t="s">
        <v>868</v>
      </c>
      <c r="B1397" s="8" t="s">
        <v>867</v>
      </c>
      <c r="C1397" s="9">
        <v>0</v>
      </c>
      <c r="D1397" s="9">
        <v>0</v>
      </c>
      <c r="E1397" s="9">
        <v>0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R1397" s="9">
        <v>0</v>
      </c>
      <c r="S1397" s="9">
        <v>0</v>
      </c>
      <c r="T1397" s="9">
        <v>0</v>
      </c>
      <c r="U1397" s="9">
        <v>1</v>
      </c>
      <c r="V1397" s="9">
        <v>1</v>
      </c>
      <c r="W1397" s="9">
        <v>0</v>
      </c>
      <c r="X1397" s="9">
        <v>0</v>
      </c>
      <c r="AE1397" s="9">
        <f>IFERROR(VLOOKUP($A1397,pivot!$A:$G,計算式2026!AE$1,FALSE),0)</f>
        <v>0</v>
      </c>
      <c r="AF1397" s="9">
        <f>IFERROR(VLOOKUP($A1397,pivot!$A:$I,計算式2026!AF$1,FALSE),0)</f>
        <v>0</v>
      </c>
      <c r="AI1397" s="9">
        <f>IFERROR(VLOOKUP($A1397,pivot!$A:$I,計算式2026!AI$1,FALSE),0)</f>
        <v>0</v>
      </c>
      <c r="AJ1397" s="9">
        <f>IFERROR(VLOOKUP($A1397,pivot!$A:$I,計算式2026!AJ$1,FALSE),0)</f>
        <v>0</v>
      </c>
      <c r="AK1397" s="9">
        <f>IFERROR(VLOOKUP($A1397,pivot!$A:$I,計算式2026!AK$1,FALSE),0)</f>
        <v>0</v>
      </c>
      <c r="AL1397" s="9">
        <f>IFERROR(VLOOKUP($A1397,pivot!$A:$I,計算式2026!AL$1,FALSE),0)</f>
        <v>0</v>
      </c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8"/>
      <c r="BG1397" s="8"/>
    </row>
    <row r="1398" spans="1:59" s="9" customFormat="1">
      <c r="A1398" s="8" t="s">
        <v>869</v>
      </c>
      <c r="B1398" s="8" t="s">
        <v>870</v>
      </c>
      <c r="C1398" s="9">
        <v>0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R1398" s="9">
        <v>0</v>
      </c>
      <c r="S1398" s="9">
        <v>1</v>
      </c>
      <c r="T1398" s="9">
        <v>1</v>
      </c>
      <c r="U1398" s="9">
        <v>0</v>
      </c>
      <c r="V1398" s="9">
        <v>0</v>
      </c>
      <c r="W1398" s="9">
        <v>0</v>
      </c>
      <c r="X1398" s="9">
        <v>1</v>
      </c>
      <c r="AE1398" s="9">
        <f>IFERROR(VLOOKUP($A1398,pivot!$A:$G,計算式2026!AE$1,FALSE),0)</f>
        <v>0</v>
      </c>
      <c r="AF1398" s="9">
        <f>IFERROR(VLOOKUP($A1398,pivot!$A:$I,計算式2026!AF$1,FALSE),0)</f>
        <v>0</v>
      </c>
      <c r="AI1398" s="9">
        <f>IFERROR(VLOOKUP($A1398,pivot!$A:$I,計算式2026!AI$1,FALSE),0)</f>
        <v>0</v>
      </c>
      <c r="AJ1398" s="9">
        <f>IFERROR(VLOOKUP($A1398,pivot!$A:$I,計算式2026!AJ$1,FALSE),0)</f>
        <v>0</v>
      </c>
      <c r="AK1398" s="9">
        <f>IFERROR(VLOOKUP($A1398,pivot!$A:$I,計算式2026!AK$1,FALSE),0)</f>
        <v>0</v>
      </c>
      <c r="AL1398" s="9">
        <f>IFERROR(VLOOKUP($A1398,pivot!$A:$I,計算式2026!AL$1,FALSE),0)</f>
        <v>0</v>
      </c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  <c r="BB1398" s="8"/>
      <c r="BC1398" s="8"/>
      <c r="BD1398" s="8"/>
      <c r="BE1398" s="8"/>
      <c r="BF1398" s="8"/>
      <c r="BG1398" s="8"/>
    </row>
    <row r="1399" spans="1:59" s="9" customFormat="1">
      <c r="A1399" s="8" t="s">
        <v>871</v>
      </c>
      <c r="B1399" s="8" t="s">
        <v>870</v>
      </c>
      <c r="C1399" s="9">
        <v>5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R1399" s="9">
        <v>0</v>
      </c>
      <c r="S1399" s="9">
        <v>1</v>
      </c>
      <c r="T1399" s="9">
        <v>1</v>
      </c>
      <c r="U1399" s="9">
        <v>0</v>
      </c>
      <c r="V1399" s="9">
        <v>1</v>
      </c>
      <c r="W1399" s="9">
        <v>0</v>
      </c>
      <c r="X1399" s="9">
        <v>1</v>
      </c>
      <c r="AE1399" s="9">
        <f>IFERROR(VLOOKUP($A1399,pivot!$A:$G,計算式2026!AE$1,FALSE),0)</f>
        <v>0</v>
      </c>
      <c r="AF1399" s="9">
        <f>IFERROR(VLOOKUP($A1399,pivot!$A:$I,計算式2026!AF$1,FALSE),0)</f>
        <v>0</v>
      </c>
      <c r="AI1399" s="9">
        <f>IFERROR(VLOOKUP($A1399,pivot!$A:$I,計算式2026!AI$1,FALSE),0)</f>
        <v>0</v>
      </c>
      <c r="AJ1399" s="9">
        <f>IFERROR(VLOOKUP($A1399,pivot!$A:$I,計算式2026!AJ$1,FALSE),0)</f>
        <v>0</v>
      </c>
      <c r="AK1399" s="9">
        <f>IFERROR(VLOOKUP($A1399,pivot!$A:$I,計算式2026!AK$1,FALSE),0)</f>
        <v>0</v>
      </c>
      <c r="AL1399" s="9">
        <f>IFERROR(VLOOKUP($A1399,pivot!$A:$I,計算式2026!AL$1,FALSE),0)</f>
        <v>0</v>
      </c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  <c r="BB1399" s="8"/>
      <c r="BC1399" s="8"/>
      <c r="BD1399" s="8"/>
      <c r="BE1399" s="8"/>
      <c r="BF1399" s="8"/>
      <c r="BG1399" s="8"/>
    </row>
    <row r="1400" spans="1:59" s="9" customFormat="1">
      <c r="A1400" s="8">
        <v>8188602546</v>
      </c>
      <c r="B1400" s="8" t="s">
        <v>872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R1400" s="9">
        <v>0</v>
      </c>
      <c r="S1400" s="9">
        <v>1</v>
      </c>
      <c r="T1400" s="9">
        <v>2</v>
      </c>
      <c r="U1400" s="9">
        <v>0</v>
      </c>
      <c r="V1400" s="9">
        <v>0</v>
      </c>
      <c r="W1400" s="9">
        <v>0</v>
      </c>
      <c r="X1400" s="9">
        <v>1</v>
      </c>
      <c r="AE1400" s="9">
        <f>IFERROR(VLOOKUP($A1400,pivot!$A:$G,計算式2026!AE$1,FALSE),0)</f>
        <v>0</v>
      </c>
      <c r="AF1400" s="9">
        <f>IFERROR(VLOOKUP($A1400,pivot!$A:$I,計算式2026!AF$1,FALSE),0)</f>
        <v>0</v>
      </c>
      <c r="AI1400" s="9">
        <f>IFERROR(VLOOKUP($A1400,pivot!$A:$I,計算式2026!AI$1,FALSE),0)</f>
        <v>0</v>
      </c>
      <c r="AJ1400" s="9">
        <f>IFERROR(VLOOKUP($A1400,pivot!$A:$I,計算式2026!AJ$1,FALSE),0)</f>
        <v>0</v>
      </c>
      <c r="AK1400" s="9">
        <f>IFERROR(VLOOKUP($A1400,pivot!$A:$I,計算式2026!AK$1,FALSE),0)</f>
        <v>0</v>
      </c>
      <c r="AL1400" s="9">
        <f>IFERROR(VLOOKUP($A1400,pivot!$A:$I,計算式2026!AL$1,FALSE),0)</f>
        <v>0</v>
      </c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8"/>
      <c r="BG1400" s="8"/>
    </row>
    <row r="1401" spans="1:59" s="9" customFormat="1">
      <c r="A1401" s="8">
        <v>8188602548</v>
      </c>
      <c r="B1401" s="8" t="s">
        <v>872</v>
      </c>
      <c r="C1401" s="9">
        <v>0</v>
      </c>
      <c r="D1401" s="9">
        <v>0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R1401" s="9">
        <v>0</v>
      </c>
      <c r="S1401" s="9">
        <v>2</v>
      </c>
      <c r="T1401" s="9">
        <v>2</v>
      </c>
      <c r="U1401" s="9">
        <v>2</v>
      </c>
      <c r="V1401" s="9">
        <v>2</v>
      </c>
      <c r="W1401" s="9">
        <v>0</v>
      </c>
      <c r="X1401" s="9">
        <v>1</v>
      </c>
      <c r="AE1401" s="9">
        <f>IFERROR(VLOOKUP($A1401,pivot!$A:$G,計算式2026!AE$1,FALSE),0)</f>
        <v>0</v>
      </c>
      <c r="AF1401" s="9">
        <f>IFERROR(VLOOKUP($A1401,pivot!$A:$I,計算式2026!AF$1,FALSE),0)</f>
        <v>0</v>
      </c>
      <c r="AI1401" s="9">
        <f>IFERROR(VLOOKUP($A1401,pivot!$A:$I,計算式2026!AI$1,FALSE),0)</f>
        <v>0</v>
      </c>
      <c r="AJ1401" s="9">
        <f>IFERROR(VLOOKUP($A1401,pivot!$A:$I,計算式2026!AJ$1,FALSE),0)</f>
        <v>0</v>
      </c>
      <c r="AK1401" s="9">
        <f>IFERROR(VLOOKUP($A1401,pivot!$A:$I,計算式2026!AK$1,FALSE),0)</f>
        <v>0</v>
      </c>
      <c r="AL1401" s="9">
        <f>IFERROR(VLOOKUP($A1401,pivot!$A:$I,計算式2026!AL$1,FALSE),0)</f>
        <v>0</v>
      </c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8"/>
      <c r="BG1401" s="8"/>
    </row>
    <row r="1402" spans="1:59" s="9" customFormat="1">
      <c r="A1402" s="8">
        <v>8188602550</v>
      </c>
      <c r="B1402" s="8" t="s">
        <v>872</v>
      </c>
      <c r="C1402" s="9">
        <v>0</v>
      </c>
      <c r="D1402" s="9">
        <v>0</v>
      </c>
      <c r="E1402" s="9">
        <v>0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R1402" s="9">
        <v>0</v>
      </c>
      <c r="S1402" s="9">
        <v>1</v>
      </c>
      <c r="T1402" s="9">
        <v>2</v>
      </c>
      <c r="U1402" s="9">
        <v>0</v>
      </c>
      <c r="V1402" s="9">
        <v>0</v>
      </c>
      <c r="W1402" s="9">
        <v>0</v>
      </c>
      <c r="X1402" s="9">
        <v>1</v>
      </c>
      <c r="AE1402" s="9">
        <f>IFERROR(VLOOKUP($A1402,pivot!$A:$G,計算式2026!AE$1,FALSE),0)</f>
        <v>0</v>
      </c>
      <c r="AF1402" s="9">
        <f>IFERROR(VLOOKUP($A1402,pivot!$A:$I,計算式2026!AF$1,FALSE),0)</f>
        <v>0</v>
      </c>
      <c r="AI1402" s="9">
        <f>IFERROR(VLOOKUP($A1402,pivot!$A:$I,計算式2026!AI$1,FALSE),0)</f>
        <v>0</v>
      </c>
      <c r="AJ1402" s="9">
        <f>IFERROR(VLOOKUP($A1402,pivot!$A:$I,計算式2026!AJ$1,FALSE),0)</f>
        <v>0</v>
      </c>
      <c r="AK1402" s="9">
        <f>IFERROR(VLOOKUP($A1402,pivot!$A:$I,計算式2026!AK$1,FALSE),0)</f>
        <v>0</v>
      </c>
      <c r="AL1402" s="9">
        <f>IFERROR(VLOOKUP($A1402,pivot!$A:$I,計算式2026!AL$1,FALSE),0)</f>
        <v>0</v>
      </c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8"/>
      <c r="BG1402" s="8"/>
    </row>
    <row r="1403" spans="1:59" s="9" customFormat="1">
      <c r="A1403" s="8">
        <v>8188625544</v>
      </c>
      <c r="B1403" s="8" t="s">
        <v>872</v>
      </c>
      <c r="C1403" s="9">
        <v>0</v>
      </c>
      <c r="D1403" s="9">
        <v>0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R1403" s="9">
        <v>1</v>
      </c>
      <c r="S1403" s="9">
        <v>0</v>
      </c>
      <c r="T1403" s="9">
        <v>0</v>
      </c>
      <c r="U1403" s="9">
        <v>0</v>
      </c>
      <c r="V1403" s="9">
        <v>1</v>
      </c>
      <c r="W1403" s="9">
        <v>0</v>
      </c>
      <c r="X1403" s="9">
        <v>1</v>
      </c>
      <c r="AE1403" s="9">
        <f>IFERROR(VLOOKUP($A1403,pivot!$A:$G,計算式2026!AE$1,FALSE),0)</f>
        <v>0</v>
      </c>
      <c r="AF1403" s="9">
        <f>IFERROR(VLOOKUP($A1403,pivot!$A:$I,計算式2026!AF$1,FALSE),0)</f>
        <v>0</v>
      </c>
      <c r="AI1403" s="9">
        <f>IFERROR(VLOOKUP($A1403,pivot!$A:$I,計算式2026!AI$1,FALSE),0)</f>
        <v>0</v>
      </c>
      <c r="AJ1403" s="9">
        <f>IFERROR(VLOOKUP($A1403,pivot!$A:$I,計算式2026!AJ$1,FALSE),0)</f>
        <v>0</v>
      </c>
      <c r="AK1403" s="9">
        <f>IFERROR(VLOOKUP($A1403,pivot!$A:$I,計算式2026!AK$1,FALSE),0)</f>
        <v>0</v>
      </c>
      <c r="AL1403" s="9">
        <f>IFERROR(VLOOKUP($A1403,pivot!$A:$I,計算式2026!AL$1,FALSE),0)</f>
        <v>0</v>
      </c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8"/>
      <c r="BG1403" s="8"/>
    </row>
    <row r="1404" spans="1:59" s="9" customFormat="1">
      <c r="A1404" s="8">
        <v>8188625546</v>
      </c>
      <c r="B1404" s="8" t="s">
        <v>872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R1404" s="9">
        <v>1</v>
      </c>
      <c r="S1404" s="9">
        <v>2</v>
      </c>
      <c r="T1404" s="9">
        <v>2</v>
      </c>
      <c r="U1404" s="9">
        <v>0</v>
      </c>
      <c r="V1404" s="9">
        <v>3</v>
      </c>
      <c r="W1404" s="9">
        <v>0</v>
      </c>
      <c r="X1404" s="9">
        <v>1</v>
      </c>
      <c r="AE1404" s="9">
        <f>IFERROR(VLOOKUP($A1404,pivot!$A:$G,計算式2026!AE$1,FALSE),0)</f>
        <v>0</v>
      </c>
      <c r="AF1404" s="9">
        <f>IFERROR(VLOOKUP($A1404,pivot!$A:$I,計算式2026!AF$1,FALSE),0)</f>
        <v>0</v>
      </c>
      <c r="AI1404" s="9">
        <f>IFERROR(VLOOKUP($A1404,pivot!$A:$I,計算式2026!AI$1,FALSE),0)</f>
        <v>0</v>
      </c>
      <c r="AJ1404" s="9">
        <f>IFERROR(VLOOKUP($A1404,pivot!$A:$I,計算式2026!AJ$1,FALSE),0)</f>
        <v>0</v>
      </c>
      <c r="AK1404" s="9">
        <f>IFERROR(VLOOKUP($A1404,pivot!$A:$I,計算式2026!AK$1,FALSE),0)</f>
        <v>0</v>
      </c>
      <c r="AL1404" s="9">
        <f>IFERROR(VLOOKUP($A1404,pivot!$A:$I,計算式2026!AL$1,FALSE),0)</f>
        <v>0</v>
      </c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  <c r="BB1404" s="8"/>
      <c r="BC1404" s="8"/>
      <c r="BD1404" s="8"/>
      <c r="BE1404" s="8"/>
      <c r="BF1404" s="8"/>
      <c r="BG1404" s="8"/>
    </row>
    <row r="1405" spans="1:59" s="9" customFormat="1">
      <c r="A1405" s="8">
        <v>8188625548</v>
      </c>
      <c r="B1405" s="8" t="s">
        <v>872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R1405" s="9">
        <v>0</v>
      </c>
      <c r="S1405" s="9">
        <v>2</v>
      </c>
      <c r="T1405" s="9">
        <v>2</v>
      </c>
      <c r="U1405" s="9">
        <v>0</v>
      </c>
      <c r="V1405" s="9">
        <v>3</v>
      </c>
      <c r="W1405" s="9">
        <v>0</v>
      </c>
      <c r="X1405" s="9">
        <v>1</v>
      </c>
      <c r="AE1405" s="9">
        <f>IFERROR(VLOOKUP($A1405,pivot!$A:$G,計算式2026!AE$1,FALSE),0)</f>
        <v>0</v>
      </c>
      <c r="AF1405" s="9">
        <f>IFERROR(VLOOKUP($A1405,pivot!$A:$I,計算式2026!AF$1,FALSE),0)</f>
        <v>0</v>
      </c>
      <c r="AI1405" s="9">
        <f>IFERROR(VLOOKUP($A1405,pivot!$A:$I,計算式2026!AI$1,FALSE),0)</f>
        <v>0</v>
      </c>
      <c r="AJ1405" s="9">
        <f>IFERROR(VLOOKUP($A1405,pivot!$A:$I,計算式2026!AJ$1,FALSE),0)</f>
        <v>0</v>
      </c>
      <c r="AK1405" s="9">
        <f>IFERROR(VLOOKUP($A1405,pivot!$A:$I,計算式2026!AK$1,FALSE),0)</f>
        <v>0</v>
      </c>
      <c r="AL1405" s="9">
        <f>IFERROR(VLOOKUP($A1405,pivot!$A:$I,計算式2026!AL$1,FALSE),0)</f>
        <v>0</v>
      </c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  <c r="BB1405" s="8"/>
      <c r="BC1405" s="8"/>
      <c r="BD1405" s="8"/>
      <c r="BE1405" s="8"/>
      <c r="BF1405" s="8"/>
      <c r="BG1405" s="8"/>
    </row>
    <row r="1406" spans="1:59" s="9" customFormat="1">
      <c r="A1406" s="8">
        <v>8188625550</v>
      </c>
      <c r="B1406" s="8" t="s">
        <v>872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R1406" s="9">
        <v>0</v>
      </c>
      <c r="S1406" s="9">
        <v>0</v>
      </c>
      <c r="T1406" s="9">
        <v>1</v>
      </c>
      <c r="U1406" s="9">
        <v>0</v>
      </c>
      <c r="V1406" s="9">
        <v>0</v>
      </c>
      <c r="W1406" s="9">
        <v>0</v>
      </c>
      <c r="X1406" s="9">
        <v>1</v>
      </c>
      <c r="AE1406" s="9">
        <f>IFERROR(VLOOKUP($A1406,pivot!$A:$G,計算式2026!AE$1,FALSE),0)</f>
        <v>0</v>
      </c>
      <c r="AF1406" s="9">
        <f>IFERROR(VLOOKUP($A1406,pivot!$A:$I,計算式2026!AF$1,FALSE),0)</f>
        <v>0</v>
      </c>
      <c r="AI1406" s="9">
        <f>IFERROR(VLOOKUP($A1406,pivot!$A:$I,計算式2026!AI$1,FALSE),0)</f>
        <v>0</v>
      </c>
      <c r="AJ1406" s="9">
        <f>IFERROR(VLOOKUP($A1406,pivot!$A:$I,計算式2026!AJ$1,FALSE),0)</f>
        <v>0</v>
      </c>
      <c r="AK1406" s="9">
        <f>IFERROR(VLOOKUP($A1406,pivot!$A:$I,計算式2026!AK$1,FALSE),0)</f>
        <v>0</v>
      </c>
      <c r="AL1406" s="9">
        <f>IFERROR(VLOOKUP($A1406,pivot!$A:$I,計算式2026!AL$1,FALSE),0)</f>
        <v>0</v>
      </c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  <c r="BB1406" s="8"/>
      <c r="BC1406" s="8"/>
      <c r="BD1406" s="8"/>
      <c r="BE1406" s="8"/>
      <c r="BF1406" s="8"/>
      <c r="BG1406" s="8"/>
    </row>
    <row r="1407" spans="1:59" s="9" customFormat="1">
      <c r="A1407" s="8">
        <v>8188657544</v>
      </c>
      <c r="B1407" s="8" t="s">
        <v>872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R1407" s="9">
        <v>0</v>
      </c>
      <c r="S1407" s="9">
        <v>0</v>
      </c>
      <c r="T1407" s="9">
        <v>1</v>
      </c>
      <c r="U1407" s="9">
        <v>0</v>
      </c>
      <c r="V1407" s="9">
        <v>1</v>
      </c>
      <c r="W1407" s="9">
        <v>0</v>
      </c>
      <c r="X1407" s="9">
        <v>1</v>
      </c>
      <c r="AE1407" s="9">
        <f>IFERROR(VLOOKUP($A1407,pivot!$A:$G,計算式2026!AE$1,FALSE),0)</f>
        <v>0</v>
      </c>
      <c r="AF1407" s="9">
        <f>IFERROR(VLOOKUP($A1407,pivot!$A:$I,計算式2026!AF$1,FALSE),0)</f>
        <v>0</v>
      </c>
      <c r="AI1407" s="9">
        <f>IFERROR(VLOOKUP($A1407,pivot!$A:$I,計算式2026!AI$1,FALSE),0)</f>
        <v>0</v>
      </c>
      <c r="AJ1407" s="9">
        <f>IFERROR(VLOOKUP($A1407,pivot!$A:$I,計算式2026!AJ$1,FALSE),0)</f>
        <v>0</v>
      </c>
      <c r="AK1407" s="9">
        <f>IFERROR(VLOOKUP($A1407,pivot!$A:$I,計算式2026!AK$1,FALSE),0)</f>
        <v>0</v>
      </c>
      <c r="AL1407" s="9">
        <f>IFERROR(VLOOKUP($A1407,pivot!$A:$I,計算式2026!AL$1,FALSE),0)</f>
        <v>0</v>
      </c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8"/>
      <c r="BG1407" s="8"/>
    </row>
    <row r="1408" spans="1:59" s="9" customFormat="1">
      <c r="A1408" s="8">
        <v>8188657546</v>
      </c>
      <c r="B1408" s="8" t="s">
        <v>872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R1408" s="9">
        <v>0</v>
      </c>
      <c r="S1408" s="9">
        <v>1</v>
      </c>
      <c r="T1408" s="9">
        <v>1</v>
      </c>
      <c r="U1408" s="9">
        <v>0</v>
      </c>
      <c r="V1408" s="9">
        <v>2</v>
      </c>
      <c r="W1408" s="9">
        <v>0</v>
      </c>
      <c r="X1408" s="9">
        <v>1</v>
      </c>
      <c r="AE1408" s="9">
        <f>IFERROR(VLOOKUP($A1408,pivot!$A:$G,計算式2026!AE$1,FALSE),0)</f>
        <v>0</v>
      </c>
      <c r="AF1408" s="9">
        <f>IFERROR(VLOOKUP($A1408,pivot!$A:$I,計算式2026!AF$1,FALSE),0)</f>
        <v>0</v>
      </c>
      <c r="AI1408" s="9">
        <f>IFERROR(VLOOKUP($A1408,pivot!$A:$I,計算式2026!AI$1,FALSE),0)</f>
        <v>0</v>
      </c>
      <c r="AJ1408" s="9">
        <f>IFERROR(VLOOKUP($A1408,pivot!$A:$I,計算式2026!AJ$1,FALSE),0)</f>
        <v>0</v>
      </c>
      <c r="AK1408" s="9">
        <f>IFERROR(VLOOKUP($A1408,pivot!$A:$I,計算式2026!AK$1,FALSE),0)</f>
        <v>0</v>
      </c>
      <c r="AL1408" s="9">
        <f>IFERROR(VLOOKUP($A1408,pivot!$A:$I,計算式2026!AL$1,FALSE),0)</f>
        <v>0</v>
      </c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8"/>
      <c r="BG1408" s="8"/>
    </row>
    <row r="1409" spans="1:59" s="9" customFormat="1">
      <c r="A1409" s="8">
        <v>8188657548</v>
      </c>
      <c r="B1409" s="8" t="s">
        <v>872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R1409" s="9">
        <v>0</v>
      </c>
      <c r="S1409" s="9">
        <v>0</v>
      </c>
      <c r="T1409" s="9">
        <v>1</v>
      </c>
      <c r="U1409" s="9">
        <v>0</v>
      </c>
      <c r="V1409" s="9">
        <v>1</v>
      </c>
      <c r="W1409" s="9">
        <v>0</v>
      </c>
      <c r="X1409" s="9">
        <v>1</v>
      </c>
      <c r="AE1409" s="9">
        <f>IFERROR(VLOOKUP($A1409,pivot!$A:$G,計算式2026!AE$1,FALSE),0)</f>
        <v>0</v>
      </c>
      <c r="AF1409" s="9">
        <f>IFERROR(VLOOKUP($A1409,pivot!$A:$I,計算式2026!AF$1,FALSE),0)</f>
        <v>0</v>
      </c>
      <c r="AI1409" s="9">
        <f>IFERROR(VLOOKUP($A1409,pivot!$A:$I,計算式2026!AI$1,FALSE),0)</f>
        <v>0</v>
      </c>
      <c r="AJ1409" s="9">
        <f>IFERROR(VLOOKUP($A1409,pivot!$A:$I,計算式2026!AJ$1,FALSE),0)</f>
        <v>0</v>
      </c>
      <c r="AK1409" s="9">
        <f>IFERROR(VLOOKUP($A1409,pivot!$A:$I,計算式2026!AK$1,FALSE),0)</f>
        <v>0</v>
      </c>
      <c r="AL1409" s="9">
        <f>IFERROR(VLOOKUP($A1409,pivot!$A:$I,計算式2026!AL$1,FALSE),0)</f>
        <v>0</v>
      </c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8"/>
      <c r="BG1409" s="8"/>
    </row>
    <row r="1410" spans="1:59" s="9" customFormat="1">
      <c r="A1410" s="8" t="s">
        <v>873</v>
      </c>
      <c r="B1410" s="8" t="s">
        <v>874</v>
      </c>
      <c r="C1410" s="9">
        <v>0</v>
      </c>
      <c r="D1410" s="9">
        <v>0</v>
      </c>
      <c r="E1410" s="9">
        <v>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1</v>
      </c>
      <c r="AE1410" s="9">
        <f>IFERROR(VLOOKUP($A1410,pivot!$A:$G,計算式2026!AE$1,FALSE),0)</f>
        <v>0</v>
      </c>
      <c r="AF1410" s="9">
        <f>IFERROR(VLOOKUP($A1410,pivot!$A:$I,計算式2026!AF$1,FALSE),0)</f>
        <v>0</v>
      </c>
      <c r="AI1410" s="9">
        <f>IFERROR(VLOOKUP($A1410,pivot!$A:$I,計算式2026!AI$1,FALSE),0)</f>
        <v>0</v>
      </c>
      <c r="AJ1410" s="9">
        <f>IFERROR(VLOOKUP($A1410,pivot!$A:$I,計算式2026!AJ$1,FALSE),0)</f>
        <v>0</v>
      </c>
      <c r="AK1410" s="9">
        <f>IFERROR(VLOOKUP($A1410,pivot!$A:$I,計算式2026!AK$1,FALSE),0)</f>
        <v>0</v>
      </c>
      <c r="AL1410" s="9">
        <f>IFERROR(VLOOKUP($A1410,pivot!$A:$I,計算式2026!AL$1,FALSE),0)</f>
        <v>0</v>
      </c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8"/>
      <c r="BG1410" s="8"/>
    </row>
    <row r="1411" spans="1:59" s="9" customFormat="1">
      <c r="A1411" s="8" t="s">
        <v>875</v>
      </c>
      <c r="B1411" s="8" t="s">
        <v>874</v>
      </c>
      <c r="C1411" s="9">
        <v>14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R1411" s="9">
        <v>0</v>
      </c>
      <c r="S1411" s="9">
        <v>0</v>
      </c>
      <c r="T1411" s="9">
        <v>1</v>
      </c>
      <c r="U1411" s="9">
        <v>0</v>
      </c>
      <c r="V1411" s="9">
        <v>0</v>
      </c>
      <c r="W1411" s="9">
        <v>0</v>
      </c>
      <c r="X1411" s="9">
        <v>2</v>
      </c>
      <c r="AE1411" s="9">
        <f>IFERROR(VLOOKUP($A1411,pivot!$A:$G,計算式2026!AE$1,FALSE),0)</f>
        <v>0</v>
      </c>
      <c r="AF1411" s="9">
        <f>IFERROR(VLOOKUP($A1411,pivot!$A:$I,計算式2026!AF$1,FALSE),0)</f>
        <v>0</v>
      </c>
      <c r="AI1411" s="9">
        <f>IFERROR(VLOOKUP($A1411,pivot!$A:$I,計算式2026!AI$1,FALSE),0)</f>
        <v>0</v>
      </c>
      <c r="AJ1411" s="9">
        <f>IFERROR(VLOOKUP($A1411,pivot!$A:$I,計算式2026!AJ$1,FALSE),0)</f>
        <v>0</v>
      </c>
      <c r="AK1411" s="9">
        <f>IFERROR(VLOOKUP($A1411,pivot!$A:$I,計算式2026!AK$1,FALSE),0)</f>
        <v>0</v>
      </c>
      <c r="AL1411" s="9">
        <f>IFERROR(VLOOKUP($A1411,pivot!$A:$I,計算式2026!AL$1,FALSE),0)</f>
        <v>0</v>
      </c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8"/>
      <c r="BG1411" s="8"/>
    </row>
    <row r="1412" spans="1:59" s="9" customFormat="1">
      <c r="A1412" s="8" t="s">
        <v>876</v>
      </c>
      <c r="B1412" s="8" t="s">
        <v>874</v>
      </c>
      <c r="C1412" s="9">
        <v>7</v>
      </c>
      <c r="D1412" s="9">
        <v>0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R1412" s="9">
        <v>0</v>
      </c>
      <c r="S1412" s="9">
        <v>0</v>
      </c>
      <c r="T1412" s="9">
        <v>1</v>
      </c>
      <c r="U1412" s="9">
        <v>0</v>
      </c>
      <c r="V1412" s="9">
        <v>0</v>
      </c>
      <c r="W1412" s="9">
        <v>0</v>
      </c>
      <c r="X1412" s="9">
        <v>1</v>
      </c>
      <c r="AE1412" s="9">
        <f>IFERROR(VLOOKUP($A1412,pivot!$A:$G,計算式2026!AE$1,FALSE),0)</f>
        <v>0</v>
      </c>
      <c r="AF1412" s="9">
        <f>IFERROR(VLOOKUP($A1412,pivot!$A:$I,計算式2026!AF$1,FALSE),0)</f>
        <v>0</v>
      </c>
      <c r="AI1412" s="9">
        <f>IFERROR(VLOOKUP($A1412,pivot!$A:$I,計算式2026!AI$1,FALSE),0)</f>
        <v>0</v>
      </c>
      <c r="AJ1412" s="9">
        <f>IFERROR(VLOOKUP($A1412,pivot!$A:$I,計算式2026!AJ$1,FALSE),0)</f>
        <v>0</v>
      </c>
      <c r="AK1412" s="9">
        <f>IFERROR(VLOOKUP($A1412,pivot!$A:$I,計算式2026!AK$1,FALSE),0)</f>
        <v>0</v>
      </c>
      <c r="AL1412" s="9">
        <f>IFERROR(VLOOKUP($A1412,pivot!$A:$I,計算式2026!AL$1,FALSE),0)</f>
        <v>0</v>
      </c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8"/>
      <c r="BG1412" s="8"/>
    </row>
    <row r="1413" spans="1:59" s="9" customFormat="1">
      <c r="A1413" s="8" t="s">
        <v>877</v>
      </c>
      <c r="B1413" s="8" t="s">
        <v>874</v>
      </c>
      <c r="C1413" s="9">
        <v>1</v>
      </c>
      <c r="D1413" s="9">
        <v>0</v>
      </c>
      <c r="E1413" s="9">
        <v>0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R1413" s="9">
        <v>0</v>
      </c>
      <c r="S1413" s="9">
        <v>0</v>
      </c>
      <c r="T1413" s="9">
        <v>1</v>
      </c>
      <c r="U1413" s="9">
        <v>0</v>
      </c>
      <c r="V1413" s="9">
        <v>0</v>
      </c>
      <c r="W1413" s="9">
        <v>0</v>
      </c>
      <c r="X1413" s="9">
        <v>1</v>
      </c>
      <c r="AE1413" s="9">
        <f>IFERROR(VLOOKUP($A1413,pivot!$A:$G,計算式2026!AE$1,FALSE),0)</f>
        <v>0</v>
      </c>
      <c r="AF1413" s="9">
        <f>IFERROR(VLOOKUP($A1413,pivot!$A:$I,計算式2026!AF$1,FALSE),0)</f>
        <v>0</v>
      </c>
      <c r="AI1413" s="9">
        <f>IFERROR(VLOOKUP($A1413,pivot!$A:$I,計算式2026!AI$1,FALSE),0)</f>
        <v>0</v>
      </c>
      <c r="AJ1413" s="9">
        <f>IFERROR(VLOOKUP($A1413,pivot!$A:$I,計算式2026!AJ$1,FALSE),0)</f>
        <v>0</v>
      </c>
      <c r="AK1413" s="9">
        <f>IFERROR(VLOOKUP($A1413,pivot!$A:$I,計算式2026!AK$1,FALSE),0)</f>
        <v>0</v>
      </c>
      <c r="AL1413" s="9">
        <f>IFERROR(VLOOKUP($A1413,pivot!$A:$I,計算式2026!AL$1,FALSE),0)</f>
        <v>0</v>
      </c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8"/>
      <c r="BG1413" s="8"/>
    </row>
    <row r="1414" spans="1:59" s="9" customFormat="1">
      <c r="A1414" s="8" t="s">
        <v>878</v>
      </c>
      <c r="B1414" s="8" t="s">
        <v>874</v>
      </c>
      <c r="C1414" s="9">
        <v>3</v>
      </c>
      <c r="D1414" s="9">
        <v>0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R1414" s="9">
        <v>0</v>
      </c>
      <c r="S1414" s="9">
        <v>0</v>
      </c>
      <c r="T1414" s="9">
        <v>1</v>
      </c>
      <c r="U1414" s="9">
        <v>0</v>
      </c>
      <c r="V1414" s="9">
        <v>0</v>
      </c>
      <c r="W1414" s="9">
        <v>0</v>
      </c>
      <c r="X1414" s="9">
        <v>1</v>
      </c>
      <c r="AE1414" s="9">
        <f>IFERROR(VLOOKUP($A1414,pivot!$A:$G,計算式2026!AE$1,FALSE),0)</f>
        <v>0</v>
      </c>
      <c r="AF1414" s="9">
        <f>IFERROR(VLOOKUP($A1414,pivot!$A:$I,計算式2026!AF$1,FALSE),0)</f>
        <v>0</v>
      </c>
      <c r="AI1414" s="9">
        <f>IFERROR(VLOOKUP($A1414,pivot!$A:$I,計算式2026!AI$1,FALSE),0)</f>
        <v>0</v>
      </c>
      <c r="AJ1414" s="9">
        <f>IFERROR(VLOOKUP($A1414,pivot!$A:$I,計算式2026!AJ$1,FALSE),0)</f>
        <v>0</v>
      </c>
      <c r="AK1414" s="9">
        <f>IFERROR(VLOOKUP($A1414,pivot!$A:$I,計算式2026!AK$1,FALSE),0)</f>
        <v>0</v>
      </c>
      <c r="AL1414" s="9">
        <f>IFERROR(VLOOKUP($A1414,pivot!$A:$I,計算式2026!AL$1,FALSE),0)</f>
        <v>0</v>
      </c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8"/>
      <c r="BG1414" s="8"/>
    </row>
    <row r="1415" spans="1:59" s="9" customFormat="1">
      <c r="A1415" s="8" t="s">
        <v>879</v>
      </c>
      <c r="B1415" s="8" t="s">
        <v>874</v>
      </c>
      <c r="C1415" s="9">
        <v>0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1</v>
      </c>
      <c r="AE1415" s="9">
        <f>IFERROR(VLOOKUP($A1415,pivot!$A:$G,計算式2026!AE$1,FALSE),0)</f>
        <v>0</v>
      </c>
      <c r="AF1415" s="9">
        <f>IFERROR(VLOOKUP($A1415,pivot!$A:$I,計算式2026!AF$1,FALSE),0)</f>
        <v>0</v>
      </c>
      <c r="AI1415" s="9">
        <f>IFERROR(VLOOKUP($A1415,pivot!$A:$I,計算式2026!AI$1,FALSE),0)</f>
        <v>0</v>
      </c>
      <c r="AJ1415" s="9">
        <f>IFERROR(VLOOKUP($A1415,pivot!$A:$I,計算式2026!AJ$1,FALSE),0)</f>
        <v>0</v>
      </c>
      <c r="AK1415" s="9">
        <f>IFERROR(VLOOKUP($A1415,pivot!$A:$I,計算式2026!AK$1,FALSE),0)</f>
        <v>0</v>
      </c>
      <c r="AL1415" s="9">
        <f>IFERROR(VLOOKUP($A1415,pivot!$A:$I,計算式2026!AL$1,FALSE),0)</f>
        <v>0</v>
      </c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  <c r="BB1415" s="8"/>
      <c r="BC1415" s="8"/>
      <c r="BD1415" s="8"/>
      <c r="BE1415" s="8"/>
      <c r="BF1415" s="8"/>
      <c r="BG1415" s="8"/>
    </row>
    <row r="1416" spans="1:59" s="9" customFormat="1">
      <c r="A1416" s="8" t="s">
        <v>880</v>
      </c>
      <c r="B1416" s="8" t="s">
        <v>881</v>
      </c>
      <c r="C1416" s="9">
        <v>0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R1416" s="9">
        <v>0</v>
      </c>
      <c r="S1416" s="9">
        <v>1</v>
      </c>
      <c r="T1416" s="9">
        <v>1</v>
      </c>
      <c r="U1416" s="9">
        <v>1</v>
      </c>
      <c r="V1416" s="9">
        <v>0</v>
      </c>
      <c r="W1416" s="9">
        <v>0</v>
      </c>
      <c r="X1416" s="9">
        <v>1</v>
      </c>
      <c r="AE1416" s="9">
        <f>IFERROR(VLOOKUP($A1416,pivot!$A:$G,計算式2026!AE$1,FALSE),0)</f>
        <v>0</v>
      </c>
      <c r="AF1416" s="9">
        <f>IFERROR(VLOOKUP($A1416,pivot!$A:$I,計算式2026!AF$1,FALSE),0)</f>
        <v>0</v>
      </c>
      <c r="AI1416" s="9">
        <f>IFERROR(VLOOKUP($A1416,pivot!$A:$I,計算式2026!AI$1,FALSE),0)</f>
        <v>0</v>
      </c>
      <c r="AJ1416" s="9">
        <f>IFERROR(VLOOKUP($A1416,pivot!$A:$I,計算式2026!AJ$1,FALSE),0)</f>
        <v>0</v>
      </c>
      <c r="AK1416" s="9">
        <f>IFERROR(VLOOKUP($A1416,pivot!$A:$I,計算式2026!AK$1,FALSE),0)</f>
        <v>0</v>
      </c>
      <c r="AL1416" s="9">
        <f>IFERROR(VLOOKUP($A1416,pivot!$A:$I,計算式2026!AL$1,FALSE),0)</f>
        <v>0</v>
      </c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8"/>
      <c r="BG1416" s="8"/>
    </row>
    <row r="1417" spans="1:59" s="9" customFormat="1">
      <c r="A1417" s="8" t="s">
        <v>882</v>
      </c>
      <c r="B1417" s="8" t="s">
        <v>881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R1417" s="9">
        <v>0</v>
      </c>
      <c r="S1417" s="9">
        <v>1</v>
      </c>
      <c r="T1417" s="9">
        <v>2</v>
      </c>
      <c r="U1417" s="9">
        <v>0</v>
      </c>
      <c r="V1417" s="9">
        <v>0</v>
      </c>
      <c r="W1417" s="9">
        <v>0</v>
      </c>
      <c r="X1417" s="9">
        <v>2</v>
      </c>
      <c r="AE1417" s="9">
        <f>IFERROR(VLOOKUP($A1417,pivot!$A:$G,計算式2026!AE$1,FALSE),0)</f>
        <v>0</v>
      </c>
      <c r="AF1417" s="9">
        <f>IFERROR(VLOOKUP($A1417,pivot!$A:$I,計算式2026!AF$1,FALSE),0)</f>
        <v>0</v>
      </c>
      <c r="AI1417" s="9">
        <f>IFERROR(VLOOKUP($A1417,pivot!$A:$I,計算式2026!AI$1,FALSE),0)</f>
        <v>0</v>
      </c>
      <c r="AJ1417" s="9">
        <f>IFERROR(VLOOKUP($A1417,pivot!$A:$I,計算式2026!AJ$1,FALSE),0)</f>
        <v>0</v>
      </c>
      <c r="AK1417" s="9">
        <f>IFERROR(VLOOKUP($A1417,pivot!$A:$I,計算式2026!AK$1,FALSE),0)</f>
        <v>0</v>
      </c>
      <c r="AL1417" s="9">
        <f>IFERROR(VLOOKUP($A1417,pivot!$A:$I,計算式2026!AL$1,FALSE),0)</f>
        <v>0</v>
      </c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8"/>
      <c r="BG1417" s="8"/>
    </row>
    <row r="1418" spans="1:59" s="9" customFormat="1">
      <c r="A1418" s="8" t="s">
        <v>883</v>
      </c>
      <c r="B1418" s="8" t="s">
        <v>881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R1418" s="9">
        <v>0</v>
      </c>
      <c r="S1418" s="9">
        <v>0</v>
      </c>
      <c r="T1418" s="9">
        <v>1</v>
      </c>
      <c r="U1418" s="9">
        <v>1</v>
      </c>
      <c r="V1418" s="9">
        <v>0</v>
      </c>
      <c r="W1418" s="9">
        <v>0</v>
      </c>
      <c r="X1418" s="9">
        <v>1</v>
      </c>
      <c r="AE1418" s="9">
        <f>IFERROR(VLOOKUP($A1418,pivot!$A:$G,計算式2026!AE$1,FALSE),0)</f>
        <v>0</v>
      </c>
      <c r="AF1418" s="9">
        <f>IFERROR(VLOOKUP($A1418,pivot!$A:$I,計算式2026!AF$1,FALSE),0)</f>
        <v>0</v>
      </c>
      <c r="AI1418" s="9">
        <f>IFERROR(VLOOKUP($A1418,pivot!$A:$I,計算式2026!AI$1,FALSE),0)</f>
        <v>0</v>
      </c>
      <c r="AJ1418" s="9">
        <f>IFERROR(VLOOKUP($A1418,pivot!$A:$I,計算式2026!AJ$1,FALSE),0)</f>
        <v>0</v>
      </c>
      <c r="AK1418" s="9">
        <f>IFERROR(VLOOKUP($A1418,pivot!$A:$I,計算式2026!AK$1,FALSE),0)</f>
        <v>0</v>
      </c>
      <c r="AL1418" s="9">
        <f>IFERROR(VLOOKUP($A1418,pivot!$A:$I,計算式2026!AL$1,FALSE),0)</f>
        <v>0</v>
      </c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  <c r="BB1418" s="8"/>
      <c r="BC1418" s="8"/>
      <c r="BD1418" s="8"/>
      <c r="BE1418" s="8"/>
      <c r="BF1418" s="8"/>
      <c r="BG1418" s="8"/>
    </row>
    <row r="1419" spans="1:59" s="9" customFormat="1">
      <c r="A1419" s="8" t="s">
        <v>884</v>
      </c>
      <c r="B1419" s="8" t="s">
        <v>881</v>
      </c>
      <c r="C1419" s="9">
        <v>0</v>
      </c>
      <c r="D1419" s="9">
        <v>0</v>
      </c>
      <c r="E1419" s="9">
        <v>0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R1419" s="9">
        <v>0</v>
      </c>
      <c r="S1419" s="9">
        <v>0</v>
      </c>
      <c r="T1419" s="9">
        <v>2</v>
      </c>
      <c r="U1419" s="9">
        <v>1</v>
      </c>
      <c r="V1419" s="9">
        <v>0</v>
      </c>
      <c r="W1419" s="9">
        <v>0</v>
      </c>
      <c r="X1419" s="9">
        <v>1</v>
      </c>
      <c r="AE1419" s="9">
        <f>IFERROR(VLOOKUP($A1419,pivot!$A:$G,計算式2026!AE$1,FALSE),0)</f>
        <v>0</v>
      </c>
      <c r="AF1419" s="9">
        <f>IFERROR(VLOOKUP($A1419,pivot!$A:$I,計算式2026!AF$1,FALSE),0)</f>
        <v>0</v>
      </c>
      <c r="AI1419" s="9">
        <f>IFERROR(VLOOKUP($A1419,pivot!$A:$I,計算式2026!AI$1,FALSE),0)</f>
        <v>0</v>
      </c>
      <c r="AJ1419" s="9">
        <f>IFERROR(VLOOKUP($A1419,pivot!$A:$I,計算式2026!AJ$1,FALSE),0)</f>
        <v>0</v>
      </c>
      <c r="AK1419" s="9">
        <f>IFERROR(VLOOKUP($A1419,pivot!$A:$I,計算式2026!AK$1,FALSE),0)</f>
        <v>0</v>
      </c>
      <c r="AL1419" s="9">
        <f>IFERROR(VLOOKUP($A1419,pivot!$A:$I,計算式2026!AL$1,FALSE),0)</f>
        <v>0</v>
      </c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8"/>
      <c r="BG1419" s="8"/>
    </row>
    <row r="1420" spans="1:59" s="9" customFormat="1">
      <c r="A1420" s="8" t="s">
        <v>2825</v>
      </c>
      <c r="B1420" s="8" t="s">
        <v>2639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1</v>
      </c>
      <c r="AE1420" s="9">
        <f>IFERROR(VLOOKUP($A1420,pivot!$A:$G,計算式2026!AE$1,FALSE),0)</f>
        <v>0</v>
      </c>
      <c r="AF1420" s="9">
        <f>IFERROR(VLOOKUP($A1420,pivot!$A:$I,計算式2026!AF$1,FALSE),0)</f>
        <v>0</v>
      </c>
      <c r="AI1420" s="9">
        <f>IFERROR(VLOOKUP($A1420,pivot!$A:$I,計算式2026!AI$1,FALSE),0)</f>
        <v>0</v>
      </c>
      <c r="AJ1420" s="9">
        <f>IFERROR(VLOOKUP($A1420,pivot!$A:$I,計算式2026!AJ$1,FALSE),0)</f>
        <v>0</v>
      </c>
      <c r="AK1420" s="9">
        <f>IFERROR(VLOOKUP($A1420,pivot!$A:$I,計算式2026!AK$1,FALSE),0)</f>
        <v>0</v>
      </c>
      <c r="AL1420" s="9">
        <f>IFERROR(VLOOKUP($A1420,pivot!$A:$I,計算式2026!AL$1,FALSE),0)</f>
        <v>0</v>
      </c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8"/>
      <c r="BG1420" s="8"/>
    </row>
    <row r="1421" spans="1:59" s="9" customFormat="1">
      <c r="A1421" s="8" t="s">
        <v>2826</v>
      </c>
      <c r="B1421" s="8" t="s">
        <v>2639</v>
      </c>
      <c r="C1421" s="9">
        <v>0</v>
      </c>
      <c r="D1421" s="9">
        <v>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1</v>
      </c>
      <c r="AE1421" s="9">
        <f>IFERROR(VLOOKUP($A1421,pivot!$A:$G,計算式2026!AE$1,FALSE),0)</f>
        <v>0</v>
      </c>
      <c r="AF1421" s="9">
        <f>IFERROR(VLOOKUP($A1421,pivot!$A:$I,計算式2026!AF$1,FALSE),0)</f>
        <v>0</v>
      </c>
      <c r="AI1421" s="9">
        <f>IFERROR(VLOOKUP($A1421,pivot!$A:$I,計算式2026!AI$1,FALSE),0)</f>
        <v>0</v>
      </c>
      <c r="AJ1421" s="9">
        <f>IFERROR(VLOOKUP($A1421,pivot!$A:$I,計算式2026!AJ$1,FALSE),0)</f>
        <v>0</v>
      </c>
      <c r="AK1421" s="9">
        <f>IFERROR(VLOOKUP($A1421,pivot!$A:$I,計算式2026!AK$1,FALSE),0)</f>
        <v>0</v>
      </c>
      <c r="AL1421" s="9">
        <f>IFERROR(VLOOKUP($A1421,pivot!$A:$I,計算式2026!AL$1,FALSE),0)</f>
        <v>0</v>
      </c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  <c r="BB1421" s="8"/>
      <c r="BC1421" s="8"/>
      <c r="BD1421" s="8"/>
      <c r="BE1421" s="8"/>
      <c r="BF1421" s="8"/>
      <c r="BG1421" s="8"/>
    </row>
    <row r="1422" spans="1:59" s="9" customFormat="1">
      <c r="A1422" s="8" t="s">
        <v>2827</v>
      </c>
      <c r="B1422" s="8" t="s">
        <v>2639</v>
      </c>
      <c r="C1422" s="9">
        <v>0</v>
      </c>
      <c r="D1422" s="9">
        <v>0</v>
      </c>
      <c r="E1422" s="9">
        <v>0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R1422" s="9">
        <v>0</v>
      </c>
      <c r="S1422" s="9">
        <v>3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AE1422" s="9">
        <f>IFERROR(VLOOKUP($A1422,pivot!$A:$G,計算式2026!AE$1,FALSE),0)</f>
        <v>0</v>
      </c>
      <c r="AF1422" s="9">
        <f>IFERROR(VLOOKUP($A1422,pivot!$A:$I,計算式2026!AF$1,FALSE),0)</f>
        <v>0</v>
      </c>
      <c r="AI1422" s="9">
        <f>IFERROR(VLOOKUP($A1422,pivot!$A:$I,計算式2026!AI$1,FALSE),0)</f>
        <v>0</v>
      </c>
      <c r="AJ1422" s="9">
        <f>IFERROR(VLOOKUP($A1422,pivot!$A:$I,計算式2026!AJ$1,FALSE),0)</f>
        <v>0</v>
      </c>
      <c r="AK1422" s="9">
        <f>IFERROR(VLOOKUP($A1422,pivot!$A:$I,計算式2026!AK$1,FALSE),0)</f>
        <v>0</v>
      </c>
      <c r="AL1422" s="9">
        <f>IFERROR(VLOOKUP($A1422,pivot!$A:$I,計算式2026!AL$1,FALSE),0)</f>
        <v>0</v>
      </c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  <c r="BB1422" s="8"/>
      <c r="BC1422" s="8"/>
      <c r="BD1422" s="8"/>
      <c r="BE1422" s="8"/>
      <c r="BF1422" s="8"/>
      <c r="BG1422" s="8"/>
    </row>
    <row r="1423" spans="1:59" s="9" customFormat="1">
      <c r="A1423" s="8" t="s">
        <v>2828</v>
      </c>
      <c r="B1423" s="8" t="s">
        <v>2639</v>
      </c>
      <c r="C1423" s="9">
        <v>0</v>
      </c>
      <c r="D1423" s="9">
        <v>0</v>
      </c>
      <c r="E1423" s="9">
        <v>0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1</v>
      </c>
      <c r="AE1423" s="9">
        <f>IFERROR(VLOOKUP($A1423,pivot!$A:$G,計算式2026!AE$1,FALSE),0)</f>
        <v>0</v>
      </c>
      <c r="AF1423" s="9">
        <f>IFERROR(VLOOKUP($A1423,pivot!$A:$I,計算式2026!AF$1,FALSE),0)</f>
        <v>0</v>
      </c>
      <c r="AI1423" s="9">
        <f>IFERROR(VLOOKUP($A1423,pivot!$A:$I,計算式2026!AI$1,FALSE),0)</f>
        <v>0</v>
      </c>
      <c r="AJ1423" s="9">
        <f>IFERROR(VLOOKUP($A1423,pivot!$A:$I,計算式2026!AJ$1,FALSE),0)</f>
        <v>0</v>
      </c>
      <c r="AK1423" s="9">
        <f>IFERROR(VLOOKUP($A1423,pivot!$A:$I,計算式2026!AK$1,FALSE),0)</f>
        <v>0</v>
      </c>
      <c r="AL1423" s="9">
        <f>IFERROR(VLOOKUP($A1423,pivot!$A:$I,計算式2026!AL$1,FALSE),0)</f>
        <v>0</v>
      </c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8"/>
      <c r="BG1423" s="8"/>
    </row>
    <row r="1424" spans="1:59" s="9" customFormat="1">
      <c r="A1424" s="8" t="s">
        <v>1497</v>
      </c>
      <c r="B1424" s="8" t="s">
        <v>2252</v>
      </c>
      <c r="C1424" s="9">
        <v>3</v>
      </c>
      <c r="D1424" s="9">
        <v>0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R1424" s="9">
        <v>1</v>
      </c>
      <c r="S1424" s="9">
        <v>1</v>
      </c>
      <c r="T1424" s="9">
        <v>1</v>
      </c>
      <c r="U1424" s="9">
        <v>0</v>
      </c>
      <c r="V1424" s="9">
        <v>1</v>
      </c>
      <c r="W1424" s="9">
        <v>0</v>
      </c>
      <c r="X1424" s="9">
        <v>1</v>
      </c>
      <c r="AE1424" s="9">
        <f>IFERROR(VLOOKUP($A1424,pivot!$A:$G,計算式2026!AE$1,FALSE),0)</f>
        <v>0</v>
      </c>
      <c r="AF1424" s="9">
        <f>IFERROR(VLOOKUP($A1424,pivot!$A:$I,計算式2026!AF$1,FALSE),0)</f>
        <v>0</v>
      </c>
      <c r="AI1424" s="9">
        <f>IFERROR(VLOOKUP($A1424,pivot!$A:$I,計算式2026!AI$1,FALSE),0)</f>
        <v>0</v>
      </c>
      <c r="AJ1424" s="9">
        <f>IFERROR(VLOOKUP($A1424,pivot!$A:$I,計算式2026!AJ$1,FALSE),0)</f>
        <v>0</v>
      </c>
      <c r="AK1424" s="9">
        <f>IFERROR(VLOOKUP($A1424,pivot!$A:$I,計算式2026!AK$1,FALSE),0)</f>
        <v>0</v>
      </c>
      <c r="AL1424" s="9">
        <f>IFERROR(VLOOKUP($A1424,pivot!$A:$I,計算式2026!AL$1,FALSE),0)</f>
        <v>0</v>
      </c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8"/>
      <c r="BG1424" s="8"/>
    </row>
    <row r="1425" spans="1:59" s="9" customFormat="1">
      <c r="A1425" s="8" t="s">
        <v>1498</v>
      </c>
      <c r="B1425" s="8" t="s">
        <v>2252</v>
      </c>
      <c r="C1425" s="9">
        <v>4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R1425" s="9">
        <v>1</v>
      </c>
      <c r="S1425" s="9">
        <v>1</v>
      </c>
      <c r="T1425" s="9">
        <v>1</v>
      </c>
      <c r="U1425" s="9">
        <v>0</v>
      </c>
      <c r="V1425" s="9">
        <v>1</v>
      </c>
      <c r="W1425" s="9">
        <v>0</v>
      </c>
      <c r="X1425" s="9">
        <v>1</v>
      </c>
      <c r="AE1425" s="9">
        <f>IFERROR(VLOOKUP($A1425,pivot!$A:$G,計算式2026!AE$1,FALSE),0)</f>
        <v>0</v>
      </c>
      <c r="AF1425" s="9">
        <f>IFERROR(VLOOKUP($A1425,pivot!$A:$I,計算式2026!AF$1,FALSE),0)</f>
        <v>0</v>
      </c>
      <c r="AI1425" s="9">
        <f>IFERROR(VLOOKUP($A1425,pivot!$A:$I,計算式2026!AI$1,FALSE),0)</f>
        <v>0</v>
      </c>
      <c r="AJ1425" s="9">
        <f>IFERROR(VLOOKUP($A1425,pivot!$A:$I,計算式2026!AJ$1,FALSE),0)</f>
        <v>0</v>
      </c>
      <c r="AK1425" s="9">
        <f>IFERROR(VLOOKUP($A1425,pivot!$A:$I,計算式2026!AK$1,FALSE),0)</f>
        <v>0</v>
      </c>
      <c r="AL1425" s="9">
        <f>IFERROR(VLOOKUP($A1425,pivot!$A:$I,計算式2026!AL$1,FALSE),0)</f>
        <v>0</v>
      </c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8"/>
      <c r="BG1425" s="8"/>
    </row>
    <row r="1426" spans="1:59" s="9" customFormat="1">
      <c r="A1426" s="8" t="s">
        <v>1499</v>
      </c>
      <c r="B1426" s="8" t="s">
        <v>2252</v>
      </c>
      <c r="C1426" s="9">
        <v>0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R1426" s="9">
        <v>2</v>
      </c>
      <c r="S1426" s="9">
        <v>2</v>
      </c>
      <c r="T1426" s="9">
        <v>1</v>
      </c>
      <c r="U1426" s="9">
        <v>0</v>
      </c>
      <c r="V1426" s="9">
        <v>1</v>
      </c>
      <c r="W1426" s="9">
        <v>0</v>
      </c>
      <c r="X1426" s="9">
        <v>1</v>
      </c>
      <c r="AE1426" s="9">
        <f>IFERROR(VLOOKUP($A1426,pivot!$A:$G,計算式2026!AE$1,FALSE),0)</f>
        <v>0</v>
      </c>
      <c r="AF1426" s="9">
        <f>IFERROR(VLOOKUP($A1426,pivot!$A:$I,計算式2026!AF$1,FALSE),0)</f>
        <v>0</v>
      </c>
      <c r="AI1426" s="9">
        <f>IFERROR(VLOOKUP($A1426,pivot!$A:$I,計算式2026!AI$1,FALSE),0)</f>
        <v>0</v>
      </c>
      <c r="AJ1426" s="9">
        <f>IFERROR(VLOOKUP($A1426,pivot!$A:$I,計算式2026!AJ$1,FALSE),0)</f>
        <v>0</v>
      </c>
      <c r="AK1426" s="9">
        <f>IFERROR(VLOOKUP($A1426,pivot!$A:$I,計算式2026!AK$1,FALSE),0)</f>
        <v>0</v>
      </c>
      <c r="AL1426" s="9">
        <f>IFERROR(VLOOKUP($A1426,pivot!$A:$I,計算式2026!AL$1,FALSE),0)</f>
        <v>0</v>
      </c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  <c r="BB1426" s="8"/>
      <c r="BC1426" s="8"/>
      <c r="BD1426" s="8"/>
      <c r="BE1426" s="8"/>
      <c r="BF1426" s="8"/>
      <c r="BG1426" s="8"/>
    </row>
    <row r="1427" spans="1:59" s="9" customFormat="1">
      <c r="A1427" s="8" t="s">
        <v>1500</v>
      </c>
      <c r="B1427" s="8" t="s">
        <v>2252</v>
      </c>
      <c r="C1427" s="9">
        <v>0</v>
      </c>
      <c r="D1427" s="9">
        <v>0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R1427" s="9">
        <v>1</v>
      </c>
      <c r="S1427" s="9">
        <v>1</v>
      </c>
      <c r="T1427" s="9">
        <v>1</v>
      </c>
      <c r="U1427" s="9">
        <v>0</v>
      </c>
      <c r="V1427" s="9">
        <v>0</v>
      </c>
      <c r="W1427" s="9">
        <v>0</v>
      </c>
      <c r="X1427" s="9">
        <v>1</v>
      </c>
      <c r="AE1427" s="9">
        <f>IFERROR(VLOOKUP($A1427,pivot!$A:$G,計算式2026!AE$1,FALSE),0)</f>
        <v>0</v>
      </c>
      <c r="AF1427" s="9">
        <f>IFERROR(VLOOKUP($A1427,pivot!$A:$I,計算式2026!AF$1,FALSE),0)</f>
        <v>0</v>
      </c>
      <c r="AI1427" s="9">
        <f>IFERROR(VLOOKUP($A1427,pivot!$A:$I,計算式2026!AI$1,FALSE),0)</f>
        <v>0</v>
      </c>
      <c r="AJ1427" s="9">
        <f>IFERROR(VLOOKUP($A1427,pivot!$A:$I,計算式2026!AJ$1,FALSE),0)</f>
        <v>0</v>
      </c>
      <c r="AK1427" s="9">
        <f>IFERROR(VLOOKUP($A1427,pivot!$A:$I,計算式2026!AK$1,FALSE),0)</f>
        <v>0</v>
      </c>
      <c r="AL1427" s="9">
        <f>IFERROR(VLOOKUP($A1427,pivot!$A:$I,計算式2026!AL$1,FALSE),0)</f>
        <v>0</v>
      </c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  <c r="BB1427" s="8"/>
      <c r="BC1427" s="8"/>
      <c r="BD1427" s="8"/>
      <c r="BE1427" s="8"/>
      <c r="BF1427" s="8"/>
      <c r="BG1427" s="8"/>
    </row>
    <row r="1428" spans="1:59" s="9" customFormat="1">
      <c r="A1428" s="8" t="s">
        <v>1501</v>
      </c>
      <c r="B1428" s="8" t="s">
        <v>2253</v>
      </c>
      <c r="C1428" s="9">
        <v>0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1</v>
      </c>
      <c r="AE1428" s="9">
        <f>IFERROR(VLOOKUP($A1428,pivot!$A:$G,計算式2026!AE$1,FALSE),0)</f>
        <v>0</v>
      </c>
      <c r="AF1428" s="9">
        <f>IFERROR(VLOOKUP($A1428,pivot!$A:$I,計算式2026!AF$1,FALSE),0)</f>
        <v>0</v>
      </c>
      <c r="AI1428" s="9">
        <f>IFERROR(VLOOKUP($A1428,pivot!$A:$I,計算式2026!AI$1,FALSE),0)</f>
        <v>0</v>
      </c>
      <c r="AJ1428" s="9">
        <f>IFERROR(VLOOKUP($A1428,pivot!$A:$I,計算式2026!AJ$1,FALSE),0)</f>
        <v>0</v>
      </c>
      <c r="AK1428" s="9">
        <f>IFERROR(VLOOKUP($A1428,pivot!$A:$I,計算式2026!AK$1,FALSE),0)</f>
        <v>0</v>
      </c>
      <c r="AL1428" s="9">
        <f>IFERROR(VLOOKUP($A1428,pivot!$A:$I,計算式2026!AL$1,FALSE),0)</f>
        <v>0</v>
      </c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8"/>
      <c r="BG1428" s="8"/>
    </row>
    <row r="1429" spans="1:59" s="9" customFormat="1">
      <c r="A1429" s="8" t="s">
        <v>1502</v>
      </c>
      <c r="B1429" s="8" t="s">
        <v>2253</v>
      </c>
      <c r="C1429" s="9">
        <v>1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1</v>
      </c>
      <c r="AE1429" s="9">
        <f>IFERROR(VLOOKUP($A1429,pivot!$A:$G,計算式2026!AE$1,FALSE),0)</f>
        <v>0</v>
      </c>
      <c r="AF1429" s="9">
        <f>IFERROR(VLOOKUP($A1429,pivot!$A:$I,計算式2026!AF$1,FALSE),0)</f>
        <v>0</v>
      </c>
      <c r="AI1429" s="9">
        <f>IFERROR(VLOOKUP($A1429,pivot!$A:$I,計算式2026!AI$1,FALSE),0)</f>
        <v>0</v>
      </c>
      <c r="AJ1429" s="9">
        <f>IFERROR(VLOOKUP($A1429,pivot!$A:$I,計算式2026!AJ$1,FALSE),0)</f>
        <v>0</v>
      </c>
      <c r="AK1429" s="9">
        <f>IFERROR(VLOOKUP($A1429,pivot!$A:$I,計算式2026!AK$1,FALSE),0)</f>
        <v>0</v>
      </c>
      <c r="AL1429" s="9">
        <f>IFERROR(VLOOKUP($A1429,pivot!$A:$I,計算式2026!AL$1,FALSE),0)</f>
        <v>0</v>
      </c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8"/>
      <c r="BG1429" s="8"/>
    </row>
    <row r="1430" spans="1:59" s="9" customFormat="1">
      <c r="A1430" s="8" t="s">
        <v>1503</v>
      </c>
      <c r="B1430" s="8" t="s">
        <v>2253</v>
      </c>
      <c r="C1430" s="9">
        <v>2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1</v>
      </c>
      <c r="AE1430" s="9">
        <f>IFERROR(VLOOKUP($A1430,pivot!$A:$G,計算式2026!AE$1,FALSE),0)</f>
        <v>0</v>
      </c>
      <c r="AF1430" s="9">
        <f>IFERROR(VLOOKUP($A1430,pivot!$A:$I,計算式2026!AF$1,FALSE),0)</f>
        <v>0</v>
      </c>
      <c r="AI1430" s="9">
        <f>IFERROR(VLOOKUP($A1430,pivot!$A:$I,計算式2026!AI$1,FALSE),0)</f>
        <v>0</v>
      </c>
      <c r="AJ1430" s="9">
        <f>IFERROR(VLOOKUP($A1430,pivot!$A:$I,計算式2026!AJ$1,FALSE),0)</f>
        <v>0</v>
      </c>
      <c r="AK1430" s="9">
        <f>IFERROR(VLOOKUP($A1430,pivot!$A:$I,計算式2026!AK$1,FALSE),0)</f>
        <v>0</v>
      </c>
      <c r="AL1430" s="9">
        <f>IFERROR(VLOOKUP($A1430,pivot!$A:$I,計算式2026!AL$1,FALSE),0)</f>
        <v>0</v>
      </c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8"/>
      <c r="BG1430" s="8"/>
    </row>
    <row r="1431" spans="1:59" s="9" customFormat="1">
      <c r="A1431" s="8" t="s">
        <v>1504</v>
      </c>
      <c r="B1431" s="8" t="s">
        <v>2253</v>
      </c>
      <c r="C1431" s="9">
        <v>1</v>
      </c>
      <c r="D1431" s="9">
        <v>0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1</v>
      </c>
      <c r="AE1431" s="9">
        <f>IFERROR(VLOOKUP($A1431,pivot!$A:$G,計算式2026!AE$1,FALSE),0)</f>
        <v>0</v>
      </c>
      <c r="AF1431" s="9">
        <f>IFERROR(VLOOKUP($A1431,pivot!$A:$I,計算式2026!AF$1,FALSE),0)</f>
        <v>0</v>
      </c>
      <c r="AI1431" s="9">
        <f>IFERROR(VLOOKUP($A1431,pivot!$A:$I,計算式2026!AI$1,FALSE),0)</f>
        <v>0</v>
      </c>
      <c r="AJ1431" s="9">
        <f>IFERROR(VLOOKUP($A1431,pivot!$A:$I,計算式2026!AJ$1,FALSE),0)</f>
        <v>0</v>
      </c>
      <c r="AK1431" s="9">
        <f>IFERROR(VLOOKUP($A1431,pivot!$A:$I,計算式2026!AK$1,FALSE),0)</f>
        <v>0</v>
      </c>
      <c r="AL1431" s="9">
        <f>IFERROR(VLOOKUP($A1431,pivot!$A:$I,計算式2026!AL$1,FALSE),0)</f>
        <v>0</v>
      </c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8"/>
      <c r="BG1431" s="8"/>
    </row>
    <row r="1432" spans="1:59" s="9" customFormat="1">
      <c r="A1432" s="8" t="s">
        <v>1505</v>
      </c>
      <c r="B1432" s="8" t="s">
        <v>2253</v>
      </c>
      <c r="C1432" s="9">
        <v>1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1</v>
      </c>
      <c r="AE1432" s="9">
        <f>IFERROR(VLOOKUP($A1432,pivot!$A:$G,計算式2026!AE$1,FALSE),0)</f>
        <v>0</v>
      </c>
      <c r="AF1432" s="9">
        <f>IFERROR(VLOOKUP($A1432,pivot!$A:$I,計算式2026!AF$1,FALSE),0)</f>
        <v>0</v>
      </c>
      <c r="AI1432" s="9">
        <f>IFERROR(VLOOKUP($A1432,pivot!$A:$I,計算式2026!AI$1,FALSE),0)</f>
        <v>0</v>
      </c>
      <c r="AJ1432" s="9">
        <f>IFERROR(VLOOKUP($A1432,pivot!$A:$I,計算式2026!AJ$1,FALSE),0)</f>
        <v>0</v>
      </c>
      <c r="AK1432" s="9">
        <f>IFERROR(VLOOKUP($A1432,pivot!$A:$I,計算式2026!AK$1,FALSE),0)</f>
        <v>0</v>
      </c>
      <c r="AL1432" s="9">
        <f>IFERROR(VLOOKUP($A1432,pivot!$A:$I,計算式2026!AL$1,FALSE),0)</f>
        <v>0</v>
      </c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  <c r="BB1432" s="8"/>
      <c r="BC1432" s="8"/>
      <c r="BD1432" s="8"/>
      <c r="BE1432" s="8"/>
      <c r="BF1432" s="8"/>
      <c r="BG1432" s="8"/>
    </row>
    <row r="1433" spans="1:59" s="9" customFormat="1">
      <c r="A1433" s="8" t="s">
        <v>2254</v>
      </c>
      <c r="B1433" s="8" t="s">
        <v>2255</v>
      </c>
      <c r="C1433" s="9">
        <v>1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AE1433" s="9">
        <f>IFERROR(VLOOKUP($A1433,pivot!$A:$G,計算式2026!AE$1,FALSE),0)</f>
        <v>0</v>
      </c>
      <c r="AF1433" s="9">
        <f>IFERROR(VLOOKUP($A1433,pivot!$A:$I,計算式2026!AF$1,FALSE),0)</f>
        <v>0</v>
      </c>
      <c r="AI1433" s="9">
        <f>IFERROR(VLOOKUP($A1433,pivot!$A:$I,計算式2026!AI$1,FALSE),0)</f>
        <v>0</v>
      </c>
      <c r="AJ1433" s="9">
        <f>IFERROR(VLOOKUP($A1433,pivot!$A:$I,計算式2026!AJ$1,FALSE),0)</f>
        <v>0</v>
      </c>
      <c r="AK1433" s="9">
        <f>IFERROR(VLOOKUP($A1433,pivot!$A:$I,計算式2026!AK$1,FALSE),0)</f>
        <v>0</v>
      </c>
      <c r="AL1433" s="9">
        <f>IFERROR(VLOOKUP($A1433,pivot!$A:$I,計算式2026!AL$1,FALSE),0)</f>
        <v>0</v>
      </c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  <c r="BB1433" s="8"/>
      <c r="BC1433" s="8"/>
      <c r="BD1433" s="8"/>
      <c r="BE1433" s="8"/>
      <c r="BF1433" s="8"/>
      <c r="BG1433" s="8"/>
    </row>
    <row r="1434" spans="1:59" s="9" customFormat="1">
      <c r="A1434" s="8" t="s">
        <v>2829</v>
      </c>
      <c r="B1434" s="8" t="s">
        <v>2255</v>
      </c>
      <c r="C1434" s="9">
        <v>1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AE1434" s="9">
        <f>IFERROR(VLOOKUP($A1434,pivot!$A:$G,計算式2026!AE$1,FALSE),0)</f>
        <v>0</v>
      </c>
      <c r="AF1434" s="9">
        <f>IFERROR(VLOOKUP($A1434,pivot!$A:$I,計算式2026!AF$1,FALSE),0)</f>
        <v>0</v>
      </c>
      <c r="AI1434" s="9">
        <f>IFERROR(VLOOKUP($A1434,pivot!$A:$I,計算式2026!AI$1,FALSE),0)</f>
        <v>0</v>
      </c>
      <c r="AJ1434" s="9">
        <f>IFERROR(VLOOKUP($A1434,pivot!$A:$I,計算式2026!AJ$1,FALSE),0)</f>
        <v>0</v>
      </c>
      <c r="AK1434" s="9">
        <f>IFERROR(VLOOKUP($A1434,pivot!$A:$I,計算式2026!AK$1,FALSE),0)</f>
        <v>0</v>
      </c>
      <c r="AL1434" s="9">
        <f>IFERROR(VLOOKUP($A1434,pivot!$A:$I,計算式2026!AL$1,FALSE),0)</f>
        <v>0</v>
      </c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8"/>
      <c r="BG1434" s="8"/>
    </row>
    <row r="1435" spans="1:59" s="9" customFormat="1">
      <c r="A1435" s="8" t="s">
        <v>1685</v>
      </c>
      <c r="B1435" s="8" t="s">
        <v>2256</v>
      </c>
      <c r="C1435" s="9">
        <v>5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R1435" s="9">
        <v>0</v>
      </c>
      <c r="S1435" s="9">
        <v>2</v>
      </c>
      <c r="T1435" s="9">
        <v>1</v>
      </c>
      <c r="U1435" s="9">
        <v>0</v>
      </c>
      <c r="V1435" s="9">
        <v>1</v>
      </c>
      <c r="W1435" s="9">
        <v>0</v>
      </c>
      <c r="X1435" s="9">
        <v>1</v>
      </c>
      <c r="AE1435" s="9">
        <f>IFERROR(VLOOKUP($A1435,pivot!$A:$G,計算式2026!AE$1,FALSE),0)</f>
        <v>0</v>
      </c>
      <c r="AF1435" s="9">
        <f>IFERROR(VLOOKUP($A1435,pivot!$A:$I,計算式2026!AF$1,FALSE),0)</f>
        <v>0</v>
      </c>
      <c r="AI1435" s="9">
        <f>IFERROR(VLOOKUP($A1435,pivot!$A:$I,計算式2026!AI$1,FALSE),0)</f>
        <v>0</v>
      </c>
      <c r="AJ1435" s="9">
        <f>IFERROR(VLOOKUP($A1435,pivot!$A:$I,計算式2026!AJ$1,FALSE),0)</f>
        <v>0</v>
      </c>
      <c r="AK1435" s="9">
        <f>IFERROR(VLOOKUP($A1435,pivot!$A:$I,計算式2026!AK$1,FALSE),0)</f>
        <v>0</v>
      </c>
      <c r="AL1435" s="9">
        <f>IFERROR(VLOOKUP($A1435,pivot!$A:$I,計算式2026!AL$1,FALSE),0)</f>
        <v>0</v>
      </c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8"/>
      <c r="BG1435" s="8"/>
    </row>
    <row r="1436" spans="1:59" s="9" customFormat="1">
      <c r="A1436" s="8" t="s">
        <v>1686</v>
      </c>
      <c r="B1436" s="8" t="s">
        <v>2256</v>
      </c>
      <c r="C1436" s="9">
        <v>6</v>
      </c>
      <c r="D1436" s="9">
        <v>6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R1436" s="9">
        <v>0</v>
      </c>
      <c r="S1436" s="9">
        <v>2</v>
      </c>
      <c r="T1436" s="9">
        <v>1</v>
      </c>
      <c r="U1436" s="9">
        <v>0</v>
      </c>
      <c r="V1436" s="9">
        <v>1</v>
      </c>
      <c r="W1436" s="9">
        <v>0</v>
      </c>
      <c r="X1436" s="9">
        <v>1</v>
      </c>
      <c r="AE1436" s="9">
        <f>IFERROR(VLOOKUP($A1436,pivot!$A:$G,計算式2026!AE$1,FALSE),0)</f>
        <v>0</v>
      </c>
      <c r="AF1436" s="9">
        <f>IFERROR(VLOOKUP($A1436,pivot!$A:$I,計算式2026!AF$1,FALSE),0)</f>
        <v>0</v>
      </c>
      <c r="AI1436" s="9">
        <f>IFERROR(VLOOKUP($A1436,pivot!$A:$I,計算式2026!AI$1,FALSE),0)</f>
        <v>0</v>
      </c>
      <c r="AJ1436" s="9">
        <f>IFERROR(VLOOKUP($A1436,pivot!$A:$I,計算式2026!AJ$1,FALSE),0)</f>
        <v>0</v>
      </c>
      <c r="AK1436" s="9">
        <f>IFERROR(VLOOKUP($A1436,pivot!$A:$I,計算式2026!AK$1,FALSE),0)</f>
        <v>0</v>
      </c>
      <c r="AL1436" s="9">
        <f>IFERROR(VLOOKUP($A1436,pivot!$A:$I,計算式2026!AL$1,FALSE),0)</f>
        <v>0</v>
      </c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8"/>
      <c r="BG1436" s="8"/>
    </row>
    <row r="1437" spans="1:59" s="9" customFormat="1">
      <c r="A1437" s="8" t="s">
        <v>1687</v>
      </c>
      <c r="B1437" s="8" t="s">
        <v>2256</v>
      </c>
      <c r="C1437" s="9">
        <v>6</v>
      </c>
      <c r="D1437" s="9">
        <v>1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R1437" s="9">
        <v>0</v>
      </c>
      <c r="S1437" s="9">
        <v>1</v>
      </c>
      <c r="T1437" s="9">
        <v>1</v>
      </c>
      <c r="U1437" s="9">
        <v>0</v>
      </c>
      <c r="V1437" s="9">
        <v>2</v>
      </c>
      <c r="W1437" s="9">
        <v>0</v>
      </c>
      <c r="X1437" s="9">
        <v>1</v>
      </c>
      <c r="AE1437" s="9">
        <f>IFERROR(VLOOKUP($A1437,pivot!$A:$G,計算式2026!AE$1,FALSE),0)</f>
        <v>0</v>
      </c>
      <c r="AF1437" s="9">
        <f>IFERROR(VLOOKUP($A1437,pivot!$A:$I,計算式2026!AF$1,FALSE),0)</f>
        <v>0</v>
      </c>
      <c r="AI1437" s="9">
        <f>IFERROR(VLOOKUP($A1437,pivot!$A:$I,計算式2026!AI$1,FALSE),0)</f>
        <v>0</v>
      </c>
      <c r="AJ1437" s="9">
        <f>IFERROR(VLOOKUP($A1437,pivot!$A:$I,計算式2026!AJ$1,FALSE),0)</f>
        <v>0</v>
      </c>
      <c r="AK1437" s="9">
        <f>IFERROR(VLOOKUP($A1437,pivot!$A:$I,計算式2026!AK$1,FALSE),0)</f>
        <v>0</v>
      </c>
      <c r="AL1437" s="9">
        <f>IFERROR(VLOOKUP($A1437,pivot!$A:$I,計算式2026!AL$1,FALSE),0)</f>
        <v>0</v>
      </c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8"/>
      <c r="BG1437" s="8"/>
    </row>
    <row r="1438" spans="1:59" s="9" customFormat="1">
      <c r="A1438" s="8" t="s">
        <v>1688</v>
      </c>
      <c r="B1438" s="8" t="s">
        <v>2256</v>
      </c>
      <c r="C1438" s="9">
        <v>11</v>
      </c>
      <c r="D1438" s="9">
        <v>4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R1438" s="9">
        <v>0</v>
      </c>
      <c r="S1438" s="9">
        <v>2</v>
      </c>
      <c r="T1438" s="9">
        <v>1</v>
      </c>
      <c r="U1438" s="9">
        <v>0</v>
      </c>
      <c r="V1438" s="9">
        <v>2</v>
      </c>
      <c r="W1438" s="9">
        <v>0</v>
      </c>
      <c r="X1438" s="9">
        <v>1</v>
      </c>
      <c r="AE1438" s="9">
        <f>IFERROR(VLOOKUP($A1438,pivot!$A:$G,計算式2026!AE$1,FALSE),0)</f>
        <v>0</v>
      </c>
      <c r="AF1438" s="9">
        <f>IFERROR(VLOOKUP($A1438,pivot!$A:$I,計算式2026!AF$1,FALSE),0)</f>
        <v>0</v>
      </c>
      <c r="AI1438" s="9">
        <f>IFERROR(VLOOKUP($A1438,pivot!$A:$I,計算式2026!AI$1,FALSE),0)</f>
        <v>0</v>
      </c>
      <c r="AJ1438" s="9">
        <f>IFERROR(VLOOKUP($A1438,pivot!$A:$I,計算式2026!AJ$1,FALSE),0)</f>
        <v>0</v>
      </c>
      <c r="AK1438" s="9">
        <f>IFERROR(VLOOKUP($A1438,pivot!$A:$I,計算式2026!AK$1,FALSE),0)</f>
        <v>0</v>
      </c>
      <c r="AL1438" s="9">
        <f>IFERROR(VLOOKUP($A1438,pivot!$A:$I,計算式2026!AL$1,FALSE),0)</f>
        <v>0</v>
      </c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8"/>
      <c r="BG1438" s="8"/>
    </row>
    <row r="1439" spans="1:59" s="9" customFormat="1">
      <c r="A1439" s="8" t="s">
        <v>1689</v>
      </c>
      <c r="B1439" s="8" t="s">
        <v>2257</v>
      </c>
      <c r="C1439" s="9">
        <v>10</v>
      </c>
      <c r="D1439" s="9">
        <v>0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R1439" s="9">
        <v>0</v>
      </c>
      <c r="S1439" s="9">
        <v>0</v>
      </c>
      <c r="T1439" s="9">
        <v>1</v>
      </c>
      <c r="U1439" s="9">
        <v>0</v>
      </c>
      <c r="V1439" s="9">
        <v>0</v>
      </c>
      <c r="W1439" s="9">
        <v>0</v>
      </c>
      <c r="X1439" s="9">
        <v>1</v>
      </c>
      <c r="AE1439" s="9">
        <f>IFERROR(VLOOKUP($A1439,pivot!$A:$G,計算式2026!AE$1,FALSE),0)</f>
        <v>0</v>
      </c>
      <c r="AF1439" s="9">
        <f>IFERROR(VLOOKUP($A1439,pivot!$A:$I,計算式2026!AF$1,FALSE),0)</f>
        <v>0</v>
      </c>
      <c r="AI1439" s="9">
        <f>IFERROR(VLOOKUP($A1439,pivot!$A:$I,計算式2026!AI$1,FALSE),0)</f>
        <v>0</v>
      </c>
      <c r="AJ1439" s="9">
        <f>IFERROR(VLOOKUP($A1439,pivot!$A:$I,計算式2026!AJ$1,FALSE),0)</f>
        <v>0</v>
      </c>
      <c r="AK1439" s="9">
        <f>IFERROR(VLOOKUP($A1439,pivot!$A:$I,計算式2026!AK$1,FALSE),0)</f>
        <v>0</v>
      </c>
      <c r="AL1439" s="9">
        <f>IFERROR(VLOOKUP($A1439,pivot!$A:$I,計算式2026!AL$1,FALSE),0)</f>
        <v>0</v>
      </c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  <c r="BB1439" s="8"/>
      <c r="BC1439" s="8"/>
      <c r="BD1439" s="8"/>
      <c r="BE1439" s="8"/>
      <c r="BF1439" s="8"/>
      <c r="BG1439" s="8"/>
    </row>
    <row r="1440" spans="1:59" s="9" customFormat="1">
      <c r="A1440" s="8" t="s">
        <v>1690</v>
      </c>
      <c r="B1440" s="8" t="s">
        <v>2257</v>
      </c>
      <c r="C1440" s="9">
        <v>9</v>
      </c>
      <c r="D1440" s="9">
        <v>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0</v>
      </c>
      <c r="R1440" s="9">
        <v>0</v>
      </c>
      <c r="S1440" s="9">
        <v>0</v>
      </c>
      <c r="T1440" s="9">
        <v>1</v>
      </c>
      <c r="U1440" s="9">
        <v>0</v>
      </c>
      <c r="V1440" s="9">
        <v>0</v>
      </c>
      <c r="W1440" s="9">
        <v>0</v>
      </c>
      <c r="X1440" s="9">
        <v>1</v>
      </c>
      <c r="AE1440" s="9">
        <f>IFERROR(VLOOKUP($A1440,pivot!$A:$G,計算式2026!AE$1,FALSE),0)</f>
        <v>0</v>
      </c>
      <c r="AF1440" s="9">
        <f>IFERROR(VLOOKUP($A1440,pivot!$A:$I,計算式2026!AF$1,FALSE),0)</f>
        <v>0</v>
      </c>
      <c r="AI1440" s="9">
        <f>IFERROR(VLOOKUP($A1440,pivot!$A:$I,計算式2026!AI$1,FALSE),0)</f>
        <v>0</v>
      </c>
      <c r="AJ1440" s="9">
        <f>IFERROR(VLOOKUP($A1440,pivot!$A:$I,計算式2026!AJ$1,FALSE),0)</f>
        <v>0</v>
      </c>
      <c r="AK1440" s="9">
        <f>IFERROR(VLOOKUP($A1440,pivot!$A:$I,計算式2026!AK$1,FALSE),0)</f>
        <v>0</v>
      </c>
      <c r="AL1440" s="9">
        <f>IFERROR(VLOOKUP($A1440,pivot!$A:$I,計算式2026!AL$1,FALSE),0)</f>
        <v>0</v>
      </c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  <c r="BB1440" s="8"/>
      <c r="BC1440" s="8"/>
      <c r="BD1440" s="8"/>
      <c r="BE1440" s="8"/>
      <c r="BF1440" s="8"/>
      <c r="BG1440" s="8"/>
    </row>
    <row r="1441" spans="1:59" s="9" customFormat="1">
      <c r="A1441" s="8" t="s">
        <v>1691</v>
      </c>
      <c r="B1441" s="8" t="s">
        <v>2257</v>
      </c>
      <c r="C1441" s="9">
        <v>7</v>
      </c>
      <c r="D1441" s="9">
        <v>13</v>
      </c>
      <c r="E1441" s="9">
        <v>0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R1441" s="9">
        <v>0</v>
      </c>
      <c r="S1441" s="9">
        <v>3</v>
      </c>
      <c r="T1441" s="9">
        <v>1</v>
      </c>
      <c r="U1441" s="9">
        <v>0</v>
      </c>
      <c r="V1441" s="9">
        <v>2</v>
      </c>
      <c r="W1441" s="9">
        <v>0</v>
      </c>
      <c r="X1441" s="9">
        <v>1</v>
      </c>
      <c r="AE1441" s="9">
        <f>IFERROR(VLOOKUP($A1441,pivot!$A:$G,計算式2026!AE$1,FALSE),0)</f>
        <v>0</v>
      </c>
      <c r="AF1441" s="9">
        <f>IFERROR(VLOOKUP($A1441,pivot!$A:$I,計算式2026!AF$1,FALSE),0)</f>
        <v>0</v>
      </c>
      <c r="AI1441" s="9">
        <f>IFERROR(VLOOKUP($A1441,pivot!$A:$I,計算式2026!AI$1,FALSE),0)</f>
        <v>0</v>
      </c>
      <c r="AJ1441" s="9">
        <f>IFERROR(VLOOKUP($A1441,pivot!$A:$I,計算式2026!AJ$1,FALSE),0)</f>
        <v>0</v>
      </c>
      <c r="AK1441" s="9">
        <f>IFERROR(VLOOKUP($A1441,pivot!$A:$I,計算式2026!AK$1,FALSE),0)</f>
        <v>0</v>
      </c>
      <c r="AL1441" s="9">
        <f>IFERROR(VLOOKUP($A1441,pivot!$A:$I,計算式2026!AL$1,FALSE),0)</f>
        <v>0</v>
      </c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8"/>
      <c r="BG1441" s="8"/>
    </row>
    <row r="1442" spans="1:59" s="9" customFormat="1">
      <c r="A1442" s="8" t="s">
        <v>1692</v>
      </c>
      <c r="B1442" s="8" t="s">
        <v>2257</v>
      </c>
      <c r="C1442" s="9">
        <v>12</v>
      </c>
      <c r="D1442" s="9">
        <v>8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R1442" s="9">
        <v>0</v>
      </c>
      <c r="S1442" s="9">
        <v>3</v>
      </c>
      <c r="T1442" s="9">
        <v>1</v>
      </c>
      <c r="U1442" s="9">
        <v>0</v>
      </c>
      <c r="V1442" s="9">
        <v>2</v>
      </c>
      <c r="W1442" s="9">
        <v>0</v>
      </c>
      <c r="X1442" s="9">
        <v>1</v>
      </c>
      <c r="AE1442" s="9">
        <f>IFERROR(VLOOKUP($A1442,pivot!$A:$G,計算式2026!AE$1,FALSE),0)</f>
        <v>0</v>
      </c>
      <c r="AF1442" s="9">
        <f>IFERROR(VLOOKUP($A1442,pivot!$A:$I,計算式2026!AF$1,FALSE),0)</f>
        <v>0</v>
      </c>
      <c r="AI1442" s="9">
        <f>IFERROR(VLOOKUP($A1442,pivot!$A:$I,計算式2026!AI$1,FALSE),0)</f>
        <v>0</v>
      </c>
      <c r="AJ1442" s="9">
        <f>IFERROR(VLOOKUP($A1442,pivot!$A:$I,計算式2026!AJ$1,FALSE),0)</f>
        <v>0</v>
      </c>
      <c r="AK1442" s="9">
        <f>IFERROR(VLOOKUP($A1442,pivot!$A:$I,計算式2026!AK$1,FALSE),0)</f>
        <v>0</v>
      </c>
      <c r="AL1442" s="9">
        <f>IFERROR(VLOOKUP($A1442,pivot!$A:$I,計算式2026!AL$1,FALSE),0)</f>
        <v>0</v>
      </c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8"/>
      <c r="BG1442" s="8"/>
    </row>
    <row r="1443" spans="1:59" s="9" customFormat="1">
      <c r="A1443" s="8" t="s">
        <v>1756</v>
      </c>
      <c r="B1443" s="8" t="s">
        <v>2258</v>
      </c>
      <c r="C1443" s="9">
        <v>0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1</v>
      </c>
      <c r="W1443" s="9">
        <v>0</v>
      </c>
      <c r="X1443" s="9">
        <v>1</v>
      </c>
      <c r="AE1443" s="9">
        <f>IFERROR(VLOOKUP($A1443,pivot!$A:$G,計算式2026!AE$1,FALSE),0)</f>
        <v>0</v>
      </c>
      <c r="AF1443" s="9">
        <f>IFERROR(VLOOKUP($A1443,pivot!$A:$I,計算式2026!AF$1,FALSE),0)</f>
        <v>0</v>
      </c>
      <c r="AI1443" s="9">
        <f>IFERROR(VLOOKUP($A1443,pivot!$A:$I,計算式2026!AI$1,FALSE),0)</f>
        <v>0</v>
      </c>
      <c r="AJ1443" s="9">
        <f>IFERROR(VLOOKUP($A1443,pivot!$A:$I,計算式2026!AJ$1,FALSE),0)</f>
        <v>0</v>
      </c>
      <c r="AK1443" s="9">
        <f>IFERROR(VLOOKUP($A1443,pivot!$A:$I,計算式2026!AK$1,FALSE),0)</f>
        <v>0</v>
      </c>
      <c r="AL1443" s="9">
        <f>IFERROR(VLOOKUP($A1443,pivot!$A:$I,計算式2026!AL$1,FALSE),0)</f>
        <v>0</v>
      </c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8"/>
      <c r="BG1443" s="8"/>
    </row>
    <row r="1444" spans="1:59" s="9" customFormat="1">
      <c r="A1444" s="8" t="s">
        <v>1757</v>
      </c>
      <c r="B1444" s="8" t="s">
        <v>2258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R1444" s="9">
        <v>0</v>
      </c>
      <c r="S1444" s="9">
        <v>0</v>
      </c>
      <c r="T1444" s="9">
        <v>1</v>
      </c>
      <c r="U1444" s="9">
        <v>0</v>
      </c>
      <c r="V1444" s="9">
        <v>1</v>
      </c>
      <c r="W1444" s="9">
        <v>0</v>
      </c>
      <c r="X1444" s="9">
        <v>0</v>
      </c>
      <c r="AE1444" s="9">
        <f>IFERROR(VLOOKUP($A1444,pivot!$A:$G,計算式2026!AE$1,FALSE),0)</f>
        <v>0</v>
      </c>
      <c r="AF1444" s="9">
        <f>IFERROR(VLOOKUP($A1444,pivot!$A:$I,計算式2026!AF$1,FALSE),0)</f>
        <v>0</v>
      </c>
      <c r="AI1444" s="9">
        <f>IFERROR(VLOOKUP($A1444,pivot!$A:$I,計算式2026!AI$1,FALSE),0)</f>
        <v>0</v>
      </c>
      <c r="AJ1444" s="9">
        <f>IFERROR(VLOOKUP($A1444,pivot!$A:$I,計算式2026!AJ$1,FALSE),0)</f>
        <v>0</v>
      </c>
      <c r="AK1444" s="9">
        <f>IFERROR(VLOOKUP($A1444,pivot!$A:$I,計算式2026!AK$1,FALSE),0)</f>
        <v>0</v>
      </c>
      <c r="AL1444" s="9">
        <f>IFERROR(VLOOKUP($A1444,pivot!$A:$I,計算式2026!AL$1,FALSE),0)</f>
        <v>0</v>
      </c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8"/>
      <c r="BG1444" s="8"/>
    </row>
    <row r="1445" spans="1:59" s="9" customFormat="1">
      <c r="A1445" s="8" t="s">
        <v>1693</v>
      </c>
      <c r="B1445" s="8" t="s">
        <v>2258</v>
      </c>
      <c r="C1445" s="9">
        <v>6</v>
      </c>
      <c r="D1445" s="9">
        <v>7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R1445" s="9">
        <v>0</v>
      </c>
      <c r="S1445" s="9">
        <v>2</v>
      </c>
      <c r="T1445" s="9">
        <v>1</v>
      </c>
      <c r="U1445" s="9">
        <v>0</v>
      </c>
      <c r="V1445" s="9">
        <v>2</v>
      </c>
      <c r="W1445" s="9">
        <v>0</v>
      </c>
      <c r="X1445" s="9">
        <v>1</v>
      </c>
      <c r="AE1445" s="9">
        <f>IFERROR(VLOOKUP($A1445,pivot!$A:$G,計算式2026!AE$1,FALSE),0)</f>
        <v>0</v>
      </c>
      <c r="AF1445" s="9">
        <f>IFERROR(VLOOKUP($A1445,pivot!$A:$I,計算式2026!AF$1,FALSE),0)</f>
        <v>0</v>
      </c>
      <c r="AI1445" s="9">
        <f>IFERROR(VLOOKUP($A1445,pivot!$A:$I,計算式2026!AI$1,FALSE),0)</f>
        <v>0</v>
      </c>
      <c r="AJ1445" s="9">
        <f>IFERROR(VLOOKUP($A1445,pivot!$A:$I,計算式2026!AJ$1,FALSE),0)</f>
        <v>0</v>
      </c>
      <c r="AK1445" s="9">
        <f>IFERROR(VLOOKUP($A1445,pivot!$A:$I,計算式2026!AK$1,FALSE),0)</f>
        <v>0</v>
      </c>
      <c r="AL1445" s="9">
        <f>IFERROR(VLOOKUP($A1445,pivot!$A:$I,計算式2026!AL$1,FALSE),0)</f>
        <v>0</v>
      </c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8"/>
      <c r="BG1445" s="8"/>
    </row>
    <row r="1446" spans="1:59" s="9" customFormat="1">
      <c r="A1446" s="8" t="s">
        <v>1694</v>
      </c>
      <c r="B1446" s="8" t="s">
        <v>2258</v>
      </c>
      <c r="C1446" s="9">
        <v>12</v>
      </c>
      <c r="D1446" s="9">
        <v>6</v>
      </c>
      <c r="E1446" s="9">
        <v>0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R1446" s="9">
        <v>0</v>
      </c>
      <c r="S1446" s="9">
        <v>2</v>
      </c>
      <c r="T1446" s="9">
        <v>1</v>
      </c>
      <c r="U1446" s="9">
        <v>0</v>
      </c>
      <c r="V1446" s="9">
        <v>2</v>
      </c>
      <c r="W1446" s="9">
        <v>0</v>
      </c>
      <c r="X1446" s="9">
        <v>1</v>
      </c>
      <c r="AE1446" s="9">
        <f>IFERROR(VLOOKUP($A1446,pivot!$A:$G,計算式2026!AE$1,FALSE),0)</f>
        <v>0</v>
      </c>
      <c r="AF1446" s="9">
        <f>IFERROR(VLOOKUP($A1446,pivot!$A:$I,計算式2026!AF$1,FALSE),0)</f>
        <v>0</v>
      </c>
      <c r="AI1446" s="9">
        <f>IFERROR(VLOOKUP($A1446,pivot!$A:$I,計算式2026!AI$1,FALSE),0)</f>
        <v>0</v>
      </c>
      <c r="AJ1446" s="9">
        <f>IFERROR(VLOOKUP($A1446,pivot!$A:$I,計算式2026!AJ$1,FALSE),0)</f>
        <v>0</v>
      </c>
      <c r="AK1446" s="9">
        <f>IFERROR(VLOOKUP($A1446,pivot!$A:$I,計算式2026!AK$1,FALSE),0)</f>
        <v>0</v>
      </c>
      <c r="AL1446" s="9">
        <f>IFERROR(VLOOKUP($A1446,pivot!$A:$I,計算式2026!AL$1,FALSE),0)</f>
        <v>0</v>
      </c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  <c r="BB1446" s="8"/>
      <c r="BC1446" s="8"/>
      <c r="BD1446" s="8"/>
      <c r="BE1446" s="8"/>
      <c r="BF1446" s="8"/>
      <c r="BG1446" s="8"/>
    </row>
    <row r="1447" spans="1:59" s="9" customFormat="1">
      <c r="A1447" s="8" t="s">
        <v>2259</v>
      </c>
      <c r="B1447" s="8" t="s">
        <v>2258</v>
      </c>
      <c r="C1447" s="9">
        <v>0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R1447" s="9">
        <v>0</v>
      </c>
      <c r="S1447" s="9">
        <v>1</v>
      </c>
      <c r="T1447" s="9">
        <v>1</v>
      </c>
      <c r="U1447" s="9">
        <v>0</v>
      </c>
      <c r="V1447" s="9">
        <v>1</v>
      </c>
      <c r="W1447" s="9">
        <v>0</v>
      </c>
      <c r="X1447" s="9">
        <v>1</v>
      </c>
      <c r="AE1447" s="9">
        <f>IFERROR(VLOOKUP($A1447,pivot!$A:$G,計算式2026!AE$1,FALSE),0)</f>
        <v>0</v>
      </c>
      <c r="AF1447" s="9">
        <f>IFERROR(VLOOKUP($A1447,pivot!$A:$I,計算式2026!AF$1,FALSE),0)</f>
        <v>0</v>
      </c>
      <c r="AI1447" s="9">
        <f>IFERROR(VLOOKUP($A1447,pivot!$A:$I,計算式2026!AI$1,FALSE),0)</f>
        <v>0</v>
      </c>
      <c r="AJ1447" s="9">
        <f>IFERROR(VLOOKUP($A1447,pivot!$A:$I,計算式2026!AJ$1,FALSE),0)</f>
        <v>0</v>
      </c>
      <c r="AK1447" s="9">
        <f>IFERROR(VLOOKUP($A1447,pivot!$A:$I,計算式2026!AK$1,FALSE),0)</f>
        <v>0</v>
      </c>
      <c r="AL1447" s="9">
        <f>IFERROR(VLOOKUP($A1447,pivot!$A:$I,計算式2026!AL$1,FALSE),0)</f>
        <v>0</v>
      </c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  <c r="BB1447" s="8"/>
      <c r="BC1447" s="8"/>
      <c r="BD1447" s="8"/>
      <c r="BE1447" s="8"/>
      <c r="BF1447" s="8"/>
      <c r="BG1447" s="8"/>
    </row>
    <row r="1448" spans="1:59" s="9" customFormat="1">
      <c r="A1448" s="8" t="s">
        <v>2260</v>
      </c>
      <c r="B1448" s="8" t="s">
        <v>2258</v>
      </c>
      <c r="C1448" s="9">
        <v>2</v>
      </c>
      <c r="D1448" s="9">
        <v>0</v>
      </c>
      <c r="E1448" s="9">
        <v>0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R1448" s="9">
        <v>0</v>
      </c>
      <c r="S1448" s="9">
        <v>1</v>
      </c>
      <c r="T1448" s="9">
        <v>1</v>
      </c>
      <c r="U1448" s="9">
        <v>0</v>
      </c>
      <c r="V1448" s="9">
        <v>1</v>
      </c>
      <c r="W1448" s="9">
        <v>0</v>
      </c>
      <c r="X1448" s="9">
        <v>1</v>
      </c>
      <c r="AE1448" s="9">
        <f>IFERROR(VLOOKUP($A1448,pivot!$A:$G,計算式2026!AE$1,FALSE),0)</f>
        <v>0</v>
      </c>
      <c r="AF1448" s="9">
        <f>IFERROR(VLOOKUP($A1448,pivot!$A:$I,計算式2026!AF$1,FALSE),0)</f>
        <v>0</v>
      </c>
      <c r="AI1448" s="9">
        <f>IFERROR(VLOOKUP($A1448,pivot!$A:$I,計算式2026!AI$1,FALSE),0)</f>
        <v>0</v>
      </c>
      <c r="AJ1448" s="9">
        <f>IFERROR(VLOOKUP($A1448,pivot!$A:$I,計算式2026!AJ$1,FALSE),0)</f>
        <v>0</v>
      </c>
      <c r="AK1448" s="9">
        <f>IFERROR(VLOOKUP($A1448,pivot!$A:$I,計算式2026!AK$1,FALSE),0)</f>
        <v>0</v>
      </c>
      <c r="AL1448" s="9">
        <f>IFERROR(VLOOKUP($A1448,pivot!$A:$I,計算式2026!AL$1,FALSE),0)</f>
        <v>0</v>
      </c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8"/>
      <c r="BG1448" s="8"/>
    </row>
    <row r="1449" spans="1:59" s="9" customFormat="1">
      <c r="A1449" s="8" t="s">
        <v>1695</v>
      </c>
      <c r="B1449" s="8" t="s">
        <v>2261</v>
      </c>
      <c r="C1449" s="9">
        <v>11</v>
      </c>
      <c r="D1449" s="9">
        <v>11</v>
      </c>
      <c r="E1449" s="9">
        <v>0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R1449" s="9">
        <v>0</v>
      </c>
      <c r="S1449" s="9">
        <v>2</v>
      </c>
      <c r="T1449" s="9">
        <v>2</v>
      </c>
      <c r="U1449" s="9">
        <v>0</v>
      </c>
      <c r="V1449" s="9">
        <v>2</v>
      </c>
      <c r="W1449" s="9">
        <v>0</v>
      </c>
      <c r="X1449" s="9">
        <v>1</v>
      </c>
      <c r="AE1449" s="9">
        <f>IFERROR(VLOOKUP($A1449,pivot!$A:$G,計算式2026!AE$1,FALSE),0)</f>
        <v>0</v>
      </c>
      <c r="AF1449" s="9">
        <f>IFERROR(VLOOKUP($A1449,pivot!$A:$I,計算式2026!AF$1,FALSE),0)</f>
        <v>0</v>
      </c>
      <c r="AI1449" s="9">
        <f>IFERROR(VLOOKUP($A1449,pivot!$A:$I,計算式2026!AI$1,FALSE),0)</f>
        <v>0</v>
      </c>
      <c r="AJ1449" s="9">
        <f>IFERROR(VLOOKUP($A1449,pivot!$A:$I,計算式2026!AJ$1,FALSE),0)</f>
        <v>0</v>
      </c>
      <c r="AK1449" s="9">
        <f>IFERROR(VLOOKUP($A1449,pivot!$A:$I,計算式2026!AK$1,FALSE),0)</f>
        <v>0</v>
      </c>
      <c r="AL1449" s="9">
        <f>IFERROR(VLOOKUP($A1449,pivot!$A:$I,計算式2026!AL$1,FALSE),0)</f>
        <v>0</v>
      </c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  <c r="BB1449" s="8"/>
      <c r="BC1449" s="8"/>
      <c r="BD1449" s="8"/>
      <c r="BE1449" s="8"/>
      <c r="BF1449" s="8"/>
      <c r="BG1449" s="8"/>
    </row>
    <row r="1450" spans="1:59" s="9" customFormat="1">
      <c r="A1450" s="8" t="s">
        <v>1758</v>
      </c>
      <c r="B1450" s="8" t="s">
        <v>2261</v>
      </c>
      <c r="C1450" s="9">
        <v>7</v>
      </c>
      <c r="D1450" s="9">
        <v>6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R1450" s="9">
        <v>0</v>
      </c>
      <c r="S1450" s="9">
        <v>2</v>
      </c>
      <c r="T1450" s="9">
        <v>1</v>
      </c>
      <c r="U1450" s="9">
        <v>0</v>
      </c>
      <c r="V1450" s="9">
        <v>2</v>
      </c>
      <c r="W1450" s="9">
        <v>0</v>
      </c>
      <c r="X1450" s="9">
        <v>1</v>
      </c>
      <c r="AE1450" s="9">
        <f>IFERROR(VLOOKUP($A1450,pivot!$A:$G,計算式2026!AE$1,FALSE),0)</f>
        <v>0</v>
      </c>
      <c r="AF1450" s="9">
        <f>IFERROR(VLOOKUP($A1450,pivot!$A:$I,計算式2026!AF$1,FALSE),0)</f>
        <v>0</v>
      </c>
      <c r="AI1450" s="9">
        <f>IFERROR(VLOOKUP($A1450,pivot!$A:$I,計算式2026!AI$1,FALSE),0)</f>
        <v>0</v>
      </c>
      <c r="AJ1450" s="9">
        <f>IFERROR(VLOOKUP($A1450,pivot!$A:$I,計算式2026!AJ$1,FALSE),0)</f>
        <v>0</v>
      </c>
      <c r="AK1450" s="9">
        <f>IFERROR(VLOOKUP($A1450,pivot!$A:$I,計算式2026!AK$1,FALSE),0)</f>
        <v>0</v>
      </c>
      <c r="AL1450" s="9">
        <f>IFERROR(VLOOKUP($A1450,pivot!$A:$I,計算式2026!AL$1,FALSE),0)</f>
        <v>0</v>
      </c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8"/>
      <c r="BG1450" s="8"/>
    </row>
    <row r="1451" spans="1:59" s="9" customFormat="1">
      <c r="A1451" s="8" t="s">
        <v>1696</v>
      </c>
      <c r="B1451" s="8" t="s">
        <v>2261</v>
      </c>
      <c r="C1451" s="9">
        <v>7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1</v>
      </c>
      <c r="AE1451" s="9">
        <f>IFERROR(VLOOKUP($A1451,pivot!$A:$G,計算式2026!AE$1,FALSE),0)</f>
        <v>0</v>
      </c>
      <c r="AF1451" s="9">
        <f>IFERROR(VLOOKUP($A1451,pivot!$A:$I,計算式2026!AF$1,FALSE),0)</f>
        <v>0</v>
      </c>
      <c r="AI1451" s="9">
        <f>IFERROR(VLOOKUP($A1451,pivot!$A:$I,計算式2026!AI$1,FALSE),0)</f>
        <v>0</v>
      </c>
      <c r="AJ1451" s="9">
        <f>IFERROR(VLOOKUP($A1451,pivot!$A:$I,計算式2026!AJ$1,FALSE),0)</f>
        <v>0</v>
      </c>
      <c r="AK1451" s="9">
        <f>IFERROR(VLOOKUP($A1451,pivot!$A:$I,計算式2026!AK$1,FALSE),0)</f>
        <v>0</v>
      </c>
      <c r="AL1451" s="9">
        <f>IFERROR(VLOOKUP($A1451,pivot!$A:$I,計算式2026!AL$1,FALSE),0)</f>
        <v>0</v>
      </c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8"/>
      <c r="BG1451" s="8"/>
    </row>
    <row r="1452" spans="1:59" s="9" customFormat="1">
      <c r="A1452" s="8" t="s">
        <v>1759</v>
      </c>
      <c r="B1452" s="8" t="s">
        <v>2261</v>
      </c>
      <c r="C1452" s="9">
        <v>5</v>
      </c>
      <c r="D1452" s="9">
        <v>0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R1452" s="9">
        <v>0</v>
      </c>
      <c r="S1452" s="9">
        <v>0</v>
      </c>
      <c r="T1452" s="9">
        <v>1</v>
      </c>
      <c r="U1452" s="9">
        <v>0</v>
      </c>
      <c r="V1452" s="9">
        <v>0</v>
      </c>
      <c r="W1452" s="9">
        <v>0</v>
      </c>
      <c r="X1452" s="9">
        <v>1</v>
      </c>
      <c r="AE1452" s="9">
        <f>IFERROR(VLOOKUP($A1452,pivot!$A:$G,計算式2026!AE$1,FALSE),0)</f>
        <v>0</v>
      </c>
      <c r="AF1452" s="9">
        <f>IFERROR(VLOOKUP($A1452,pivot!$A:$I,計算式2026!AF$1,FALSE),0)</f>
        <v>0</v>
      </c>
      <c r="AI1452" s="9">
        <f>IFERROR(VLOOKUP($A1452,pivot!$A:$I,計算式2026!AI$1,FALSE),0)</f>
        <v>0</v>
      </c>
      <c r="AJ1452" s="9">
        <f>IFERROR(VLOOKUP($A1452,pivot!$A:$I,計算式2026!AJ$1,FALSE),0)</f>
        <v>0</v>
      </c>
      <c r="AK1452" s="9">
        <f>IFERROR(VLOOKUP($A1452,pivot!$A:$I,計算式2026!AK$1,FALSE),0)</f>
        <v>0</v>
      </c>
      <c r="AL1452" s="9">
        <f>IFERROR(VLOOKUP($A1452,pivot!$A:$I,計算式2026!AL$1,FALSE),0)</f>
        <v>0</v>
      </c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  <c r="BB1452" s="8"/>
      <c r="BC1452" s="8"/>
      <c r="BD1452" s="8"/>
      <c r="BE1452" s="8"/>
      <c r="BF1452" s="8"/>
      <c r="BG1452" s="8"/>
    </row>
    <row r="1453" spans="1:59" s="9" customFormat="1">
      <c r="A1453" s="8" t="s">
        <v>1697</v>
      </c>
      <c r="B1453" s="8" t="s">
        <v>2262</v>
      </c>
      <c r="C1453" s="9">
        <v>10</v>
      </c>
      <c r="D1453" s="9">
        <v>0</v>
      </c>
      <c r="E1453" s="9">
        <v>0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R1453" s="9">
        <v>0</v>
      </c>
      <c r="S1453" s="9">
        <v>3</v>
      </c>
      <c r="T1453" s="9">
        <v>1</v>
      </c>
      <c r="U1453" s="9">
        <v>0</v>
      </c>
      <c r="V1453" s="9">
        <v>3</v>
      </c>
      <c r="W1453" s="9">
        <v>0</v>
      </c>
      <c r="X1453" s="9">
        <v>1</v>
      </c>
      <c r="AE1453" s="9">
        <f>IFERROR(VLOOKUP($A1453,pivot!$A:$G,計算式2026!AE$1,FALSE),0)</f>
        <v>0</v>
      </c>
      <c r="AF1453" s="9">
        <f>IFERROR(VLOOKUP($A1453,pivot!$A:$I,計算式2026!AF$1,FALSE),0)</f>
        <v>0</v>
      </c>
      <c r="AI1453" s="9">
        <f>IFERROR(VLOOKUP($A1453,pivot!$A:$I,計算式2026!AI$1,FALSE),0)</f>
        <v>0</v>
      </c>
      <c r="AJ1453" s="9">
        <f>IFERROR(VLOOKUP($A1453,pivot!$A:$I,計算式2026!AJ$1,FALSE),0)</f>
        <v>0</v>
      </c>
      <c r="AK1453" s="9">
        <f>IFERROR(VLOOKUP($A1453,pivot!$A:$I,計算式2026!AK$1,FALSE),0)</f>
        <v>0</v>
      </c>
      <c r="AL1453" s="9">
        <f>IFERROR(VLOOKUP($A1453,pivot!$A:$I,計算式2026!AL$1,FALSE),0)</f>
        <v>0</v>
      </c>
      <c r="AR1453" s="8"/>
      <c r="AS1453" s="8"/>
      <c r="AT1453" s="8"/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8"/>
      <c r="BG1453" s="8"/>
    </row>
    <row r="1454" spans="1:59" s="9" customFormat="1">
      <c r="A1454" s="8" t="s">
        <v>1698</v>
      </c>
      <c r="B1454" s="8" t="s">
        <v>2262</v>
      </c>
      <c r="C1454" s="9">
        <v>13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R1454" s="9">
        <v>0</v>
      </c>
      <c r="S1454" s="9">
        <v>2</v>
      </c>
      <c r="T1454" s="9">
        <v>1</v>
      </c>
      <c r="U1454" s="9">
        <v>0</v>
      </c>
      <c r="V1454" s="9">
        <v>2</v>
      </c>
      <c r="W1454" s="9">
        <v>0</v>
      </c>
      <c r="X1454" s="9">
        <v>1</v>
      </c>
      <c r="AE1454" s="9">
        <f>IFERROR(VLOOKUP($A1454,pivot!$A:$G,計算式2026!AE$1,FALSE),0)</f>
        <v>0</v>
      </c>
      <c r="AF1454" s="9">
        <f>IFERROR(VLOOKUP($A1454,pivot!$A:$I,計算式2026!AF$1,FALSE),0)</f>
        <v>0</v>
      </c>
      <c r="AI1454" s="9">
        <f>IFERROR(VLOOKUP($A1454,pivot!$A:$I,計算式2026!AI$1,FALSE),0)</f>
        <v>0</v>
      </c>
      <c r="AJ1454" s="9">
        <f>IFERROR(VLOOKUP($A1454,pivot!$A:$I,計算式2026!AJ$1,FALSE),0)</f>
        <v>0</v>
      </c>
      <c r="AK1454" s="9">
        <f>IFERROR(VLOOKUP($A1454,pivot!$A:$I,計算式2026!AK$1,FALSE),0)</f>
        <v>0</v>
      </c>
      <c r="AL1454" s="9">
        <f>IFERROR(VLOOKUP($A1454,pivot!$A:$I,計算式2026!AL$1,FALSE),0)</f>
        <v>0</v>
      </c>
      <c r="AR1454" s="8"/>
      <c r="AS1454" s="8"/>
      <c r="AT1454" s="8"/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8"/>
      <c r="BG1454" s="8"/>
    </row>
    <row r="1455" spans="1:59" s="9" customFormat="1">
      <c r="A1455" s="8" t="s">
        <v>2263</v>
      </c>
      <c r="B1455" s="8" t="s">
        <v>2262</v>
      </c>
      <c r="C1455" s="9">
        <v>1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R1455" s="9">
        <v>0</v>
      </c>
      <c r="S1455" s="9">
        <v>0</v>
      </c>
      <c r="T1455" s="9">
        <v>1</v>
      </c>
      <c r="U1455" s="9">
        <v>0</v>
      </c>
      <c r="V1455" s="9">
        <v>0</v>
      </c>
      <c r="W1455" s="9">
        <v>0</v>
      </c>
      <c r="X1455" s="9">
        <v>1</v>
      </c>
      <c r="AE1455" s="9">
        <f>IFERROR(VLOOKUP($A1455,pivot!$A:$G,計算式2026!AE$1,FALSE),0)</f>
        <v>0</v>
      </c>
      <c r="AF1455" s="9">
        <f>IFERROR(VLOOKUP($A1455,pivot!$A:$I,計算式2026!AF$1,FALSE),0)</f>
        <v>0</v>
      </c>
      <c r="AI1455" s="9">
        <f>IFERROR(VLOOKUP($A1455,pivot!$A:$I,計算式2026!AI$1,FALSE),0)</f>
        <v>0</v>
      </c>
      <c r="AJ1455" s="9">
        <f>IFERROR(VLOOKUP($A1455,pivot!$A:$I,計算式2026!AJ$1,FALSE),0)</f>
        <v>0</v>
      </c>
      <c r="AK1455" s="9">
        <f>IFERROR(VLOOKUP($A1455,pivot!$A:$I,計算式2026!AK$1,FALSE),0)</f>
        <v>0</v>
      </c>
      <c r="AL1455" s="9">
        <f>IFERROR(VLOOKUP($A1455,pivot!$A:$I,計算式2026!AL$1,FALSE),0)</f>
        <v>0</v>
      </c>
      <c r="AR1455" s="8"/>
      <c r="AS1455" s="8"/>
      <c r="AT1455" s="8"/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8"/>
      <c r="BG1455" s="8"/>
    </row>
    <row r="1456" spans="1:59" s="9" customFormat="1">
      <c r="A1456" s="8" t="s">
        <v>2264</v>
      </c>
      <c r="B1456" s="8" t="s">
        <v>2262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R1456" s="9">
        <v>0</v>
      </c>
      <c r="S1456" s="9">
        <v>0</v>
      </c>
      <c r="T1456" s="9">
        <v>1</v>
      </c>
      <c r="U1456" s="9">
        <v>0</v>
      </c>
      <c r="V1456" s="9">
        <v>0</v>
      </c>
      <c r="W1456" s="9">
        <v>0</v>
      </c>
      <c r="X1456" s="9">
        <v>1</v>
      </c>
      <c r="AE1456" s="9">
        <f>IFERROR(VLOOKUP($A1456,pivot!$A:$G,計算式2026!AE$1,FALSE),0)</f>
        <v>0</v>
      </c>
      <c r="AF1456" s="9">
        <f>IFERROR(VLOOKUP($A1456,pivot!$A:$I,計算式2026!AF$1,FALSE),0)</f>
        <v>0</v>
      </c>
      <c r="AI1456" s="9">
        <f>IFERROR(VLOOKUP($A1456,pivot!$A:$I,計算式2026!AI$1,FALSE),0)</f>
        <v>0</v>
      </c>
      <c r="AJ1456" s="9">
        <f>IFERROR(VLOOKUP($A1456,pivot!$A:$I,計算式2026!AJ$1,FALSE),0)</f>
        <v>0</v>
      </c>
      <c r="AK1456" s="9">
        <f>IFERROR(VLOOKUP($A1456,pivot!$A:$I,計算式2026!AK$1,FALSE),0)</f>
        <v>0</v>
      </c>
      <c r="AL1456" s="9">
        <f>IFERROR(VLOOKUP($A1456,pivot!$A:$I,計算式2026!AL$1,FALSE),0)</f>
        <v>0</v>
      </c>
      <c r="AR1456" s="8"/>
      <c r="AS1456" s="8"/>
      <c r="AT1456" s="8"/>
      <c r="AU1456" s="8"/>
      <c r="AV1456" s="8"/>
      <c r="AW1456" s="8"/>
      <c r="AX1456" s="8"/>
      <c r="AY1456" s="8"/>
      <c r="AZ1456" s="8"/>
      <c r="BA1456" s="8"/>
      <c r="BB1456" s="8"/>
      <c r="BC1456" s="8"/>
      <c r="BD1456" s="8"/>
      <c r="BE1456" s="8"/>
      <c r="BF1456" s="8"/>
      <c r="BG1456" s="8"/>
    </row>
    <row r="1457" spans="1:59" s="9" customFormat="1">
      <c r="A1457" s="8" t="s">
        <v>1699</v>
      </c>
      <c r="B1457" s="8" t="s">
        <v>2262</v>
      </c>
      <c r="C1457" s="9">
        <v>4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R1457" s="9">
        <v>0</v>
      </c>
      <c r="S1457" s="9">
        <v>3</v>
      </c>
      <c r="T1457" s="9">
        <v>1</v>
      </c>
      <c r="U1457" s="9">
        <v>0</v>
      </c>
      <c r="V1457" s="9">
        <v>2</v>
      </c>
      <c r="W1457" s="9">
        <v>0</v>
      </c>
      <c r="X1457" s="9">
        <v>1</v>
      </c>
      <c r="AE1457" s="9">
        <f>IFERROR(VLOOKUP($A1457,pivot!$A:$G,計算式2026!AE$1,FALSE),0)</f>
        <v>0</v>
      </c>
      <c r="AF1457" s="9">
        <f>IFERROR(VLOOKUP($A1457,pivot!$A:$I,計算式2026!AF$1,FALSE),0)</f>
        <v>0</v>
      </c>
      <c r="AI1457" s="9">
        <f>IFERROR(VLOOKUP($A1457,pivot!$A:$I,計算式2026!AI$1,FALSE),0)</f>
        <v>0</v>
      </c>
      <c r="AJ1457" s="9">
        <f>IFERROR(VLOOKUP($A1457,pivot!$A:$I,計算式2026!AJ$1,FALSE),0)</f>
        <v>0</v>
      </c>
      <c r="AK1457" s="9">
        <f>IFERROR(VLOOKUP($A1457,pivot!$A:$I,計算式2026!AK$1,FALSE),0)</f>
        <v>0</v>
      </c>
      <c r="AL1457" s="9">
        <f>IFERROR(VLOOKUP($A1457,pivot!$A:$I,計算式2026!AL$1,FALSE),0)</f>
        <v>0</v>
      </c>
      <c r="AR1457" s="8"/>
      <c r="AS1457" s="8"/>
      <c r="AT1457" s="8"/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8"/>
      <c r="BG1457" s="8"/>
    </row>
    <row r="1458" spans="1:59" s="9" customFormat="1">
      <c r="A1458" s="8" t="s">
        <v>1700</v>
      </c>
      <c r="B1458" s="8" t="s">
        <v>2262</v>
      </c>
      <c r="C1458" s="9">
        <v>10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R1458" s="9">
        <v>0</v>
      </c>
      <c r="S1458" s="9">
        <v>2</v>
      </c>
      <c r="T1458" s="9">
        <v>1</v>
      </c>
      <c r="U1458" s="9">
        <v>0</v>
      </c>
      <c r="V1458" s="9">
        <v>2</v>
      </c>
      <c r="W1458" s="9">
        <v>0</v>
      </c>
      <c r="X1458" s="9">
        <v>1</v>
      </c>
      <c r="AE1458" s="9">
        <f>IFERROR(VLOOKUP($A1458,pivot!$A:$G,計算式2026!AE$1,FALSE),0)</f>
        <v>0</v>
      </c>
      <c r="AF1458" s="9">
        <f>IFERROR(VLOOKUP($A1458,pivot!$A:$I,計算式2026!AF$1,FALSE),0)</f>
        <v>0</v>
      </c>
      <c r="AI1458" s="9">
        <f>IFERROR(VLOOKUP($A1458,pivot!$A:$I,計算式2026!AI$1,FALSE),0)</f>
        <v>0</v>
      </c>
      <c r="AJ1458" s="9">
        <f>IFERROR(VLOOKUP($A1458,pivot!$A:$I,計算式2026!AJ$1,FALSE),0)</f>
        <v>0</v>
      </c>
      <c r="AK1458" s="9">
        <f>IFERROR(VLOOKUP($A1458,pivot!$A:$I,計算式2026!AK$1,FALSE),0)</f>
        <v>0</v>
      </c>
      <c r="AL1458" s="9">
        <f>IFERROR(VLOOKUP($A1458,pivot!$A:$I,計算式2026!AL$1,FALSE),0)</f>
        <v>0</v>
      </c>
      <c r="AR1458" s="8"/>
      <c r="AS1458" s="8"/>
      <c r="AT1458" s="8"/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8"/>
      <c r="BG1458" s="8"/>
    </row>
    <row r="1459" spans="1:59" s="9" customFormat="1">
      <c r="A1459" s="8" t="s">
        <v>2265</v>
      </c>
      <c r="B1459" s="8" t="s">
        <v>2262</v>
      </c>
      <c r="C1459" s="9">
        <v>0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1</v>
      </c>
      <c r="AE1459" s="9">
        <f>IFERROR(VLOOKUP($A1459,pivot!$A:$G,計算式2026!AE$1,FALSE),0)</f>
        <v>0</v>
      </c>
      <c r="AF1459" s="9">
        <f>IFERROR(VLOOKUP($A1459,pivot!$A:$I,計算式2026!AF$1,FALSE),0)</f>
        <v>0</v>
      </c>
      <c r="AI1459" s="9">
        <f>IFERROR(VLOOKUP($A1459,pivot!$A:$I,計算式2026!AI$1,FALSE),0)</f>
        <v>0</v>
      </c>
      <c r="AJ1459" s="9">
        <f>IFERROR(VLOOKUP($A1459,pivot!$A:$I,計算式2026!AJ$1,FALSE),0)</f>
        <v>0</v>
      </c>
      <c r="AK1459" s="9">
        <f>IFERROR(VLOOKUP($A1459,pivot!$A:$I,計算式2026!AK$1,FALSE),0)</f>
        <v>0</v>
      </c>
      <c r="AL1459" s="9">
        <f>IFERROR(VLOOKUP($A1459,pivot!$A:$I,計算式2026!AL$1,FALSE),0)</f>
        <v>0</v>
      </c>
      <c r="AR1459" s="8"/>
      <c r="AS1459" s="8"/>
      <c r="AT1459" s="8"/>
      <c r="AU1459" s="8"/>
      <c r="AV1459" s="8"/>
      <c r="AW1459" s="8"/>
      <c r="AX1459" s="8"/>
      <c r="AY1459" s="8"/>
      <c r="AZ1459" s="8"/>
      <c r="BA1459" s="8"/>
      <c r="BB1459" s="8"/>
      <c r="BC1459" s="8"/>
      <c r="BD1459" s="8"/>
      <c r="BE1459" s="8"/>
      <c r="BF1459" s="8"/>
      <c r="BG1459" s="8"/>
    </row>
    <row r="1460" spans="1:59" s="9" customFormat="1">
      <c r="A1460" s="8" t="s">
        <v>2266</v>
      </c>
      <c r="B1460" s="8" t="s">
        <v>2262</v>
      </c>
      <c r="C1460" s="9">
        <v>0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R1460" s="9">
        <v>0</v>
      </c>
      <c r="S1460" s="9">
        <v>0</v>
      </c>
      <c r="T1460" s="9">
        <v>1</v>
      </c>
      <c r="U1460" s="9">
        <v>0</v>
      </c>
      <c r="V1460" s="9">
        <v>0</v>
      </c>
      <c r="W1460" s="9">
        <v>0</v>
      </c>
      <c r="X1460" s="9">
        <v>1</v>
      </c>
      <c r="AE1460" s="9">
        <f>IFERROR(VLOOKUP($A1460,pivot!$A:$G,計算式2026!AE$1,FALSE),0)</f>
        <v>0</v>
      </c>
      <c r="AF1460" s="9">
        <f>IFERROR(VLOOKUP($A1460,pivot!$A:$I,計算式2026!AF$1,FALSE),0)</f>
        <v>0</v>
      </c>
      <c r="AI1460" s="9">
        <f>IFERROR(VLOOKUP($A1460,pivot!$A:$I,計算式2026!AI$1,FALSE),0)</f>
        <v>0</v>
      </c>
      <c r="AJ1460" s="9">
        <f>IFERROR(VLOOKUP($A1460,pivot!$A:$I,計算式2026!AJ$1,FALSE),0)</f>
        <v>0</v>
      </c>
      <c r="AK1460" s="9">
        <f>IFERROR(VLOOKUP($A1460,pivot!$A:$I,計算式2026!AK$1,FALSE),0)</f>
        <v>0</v>
      </c>
      <c r="AL1460" s="9">
        <f>IFERROR(VLOOKUP($A1460,pivot!$A:$I,計算式2026!AL$1,FALSE),0)</f>
        <v>0</v>
      </c>
      <c r="AR1460" s="8"/>
      <c r="AS1460" s="8"/>
      <c r="AT1460" s="8"/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8"/>
      <c r="BG1460" s="8"/>
    </row>
    <row r="1461" spans="1:59" s="9" customFormat="1">
      <c r="A1461" s="8" t="s">
        <v>1750</v>
      </c>
      <c r="B1461" s="8" t="s">
        <v>2267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R1461" s="9">
        <v>0</v>
      </c>
      <c r="S1461" s="9">
        <v>1</v>
      </c>
      <c r="T1461" s="9">
        <v>0</v>
      </c>
      <c r="U1461" s="9">
        <v>0</v>
      </c>
      <c r="V1461" s="9">
        <v>0</v>
      </c>
      <c r="W1461" s="9">
        <v>0</v>
      </c>
      <c r="X1461" s="9">
        <v>1</v>
      </c>
      <c r="AE1461" s="9">
        <f>IFERROR(VLOOKUP($A1461,pivot!$A:$G,計算式2026!AE$1,FALSE),0)</f>
        <v>0</v>
      </c>
      <c r="AF1461" s="9">
        <f>IFERROR(VLOOKUP($A1461,pivot!$A:$I,計算式2026!AF$1,FALSE),0)</f>
        <v>0</v>
      </c>
      <c r="AI1461" s="9">
        <f>IFERROR(VLOOKUP($A1461,pivot!$A:$I,計算式2026!AI$1,FALSE),0)</f>
        <v>0</v>
      </c>
      <c r="AJ1461" s="9">
        <f>IFERROR(VLOOKUP($A1461,pivot!$A:$I,計算式2026!AJ$1,FALSE),0)</f>
        <v>0</v>
      </c>
      <c r="AK1461" s="9">
        <f>IFERROR(VLOOKUP($A1461,pivot!$A:$I,計算式2026!AK$1,FALSE),0)</f>
        <v>0</v>
      </c>
      <c r="AL1461" s="9">
        <f>IFERROR(VLOOKUP($A1461,pivot!$A:$I,計算式2026!AL$1,FALSE),0)</f>
        <v>0</v>
      </c>
      <c r="AR1461" s="8"/>
      <c r="AS1461" s="8"/>
      <c r="AT1461" s="8"/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8"/>
      <c r="BG1461" s="8"/>
    </row>
    <row r="1462" spans="1:59" s="9" customFormat="1">
      <c r="A1462" s="8" t="s">
        <v>1751</v>
      </c>
      <c r="B1462" s="8" t="s">
        <v>2267</v>
      </c>
      <c r="C1462" s="9">
        <v>0</v>
      </c>
      <c r="D1462" s="9">
        <v>0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R1462" s="9">
        <v>1</v>
      </c>
      <c r="S1462" s="9">
        <v>0</v>
      </c>
      <c r="T1462" s="9">
        <v>1</v>
      </c>
      <c r="U1462" s="9">
        <v>0</v>
      </c>
      <c r="V1462" s="9">
        <v>0</v>
      </c>
      <c r="W1462" s="9">
        <v>0</v>
      </c>
      <c r="X1462" s="9">
        <v>1</v>
      </c>
      <c r="AE1462" s="9">
        <f>IFERROR(VLOOKUP($A1462,pivot!$A:$G,計算式2026!AE$1,FALSE),0)</f>
        <v>0</v>
      </c>
      <c r="AF1462" s="9">
        <f>IFERROR(VLOOKUP($A1462,pivot!$A:$I,計算式2026!AF$1,FALSE),0)</f>
        <v>0</v>
      </c>
      <c r="AI1462" s="9">
        <f>IFERROR(VLOOKUP($A1462,pivot!$A:$I,計算式2026!AI$1,FALSE),0)</f>
        <v>0</v>
      </c>
      <c r="AJ1462" s="9">
        <f>IFERROR(VLOOKUP($A1462,pivot!$A:$I,計算式2026!AJ$1,FALSE),0)</f>
        <v>0</v>
      </c>
      <c r="AK1462" s="9">
        <f>IFERROR(VLOOKUP($A1462,pivot!$A:$I,計算式2026!AK$1,FALSE),0)</f>
        <v>0</v>
      </c>
      <c r="AL1462" s="9">
        <f>IFERROR(VLOOKUP($A1462,pivot!$A:$I,計算式2026!AL$1,FALSE),0)</f>
        <v>0</v>
      </c>
      <c r="AR1462" s="8"/>
      <c r="AS1462" s="8"/>
      <c r="AT1462" s="8"/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8"/>
      <c r="BG1462" s="8"/>
    </row>
    <row r="1463" spans="1:59" s="9" customFormat="1">
      <c r="A1463" s="8" t="s">
        <v>1701</v>
      </c>
      <c r="B1463" s="8" t="s">
        <v>2267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R1463" s="9">
        <v>1</v>
      </c>
      <c r="S1463" s="9">
        <v>0</v>
      </c>
      <c r="T1463" s="9">
        <v>1</v>
      </c>
      <c r="U1463" s="9">
        <v>0</v>
      </c>
      <c r="V1463" s="9">
        <v>1</v>
      </c>
      <c r="W1463" s="9">
        <v>0</v>
      </c>
      <c r="X1463" s="9">
        <v>1</v>
      </c>
      <c r="AE1463" s="9">
        <f>IFERROR(VLOOKUP($A1463,pivot!$A:$G,計算式2026!AE$1,FALSE),0)</f>
        <v>0</v>
      </c>
      <c r="AF1463" s="9">
        <f>IFERROR(VLOOKUP($A1463,pivot!$A:$I,計算式2026!AF$1,FALSE),0)</f>
        <v>0</v>
      </c>
      <c r="AI1463" s="9">
        <f>IFERROR(VLOOKUP($A1463,pivot!$A:$I,計算式2026!AI$1,FALSE),0)</f>
        <v>0</v>
      </c>
      <c r="AJ1463" s="9">
        <f>IFERROR(VLOOKUP($A1463,pivot!$A:$I,計算式2026!AJ$1,FALSE),0)</f>
        <v>0</v>
      </c>
      <c r="AK1463" s="9">
        <f>IFERROR(VLOOKUP($A1463,pivot!$A:$I,計算式2026!AK$1,FALSE),0)</f>
        <v>0</v>
      </c>
      <c r="AL1463" s="9">
        <f>IFERROR(VLOOKUP($A1463,pivot!$A:$I,計算式2026!AL$1,FALSE),0)</f>
        <v>0</v>
      </c>
      <c r="AR1463" s="8"/>
      <c r="AS1463" s="8"/>
      <c r="AT1463" s="8"/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8"/>
      <c r="BG1463" s="8"/>
    </row>
    <row r="1464" spans="1:59" s="9" customFormat="1">
      <c r="A1464" s="8" t="s">
        <v>1702</v>
      </c>
      <c r="B1464" s="8" t="s">
        <v>2267</v>
      </c>
      <c r="C1464" s="9">
        <v>14</v>
      </c>
      <c r="D1464" s="9">
        <v>0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R1464" s="9">
        <v>1</v>
      </c>
      <c r="S1464" s="9">
        <v>2</v>
      </c>
      <c r="T1464" s="9">
        <v>1</v>
      </c>
      <c r="U1464" s="9">
        <v>0</v>
      </c>
      <c r="V1464" s="9">
        <v>0</v>
      </c>
      <c r="W1464" s="9">
        <v>0</v>
      </c>
      <c r="X1464" s="9">
        <v>1</v>
      </c>
      <c r="AE1464" s="9">
        <f>IFERROR(VLOOKUP($A1464,pivot!$A:$G,計算式2026!AE$1,FALSE),0)</f>
        <v>0</v>
      </c>
      <c r="AF1464" s="9">
        <f>IFERROR(VLOOKUP($A1464,pivot!$A:$I,計算式2026!AF$1,FALSE),0)</f>
        <v>0</v>
      </c>
      <c r="AI1464" s="9">
        <f>IFERROR(VLOOKUP($A1464,pivot!$A:$I,計算式2026!AI$1,FALSE),0)</f>
        <v>0</v>
      </c>
      <c r="AJ1464" s="9">
        <f>IFERROR(VLOOKUP($A1464,pivot!$A:$I,計算式2026!AJ$1,FALSE),0)</f>
        <v>0</v>
      </c>
      <c r="AK1464" s="9">
        <f>IFERROR(VLOOKUP($A1464,pivot!$A:$I,計算式2026!AK$1,FALSE),0)</f>
        <v>0</v>
      </c>
      <c r="AL1464" s="9">
        <f>IFERROR(VLOOKUP($A1464,pivot!$A:$I,計算式2026!AL$1,FALSE),0)</f>
        <v>0</v>
      </c>
      <c r="AR1464" s="8"/>
      <c r="AS1464" s="8"/>
      <c r="AT1464" s="8"/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8"/>
      <c r="BG1464" s="8"/>
    </row>
    <row r="1465" spans="1:59" s="9" customFormat="1">
      <c r="A1465" s="8" t="s">
        <v>1703</v>
      </c>
      <c r="B1465" s="8" t="s">
        <v>2268</v>
      </c>
      <c r="C1465" s="9">
        <v>11</v>
      </c>
      <c r="D1465" s="9">
        <v>0</v>
      </c>
      <c r="E1465" s="9">
        <v>0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R1465" s="9">
        <v>0</v>
      </c>
      <c r="S1465" s="9">
        <v>0</v>
      </c>
      <c r="T1465" s="9">
        <v>1</v>
      </c>
      <c r="U1465" s="9">
        <v>0</v>
      </c>
      <c r="V1465" s="9">
        <v>0</v>
      </c>
      <c r="W1465" s="9">
        <v>0</v>
      </c>
      <c r="X1465" s="9">
        <v>1</v>
      </c>
      <c r="AE1465" s="9">
        <f>IFERROR(VLOOKUP($A1465,pivot!$A:$G,計算式2026!AE$1,FALSE),0)</f>
        <v>0</v>
      </c>
      <c r="AF1465" s="9">
        <f>IFERROR(VLOOKUP($A1465,pivot!$A:$I,計算式2026!AF$1,FALSE),0)</f>
        <v>0</v>
      </c>
      <c r="AI1465" s="9">
        <f>IFERROR(VLOOKUP($A1465,pivot!$A:$I,計算式2026!AI$1,FALSE),0)</f>
        <v>0</v>
      </c>
      <c r="AJ1465" s="9">
        <f>IFERROR(VLOOKUP($A1465,pivot!$A:$I,計算式2026!AJ$1,FALSE),0)</f>
        <v>0</v>
      </c>
      <c r="AK1465" s="9">
        <f>IFERROR(VLOOKUP($A1465,pivot!$A:$I,計算式2026!AK$1,FALSE),0)</f>
        <v>0</v>
      </c>
      <c r="AL1465" s="9">
        <f>IFERROR(VLOOKUP($A1465,pivot!$A:$I,計算式2026!AL$1,FALSE),0)</f>
        <v>0</v>
      </c>
      <c r="AR1465" s="8"/>
      <c r="AS1465" s="8"/>
      <c r="AT1465" s="8"/>
      <c r="AU1465" s="8"/>
      <c r="AV1465" s="8"/>
      <c r="AW1465" s="8"/>
      <c r="AX1465" s="8"/>
      <c r="AY1465" s="8"/>
      <c r="AZ1465" s="8"/>
      <c r="BA1465" s="8"/>
      <c r="BB1465" s="8"/>
      <c r="BC1465" s="8"/>
      <c r="BD1465" s="8"/>
      <c r="BE1465" s="8"/>
      <c r="BF1465" s="8"/>
      <c r="BG1465" s="8"/>
    </row>
    <row r="1466" spans="1:59" s="9" customFormat="1">
      <c r="A1466" s="8" t="s">
        <v>1704</v>
      </c>
      <c r="B1466" s="8" t="s">
        <v>2268</v>
      </c>
      <c r="C1466" s="9">
        <v>17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R1466" s="9">
        <v>0</v>
      </c>
      <c r="S1466" s="9">
        <v>0</v>
      </c>
      <c r="T1466" s="9">
        <v>1</v>
      </c>
      <c r="U1466" s="9">
        <v>0</v>
      </c>
      <c r="V1466" s="9">
        <v>0</v>
      </c>
      <c r="W1466" s="9">
        <v>0</v>
      </c>
      <c r="X1466" s="9">
        <v>1</v>
      </c>
      <c r="AE1466" s="9">
        <f>IFERROR(VLOOKUP($A1466,pivot!$A:$G,計算式2026!AE$1,FALSE),0)</f>
        <v>0</v>
      </c>
      <c r="AF1466" s="9">
        <f>IFERROR(VLOOKUP($A1466,pivot!$A:$I,計算式2026!AF$1,FALSE),0)</f>
        <v>0</v>
      </c>
      <c r="AI1466" s="9">
        <f>IFERROR(VLOOKUP($A1466,pivot!$A:$I,計算式2026!AI$1,FALSE),0)</f>
        <v>0</v>
      </c>
      <c r="AJ1466" s="9">
        <f>IFERROR(VLOOKUP($A1466,pivot!$A:$I,計算式2026!AJ$1,FALSE),0)</f>
        <v>0</v>
      </c>
      <c r="AK1466" s="9">
        <f>IFERROR(VLOOKUP($A1466,pivot!$A:$I,計算式2026!AK$1,FALSE),0)</f>
        <v>0</v>
      </c>
      <c r="AL1466" s="9">
        <f>IFERROR(VLOOKUP($A1466,pivot!$A:$I,計算式2026!AL$1,FALSE),0)</f>
        <v>0</v>
      </c>
      <c r="AR1466" s="8"/>
      <c r="AS1466" s="8"/>
      <c r="AT1466" s="8"/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8"/>
      <c r="BG1466" s="8"/>
    </row>
    <row r="1467" spans="1:59" s="9" customFormat="1">
      <c r="A1467" s="8" t="s">
        <v>2269</v>
      </c>
      <c r="B1467" s="8" t="s">
        <v>2268</v>
      </c>
      <c r="C1467" s="9">
        <v>4</v>
      </c>
      <c r="D1467" s="9">
        <v>5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R1467" s="9">
        <v>0</v>
      </c>
      <c r="S1467" s="9">
        <v>2</v>
      </c>
      <c r="T1467" s="9">
        <v>1</v>
      </c>
      <c r="U1467" s="9">
        <v>0</v>
      </c>
      <c r="V1467" s="9">
        <v>1</v>
      </c>
      <c r="W1467" s="9">
        <v>0</v>
      </c>
      <c r="X1467" s="9">
        <v>1</v>
      </c>
      <c r="AE1467" s="9">
        <f>IFERROR(VLOOKUP($A1467,pivot!$A:$G,計算式2026!AE$1,FALSE),0)</f>
        <v>0</v>
      </c>
      <c r="AF1467" s="9">
        <f>IFERROR(VLOOKUP($A1467,pivot!$A:$I,計算式2026!AF$1,FALSE),0)</f>
        <v>0</v>
      </c>
      <c r="AI1467" s="9">
        <f>IFERROR(VLOOKUP($A1467,pivot!$A:$I,計算式2026!AI$1,FALSE),0)</f>
        <v>0</v>
      </c>
      <c r="AJ1467" s="9">
        <f>IFERROR(VLOOKUP($A1467,pivot!$A:$I,計算式2026!AJ$1,FALSE),0)</f>
        <v>0</v>
      </c>
      <c r="AK1467" s="9">
        <f>IFERROR(VLOOKUP($A1467,pivot!$A:$I,計算式2026!AK$1,FALSE),0)</f>
        <v>0</v>
      </c>
      <c r="AL1467" s="9">
        <f>IFERROR(VLOOKUP($A1467,pivot!$A:$I,計算式2026!AL$1,FALSE),0)</f>
        <v>0</v>
      </c>
      <c r="AR1467" s="8"/>
      <c r="AS1467" s="8"/>
      <c r="AT1467" s="8"/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8"/>
      <c r="BG1467" s="8"/>
    </row>
    <row r="1468" spans="1:59" s="9" customFormat="1">
      <c r="A1468" s="8" t="s">
        <v>2270</v>
      </c>
      <c r="B1468" s="8" t="s">
        <v>2268</v>
      </c>
      <c r="C1468" s="9">
        <v>4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R1468" s="9">
        <v>0</v>
      </c>
      <c r="S1468" s="9">
        <v>2</v>
      </c>
      <c r="T1468" s="9">
        <v>1</v>
      </c>
      <c r="U1468" s="9">
        <v>0</v>
      </c>
      <c r="V1468" s="9">
        <v>2</v>
      </c>
      <c r="W1468" s="9">
        <v>0</v>
      </c>
      <c r="X1468" s="9">
        <v>1</v>
      </c>
      <c r="AE1468" s="9">
        <f>IFERROR(VLOOKUP($A1468,pivot!$A:$G,計算式2026!AE$1,FALSE),0)</f>
        <v>0</v>
      </c>
      <c r="AF1468" s="9">
        <f>IFERROR(VLOOKUP($A1468,pivot!$A:$I,計算式2026!AF$1,FALSE),0)</f>
        <v>0</v>
      </c>
      <c r="AI1468" s="9">
        <f>IFERROR(VLOOKUP($A1468,pivot!$A:$I,計算式2026!AI$1,FALSE),0)</f>
        <v>0</v>
      </c>
      <c r="AJ1468" s="9">
        <f>IFERROR(VLOOKUP($A1468,pivot!$A:$I,計算式2026!AJ$1,FALSE),0)</f>
        <v>0</v>
      </c>
      <c r="AK1468" s="9">
        <f>IFERROR(VLOOKUP($A1468,pivot!$A:$I,計算式2026!AK$1,FALSE),0)</f>
        <v>0</v>
      </c>
      <c r="AL1468" s="9">
        <f>IFERROR(VLOOKUP($A1468,pivot!$A:$I,計算式2026!AL$1,FALSE),0)</f>
        <v>0</v>
      </c>
      <c r="AR1468" s="8"/>
      <c r="AS1468" s="8"/>
      <c r="AT1468" s="8"/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8"/>
      <c r="BG1468" s="8"/>
    </row>
    <row r="1469" spans="1:59" s="9" customFormat="1">
      <c r="A1469" s="8" t="s">
        <v>1705</v>
      </c>
      <c r="B1469" s="8" t="s">
        <v>2268</v>
      </c>
      <c r="C1469" s="9">
        <v>15</v>
      </c>
      <c r="D1469" s="9">
        <v>9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R1469" s="9">
        <v>0</v>
      </c>
      <c r="S1469" s="9">
        <v>2</v>
      </c>
      <c r="T1469" s="9">
        <v>1</v>
      </c>
      <c r="U1469" s="9">
        <v>0</v>
      </c>
      <c r="V1469" s="9">
        <v>1</v>
      </c>
      <c r="W1469" s="9">
        <v>0</v>
      </c>
      <c r="X1469" s="9">
        <v>1</v>
      </c>
      <c r="AE1469" s="9">
        <f>IFERROR(VLOOKUP($A1469,pivot!$A:$G,計算式2026!AE$1,FALSE),0)</f>
        <v>0</v>
      </c>
      <c r="AF1469" s="9">
        <f>IFERROR(VLOOKUP($A1469,pivot!$A:$I,計算式2026!AF$1,FALSE),0)</f>
        <v>0</v>
      </c>
      <c r="AI1469" s="9">
        <f>IFERROR(VLOOKUP($A1469,pivot!$A:$I,計算式2026!AI$1,FALSE),0)</f>
        <v>0</v>
      </c>
      <c r="AJ1469" s="9">
        <f>IFERROR(VLOOKUP($A1469,pivot!$A:$I,計算式2026!AJ$1,FALSE),0)</f>
        <v>0</v>
      </c>
      <c r="AK1469" s="9">
        <f>IFERROR(VLOOKUP($A1469,pivot!$A:$I,計算式2026!AK$1,FALSE),0)</f>
        <v>0</v>
      </c>
      <c r="AL1469" s="9">
        <f>IFERROR(VLOOKUP($A1469,pivot!$A:$I,計算式2026!AL$1,FALSE),0)</f>
        <v>0</v>
      </c>
      <c r="AR1469" s="8"/>
      <c r="AS1469" s="8"/>
      <c r="AT1469" s="8"/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8"/>
      <c r="BG1469" s="8"/>
    </row>
    <row r="1470" spans="1:59" s="9" customFormat="1">
      <c r="A1470" s="8" t="s">
        <v>1706</v>
      </c>
      <c r="B1470" s="8" t="s">
        <v>2268</v>
      </c>
      <c r="C1470" s="9">
        <v>13</v>
      </c>
      <c r="D1470" s="9">
        <v>8</v>
      </c>
      <c r="E1470" s="9">
        <v>0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R1470" s="9">
        <v>0</v>
      </c>
      <c r="S1470" s="9">
        <v>2</v>
      </c>
      <c r="T1470" s="9">
        <v>1</v>
      </c>
      <c r="U1470" s="9">
        <v>0</v>
      </c>
      <c r="V1470" s="9">
        <v>2</v>
      </c>
      <c r="W1470" s="9">
        <v>0</v>
      </c>
      <c r="X1470" s="9">
        <v>1</v>
      </c>
      <c r="AE1470" s="9">
        <f>IFERROR(VLOOKUP($A1470,pivot!$A:$G,計算式2026!AE$1,FALSE),0)</f>
        <v>0</v>
      </c>
      <c r="AF1470" s="9">
        <f>IFERROR(VLOOKUP($A1470,pivot!$A:$I,計算式2026!AF$1,FALSE),0)</f>
        <v>0</v>
      </c>
      <c r="AI1470" s="9">
        <f>IFERROR(VLOOKUP($A1470,pivot!$A:$I,計算式2026!AI$1,FALSE),0)</f>
        <v>0</v>
      </c>
      <c r="AJ1470" s="9">
        <f>IFERROR(VLOOKUP($A1470,pivot!$A:$I,計算式2026!AJ$1,FALSE),0)</f>
        <v>0</v>
      </c>
      <c r="AK1470" s="9">
        <f>IFERROR(VLOOKUP($A1470,pivot!$A:$I,計算式2026!AK$1,FALSE),0)</f>
        <v>0</v>
      </c>
      <c r="AL1470" s="9">
        <f>IFERROR(VLOOKUP($A1470,pivot!$A:$I,計算式2026!AL$1,FALSE),0)</f>
        <v>0</v>
      </c>
      <c r="AR1470" s="8"/>
      <c r="AS1470" s="8"/>
      <c r="AT1470" s="8"/>
      <c r="AU1470" s="8"/>
      <c r="AV1470" s="8"/>
      <c r="AW1470" s="8"/>
      <c r="AX1470" s="8"/>
      <c r="AY1470" s="8"/>
      <c r="AZ1470" s="8"/>
      <c r="BA1470" s="8"/>
      <c r="BB1470" s="8"/>
      <c r="BC1470" s="8"/>
      <c r="BD1470" s="8"/>
      <c r="BE1470" s="8"/>
      <c r="BF1470" s="8"/>
      <c r="BG1470" s="8"/>
    </row>
    <row r="1471" spans="1:59" s="9" customFormat="1">
      <c r="A1471" s="8" t="s">
        <v>1707</v>
      </c>
      <c r="B1471" s="8" t="s">
        <v>2271</v>
      </c>
      <c r="C1471" s="9">
        <v>0</v>
      </c>
      <c r="D1471" s="9">
        <v>0</v>
      </c>
      <c r="E1471" s="9">
        <v>0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R1471" s="9">
        <v>1</v>
      </c>
      <c r="S1471" s="9">
        <v>1</v>
      </c>
      <c r="T1471" s="9">
        <v>0</v>
      </c>
      <c r="U1471" s="9">
        <v>0</v>
      </c>
      <c r="V1471" s="9">
        <v>1</v>
      </c>
      <c r="W1471" s="9">
        <v>0</v>
      </c>
      <c r="X1471" s="9">
        <v>0</v>
      </c>
      <c r="AE1471" s="9">
        <f>IFERROR(VLOOKUP($A1471,pivot!$A:$G,計算式2026!AE$1,FALSE),0)</f>
        <v>0</v>
      </c>
      <c r="AF1471" s="9">
        <f>IFERROR(VLOOKUP($A1471,pivot!$A:$I,計算式2026!AF$1,FALSE),0)</f>
        <v>0</v>
      </c>
      <c r="AI1471" s="9">
        <f>IFERROR(VLOOKUP($A1471,pivot!$A:$I,計算式2026!AI$1,FALSE),0)</f>
        <v>0</v>
      </c>
      <c r="AJ1471" s="9">
        <f>IFERROR(VLOOKUP($A1471,pivot!$A:$I,計算式2026!AJ$1,FALSE),0)</f>
        <v>0</v>
      </c>
      <c r="AK1471" s="9">
        <f>IFERROR(VLOOKUP($A1471,pivot!$A:$I,計算式2026!AK$1,FALSE),0)</f>
        <v>0</v>
      </c>
      <c r="AL1471" s="9">
        <f>IFERROR(VLOOKUP($A1471,pivot!$A:$I,計算式2026!AL$1,FALSE),0)</f>
        <v>0</v>
      </c>
      <c r="AR1471" s="8"/>
      <c r="AS1471" s="8"/>
      <c r="AT1471" s="8"/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8"/>
      <c r="BG1471" s="8"/>
    </row>
    <row r="1472" spans="1:59" s="9" customFormat="1">
      <c r="A1472" s="8" t="s">
        <v>1708</v>
      </c>
      <c r="B1472" s="8" t="s">
        <v>2271</v>
      </c>
      <c r="C1472" s="9">
        <v>0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R1472" s="9">
        <v>1</v>
      </c>
      <c r="S1472" s="9">
        <v>2</v>
      </c>
      <c r="T1472" s="9">
        <v>1</v>
      </c>
      <c r="U1472" s="9">
        <v>0</v>
      </c>
      <c r="V1472" s="9">
        <v>1</v>
      </c>
      <c r="W1472" s="9">
        <v>0</v>
      </c>
      <c r="X1472" s="9">
        <v>0</v>
      </c>
      <c r="AE1472" s="9">
        <f>IFERROR(VLOOKUP($A1472,pivot!$A:$G,計算式2026!AE$1,FALSE),0)</f>
        <v>0</v>
      </c>
      <c r="AF1472" s="9">
        <f>IFERROR(VLOOKUP($A1472,pivot!$A:$I,計算式2026!AF$1,FALSE),0)</f>
        <v>0</v>
      </c>
      <c r="AI1472" s="9">
        <f>IFERROR(VLOOKUP($A1472,pivot!$A:$I,計算式2026!AI$1,FALSE),0)</f>
        <v>0</v>
      </c>
      <c r="AJ1472" s="9">
        <f>IFERROR(VLOOKUP($A1472,pivot!$A:$I,計算式2026!AJ$1,FALSE),0)</f>
        <v>0</v>
      </c>
      <c r="AK1472" s="9">
        <f>IFERROR(VLOOKUP($A1472,pivot!$A:$I,計算式2026!AK$1,FALSE),0)</f>
        <v>0</v>
      </c>
      <c r="AL1472" s="9">
        <f>IFERROR(VLOOKUP($A1472,pivot!$A:$I,計算式2026!AL$1,FALSE),0)</f>
        <v>0</v>
      </c>
      <c r="AR1472" s="8"/>
      <c r="AS1472" s="8"/>
      <c r="AT1472" s="8"/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8"/>
      <c r="BG1472" s="8"/>
    </row>
    <row r="1473" spans="1:59" s="9" customFormat="1">
      <c r="A1473" s="8" t="s">
        <v>1709</v>
      </c>
      <c r="B1473" s="8" t="s">
        <v>2271</v>
      </c>
      <c r="C1473" s="9">
        <v>0</v>
      </c>
      <c r="D1473" s="9">
        <v>0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R1473" s="9">
        <v>0</v>
      </c>
      <c r="S1473" s="9">
        <v>1</v>
      </c>
      <c r="T1473" s="9">
        <v>0</v>
      </c>
      <c r="U1473" s="9">
        <v>0</v>
      </c>
      <c r="V1473" s="9">
        <v>1</v>
      </c>
      <c r="W1473" s="9">
        <v>0</v>
      </c>
      <c r="X1473" s="9">
        <v>0</v>
      </c>
      <c r="AE1473" s="9">
        <f>IFERROR(VLOOKUP($A1473,pivot!$A:$G,計算式2026!AE$1,FALSE),0)</f>
        <v>0</v>
      </c>
      <c r="AF1473" s="9">
        <f>IFERROR(VLOOKUP($A1473,pivot!$A:$I,計算式2026!AF$1,FALSE),0)</f>
        <v>0</v>
      </c>
      <c r="AI1473" s="9">
        <f>IFERROR(VLOOKUP($A1473,pivot!$A:$I,計算式2026!AI$1,FALSE),0)</f>
        <v>0</v>
      </c>
      <c r="AJ1473" s="9">
        <f>IFERROR(VLOOKUP($A1473,pivot!$A:$I,計算式2026!AJ$1,FALSE),0)</f>
        <v>0</v>
      </c>
      <c r="AK1473" s="9">
        <f>IFERROR(VLOOKUP($A1473,pivot!$A:$I,計算式2026!AK$1,FALSE),0)</f>
        <v>0</v>
      </c>
      <c r="AL1473" s="9">
        <f>IFERROR(VLOOKUP($A1473,pivot!$A:$I,計算式2026!AL$1,FALSE),0)</f>
        <v>0</v>
      </c>
      <c r="AR1473" s="8"/>
      <c r="AS1473" s="8"/>
      <c r="AT1473" s="8"/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8"/>
      <c r="BG1473" s="8"/>
    </row>
    <row r="1474" spans="1:59" s="9" customFormat="1">
      <c r="A1474" s="8" t="s">
        <v>1710</v>
      </c>
      <c r="B1474" s="8" t="s">
        <v>2271</v>
      </c>
      <c r="C1474" s="9">
        <v>0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R1474" s="9">
        <v>1</v>
      </c>
      <c r="S1474" s="9">
        <v>1</v>
      </c>
      <c r="T1474" s="9">
        <v>1</v>
      </c>
      <c r="U1474" s="9">
        <v>0</v>
      </c>
      <c r="V1474" s="9">
        <v>1</v>
      </c>
      <c r="W1474" s="9">
        <v>0</v>
      </c>
      <c r="X1474" s="9">
        <v>0</v>
      </c>
      <c r="AE1474" s="9">
        <f>IFERROR(VLOOKUP($A1474,pivot!$A:$G,計算式2026!AE$1,FALSE),0)</f>
        <v>0</v>
      </c>
      <c r="AF1474" s="9">
        <f>IFERROR(VLOOKUP($A1474,pivot!$A:$I,計算式2026!AF$1,FALSE),0)</f>
        <v>0</v>
      </c>
      <c r="AI1474" s="9">
        <f>IFERROR(VLOOKUP($A1474,pivot!$A:$I,計算式2026!AI$1,FALSE),0)</f>
        <v>0</v>
      </c>
      <c r="AJ1474" s="9">
        <f>IFERROR(VLOOKUP($A1474,pivot!$A:$I,計算式2026!AJ$1,FALSE),0)</f>
        <v>0</v>
      </c>
      <c r="AK1474" s="9">
        <f>IFERROR(VLOOKUP($A1474,pivot!$A:$I,計算式2026!AK$1,FALSE),0)</f>
        <v>0</v>
      </c>
      <c r="AL1474" s="9">
        <f>IFERROR(VLOOKUP($A1474,pivot!$A:$I,計算式2026!AL$1,FALSE),0)</f>
        <v>0</v>
      </c>
      <c r="AR1474" s="8"/>
      <c r="AS1474" s="8"/>
      <c r="AT1474" s="8"/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8"/>
      <c r="BG1474" s="8"/>
    </row>
    <row r="1475" spans="1:59" s="9" customFormat="1">
      <c r="A1475" s="8" t="s">
        <v>1760</v>
      </c>
      <c r="B1475" s="8" t="s">
        <v>2272</v>
      </c>
      <c r="C1475" s="9">
        <v>1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1</v>
      </c>
      <c r="AE1475" s="9">
        <f>IFERROR(VLOOKUP($A1475,pivot!$A:$G,計算式2026!AE$1,FALSE),0)</f>
        <v>0</v>
      </c>
      <c r="AF1475" s="9">
        <f>IFERROR(VLOOKUP($A1475,pivot!$A:$I,計算式2026!AF$1,FALSE),0)</f>
        <v>0</v>
      </c>
      <c r="AI1475" s="9">
        <f>IFERROR(VLOOKUP($A1475,pivot!$A:$I,計算式2026!AI$1,FALSE),0)</f>
        <v>0</v>
      </c>
      <c r="AJ1475" s="9">
        <f>IFERROR(VLOOKUP($A1475,pivot!$A:$I,計算式2026!AJ$1,FALSE),0)</f>
        <v>0</v>
      </c>
      <c r="AK1475" s="9">
        <f>IFERROR(VLOOKUP($A1475,pivot!$A:$I,計算式2026!AK$1,FALSE),0)</f>
        <v>0</v>
      </c>
      <c r="AL1475" s="9">
        <f>IFERROR(VLOOKUP($A1475,pivot!$A:$I,計算式2026!AL$1,FALSE),0)</f>
        <v>0</v>
      </c>
      <c r="AR1475" s="8"/>
      <c r="AS1475" s="8"/>
      <c r="AT1475" s="8"/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8"/>
      <c r="BG1475" s="8"/>
    </row>
    <row r="1476" spans="1:59" s="9" customFormat="1">
      <c r="A1476" s="8" t="s">
        <v>1761</v>
      </c>
      <c r="B1476" s="8" t="s">
        <v>2272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1</v>
      </c>
      <c r="AE1476" s="9">
        <f>IFERROR(VLOOKUP($A1476,pivot!$A:$G,計算式2026!AE$1,FALSE),0)</f>
        <v>0</v>
      </c>
      <c r="AF1476" s="9">
        <f>IFERROR(VLOOKUP($A1476,pivot!$A:$I,計算式2026!AF$1,FALSE),0)</f>
        <v>0</v>
      </c>
      <c r="AI1476" s="9">
        <f>IFERROR(VLOOKUP($A1476,pivot!$A:$I,計算式2026!AI$1,FALSE),0)</f>
        <v>0</v>
      </c>
      <c r="AJ1476" s="9">
        <f>IFERROR(VLOOKUP($A1476,pivot!$A:$I,計算式2026!AJ$1,FALSE),0)</f>
        <v>0</v>
      </c>
      <c r="AK1476" s="9">
        <f>IFERROR(VLOOKUP($A1476,pivot!$A:$I,計算式2026!AK$1,FALSE),0)</f>
        <v>0</v>
      </c>
      <c r="AL1476" s="9">
        <f>IFERROR(VLOOKUP($A1476,pivot!$A:$I,計算式2026!AL$1,FALSE),0)</f>
        <v>0</v>
      </c>
      <c r="AR1476" s="8"/>
      <c r="AS1476" s="8"/>
      <c r="AT1476" s="8"/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8"/>
      <c r="BG1476" s="8"/>
    </row>
    <row r="1477" spans="1:59" s="9" customFormat="1">
      <c r="A1477" s="8" t="s">
        <v>1762</v>
      </c>
      <c r="B1477" s="8" t="s">
        <v>2272</v>
      </c>
      <c r="C1477" s="9">
        <v>0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1</v>
      </c>
      <c r="AE1477" s="9">
        <f>IFERROR(VLOOKUP($A1477,pivot!$A:$G,計算式2026!AE$1,FALSE),0)</f>
        <v>0</v>
      </c>
      <c r="AF1477" s="9">
        <f>IFERROR(VLOOKUP($A1477,pivot!$A:$I,計算式2026!AF$1,FALSE),0)</f>
        <v>0</v>
      </c>
      <c r="AI1477" s="9">
        <f>IFERROR(VLOOKUP($A1477,pivot!$A:$I,計算式2026!AI$1,FALSE),0)</f>
        <v>0</v>
      </c>
      <c r="AJ1477" s="9">
        <f>IFERROR(VLOOKUP($A1477,pivot!$A:$I,計算式2026!AJ$1,FALSE),0)</f>
        <v>0</v>
      </c>
      <c r="AK1477" s="9">
        <f>IFERROR(VLOOKUP($A1477,pivot!$A:$I,計算式2026!AK$1,FALSE),0)</f>
        <v>0</v>
      </c>
      <c r="AL1477" s="9">
        <f>IFERROR(VLOOKUP($A1477,pivot!$A:$I,計算式2026!AL$1,FALSE),0)</f>
        <v>0</v>
      </c>
      <c r="AR1477" s="8"/>
      <c r="AS1477" s="8"/>
      <c r="AT1477" s="8"/>
      <c r="AU1477" s="8"/>
      <c r="AV1477" s="8"/>
      <c r="AW1477" s="8"/>
      <c r="AX1477" s="8"/>
      <c r="AY1477" s="8"/>
      <c r="AZ1477" s="8"/>
      <c r="BA1477" s="8"/>
      <c r="BB1477" s="8"/>
      <c r="BC1477" s="8"/>
      <c r="BD1477" s="8"/>
      <c r="BE1477" s="8"/>
      <c r="BF1477" s="8"/>
      <c r="BG1477" s="8"/>
    </row>
    <row r="1478" spans="1:59" s="9" customFormat="1">
      <c r="A1478" s="8" t="s">
        <v>1763</v>
      </c>
      <c r="B1478" s="8" t="s">
        <v>2273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1</v>
      </c>
      <c r="AE1478" s="9">
        <f>IFERROR(VLOOKUP($A1478,pivot!$A:$G,計算式2026!AE$1,FALSE),0)</f>
        <v>0</v>
      </c>
      <c r="AF1478" s="9">
        <f>IFERROR(VLOOKUP($A1478,pivot!$A:$I,計算式2026!AF$1,FALSE),0)</f>
        <v>0</v>
      </c>
      <c r="AI1478" s="9">
        <f>IFERROR(VLOOKUP($A1478,pivot!$A:$I,計算式2026!AI$1,FALSE),0)</f>
        <v>0</v>
      </c>
      <c r="AJ1478" s="9">
        <f>IFERROR(VLOOKUP($A1478,pivot!$A:$I,計算式2026!AJ$1,FALSE),0)</f>
        <v>0</v>
      </c>
      <c r="AK1478" s="9">
        <f>IFERROR(VLOOKUP($A1478,pivot!$A:$I,計算式2026!AK$1,FALSE),0)</f>
        <v>0</v>
      </c>
      <c r="AL1478" s="9">
        <f>IFERROR(VLOOKUP($A1478,pivot!$A:$I,計算式2026!AL$1,FALSE),0)</f>
        <v>0</v>
      </c>
      <c r="AR1478" s="8"/>
      <c r="AS1478" s="8"/>
      <c r="AT1478" s="8"/>
      <c r="AU1478" s="8"/>
      <c r="AV1478" s="8"/>
      <c r="AW1478" s="8"/>
      <c r="AX1478" s="8"/>
      <c r="AY1478" s="8"/>
      <c r="AZ1478" s="8"/>
      <c r="BA1478" s="8"/>
      <c r="BB1478" s="8"/>
      <c r="BC1478" s="8"/>
      <c r="BD1478" s="8"/>
      <c r="BE1478" s="8"/>
      <c r="BF1478" s="8"/>
      <c r="BG1478" s="8"/>
    </row>
    <row r="1479" spans="1:59" s="9" customFormat="1">
      <c r="A1479" s="8" t="s">
        <v>1764</v>
      </c>
      <c r="B1479" s="8" t="s">
        <v>2273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1</v>
      </c>
      <c r="AE1479" s="9">
        <f>IFERROR(VLOOKUP($A1479,pivot!$A:$G,計算式2026!AE$1,FALSE),0)</f>
        <v>0</v>
      </c>
      <c r="AF1479" s="9">
        <f>IFERROR(VLOOKUP($A1479,pivot!$A:$I,計算式2026!AF$1,FALSE),0)</f>
        <v>0</v>
      </c>
      <c r="AI1479" s="9">
        <f>IFERROR(VLOOKUP($A1479,pivot!$A:$I,計算式2026!AI$1,FALSE),0)</f>
        <v>0</v>
      </c>
      <c r="AJ1479" s="9">
        <f>IFERROR(VLOOKUP($A1479,pivot!$A:$I,計算式2026!AJ$1,FALSE),0)</f>
        <v>0</v>
      </c>
      <c r="AK1479" s="9">
        <f>IFERROR(VLOOKUP($A1479,pivot!$A:$I,計算式2026!AK$1,FALSE),0)</f>
        <v>0</v>
      </c>
      <c r="AL1479" s="9">
        <f>IFERROR(VLOOKUP($A1479,pivot!$A:$I,計算式2026!AL$1,FALSE),0)</f>
        <v>0</v>
      </c>
      <c r="AR1479" s="8"/>
      <c r="AS1479" s="8"/>
      <c r="AT1479" s="8"/>
      <c r="AU1479" s="8"/>
      <c r="AV1479" s="8"/>
      <c r="AW1479" s="8"/>
      <c r="AX1479" s="8"/>
      <c r="AY1479" s="8"/>
      <c r="AZ1479" s="8"/>
      <c r="BA1479" s="8"/>
      <c r="BB1479" s="8"/>
      <c r="BC1479" s="8"/>
      <c r="BD1479" s="8"/>
      <c r="BE1479" s="8"/>
      <c r="BF1479" s="8"/>
      <c r="BG1479" s="8"/>
    </row>
    <row r="1480" spans="1:59" s="9" customFormat="1">
      <c r="A1480" s="8" t="s">
        <v>1765</v>
      </c>
      <c r="B1480" s="8" t="s">
        <v>2273</v>
      </c>
      <c r="C1480" s="9">
        <v>0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1</v>
      </c>
      <c r="AE1480" s="9">
        <f>IFERROR(VLOOKUP($A1480,pivot!$A:$G,計算式2026!AE$1,FALSE),0)</f>
        <v>0</v>
      </c>
      <c r="AF1480" s="9">
        <f>IFERROR(VLOOKUP($A1480,pivot!$A:$I,計算式2026!AF$1,FALSE),0)</f>
        <v>0</v>
      </c>
      <c r="AI1480" s="9">
        <f>IFERROR(VLOOKUP($A1480,pivot!$A:$I,計算式2026!AI$1,FALSE),0)</f>
        <v>0</v>
      </c>
      <c r="AJ1480" s="9">
        <f>IFERROR(VLOOKUP($A1480,pivot!$A:$I,計算式2026!AJ$1,FALSE),0)</f>
        <v>0</v>
      </c>
      <c r="AK1480" s="9">
        <f>IFERROR(VLOOKUP($A1480,pivot!$A:$I,計算式2026!AK$1,FALSE),0)</f>
        <v>0</v>
      </c>
      <c r="AL1480" s="9">
        <f>IFERROR(VLOOKUP($A1480,pivot!$A:$I,計算式2026!AL$1,FALSE),0)</f>
        <v>0</v>
      </c>
      <c r="AR1480" s="8"/>
      <c r="AS1480" s="8"/>
      <c r="AT1480" s="8"/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8"/>
      <c r="BG1480" s="8"/>
    </row>
    <row r="1481" spans="1:59" s="9" customFormat="1">
      <c r="A1481" s="8" t="s">
        <v>1766</v>
      </c>
      <c r="B1481" s="8" t="s">
        <v>2273</v>
      </c>
      <c r="C1481" s="9">
        <v>0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1</v>
      </c>
      <c r="AE1481" s="9">
        <f>IFERROR(VLOOKUP($A1481,pivot!$A:$G,計算式2026!AE$1,FALSE),0)</f>
        <v>0</v>
      </c>
      <c r="AF1481" s="9">
        <f>IFERROR(VLOOKUP($A1481,pivot!$A:$I,計算式2026!AF$1,FALSE),0)</f>
        <v>0</v>
      </c>
      <c r="AI1481" s="9">
        <f>IFERROR(VLOOKUP($A1481,pivot!$A:$I,計算式2026!AI$1,FALSE),0)</f>
        <v>0</v>
      </c>
      <c r="AJ1481" s="9">
        <f>IFERROR(VLOOKUP($A1481,pivot!$A:$I,計算式2026!AJ$1,FALSE),0)</f>
        <v>0</v>
      </c>
      <c r="AK1481" s="9">
        <f>IFERROR(VLOOKUP($A1481,pivot!$A:$I,計算式2026!AK$1,FALSE),0)</f>
        <v>0</v>
      </c>
      <c r="AL1481" s="9">
        <f>IFERROR(VLOOKUP($A1481,pivot!$A:$I,計算式2026!AL$1,FALSE),0)</f>
        <v>0</v>
      </c>
      <c r="AR1481" s="8"/>
      <c r="AS1481" s="8"/>
      <c r="AT1481" s="8"/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8"/>
      <c r="BG1481" s="8"/>
    </row>
    <row r="1482" spans="1:59" s="9" customFormat="1">
      <c r="A1482" s="8" t="s">
        <v>1767</v>
      </c>
      <c r="B1482" s="8" t="s">
        <v>2273</v>
      </c>
      <c r="C1482" s="9">
        <v>0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1</v>
      </c>
      <c r="AE1482" s="9">
        <f>IFERROR(VLOOKUP($A1482,pivot!$A:$G,計算式2026!AE$1,FALSE),0)</f>
        <v>0</v>
      </c>
      <c r="AF1482" s="9">
        <f>IFERROR(VLOOKUP($A1482,pivot!$A:$I,計算式2026!AF$1,FALSE),0)</f>
        <v>0</v>
      </c>
      <c r="AI1482" s="9">
        <f>IFERROR(VLOOKUP($A1482,pivot!$A:$I,計算式2026!AI$1,FALSE),0)</f>
        <v>0</v>
      </c>
      <c r="AJ1482" s="9">
        <f>IFERROR(VLOOKUP($A1482,pivot!$A:$I,計算式2026!AJ$1,FALSE),0)</f>
        <v>0</v>
      </c>
      <c r="AK1482" s="9">
        <f>IFERROR(VLOOKUP($A1482,pivot!$A:$I,計算式2026!AK$1,FALSE),0)</f>
        <v>0</v>
      </c>
      <c r="AL1482" s="9">
        <f>IFERROR(VLOOKUP($A1482,pivot!$A:$I,計算式2026!AL$1,FALSE),0)</f>
        <v>0</v>
      </c>
      <c r="AR1482" s="8"/>
      <c r="AS1482" s="8"/>
      <c r="AT1482" s="8"/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8"/>
      <c r="BG1482" s="8"/>
    </row>
    <row r="1483" spans="1:59" s="9" customFormat="1">
      <c r="A1483" s="8" t="s">
        <v>1768</v>
      </c>
      <c r="B1483" s="8" t="s">
        <v>2273</v>
      </c>
      <c r="C1483" s="9">
        <v>0</v>
      </c>
      <c r="D1483" s="9">
        <v>0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1</v>
      </c>
      <c r="AE1483" s="9">
        <f>IFERROR(VLOOKUP($A1483,pivot!$A:$G,計算式2026!AE$1,FALSE),0)</f>
        <v>0</v>
      </c>
      <c r="AF1483" s="9">
        <f>IFERROR(VLOOKUP($A1483,pivot!$A:$I,計算式2026!AF$1,FALSE),0)</f>
        <v>0</v>
      </c>
      <c r="AI1483" s="9">
        <f>IFERROR(VLOOKUP($A1483,pivot!$A:$I,計算式2026!AI$1,FALSE),0)</f>
        <v>0</v>
      </c>
      <c r="AJ1483" s="9">
        <f>IFERROR(VLOOKUP($A1483,pivot!$A:$I,計算式2026!AJ$1,FALSE),0)</f>
        <v>0</v>
      </c>
      <c r="AK1483" s="9">
        <f>IFERROR(VLOOKUP($A1483,pivot!$A:$I,計算式2026!AK$1,FALSE),0)</f>
        <v>0</v>
      </c>
      <c r="AL1483" s="9">
        <f>IFERROR(VLOOKUP($A1483,pivot!$A:$I,計算式2026!AL$1,FALSE),0)</f>
        <v>0</v>
      </c>
      <c r="AR1483" s="8"/>
      <c r="AS1483" s="8"/>
      <c r="AT1483" s="8"/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8"/>
      <c r="BG1483" s="8"/>
    </row>
    <row r="1484" spans="1:59" s="9" customFormat="1">
      <c r="A1484" s="8" t="s">
        <v>2274</v>
      </c>
      <c r="B1484" s="8" t="s">
        <v>843</v>
      </c>
      <c r="C1484" s="9">
        <v>0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R1484" s="9">
        <v>1</v>
      </c>
      <c r="S1484" s="9">
        <v>1</v>
      </c>
      <c r="T1484" s="9">
        <v>0</v>
      </c>
      <c r="U1484" s="9">
        <v>0</v>
      </c>
      <c r="V1484" s="9">
        <v>1</v>
      </c>
      <c r="W1484" s="9">
        <v>0</v>
      </c>
      <c r="X1484" s="9">
        <v>1</v>
      </c>
      <c r="AE1484" s="9">
        <f>IFERROR(VLOOKUP($A1484,pivot!$A:$G,計算式2026!AE$1,FALSE),0)</f>
        <v>0</v>
      </c>
      <c r="AF1484" s="9">
        <f>IFERROR(VLOOKUP($A1484,pivot!$A:$I,計算式2026!AF$1,FALSE),0)</f>
        <v>0</v>
      </c>
      <c r="AI1484" s="9">
        <f>IFERROR(VLOOKUP($A1484,pivot!$A:$I,計算式2026!AI$1,FALSE),0)</f>
        <v>0</v>
      </c>
      <c r="AJ1484" s="9">
        <f>IFERROR(VLOOKUP($A1484,pivot!$A:$I,計算式2026!AJ$1,FALSE),0)</f>
        <v>0</v>
      </c>
      <c r="AK1484" s="9">
        <f>IFERROR(VLOOKUP($A1484,pivot!$A:$I,計算式2026!AK$1,FALSE),0)</f>
        <v>0</v>
      </c>
      <c r="AL1484" s="9">
        <f>IFERROR(VLOOKUP($A1484,pivot!$A:$I,計算式2026!AL$1,FALSE),0)</f>
        <v>0</v>
      </c>
      <c r="AR1484" s="8"/>
      <c r="AS1484" s="8"/>
      <c r="AT1484" s="8"/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8"/>
      <c r="BG1484" s="8"/>
    </row>
    <row r="1485" spans="1:59" s="9" customFormat="1">
      <c r="A1485" s="8" t="s">
        <v>2275</v>
      </c>
      <c r="B1485" s="8" t="s">
        <v>843</v>
      </c>
      <c r="C1485" s="9">
        <v>0</v>
      </c>
      <c r="D1485" s="9">
        <v>2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R1485" s="9">
        <v>2</v>
      </c>
      <c r="S1485" s="9">
        <v>3</v>
      </c>
      <c r="T1485" s="9">
        <v>1</v>
      </c>
      <c r="U1485" s="9">
        <v>1</v>
      </c>
      <c r="V1485" s="9">
        <v>3</v>
      </c>
      <c r="W1485" s="9">
        <v>0</v>
      </c>
      <c r="X1485" s="9">
        <v>1</v>
      </c>
      <c r="AE1485" s="9">
        <f>IFERROR(VLOOKUP($A1485,pivot!$A:$G,計算式2026!AE$1,FALSE),0)</f>
        <v>0</v>
      </c>
      <c r="AF1485" s="9">
        <f>IFERROR(VLOOKUP($A1485,pivot!$A:$I,計算式2026!AF$1,FALSE),0)</f>
        <v>0</v>
      </c>
      <c r="AI1485" s="9">
        <f>IFERROR(VLOOKUP($A1485,pivot!$A:$I,計算式2026!AI$1,FALSE),0)</f>
        <v>0</v>
      </c>
      <c r="AJ1485" s="9">
        <f>IFERROR(VLOOKUP($A1485,pivot!$A:$I,計算式2026!AJ$1,FALSE),0)</f>
        <v>0</v>
      </c>
      <c r="AK1485" s="9">
        <f>IFERROR(VLOOKUP($A1485,pivot!$A:$I,計算式2026!AK$1,FALSE),0)</f>
        <v>0</v>
      </c>
      <c r="AL1485" s="9">
        <f>IFERROR(VLOOKUP($A1485,pivot!$A:$I,計算式2026!AL$1,FALSE),0)</f>
        <v>0</v>
      </c>
      <c r="AR1485" s="8"/>
      <c r="AS1485" s="8"/>
      <c r="AT1485" s="8"/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8"/>
      <c r="BG1485" s="8"/>
    </row>
    <row r="1486" spans="1:59" s="9" customFormat="1">
      <c r="A1486" s="8" t="s">
        <v>2276</v>
      </c>
      <c r="B1486" s="8" t="s">
        <v>843</v>
      </c>
      <c r="C1486" s="9">
        <v>1</v>
      </c>
      <c r="D1486" s="9">
        <v>2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R1486" s="9">
        <v>2</v>
      </c>
      <c r="S1486" s="9">
        <v>2</v>
      </c>
      <c r="T1486" s="9">
        <v>1</v>
      </c>
      <c r="U1486" s="9">
        <v>1</v>
      </c>
      <c r="V1486" s="9">
        <v>3</v>
      </c>
      <c r="W1486" s="9">
        <v>0</v>
      </c>
      <c r="X1486" s="9">
        <v>1</v>
      </c>
      <c r="AE1486" s="9">
        <f>IFERROR(VLOOKUP($A1486,pivot!$A:$G,計算式2026!AE$1,FALSE),0)</f>
        <v>0</v>
      </c>
      <c r="AF1486" s="9">
        <f>IFERROR(VLOOKUP($A1486,pivot!$A:$I,計算式2026!AF$1,FALSE),0)</f>
        <v>0</v>
      </c>
      <c r="AI1486" s="9">
        <f>IFERROR(VLOOKUP($A1486,pivot!$A:$I,計算式2026!AI$1,FALSE),0)</f>
        <v>0</v>
      </c>
      <c r="AJ1486" s="9">
        <f>IFERROR(VLOOKUP($A1486,pivot!$A:$I,計算式2026!AJ$1,FALSE),0)</f>
        <v>0</v>
      </c>
      <c r="AK1486" s="9">
        <f>IFERROR(VLOOKUP($A1486,pivot!$A:$I,計算式2026!AK$1,FALSE),0)</f>
        <v>0</v>
      </c>
      <c r="AL1486" s="9">
        <f>IFERROR(VLOOKUP($A1486,pivot!$A:$I,計算式2026!AL$1,FALSE),0)</f>
        <v>0</v>
      </c>
      <c r="AR1486" s="8"/>
      <c r="AS1486" s="8"/>
      <c r="AT1486" s="8"/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8"/>
      <c r="BG1486" s="8"/>
    </row>
    <row r="1487" spans="1:59" s="9" customFormat="1">
      <c r="A1487" s="8" t="s">
        <v>2277</v>
      </c>
      <c r="B1487" s="8" t="s">
        <v>843</v>
      </c>
      <c r="C1487" s="9">
        <v>1</v>
      </c>
      <c r="D1487" s="9">
        <v>0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1</v>
      </c>
      <c r="AE1487" s="9">
        <f>IFERROR(VLOOKUP($A1487,pivot!$A:$G,計算式2026!AE$1,FALSE),0)</f>
        <v>0</v>
      </c>
      <c r="AF1487" s="9">
        <f>IFERROR(VLOOKUP($A1487,pivot!$A:$I,計算式2026!AF$1,FALSE),0)</f>
        <v>0</v>
      </c>
      <c r="AI1487" s="9">
        <f>IFERROR(VLOOKUP($A1487,pivot!$A:$I,計算式2026!AI$1,FALSE),0)</f>
        <v>0</v>
      </c>
      <c r="AJ1487" s="9">
        <f>IFERROR(VLOOKUP($A1487,pivot!$A:$I,計算式2026!AJ$1,FALSE),0)</f>
        <v>0</v>
      </c>
      <c r="AK1487" s="9">
        <f>IFERROR(VLOOKUP($A1487,pivot!$A:$I,計算式2026!AK$1,FALSE),0)</f>
        <v>0</v>
      </c>
      <c r="AL1487" s="9">
        <f>IFERROR(VLOOKUP($A1487,pivot!$A:$I,計算式2026!AL$1,FALSE),0)</f>
        <v>0</v>
      </c>
      <c r="AR1487" s="8"/>
      <c r="AS1487" s="8"/>
      <c r="AT1487" s="8"/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8"/>
      <c r="BG1487" s="8"/>
    </row>
    <row r="1488" spans="1:59" s="9" customFormat="1">
      <c r="A1488" s="8" t="s">
        <v>2278</v>
      </c>
      <c r="B1488" s="8" t="s">
        <v>843</v>
      </c>
      <c r="C1488" s="9">
        <v>0</v>
      </c>
      <c r="D1488" s="9">
        <v>0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1</v>
      </c>
      <c r="AE1488" s="9">
        <f>IFERROR(VLOOKUP($A1488,pivot!$A:$G,計算式2026!AE$1,FALSE),0)</f>
        <v>0</v>
      </c>
      <c r="AF1488" s="9">
        <f>IFERROR(VLOOKUP($A1488,pivot!$A:$I,計算式2026!AF$1,FALSE),0)</f>
        <v>0</v>
      </c>
      <c r="AI1488" s="9">
        <f>IFERROR(VLOOKUP($A1488,pivot!$A:$I,計算式2026!AI$1,FALSE),0)</f>
        <v>0</v>
      </c>
      <c r="AJ1488" s="9">
        <f>IFERROR(VLOOKUP($A1488,pivot!$A:$I,計算式2026!AJ$1,FALSE),0)</f>
        <v>0</v>
      </c>
      <c r="AK1488" s="9">
        <f>IFERROR(VLOOKUP($A1488,pivot!$A:$I,計算式2026!AK$1,FALSE),0)</f>
        <v>0</v>
      </c>
      <c r="AL1488" s="9">
        <f>IFERROR(VLOOKUP($A1488,pivot!$A:$I,計算式2026!AL$1,FALSE),0)</f>
        <v>0</v>
      </c>
      <c r="AR1488" s="8"/>
      <c r="AS1488" s="8"/>
      <c r="AT1488" s="8"/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8"/>
      <c r="BG1488" s="8"/>
    </row>
    <row r="1489" spans="1:59" s="9" customFormat="1">
      <c r="A1489" s="8" t="s">
        <v>2279</v>
      </c>
      <c r="B1489" s="8" t="s">
        <v>843</v>
      </c>
      <c r="C1489" s="9">
        <v>0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1</v>
      </c>
      <c r="AE1489" s="9">
        <f>IFERROR(VLOOKUP($A1489,pivot!$A:$G,計算式2026!AE$1,FALSE),0)</f>
        <v>0</v>
      </c>
      <c r="AF1489" s="9">
        <f>IFERROR(VLOOKUP($A1489,pivot!$A:$I,計算式2026!AF$1,FALSE),0)</f>
        <v>0</v>
      </c>
      <c r="AI1489" s="9">
        <f>IFERROR(VLOOKUP($A1489,pivot!$A:$I,計算式2026!AI$1,FALSE),0)</f>
        <v>0</v>
      </c>
      <c r="AJ1489" s="9">
        <f>IFERROR(VLOOKUP($A1489,pivot!$A:$I,計算式2026!AJ$1,FALSE),0)</f>
        <v>0</v>
      </c>
      <c r="AK1489" s="9">
        <f>IFERROR(VLOOKUP($A1489,pivot!$A:$I,計算式2026!AK$1,FALSE),0)</f>
        <v>0</v>
      </c>
      <c r="AL1489" s="9">
        <f>IFERROR(VLOOKUP($A1489,pivot!$A:$I,計算式2026!AL$1,FALSE),0)</f>
        <v>0</v>
      </c>
      <c r="AR1489" s="8"/>
      <c r="AS1489" s="8"/>
      <c r="AT1489" s="8"/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8"/>
      <c r="BG1489" s="8"/>
    </row>
    <row r="1490" spans="1:59" s="9" customFormat="1">
      <c r="A1490" s="8" t="s">
        <v>2280</v>
      </c>
      <c r="B1490" s="8" t="s">
        <v>843</v>
      </c>
      <c r="C1490" s="9">
        <v>0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R1490" s="9">
        <v>1</v>
      </c>
      <c r="S1490" s="9">
        <v>1</v>
      </c>
      <c r="T1490" s="9">
        <v>1</v>
      </c>
      <c r="U1490" s="9">
        <v>0</v>
      </c>
      <c r="V1490" s="9">
        <v>2</v>
      </c>
      <c r="W1490" s="9">
        <v>0</v>
      </c>
      <c r="X1490" s="9">
        <v>0</v>
      </c>
      <c r="AE1490" s="9">
        <f>IFERROR(VLOOKUP($A1490,pivot!$A:$G,計算式2026!AE$1,FALSE),0)</f>
        <v>0</v>
      </c>
      <c r="AF1490" s="9">
        <f>IFERROR(VLOOKUP($A1490,pivot!$A:$I,計算式2026!AF$1,FALSE),0)</f>
        <v>0</v>
      </c>
      <c r="AI1490" s="9">
        <f>IFERROR(VLOOKUP($A1490,pivot!$A:$I,計算式2026!AI$1,FALSE),0)</f>
        <v>0</v>
      </c>
      <c r="AJ1490" s="9">
        <f>IFERROR(VLOOKUP($A1490,pivot!$A:$I,計算式2026!AJ$1,FALSE),0)</f>
        <v>0</v>
      </c>
      <c r="AK1490" s="9">
        <f>IFERROR(VLOOKUP($A1490,pivot!$A:$I,計算式2026!AK$1,FALSE),0)</f>
        <v>0</v>
      </c>
      <c r="AL1490" s="9">
        <f>IFERROR(VLOOKUP($A1490,pivot!$A:$I,計算式2026!AL$1,FALSE),0)</f>
        <v>0</v>
      </c>
      <c r="AR1490" s="8"/>
      <c r="AS1490" s="8"/>
      <c r="AT1490" s="8"/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8"/>
      <c r="BG1490" s="8"/>
    </row>
    <row r="1491" spans="1:59" s="9" customFormat="1">
      <c r="A1491" s="8" t="s">
        <v>2281</v>
      </c>
      <c r="B1491" s="8" t="s">
        <v>843</v>
      </c>
      <c r="C1491" s="9">
        <v>0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R1491" s="9">
        <v>1</v>
      </c>
      <c r="S1491" s="9">
        <v>1</v>
      </c>
      <c r="T1491" s="9">
        <v>1</v>
      </c>
      <c r="U1491" s="9">
        <v>0</v>
      </c>
      <c r="V1491" s="9">
        <v>1</v>
      </c>
      <c r="W1491" s="9">
        <v>0</v>
      </c>
      <c r="X1491" s="9">
        <v>1</v>
      </c>
      <c r="AE1491" s="9">
        <f>IFERROR(VLOOKUP($A1491,pivot!$A:$G,計算式2026!AE$1,FALSE),0)</f>
        <v>0</v>
      </c>
      <c r="AF1491" s="9">
        <f>IFERROR(VLOOKUP($A1491,pivot!$A:$I,計算式2026!AF$1,FALSE),0)</f>
        <v>0</v>
      </c>
      <c r="AI1491" s="9">
        <f>IFERROR(VLOOKUP($A1491,pivot!$A:$I,計算式2026!AI$1,FALSE),0)</f>
        <v>0</v>
      </c>
      <c r="AJ1491" s="9">
        <f>IFERROR(VLOOKUP($A1491,pivot!$A:$I,計算式2026!AJ$1,FALSE),0)</f>
        <v>0</v>
      </c>
      <c r="AK1491" s="9">
        <f>IFERROR(VLOOKUP($A1491,pivot!$A:$I,計算式2026!AK$1,FALSE),0)</f>
        <v>0</v>
      </c>
      <c r="AL1491" s="9">
        <f>IFERROR(VLOOKUP($A1491,pivot!$A:$I,計算式2026!AL$1,FALSE),0)</f>
        <v>0</v>
      </c>
      <c r="AR1491" s="8"/>
      <c r="AS1491" s="8"/>
      <c r="AT1491" s="8"/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8"/>
      <c r="BG1491" s="8"/>
    </row>
    <row r="1492" spans="1:59" s="9" customFormat="1">
      <c r="A1492" s="8" t="s">
        <v>2282</v>
      </c>
      <c r="B1492" s="8" t="s">
        <v>843</v>
      </c>
      <c r="C1492" s="9">
        <v>0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1</v>
      </c>
      <c r="AE1492" s="9">
        <f>IFERROR(VLOOKUP($A1492,pivot!$A:$G,計算式2026!AE$1,FALSE),0)</f>
        <v>0</v>
      </c>
      <c r="AF1492" s="9">
        <f>IFERROR(VLOOKUP($A1492,pivot!$A:$I,計算式2026!AF$1,FALSE),0)</f>
        <v>0</v>
      </c>
      <c r="AI1492" s="9">
        <f>IFERROR(VLOOKUP($A1492,pivot!$A:$I,計算式2026!AI$1,FALSE),0)</f>
        <v>0</v>
      </c>
      <c r="AJ1492" s="9">
        <f>IFERROR(VLOOKUP($A1492,pivot!$A:$I,計算式2026!AJ$1,FALSE),0)</f>
        <v>0</v>
      </c>
      <c r="AK1492" s="9">
        <f>IFERROR(VLOOKUP($A1492,pivot!$A:$I,計算式2026!AK$1,FALSE),0)</f>
        <v>0</v>
      </c>
      <c r="AL1492" s="9">
        <f>IFERROR(VLOOKUP($A1492,pivot!$A:$I,計算式2026!AL$1,FALSE),0)</f>
        <v>0</v>
      </c>
      <c r="AR1492" s="8"/>
      <c r="AS1492" s="8"/>
      <c r="AT1492" s="8"/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8"/>
      <c r="BG1492" s="8"/>
    </row>
    <row r="1493" spans="1:59" s="9" customFormat="1">
      <c r="A1493" s="8" t="s">
        <v>2283</v>
      </c>
      <c r="B1493" s="8" t="s">
        <v>843</v>
      </c>
      <c r="C1493" s="9">
        <v>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1</v>
      </c>
      <c r="AE1493" s="9">
        <f>IFERROR(VLOOKUP($A1493,pivot!$A:$G,計算式2026!AE$1,FALSE),0)</f>
        <v>0</v>
      </c>
      <c r="AF1493" s="9">
        <f>IFERROR(VLOOKUP($A1493,pivot!$A:$I,計算式2026!AF$1,FALSE),0)</f>
        <v>0</v>
      </c>
      <c r="AI1493" s="9">
        <f>IFERROR(VLOOKUP($A1493,pivot!$A:$I,計算式2026!AI$1,FALSE),0)</f>
        <v>0</v>
      </c>
      <c r="AJ1493" s="9">
        <f>IFERROR(VLOOKUP($A1493,pivot!$A:$I,計算式2026!AJ$1,FALSE),0)</f>
        <v>0</v>
      </c>
      <c r="AK1493" s="9">
        <f>IFERROR(VLOOKUP($A1493,pivot!$A:$I,計算式2026!AK$1,FALSE),0)</f>
        <v>0</v>
      </c>
      <c r="AL1493" s="9">
        <f>IFERROR(VLOOKUP($A1493,pivot!$A:$I,計算式2026!AL$1,FALSE),0)</f>
        <v>0</v>
      </c>
      <c r="AR1493" s="8"/>
      <c r="AS1493" s="8"/>
      <c r="AT1493" s="8"/>
      <c r="AU1493" s="8"/>
      <c r="AV1493" s="8"/>
      <c r="AW1493" s="8"/>
      <c r="AX1493" s="8"/>
      <c r="AY1493" s="8"/>
      <c r="AZ1493" s="8"/>
      <c r="BA1493" s="8"/>
      <c r="BB1493" s="8"/>
      <c r="BC1493" s="8"/>
      <c r="BD1493" s="8"/>
      <c r="BE1493" s="8"/>
      <c r="BF1493" s="8"/>
      <c r="BG1493" s="8"/>
    </row>
    <row r="1494" spans="1:59" s="9" customFormat="1">
      <c r="A1494" s="8" t="s">
        <v>885</v>
      </c>
      <c r="B1494" s="8" t="s">
        <v>886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R1494" s="9">
        <v>0</v>
      </c>
      <c r="S1494" s="9">
        <v>0</v>
      </c>
      <c r="T1494" s="9">
        <v>2</v>
      </c>
      <c r="U1494" s="9">
        <v>0</v>
      </c>
      <c r="V1494" s="9">
        <v>0</v>
      </c>
      <c r="W1494" s="9">
        <v>0</v>
      </c>
      <c r="X1494" s="9">
        <v>1</v>
      </c>
      <c r="AE1494" s="9">
        <f>IFERROR(VLOOKUP($A1494,pivot!$A:$G,計算式2026!AE$1,FALSE),0)</f>
        <v>0</v>
      </c>
      <c r="AF1494" s="9">
        <f>IFERROR(VLOOKUP($A1494,pivot!$A:$I,計算式2026!AF$1,FALSE),0)</f>
        <v>0</v>
      </c>
      <c r="AI1494" s="9">
        <f>IFERROR(VLOOKUP($A1494,pivot!$A:$I,計算式2026!AI$1,FALSE),0)</f>
        <v>0</v>
      </c>
      <c r="AJ1494" s="9">
        <f>IFERROR(VLOOKUP($A1494,pivot!$A:$I,計算式2026!AJ$1,FALSE),0)</f>
        <v>0</v>
      </c>
      <c r="AK1494" s="9">
        <f>IFERROR(VLOOKUP($A1494,pivot!$A:$I,計算式2026!AK$1,FALSE),0)</f>
        <v>0</v>
      </c>
      <c r="AL1494" s="9">
        <f>IFERROR(VLOOKUP($A1494,pivot!$A:$I,計算式2026!AL$1,FALSE),0)</f>
        <v>0</v>
      </c>
      <c r="AR1494" s="8"/>
      <c r="AS1494" s="8"/>
      <c r="AT1494" s="8"/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8"/>
      <c r="BG1494" s="8"/>
    </row>
    <row r="1495" spans="1:59" s="9" customFormat="1">
      <c r="A1495" s="8" t="s">
        <v>887</v>
      </c>
      <c r="B1495" s="8" t="s">
        <v>886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R1495" s="9">
        <v>0</v>
      </c>
      <c r="S1495" s="9">
        <v>1</v>
      </c>
      <c r="T1495" s="9">
        <v>1</v>
      </c>
      <c r="U1495" s="9">
        <v>0</v>
      </c>
      <c r="V1495" s="9">
        <v>2</v>
      </c>
      <c r="W1495" s="9">
        <v>0</v>
      </c>
      <c r="X1495" s="9">
        <v>1</v>
      </c>
      <c r="AE1495" s="9">
        <f>IFERROR(VLOOKUP($A1495,pivot!$A:$G,計算式2026!AE$1,FALSE),0)</f>
        <v>0</v>
      </c>
      <c r="AF1495" s="9">
        <f>IFERROR(VLOOKUP($A1495,pivot!$A:$I,計算式2026!AF$1,FALSE),0)</f>
        <v>0</v>
      </c>
      <c r="AI1495" s="9">
        <f>IFERROR(VLOOKUP($A1495,pivot!$A:$I,計算式2026!AI$1,FALSE),0)</f>
        <v>0</v>
      </c>
      <c r="AJ1495" s="9">
        <f>IFERROR(VLOOKUP($A1495,pivot!$A:$I,計算式2026!AJ$1,FALSE),0)</f>
        <v>0</v>
      </c>
      <c r="AK1495" s="9">
        <f>IFERROR(VLOOKUP($A1495,pivot!$A:$I,計算式2026!AK$1,FALSE),0)</f>
        <v>0</v>
      </c>
      <c r="AL1495" s="9">
        <f>IFERROR(VLOOKUP($A1495,pivot!$A:$I,計算式2026!AL$1,FALSE),0)</f>
        <v>0</v>
      </c>
      <c r="AR1495" s="8"/>
      <c r="AS1495" s="8"/>
      <c r="AT1495" s="8"/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8"/>
      <c r="BG1495" s="8"/>
    </row>
    <row r="1496" spans="1:59" s="9" customFormat="1">
      <c r="A1496" s="8" t="s">
        <v>888</v>
      </c>
      <c r="B1496" s="8" t="s">
        <v>886</v>
      </c>
      <c r="C1496" s="9">
        <v>0</v>
      </c>
      <c r="D1496" s="9">
        <v>0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R1496" s="9">
        <v>0</v>
      </c>
      <c r="S1496" s="9">
        <v>0</v>
      </c>
      <c r="T1496" s="9">
        <v>1</v>
      </c>
      <c r="U1496" s="9">
        <v>0</v>
      </c>
      <c r="V1496" s="9">
        <v>0</v>
      </c>
      <c r="W1496" s="9">
        <v>0</v>
      </c>
      <c r="X1496" s="9">
        <v>1</v>
      </c>
      <c r="AE1496" s="9">
        <f>IFERROR(VLOOKUP($A1496,pivot!$A:$G,計算式2026!AE$1,FALSE),0)</f>
        <v>0</v>
      </c>
      <c r="AF1496" s="9">
        <f>IFERROR(VLOOKUP($A1496,pivot!$A:$I,計算式2026!AF$1,FALSE),0)</f>
        <v>0</v>
      </c>
      <c r="AI1496" s="9">
        <f>IFERROR(VLOOKUP($A1496,pivot!$A:$I,計算式2026!AI$1,FALSE),0)</f>
        <v>0</v>
      </c>
      <c r="AJ1496" s="9">
        <f>IFERROR(VLOOKUP($A1496,pivot!$A:$I,計算式2026!AJ$1,FALSE),0)</f>
        <v>0</v>
      </c>
      <c r="AK1496" s="9">
        <f>IFERROR(VLOOKUP($A1496,pivot!$A:$I,計算式2026!AK$1,FALSE),0)</f>
        <v>0</v>
      </c>
      <c r="AL1496" s="9">
        <f>IFERROR(VLOOKUP($A1496,pivot!$A:$I,計算式2026!AL$1,FALSE),0)</f>
        <v>0</v>
      </c>
      <c r="AR1496" s="8"/>
      <c r="AS1496" s="8"/>
      <c r="AT1496" s="8"/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8"/>
      <c r="BG1496" s="8"/>
    </row>
    <row r="1497" spans="1:59" s="9" customFormat="1">
      <c r="A1497" s="8" t="s">
        <v>2284</v>
      </c>
      <c r="B1497" s="8" t="s">
        <v>886</v>
      </c>
      <c r="C1497" s="9">
        <v>0</v>
      </c>
      <c r="D1497" s="9">
        <v>0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R1497" s="9">
        <v>1</v>
      </c>
      <c r="S1497" s="9">
        <v>1</v>
      </c>
      <c r="T1497" s="9">
        <v>0</v>
      </c>
      <c r="U1497" s="9">
        <v>0</v>
      </c>
      <c r="V1497" s="9">
        <v>0</v>
      </c>
      <c r="W1497" s="9">
        <v>0</v>
      </c>
      <c r="X1497" s="9">
        <v>1</v>
      </c>
      <c r="AE1497" s="9">
        <f>IFERROR(VLOOKUP($A1497,pivot!$A:$G,計算式2026!AE$1,FALSE),0)</f>
        <v>0</v>
      </c>
      <c r="AF1497" s="9">
        <f>IFERROR(VLOOKUP($A1497,pivot!$A:$I,計算式2026!AF$1,FALSE),0)</f>
        <v>0</v>
      </c>
      <c r="AI1497" s="9">
        <f>IFERROR(VLOOKUP($A1497,pivot!$A:$I,計算式2026!AI$1,FALSE),0)</f>
        <v>0</v>
      </c>
      <c r="AJ1497" s="9">
        <f>IFERROR(VLOOKUP($A1497,pivot!$A:$I,計算式2026!AJ$1,FALSE),0)</f>
        <v>0</v>
      </c>
      <c r="AK1497" s="9">
        <f>IFERROR(VLOOKUP($A1497,pivot!$A:$I,計算式2026!AK$1,FALSE),0)</f>
        <v>0</v>
      </c>
      <c r="AL1497" s="9">
        <f>IFERROR(VLOOKUP($A1497,pivot!$A:$I,計算式2026!AL$1,FALSE),0)</f>
        <v>0</v>
      </c>
      <c r="AR1497" s="8"/>
      <c r="AS1497" s="8"/>
      <c r="AT1497" s="8"/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8"/>
      <c r="BG1497" s="8"/>
    </row>
    <row r="1498" spans="1:59" s="9" customFormat="1">
      <c r="A1498" s="8" t="s">
        <v>2285</v>
      </c>
      <c r="B1498" s="8" t="s">
        <v>886</v>
      </c>
      <c r="C1498" s="9">
        <v>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R1498" s="9">
        <v>1</v>
      </c>
      <c r="S1498" s="9">
        <v>2</v>
      </c>
      <c r="T1498" s="9">
        <v>0</v>
      </c>
      <c r="U1498" s="9">
        <v>0</v>
      </c>
      <c r="V1498" s="9">
        <v>1</v>
      </c>
      <c r="W1498" s="9">
        <v>0</v>
      </c>
      <c r="X1498" s="9">
        <v>1</v>
      </c>
      <c r="AE1498" s="9">
        <f>IFERROR(VLOOKUP($A1498,pivot!$A:$G,計算式2026!AE$1,FALSE),0)</f>
        <v>0</v>
      </c>
      <c r="AF1498" s="9">
        <f>IFERROR(VLOOKUP($A1498,pivot!$A:$I,計算式2026!AF$1,FALSE),0)</f>
        <v>0</v>
      </c>
      <c r="AI1498" s="9">
        <f>IFERROR(VLOOKUP($A1498,pivot!$A:$I,計算式2026!AI$1,FALSE),0)</f>
        <v>0</v>
      </c>
      <c r="AJ1498" s="9">
        <f>IFERROR(VLOOKUP($A1498,pivot!$A:$I,計算式2026!AJ$1,FALSE),0)</f>
        <v>0</v>
      </c>
      <c r="AK1498" s="9">
        <f>IFERROR(VLOOKUP($A1498,pivot!$A:$I,計算式2026!AK$1,FALSE),0)</f>
        <v>0</v>
      </c>
      <c r="AL1498" s="9">
        <f>IFERROR(VLOOKUP($A1498,pivot!$A:$I,計算式2026!AL$1,FALSE),0)</f>
        <v>0</v>
      </c>
      <c r="AR1498" s="8"/>
      <c r="AS1498" s="8"/>
      <c r="AT1498" s="8"/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8"/>
      <c r="BG1498" s="8"/>
    </row>
    <row r="1499" spans="1:59" s="9" customFormat="1">
      <c r="A1499" s="8" t="s">
        <v>2286</v>
      </c>
      <c r="B1499" s="8" t="s">
        <v>886</v>
      </c>
      <c r="C1499" s="9">
        <v>0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1</v>
      </c>
      <c r="AE1499" s="9">
        <f>IFERROR(VLOOKUP($A1499,pivot!$A:$G,計算式2026!AE$1,FALSE),0)</f>
        <v>0</v>
      </c>
      <c r="AF1499" s="9">
        <f>IFERROR(VLOOKUP($A1499,pivot!$A:$I,計算式2026!AF$1,FALSE),0)</f>
        <v>0</v>
      </c>
      <c r="AI1499" s="9">
        <f>IFERROR(VLOOKUP($A1499,pivot!$A:$I,計算式2026!AI$1,FALSE),0)</f>
        <v>0</v>
      </c>
      <c r="AJ1499" s="9">
        <f>IFERROR(VLOOKUP($A1499,pivot!$A:$I,計算式2026!AJ$1,FALSE),0)</f>
        <v>0</v>
      </c>
      <c r="AK1499" s="9">
        <f>IFERROR(VLOOKUP($A1499,pivot!$A:$I,計算式2026!AK$1,FALSE),0)</f>
        <v>0</v>
      </c>
      <c r="AL1499" s="9">
        <f>IFERROR(VLOOKUP($A1499,pivot!$A:$I,計算式2026!AL$1,FALSE),0)</f>
        <v>0</v>
      </c>
      <c r="AR1499" s="8"/>
      <c r="AS1499" s="8"/>
      <c r="AT1499" s="8"/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8"/>
      <c r="BG1499" s="8"/>
    </row>
    <row r="1500" spans="1:59" s="9" customFormat="1">
      <c r="A1500" s="8" t="s">
        <v>889</v>
      </c>
      <c r="B1500" s="8" t="s">
        <v>886</v>
      </c>
      <c r="C1500" s="9">
        <v>0</v>
      </c>
      <c r="D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R1500" s="9">
        <v>0</v>
      </c>
      <c r="S1500" s="9">
        <v>0</v>
      </c>
      <c r="T1500" s="9">
        <v>2</v>
      </c>
      <c r="U1500" s="9">
        <v>0</v>
      </c>
      <c r="V1500" s="9">
        <v>0</v>
      </c>
      <c r="W1500" s="9">
        <v>0</v>
      </c>
      <c r="X1500" s="9">
        <v>1</v>
      </c>
      <c r="AE1500" s="9">
        <f>IFERROR(VLOOKUP($A1500,pivot!$A:$G,計算式2026!AE$1,FALSE),0)</f>
        <v>0</v>
      </c>
      <c r="AF1500" s="9">
        <f>IFERROR(VLOOKUP($A1500,pivot!$A:$I,計算式2026!AF$1,FALSE),0)</f>
        <v>0</v>
      </c>
      <c r="AI1500" s="9">
        <f>IFERROR(VLOOKUP($A1500,pivot!$A:$I,計算式2026!AI$1,FALSE),0)</f>
        <v>0</v>
      </c>
      <c r="AJ1500" s="9">
        <f>IFERROR(VLOOKUP($A1500,pivot!$A:$I,計算式2026!AJ$1,FALSE),0)</f>
        <v>0</v>
      </c>
      <c r="AK1500" s="9">
        <f>IFERROR(VLOOKUP($A1500,pivot!$A:$I,計算式2026!AK$1,FALSE),0)</f>
        <v>0</v>
      </c>
      <c r="AL1500" s="9">
        <f>IFERROR(VLOOKUP($A1500,pivot!$A:$I,計算式2026!AL$1,FALSE),0)</f>
        <v>0</v>
      </c>
      <c r="AR1500" s="8"/>
      <c r="AS1500" s="8"/>
      <c r="AT1500" s="8"/>
      <c r="AU1500" s="8"/>
      <c r="AV1500" s="8"/>
      <c r="AW1500" s="8"/>
      <c r="AX1500" s="8"/>
      <c r="AY1500" s="8"/>
      <c r="AZ1500" s="8"/>
      <c r="BA1500" s="8"/>
      <c r="BB1500" s="8"/>
      <c r="BC1500" s="8"/>
      <c r="BD1500" s="8"/>
      <c r="BE1500" s="8"/>
      <c r="BF1500" s="8"/>
      <c r="BG1500" s="8"/>
    </row>
    <row r="1501" spans="1:59" s="9" customFormat="1">
      <c r="A1501" s="8" t="s">
        <v>890</v>
      </c>
      <c r="B1501" s="8" t="s">
        <v>886</v>
      </c>
      <c r="C1501" s="9">
        <v>0</v>
      </c>
      <c r="D1501" s="9">
        <v>0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R1501" s="9">
        <v>1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1</v>
      </c>
      <c r="AE1501" s="9">
        <f>IFERROR(VLOOKUP($A1501,pivot!$A:$G,計算式2026!AE$1,FALSE),0)</f>
        <v>0</v>
      </c>
      <c r="AF1501" s="9">
        <f>IFERROR(VLOOKUP($A1501,pivot!$A:$I,計算式2026!AF$1,FALSE),0)</f>
        <v>0</v>
      </c>
      <c r="AI1501" s="9">
        <f>IFERROR(VLOOKUP($A1501,pivot!$A:$I,計算式2026!AI$1,FALSE),0)</f>
        <v>0</v>
      </c>
      <c r="AJ1501" s="9">
        <f>IFERROR(VLOOKUP($A1501,pivot!$A:$I,計算式2026!AJ$1,FALSE),0)</f>
        <v>0</v>
      </c>
      <c r="AK1501" s="9">
        <f>IFERROR(VLOOKUP($A1501,pivot!$A:$I,計算式2026!AK$1,FALSE),0)</f>
        <v>0</v>
      </c>
      <c r="AL1501" s="9">
        <f>IFERROR(VLOOKUP($A1501,pivot!$A:$I,計算式2026!AL$1,FALSE),0)</f>
        <v>0</v>
      </c>
      <c r="AR1501" s="8"/>
      <c r="AS1501" s="8"/>
      <c r="AT1501" s="8"/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8"/>
      <c r="BG1501" s="8"/>
    </row>
    <row r="1502" spans="1:59" s="9" customFormat="1">
      <c r="A1502" s="8" t="s">
        <v>891</v>
      </c>
      <c r="B1502" s="8" t="s">
        <v>886</v>
      </c>
      <c r="C1502" s="9">
        <v>0</v>
      </c>
      <c r="D1502" s="9">
        <v>0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R1502" s="9">
        <v>0</v>
      </c>
      <c r="S1502" s="9">
        <v>0</v>
      </c>
      <c r="T1502" s="9">
        <v>2</v>
      </c>
      <c r="U1502" s="9">
        <v>0</v>
      </c>
      <c r="V1502" s="9">
        <v>0</v>
      </c>
      <c r="W1502" s="9">
        <v>0</v>
      </c>
      <c r="X1502" s="9">
        <v>0</v>
      </c>
      <c r="AE1502" s="9">
        <f>IFERROR(VLOOKUP($A1502,pivot!$A:$G,計算式2026!AE$1,FALSE),0)</f>
        <v>0</v>
      </c>
      <c r="AF1502" s="9">
        <f>IFERROR(VLOOKUP($A1502,pivot!$A:$I,計算式2026!AF$1,FALSE),0)</f>
        <v>0</v>
      </c>
      <c r="AI1502" s="9">
        <f>IFERROR(VLOOKUP($A1502,pivot!$A:$I,計算式2026!AI$1,FALSE),0)</f>
        <v>0</v>
      </c>
      <c r="AJ1502" s="9">
        <f>IFERROR(VLOOKUP($A1502,pivot!$A:$I,計算式2026!AJ$1,FALSE),0)</f>
        <v>0</v>
      </c>
      <c r="AK1502" s="9">
        <f>IFERROR(VLOOKUP($A1502,pivot!$A:$I,計算式2026!AK$1,FALSE),0)</f>
        <v>0</v>
      </c>
      <c r="AL1502" s="9">
        <f>IFERROR(VLOOKUP($A1502,pivot!$A:$I,計算式2026!AL$1,FALSE),0)</f>
        <v>0</v>
      </c>
      <c r="AR1502" s="8"/>
      <c r="AS1502" s="8"/>
      <c r="AT1502" s="8"/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8"/>
      <c r="BG1502" s="8"/>
    </row>
    <row r="1503" spans="1:59" s="9" customFormat="1">
      <c r="A1503" s="8" t="s">
        <v>892</v>
      </c>
      <c r="B1503" s="8" t="s">
        <v>886</v>
      </c>
      <c r="C1503" s="9">
        <v>0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1</v>
      </c>
      <c r="AE1503" s="9">
        <f>IFERROR(VLOOKUP($A1503,pivot!$A:$G,計算式2026!AE$1,FALSE),0)</f>
        <v>0</v>
      </c>
      <c r="AF1503" s="9">
        <f>IFERROR(VLOOKUP($A1503,pivot!$A:$I,計算式2026!AF$1,FALSE),0)</f>
        <v>0</v>
      </c>
      <c r="AI1503" s="9">
        <f>IFERROR(VLOOKUP($A1503,pivot!$A:$I,計算式2026!AI$1,FALSE),0)</f>
        <v>0</v>
      </c>
      <c r="AJ1503" s="9">
        <f>IFERROR(VLOOKUP($A1503,pivot!$A:$I,計算式2026!AJ$1,FALSE),0)</f>
        <v>0</v>
      </c>
      <c r="AK1503" s="9">
        <f>IFERROR(VLOOKUP($A1503,pivot!$A:$I,計算式2026!AK$1,FALSE),0)</f>
        <v>0</v>
      </c>
      <c r="AL1503" s="9">
        <f>IFERROR(VLOOKUP($A1503,pivot!$A:$I,計算式2026!AL$1,FALSE),0)</f>
        <v>0</v>
      </c>
      <c r="AR1503" s="8"/>
      <c r="AS1503" s="8"/>
      <c r="AT1503" s="8"/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8"/>
      <c r="BG1503" s="8"/>
    </row>
    <row r="1504" spans="1:59" s="9" customFormat="1">
      <c r="A1504" s="8" t="s">
        <v>893</v>
      </c>
      <c r="B1504" s="8" t="s">
        <v>886</v>
      </c>
      <c r="C1504" s="9">
        <v>0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R1504" s="9">
        <v>0</v>
      </c>
      <c r="S1504" s="9">
        <v>0</v>
      </c>
      <c r="T1504" s="9">
        <v>2</v>
      </c>
      <c r="U1504" s="9">
        <v>0</v>
      </c>
      <c r="V1504" s="9">
        <v>0</v>
      </c>
      <c r="W1504" s="9">
        <v>0</v>
      </c>
      <c r="X1504" s="9">
        <v>1</v>
      </c>
      <c r="AE1504" s="9">
        <f>IFERROR(VLOOKUP($A1504,pivot!$A:$G,計算式2026!AE$1,FALSE),0)</f>
        <v>0</v>
      </c>
      <c r="AF1504" s="9">
        <f>IFERROR(VLOOKUP($A1504,pivot!$A:$I,計算式2026!AF$1,FALSE),0)</f>
        <v>0</v>
      </c>
      <c r="AI1504" s="9">
        <f>IFERROR(VLOOKUP($A1504,pivot!$A:$I,計算式2026!AI$1,FALSE),0)</f>
        <v>0</v>
      </c>
      <c r="AJ1504" s="9">
        <f>IFERROR(VLOOKUP($A1504,pivot!$A:$I,計算式2026!AJ$1,FALSE),0)</f>
        <v>0</v>
      </c>
      <c r="AK1504" s="9">
        <f>IFERROR(VLOOKUP($A1504,pivot!$A:$I,計算式2026!AK$1,FALSE),0)</f>
        <v>0</v>
      </c>
      <c r="AL1504" s="9">
        <f>IFERROR(VLOOKUP($A1504,pivot!$A:$I,計算式2026!AL$1,FALSE),0)</f>
        <v>0</v>
      </c>
      <c r="AR1504" s="8"/>
      <c r="AS1504" s="8"/>
      <c r="AT1504" s="8"/>
      <c r="AU1504" s="8"/>
      <c r="AV1504" s="8"/>
      <c r="AW1504" s="8"/>
      <c r="AX1504" s="8"/>
      <c r="AY1504" s="8"/>
      <c r="AZ1504" s="8"/>
      <c r="BA1504" s="8"/>
      <c r="BB1504" s="8"/>
      <c r="BC1504" s="8"/>
      <c r="BD1504" s="8"/>
      <c r="BE1504" s="8"/>
      <c r="BF1504" s="8"/>
      <c r="BG1504" s="8"/>
    </row>
    <row r="1505" spans="1:59" s="9" customFormat="1">
      <c r="A1505" s="8" t="s">
        <v>894</v>
      </c>
      <c r="B1505" s="8" t="s">
        <v>886</v>
      </c>
      <c r="C1505" s="9">
        <v>1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R1505" s="9">
        <v>1</v>
      </c>
      <c r="S1505" s="9">
        <v>1</v>
      </c>
      <c r="T1505" s="9">
        <v>1</v>
      </c>
      <c r="U1505" s="9">
        <v>0</v>
      </c>
      <c r="V1505" s="9">
        <v>1</v>
      </c>
      <c r="W1505" s="9">
        <v>0</v>
      </c>
      <c r="X1505" s="9">
        <v>1</v>
      </c>
      <c r="AE1505" s="9">
        <f>IFERROR(VLOOKUP($A1505,pivot!$A:$G,計算式2026!AE$1,FALSE),0)</f>
        <v>0</v>
      </c>
      <c r="AF1505" s="9">
        <f>IFERROR(VLOOKUP($A1505,pivot!$A:$I,計算式2026!AF$1,FALSE),0)</f>
        <v>0</v>
      </c>
      <c r="AI1505" s="9">
        <f>IFERROR(VLOOKUP($A1505,pivot!$A:$I,計算式2026!AI$1,FALSE),0)</f>
        <v>0</v>
      </c>
      <c r="AJ1505" s="9">
        <f>IFERROR(VLOOKUP($A1505,pivot!$A:$I,計算式2026!AJ$1,FALSE),0)</f>
        <v>0</v>
      </c>
      <c r="AK1505" s="9">
        <f>IFERROR(VLOOKUP($A1505,pivot!$A:$I,計算式2026!AK$1,FALSE),0)</f>
        <v>0</v>
      </c>
      <c r="AL1505" s="9">
        <f>IFERROR(VLOOKUP($A1505,pivot!$A:$I,計算式2026!AL$1,FALSE),0)</f>
        <v>0</v>
      </c>
      <c r="AR1505" s="8"/>
      <c r="AS1505" s="8"/>
      <c r="AT1505" s="8"/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8"/>
      <c r="BG1505" s="8"/>
    </row>
    <row r="1506" spans="1:59" s="9" customFormat="1">
      <c r="A1506" s="8" t="s">
        <v>895</v>
      </c>
      <c r="B1506" s="8" t="s">
        <v>886</v>
      </c>
      <c r="C1506" s="9">
        <v>0</v>
      </c>
      <c r="D1506" s="9">
        <v>0</v>
      </c>
      <c r="E1506" s="9">
        <v>0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R1506" s="9">
        <v>0</v>
      </c>
      <c r="S1506" s="9">
        <v>0</v>
      </c>
      <c r="T1506" s="9">
        <v>2</v>
      </c>
      <c r="U1506" s="9">
        <v>0</v>
      </c>
      <c r="V1506" s="9">
        <v>1</v>
      </c>
      <c r="W1506" s="9">
        <v>0</v>
      </c>
      <c r="X1506" s="9">
        <v>1</v>
      </c>
      <c r="AE1506" s="9">
        <f>IFERROR(VLOOKUP($A1506,pivot!$A:$G,計算式2026!AE$1,FALSE),0)</f>
        <v>0</v>
      </c>
      <c r="AF1506" s="9">
        <f>IFERROR(VLOOKUP($A1506,pivot!$A:$I,計算式2026!AF$1,FALSE),0)</f>
        <v>0</v>
      </c>
      <c r="AI1506" s="9">
        <f>IFERROR(VLOOKUP($A1506,pivot!$A:$I,計算式2026!AI$1,FALSE),0)</f>
        <v>0</v>
      </c>
      <c r="AJ1506" s="9">
        <f>IFERROR(VLOOKUP($A1506,pivot!$A:$I,計算式2026!AJ$1,FALSE),0)</f>
        <v>0</v>
      </c>
      <c r="AK1506" s="9">
        <f>IFERROR(VLOOKUP($A1506,pivot!$A:$I,計算式2026!AK$1,FALSE),0)</f>
        <v>0</v>
      </c>
      <c r="AL1506" s="9">
        <f>IFERROR(VLOOKUP($A1506,pivot!$A:$I,計算式2026!AL$1,FALSE),0)</f>
        <v>0</v>
      </c>
      <c r="AR1506" s="8"/>
      <c r="AS1506" s="8"/>
      <c r="AT1506" s="8"/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8"/>
      <c r="BG1506" s="8"/>
    </row>
    <row r="1507" spans="1:59" s="9" customFormat="1">
      <c r="A1507" s="8" t="s">
        <v>2287</v>
      </c>
      <c r="B1507" s="8" t="s">
        <v>886</v>
      </c>
      <c r="C1507" s="9">
        <v>1</v>
      </c>
      <c r="D1507" s="9">
        <v>0</v>
      </c>
      <c r="E1507" s="9">
        <v>0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R1507" s="9">
        <v>0</v>
      </c>
      <c r="S1507" s="9">
        <v>1</v>
      </c>
      <c r="T1507" s="9">
        <v>0</v>
      </c>
      <c r="U1507" s="9">
        <v>0</v>
      </c>
      <c r="V1507" s="9">
        <v>0</v>
      </c>
      <c r="W1507" s="9">
        <v>0</v>
      </c>
      <c r="X1507" s="9">
        <v>1</v>
      </c>
      <c r="AE1507" s="9">
        <f>IFERROR(VLOOKUP($A1507,pivot!$A:$G,計算式2026!AE$1,FALSE),0)</f>
        <v>0</v>
      </c>
      <c r="AF1507" s="9">
        <f>IFERROR(VLOOKUP($A1507,pivot!$A:$I,計算式2026!AF$1,FALSE),0)</f>
        <v>0</v>
      </c>
      <c r="AI1507" s="9">
        <f>IFERROR(VLOOKUP($A1507,pivot!$A:$I,計算式2026!AI$1,FALSE),0)</f>
        <v>0</v>
      </c>
      <c r="AJ1507" s="9">
        <f>IFERROR(VLOOKUP($A1507,pivot!$A:$I,計算式2026!AJ$1,FALSE),0)</f>
        <v>0</v>
      </c>
      <c r="AK1507" s="9">
        <f>IFERROR(VLOOKUP($A1507,pivot!$A:$I,計算式2026!AK$1,FALSE),0)</f>
        <v>0</v>
      </c>
      <c r="AL1507" s="9">
        <f>IFERROR(VLOOKUP($A1507,pivot!$A:$I,計算式2026!AL$1,FALSE),0)</f>
        <v>0</v>
      </c>
      <c r="AR1507" s="8"/>
      <c r="AS1507" s="8"/>
      <c r="AT1507" s="8"/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8"/>
      <c r="BG1507" s="8"/>
    </row>
    <row r="1508" spans="1:59" s="9" customFormat="1">
      <c r="A1508" s="8" t="s">
        <v>2288</v>
      </c>
      <c r="B1508" s="8" t="s">
        <v>886</v>
      </c>
      <c r="C1508" s="9">
        <v>0</v>
      </c>
      <c r="D1508" s="9">
        <v>0</v>
      </c>
      <c r="E1508" s="9">
        <v>0</v>
      </c>
      <c r="F1508" s="9">
        <v>0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R1508" s="9">
        <v>0</v>
      </c>
      <c r="S1508" s="9">
        <v>2</v>
      </c>
      <c r="T1508" s="9">
        <v>0</v>
      </c>
      <c r="U1508" s="9">
        <v>0</v>
      </c>
      <c r="V1508" s="9">
        <v>1</v>
      </c>
      <c r="W1508" s="9">
        <v>0</v>
      </c>
      <c r="X1508" s="9">
        <v>1</v>
      </c>
      <c r="AE1508" s="9">
        <f>IFERROR(VLOOKUP($A1508,pivot!$A:$G,計算式2026!AE$1,FALSE),0)</f>
        <v>0</v>
      </c>
      <c r="AF1508" s="9">
        <f>IFERROR(VLOOKUP($A1508,pivot!$A:$I,計算式2026!AF$1,FALSE),0)</f>
        <v>0</v>
      </c>
      <c r="AI1508" s="9">
        <f>IFERROR(VLOOKUP($A1508,pivot!$A:$I,計算式2026!AI$1,FALSE),0)</f>
        <v>0</v>
      </c>
      <c r="AJ1508" s="9">
        <f>IFERROR(VLOOKUP($A1508,pivot!$A:$I,計算式2026!AJ$1,FALSE),0)</f>
        <v>0</v>
      </c>
      <c r="AK1508" s="9">
        <f>IFERROR(VLOOKUP($A1508,pivot!$A:$I,計算式2026!AK$1,FALSE),0)</f>
        <v>0</v>
      </c>
      <c r="AL1508" s="9">
        <f>IFERROR(VLOOKUP($A1508,pivot!$A:$I,計算式2026!AL$1,FALSE),0)</f>
        <v>0</v>
      </c>
      <c r="AR1508" s="8"/>
      <c r="AS1508" s="8"/>
      <c r="AT1508" s="8"/>
      <c r="AU1508" s="8"/>
      <c r="AV1508" s="8"/>
      <c r="AW1508" s="8"/>
      <c r="AX1508" s="8"/>
      <c r="AY1508" s="8"/>
      <c r="AZ1508" s="8"/>
      <c r="BA1508" s="8"/>
      <c r="BB1508" s="8"/>
      <c r="BC1508" s="8"/>
      <c r="BD1508" s="8"/>
      <c r="BE1508" s="8"/>
      <c r="BF1508" s="8"/>
      <c r="BG1508" s="8"/>
    </row>
    <row r="1509" spans="1:59" s="9" customFormat="1">
      <c r="A1509" s="8" t="s">
        <v>2289</v>
      </c>
      <c r="B1509" s="8" t="s">
        <v>886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R1509" s="9">
        <v>0</v>
      </c>
      <c r="S1509" s="9">
        <v>1</v>
      </c>
      <c r="T1509" s="9">
        <v>0</v>
      </c>
      <c r="U1509" s="9">
        <v>0</v>
      </c>
      <c r="V1509" s="9">
        <v>0</v>
      </c>
      <c r="W1509" s="9">
        <v>0</v>
      </c>
      <c r="X1509" s="9">
        <v>1</v>
      </c>
      <c r="AE1509" s="9">
        <f>IFERROR(VLOOKUP($A1509,pivot!$A:$G,計算式2026!AE$1,FALSE),0)</f>
        <v>0</v>
      </c>
      <c r="AF1509" s="9">
        <f>IFERROR(VLOOKUP($A1509,pivot!$A:$I,計算式2026!AF$1,FALSE),0)</f>
        <v>0</v>
      </c>
      <c r="AI1509" s="9">
        <f>IFERROR(VLOOKUP($A1509,pivot!$A:$I,計算式2026!AI$1,FALSE),0)</f>
        <v>0</v>
      </c>
      <c r="AJ1509" s="9">
        <f>IFERROR(VLOOKUP($A1509,pivot!$A:$I,計算式2026!AJ$1,FALSE),0)</f>
        <v>0</v>
      </c>
      <c r="AK1509" s="9">
        <f>IFERROR(VLOOKUP($A1509,pivot!$A:$I,計算式2026!AK$1,FALSE),0)</f>
        <v>0</v>
      </c>
      <c r="AL1509" s="9">
        <f>IFERROR(VLOOKUP($A1509,pivot!$A:$I,計算式2026!AL$1,FALSE),0)</f>
        <v>0</v>
      </c>
      <c r="AR1509" s="8"/>
      <c r="AS1509" s="8"/>
      <c r="AT1509" s="8"/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8"/>
      <c r="BG1509" s="8"/>
    </row>
    <row r="1510" spans="1:59" s="9" customFormat="1">
      <c r="A1510" s="8" t="s">
        <v>896</v>
      </c>
      <c r="B1510" s="8" t="s">
        <v>886</v>
      </c>
      <c r="C1510" s="9">
        <v>0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R1510" s="9">
        <v>0</v>
      </c>
      <c r="S1510" s="9">
        <v>0</v>
      </c>
      <c r="T1510" s="9">
        <v>1</v>
      </c>
      <c r="U1510" s="9">
        <v>0</v>
      </c>
      <c r="V1510" s="9">
        <v>0</v>
      </c>
      <c r="W1510" s="9">
        <v>0</v>
      </c>
      <c r="X1510" s="9">
        <v>0</v>
      </c>
      <c r="AE1510" s="9">
        <f>IFERROR(VLOOKUP($A1510,pivot!$A:$G,計算式2026!AE$1,FALSE),0)</f>
        <v>0</v>
      </c>
      <c r="AF1510" s="9">
        <f>IFERROR(VLOOKUP($A1510,pivot!$A:$I,計算式2026!AF$1,FALSE),0)</f>
        <v>0</v>
      </c>
      <c r="AI1510" s="9">
        <f>IFERROR(VLOOKUP($A1510,pivot!$A:$I,計算式2026!AI$1,FALSE),0)</f>
        <v>0</v>
      </c>
      <c r="AJ1510" s="9">
        <f>IFERROR(VLOOKUP($A1510,pivot!$A:$I,計算式2026!AJ$1,FALSE),0)</f>
        <v>0</v>
      </c>
      <c r="AK1510" s="9">
        <f>IFERROR(VLOOKUP($A1510,pivot!$A:$I,計算式2026!AK$1,FALSE),0)</f>
        <v>0</v>
      </c>
      <c r="AL1510" s="9">
        <f>IFERROR(VLOOKUP($A1510,pivot!$A:$I,計算式2026!AL$1,FALSE),0)</f>
        <v>0</v>
      </c>
      <c r="AR1510" s="8"/>
      <c r="AS1510" s="8"/>
      <c r="AT1510" s="8"/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8"/>
      <c r="BG1510" s="8"/>
    </row>
    <row r="1511" spans="1:59" s="9" customFormat="1">
      <c r="A1511" s="8" t="s">
        <v>897</v>
      </c>
      <c r="B1511" s="8" t="s">
        <v>886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1</v>
      </c>
      <c r="AE1511" s="9">
        <f>IFERROR(VLOOKUP($A1511,pivot!$A:$G,計算式2026!AE$1,FALSE),0)</f>
        <v>0</v>
      </c>
      <c r="AF1511" s="9">
        <f>IFERROR(VLOOKUP($A1511,pivot!$A:$I,計算式2026!AF$1,FALSE),0)</f>
        <v>0</v>
      </c>
      <c r="AI1511" s="9">
        <f>IFERROR(VLOOKUP($A1511,pivot!$A:$I,計算式2026!AI$1,FALSE),0)</f>
        <v>0</v>
      </c>
      <c r="AJ1511" s="9">
        <f>IFERROR(VLOOKUP($A1511,pivot!$A:$I,計算式2026!AJ$1,FALSE),0)</f>
        <v>0</v>
      </c>
      <c r="AK1511" s="9">
        <f>IFERROR(VLOOKUP($A1511,pivot!$A:$I,計算式2026!AK$1,FALSE),0)</f>
        <v>0</v>
      </c>
      <c r="AL1511" s="9">
        <f>IFERROR(VLOOKUP($A1511,pivot!$A:$I,計算式2026!AL$1,FALSE),0)</f>
        <v>0</v>
      </c>
      <c r="AR1511" s="8"/>
      <c r="AS1511" s="8"/>
      <c r="AT1511" s="8"/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8"/>
      <c r="BG1511" s="8"/>
    </row>
    <row r="1512" spans="1:59" s="9" customFormat="1">
      <c r="A1512" s="8" t="s">
        <v>898</v>
      </c>
      <c r="B1512" s="8" t="s">
        <v>886</v>
      </c>
      <c r="C1512" s="9">
        <v>0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R1512" s="9">
        <v>0</v>
      </c>
      <c r="S1512" s="9">
        <v>0</v>
      </c>
      <c r="T1512" s="9">
        <v>1</v>
      </c>
      <c r="U1512" s="9">
        <v>0</v>
      </c>
      <c r="V1512" s="9">
        <v>0</v>
      </c>
      <c r="W1512" s="9">
        <v>0</v>
      </c>
      <c r="X1512" s="9">
        <v>1</v>
      </c>
      <c r="AE1512" s="9">
        <f>IFERROR(VLOOKUP($A1512,pivot!$A:$G,計算式2026!AE$1,FALSE),0)</f>
        <v>0</v>
      </c>
      <c r="AF1512" s="9">
        <f>IFERROR(VLOOKUP($A1512,pivot!$A:$I,計算式2026!AF$1,FALSE),0)</f>
        <v>0</v>
      </c>
      <c r="AI1512" s="9">
        <f>IFERROR(VLOOKUP($A1512,pivot!$A:$I,計算式2026!AI$1,FALSE),0)</f>
        <v>0</v>
      </c>
      <c r="AJ1512" s="9">
        <f>IFERROR(VLOOKUP($A1512,pivot!$A:$I,計算式2026!AJ$1,FALSE),0)</f>
        <v>0</v>
      </c>
      <c r="AK1512" s="9">
        <f>IFERROR(VLOOKUP($A1512,pivot!$A:$I,計算式2026!AK$1,FALSE),0)</f>
        <v>0</v>
      </c>
      <c r="AL1512" s="9">
        <f>IFERROR(VLOOKUP($A1512,pivot!$A:$I,計算式2026!AL$1,FALSE),0)</f>
        <v>0</v>
      </c>
      <c r="AR1512" s="8"/>
      <c r="AS1512" s="8"/>
      <c r="AT1512" s="8"/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8"/>
      <c r="BG1512" s="8"/>
    </row>
    <row r="1513" spans="1:59" s="9" customFormat="1">
      <c r="A1513" s="8" t="s">
        <v>2290</v>
      </c>
      <c r="B1513" s="8" t="s">
        <v>886</v>
      </c>
      <c r="C1513" s="9">
        <v>0</v>
      </c>
      <c r="D1513" s="9">
        <v>0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1</v>
      </c>
      <c r="AE1513" s="9">
        <f>IFERROR(VLOOKUP($A1513,pivot!$A:$G,計算式2026!AE$1,FALSE),0)</f>
        <v>0</v>
      </c>
      <c r="AF1513" s="9">
        <f>IFERROR(VLOOKUP($A1513,pivot!$A:$I,計算式2026!AF$1,FALSE),0)</f>
        <v>0</v>
      </c>
      <c r="AI1513" s="9">
        <f>IFERROR(VLOOKUP($A1513,pivot!$A:$I,計算式2026!AI$1,FALSE),0)</f>
        <v>0</v>
      </c>
      <c r="AJ1513" s="9">
        <f>IFERROR(VLOOKUP($A1513,pivot!$A:$I,計算式2026!AJ$1,FALSE),0)</f>
        <v>0</v>
      </c>
      <c r="AK1513" s="9">
        <f>IFERROR(VLOOKUP($A1513,pivot!$A:$I,計算式2026!AK$1,FALSE),0)</f>
        <v>0</v>
      </c>
      <c r="AL1513" s="9">
        <f>IFERROR(VLOOKUP($A1513,pivot!$A:$I,計算式2026!AL$1,FALSE),0)</f>
        <v>0</v>
      </c>
      <c r="AR1513" s="8"/>
      <c r="AS1513" s="8"/>
      <c r="AT1513" s="8"/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8"/>
      <c r="BG1513" s="8"/>
    </row>
    <row r="1514" spans="1:59" s="9" customFormat="1">
      <c r="A1514" s="8" t="s">
        <v>899</v>
      </c>
      <c r="B1514" s="8" t="s">
        <v>900</v>
      </c>
      <c r="C1514" s="9">
        <v>0</v>
      </c>
      <c r="D1514" s="9">
        <v>0</v>
      </c>
      <c r="E1514" s="9">
        <v>0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R1514" s="9">
        <v>0</v>
      </c>
      <c r="S1514" s="9">
        <v>0</v>
      </c>
      <c r="T1514" s="9">
        <v>1</v>
      </c>
      <c r="U1514" s="9">
        <v>0</v>
      </c>
      <c r="V1514" s="9">
        <v>0</v>
      </c>
      <c r="W1514" s="9">
        <v>0</v>
      </c>
      <c r="X1514" s="9">
        <v>1</v>
      </c>
      <c r="AE1514" s="9">
        <f>IFERROR(VLOOKUP($A1514,pivot!$A:$G,計算式2026!AE$1,FALSE),0)</f>
        <v>0</v>
      </c>
      <c r="AF1514" s="9">
        <f>IFERROR(VLOOKUP($A1514,pivot!$A:$I,計算式2026!AF$1,FALSE),0)</f>
        <v>0</v>
      </c>
      <c r="AI1514" s="9">
        <f>IFERROR(VLOOKUP($A1514,pivot!$A:$I,計算式2026!AI$1,FALSE),0)</f>
        <v>0</v>
      </c>
      <c r="AJ1514" s="9">
        <f>IFERROR(VLOOKUP($A1514,pivot!$A:$I,計算式2026!AJ$1,FALSE),0)</f>
        <v>0</v>
      </c>
      <c r="AK1514" s="9">
        <f>IFERROR(VLOOKUP($A1514,pivot!$A:$I,計算式2026!AK$1,FALSE),0)</f>
        <v>0</v>
      </c>
      <c r="AL1514" s="9">
        <f>IFERROR(VLOOKUP($A1514,pivot!$A:$I,計算式2026!AL$1,FALSE),0)</f>
        <v>0</v>
      </c>
      <c r="AR1514" s="8"/>
      <c r="AS1514" s="8"/>
      <c r="AT1514" s="8"/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8"/>
      <c r="BG1514" s="8"/>
    </row>
    <row r="1515" spans="1:59" s="9" customFormat="1">
      <c r="A1515" s="8" t="s">
        <v>901</v>
      </c>
      <c r="B1515" s="8" t="s">
        <v>900</v>
      </c>
      <c r="C1515" s="9">
        <v>0</v>
      </c>
      <c r="D1515" s="9">
        <v>0</v>
      </c>
      <c r="E1515" s="9">
        <v>0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R1515" s="9">
        <v>0</v>
      </c>
      <c r="S1515" s="9">
        <v>0</v>
      </c>
      <c r="T1515" s="9">
        <v>1</v>
      </c>
      <c r="U1515" s="9">
        <v>0</v>
      </c>
      <c r="V1515" s="9">
        <v>0</v>
      </c>
      <c r="W1515" s="9">
        <v>0</v>
      </c>
      <c r="X1515" s="9">
        <v>1</v>
      </c>
      <c r="AE1515" s="9">
        <f>IFERROR(VLOOKUP($A1515,pivot!$A:$G,計算式2026!AE$1,FALSE),0)</f>
        <v>0</v>
      </c>
      <c r="AF1515" s="9">
        <f>IFERROR(VLOOKUP($A1515,pivot!$A:$I,計算式2026!AF$1,FALSE),0)</f>
        <v>0</v>
      </c>
      <c r="AI1515" s="9">
        <f>IFERROR(VLOOKUP($A1515,pivot!$A:$I,計算式2026!AI$1,FALSE),0)</f>
        <v>0</v>
      </c>
      <c r="AJ1515" s="9">
        <f>IFERROR(VLOOKUP($A1515,pivot!$A:$I,計算式2026!AJ$1,FALSE),0)</f>
        <v>0</v>
      </c>
      <c r="AK1515" s="9">
        <f>IFERROR(VLOOKUP($A1515,pivot!$A:$I,計算式2026!AK$1,FALSE),0)</f>
        <v>0</v>
      </c>
      <c r="AL1515" s="9">
        <f>IFERROR(VLOOKUP($A1515,pivot!$A:$I,計算式2026!AL$1,FALSE),0)</f>
        <v>0</v>
      </c>
      <c r="AR1515" s="8"/>
      <c r="AS1515" s="8"/>
      <c r="AT1515" s="8"/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8"/>
      <c r="BG1515" s="8"/>
    </row>
    <row r="1516" spans="1:59" s="9" customFormat="1">
      <c r="A1516" s="8" t="s">
        <v>902</v>
      </c>
      <c r="B1516" s="8" t="s">
        <v>900</v>
      </c>
      <c r="C1516" s="9">
        <v>0</v>
      </c>
      <c r="D1516" s="9">
        <v>0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R1516" s="9">
        <v>0</v>
      </c>
      <c r="S1516" s="9">
        <v>0</v>
      </c>
      <c r="T1516" s="9">
        <v>1</v>
      </c>
      <c r="U1516" s="9">
        <v>0</v>
      </c>
      <c r="V1516" s="9">
        <v>0</v>
      </c>
      <c r="W1516" s="9">
        <v>0</v>
      </c>
      <c r="X1516" s="9">
        <v>1</v>
      </c>
      <c r="AE1516" s="9">
        <f>IFERROR(VLOOKUP($A1516,pivot!$A:$G,計算式2026!AE$1,FALSE),0)</f>
        <v>0</v>
      </c>
      <c r="AF1516" s="9">
        <f>IFERROR(VLOOKUP($A1516,pivot!$A:$I,計算式2026!AF$1,FALSE),0)</f>
        <v>0</v>
      </c>
      <c r="AI1516" s="9">
        <f>IFERROR(VLOOKUP($A1516,pivot!$A:$I,計算式2026!AI$1,FALSE),0)</f>
        <v>0</v>
      </c>
      <c r="AJ1516" s="9">
        <f>IFERROR(VLOOKUP($A1516,pivot!$A:$I,計算式2026!AJ$1,FALSE),0)</f>
        <v>0</v>
      </c>
      <c r="AK1516" s="9">
        <f>IFERROR(VLOOKUP($A1516,pivot!$A:$I,計算式2026!AK$1,FALSE),0)</f>
        <v>0</v>
      </c>
      <c r="AL1516" s="9">
        <f>IFERROR(VLOOKUP($A1516,pivot!$A:$I,計算式2026!AL$1,FALSE),0)</f>
        <v>0</v>
      </c>
      <c r="AR1516" s="8"/>
      <c r="AS1516" s="8"/>
      <c r="AT1516" s="8"/>
      <c r="AU1516" s="8"/>
      <c r="AV1516" s="8"/>
      <c r="AW1516" s="8"/>
      <c r="AX1516" s="8"/>
      <c r="AY1516" s="8"/>
      <c r="AZ1516" s="8"/>
      <c r="BA1516" s="8"/>
      <c r="BB1516" s="8"/>
      <c r="BC1516" s="8"/>
      <c r="BD1516" s="8"/>
      <c r="BE1516" s="8"/>
      <c r="BF1516" s="8"/>
      <c r="BG1516" s="8"/>
    </row>
    <row r="1517" spans="1:59" s="9" customFormat="1">
      <c r="A1517" s="8" t="s">
        <v>903</v>
      </c>
      <c r="B1517" s="8" t="s">
        <v>900</v>
      </c>
      <c r="C1517" s="9">
        <v>0</v>
      </c>
      <c r="D1517" s="9">
        <v>0</v>
      </c>
      <c r="E1517" s="9">
        <v>0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R1517" s="9">
        <v>0</v>
      </c>
      <c r="S1517" s="9">
        <v>0</v>
      </c>
      <c r="T1517" s="9">
        <v>1</v>
      </c>
      <c r="U1517" s="9">
        <v>0</v>
      </c>
      <c r="V1517" s="9">
        <v>0</v>
      </c>
      <c r="W1517" s="9">
        <v>0</v>
      </c>
      <c r="X1517" s="9">
        <v>1</v>
      </c>
      <c r="AE1517" s="9">
        <f>IFERROR(VLOOKUP($A1517,pivot!$A:$G,計算式2026!AE$1,FALSE),0)</f>
        <v>0</v>
      </c>
      <c r="AF1517" s="9">
        <f>IFERROR(VLOOKUP($A1517,pivot!$A:$I,計算式2026!AF$1,FALSE),0)</f>
        <v>0</v>
      </c>
      <c r="AI1517" s="9">
        <f>IFERROR(VLOOKUP($A1517,pivot!$A:$I,計算式2026!AI$1,FALSE),0)</f>
        <v>0</v>
      </c>
      <c r="AJ1517" s="9">
        <f>IFERROR(VLOOKUP($A1517,pivot!$A:$I,計算式2026!AJ$1,FALSE),0)</f>
        <v>0</v>
      </c>
      <c r="AK1517" s="9">
        <f>IFERROR(VLOOKUP($A1517,pivot!$A:$I,計算式2026!AK$1,FALSE),0)</f>
        <v>0</v>
      </c>
      <c r="AL1517" s="9">
        <f>IFERROR(VLOOKUP($A1517,pivot!$A:$I,計算式2026!AL$1,FALSE),0)</f>
        <v>0</v>
      </c>
      <c r="AR1517" s="8"/>
      <c r="AS1517" s="8"/>
      <c r="AT1517" s="8"/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8"/>
      <c r="BG1517" s="8"/>
    </row>
    <row r="1518" spans="1:59" s="9" customFormat="1">
      <c r="A1518" s="8" t="s">
        <v>904</v>
      </c>
      <c r="B1518" s="8" t="s">
        <v>900</v>
      </c>
      <c r="C1518" s="9">
        <v>0</v>
      </c>
      <c r="D1518" s="9">
        <v>0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R1518" s="9">
        <v>0</v>
      </c>
      <c r="S1518" s="9">
        <v>1</v>
      </c>
      <c r="T1518" s="9">
        <v>1</v>
      </c>
      <c r="U1518" s="9">
        <v>0</v>
      </c>
      <c r="V1518" s="9">
        <v>0</v>
      </c>
      <c r="W1518" s="9">
        <v>0</v>
      </c>
      <c r="X1518" s="9">
        <v>1</v>
      </c>
      <c r="AE1518" s="9">
        <f>IFERROR(VLOOKUP($A1518,pivot!$A:$G,計算式2026!AE$1,FALSE),0)</f>
        <v>0</v>
      </c>
      <c r="AF1518" s="9">
        <f>IFERROR(VLOOKUP($A1518,pivot!$A:$I,計算式2026!AF$1,FALSE),0)</f>
        <v>0</v>
      </c>
      <c r="AI1518" s="9">
        <f>IFERROR(VLOOKUP($A1518,pivot!$A:$I,計算式2026!AI$1,FALSE),0)</f>
        <v>0</v>
      </c>
      <c r="AJ1518" s="9">
        <f>IFERROR(VLOOKUP($A1518,pivot!$A:$I,計算式2026!AJ$1,FALSE),0)</f>
        <v>0</v>
      </c>
      <c r="AK1518" s="9">
        <f>IFERROR(VLOOKUP($A1518,pivot!$A:$I,計算式2026!AK$1,FALSE),0)</f>
        <v>0</v>
      </c>
      <c r="AL1518" s="9">
        <f>IFERROR(VLOOKUP($A1518,pivot!$A:$I,計算式2026!AL$1,FALSE),0)</f>
        <v>0</v>
      </c>
      <c r="AR1518" s="8"/>
      <c r="AS1518" s="8"/>
      <c r="AT1518" s="8"/>
      <c r="AU1518" s="8"/>
      <c r="AV1518" s="8"/>
      <c r="AW1518" s="8"/>
      <c r="AX1518" s="8"/>
      <c r="AY1518" s="8"/>
      <c r="AZ1518" s="8"/>
      <c r="BA1518" s="8"/>
      <c r="BB1518" s="8"/>
      <c r="BC1518" s="8"/>
      <c r="BD1518" s="8"/>
      <c r="BE1518" s="8"/>
      <c r="BF1518" s="8"/>
      <c r="BG1518" s="8"/>
    </row>
    <row r="1519" spans="1:59" s="9" customFormat="1">
      <c r="A1519" s="8" t="s">
        <v>905</v>
      </c>
      <c r="B1519" s="8" t="s">
        <v>900</v>
      </c>
      <c r="C1519" s="9">
        <v>0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R1519" s="9">
        <v>0</v>
      </c>
      <c r="S1519" s="9">
        <v>0</v>
      </c>
      <c r="T1519" s="9">
        <v>1</v>
      </c>
      <c r="U1519" s="9">
        <v>0</v>
      </c>
      <c r="V1519" s="9">
        <v>0</v>
      </c>
      <c r="W1519" s="9">
        <v>0</v>
      </c>
      <c r="X1519" s="9">
        <v>1</v>
      </c>
      <c r="AE1519" s="9">
        <f>IFERROR(VLOOKUP($A1519,pivot!$A:$G,計算式2026!AE$1,FALSE),0)</f>
        <v>0</v>
      </c>
      <c r="AF1519" s="9">
        <f>IFERROR(VLOOKUP($A1519,pivot!$A:$I,計算式2026!AF$1,FALSE),0)</f>
        <v>0</v>
      </c>
      <c r="AI1519" s="9">
        <f>IFERROR(VLOOKUP($A1519,pivot!$A:$I,計算式2026!AI$1,FALSE),0)</f>
        <v>0</v>
      </c>
      <c r="AJ1519" s="9">
        <f>IFERROR(VLOOKUP($A1519,pivot!$A:$I,計算式2026!AJ$1,FALSE),0)</f>
        <v>0</v>
      </c>
      <c r="AK1519" s="9">
        <f>IFERROR(VLOOKUP($A1519,pivot!$A:$I,計算式2026!AK$1,FALSE),0)</f>
        <v>0</v>
      </c>
      <c r="AL1519" s="9">
        <f>IFERROR(VLOOKUP($A1519,pivot!$A:$I,計算式2026!AL$1,FALSE),0)</f>
        <v>0</v>
      </c>
      <c r="AR1519" s="8"/>
      <c r="AS1519" s="8"/>
      <c r="AT1519" s="8"/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8"/>
      <c r="BG1519" s="8"/>
    </row>
    <row r="1520" spans="1:59" s="9" customFormat="1">
      <c r="A1520" s="8" t="s">
        <v>906</v>
      </c>
      <c r="B1520" s="8" t="s">
        <v>900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R1520" s="9">
        <v>0</v>
      </c>
      <c r="S1520" s="9">
        <v>0</v>
      </c>
      <c r="T1520" s="9">
        <v>1</v>
      </c>
      <c r="U1520" s="9">
        <v>0</v>
      </c>
      <c r="V1520" s="9">
        <v>0</v>
      </c>
      <c r="W1520" s="9">
        <v>0</v>
      </c>
      <c r="X1520" s="9">
        <v>0</v>
      </c>
      <c r="AE1520" s="9">
        <f>IFERROR(VLOOKUP($A1520,pivot!$A:$G,計算式2026!AE$1,FALSE),0)</f>
        <v>0</v>
      </c>
      <c r="AF1520" s="9">
        <f>IFERROR(VLOOKUP($A1520,pivot!$A:$I,計算式2026!AF$1,FALSE),0)</f>
        <v>0</v>
      </c>
      <c r="AI1520" s="9">
        <f>IFERROR(VLOOKUP($A1520,pivot!$A:$I,計算式2026!AI$1,FALSE),0)</f>
        <v>0</v>
      </c>
      <c r="AJ1520" s="9">
        <f>IFERROR(VLOOKUP($A1520,pivot!$A:$I,計算式2026!AJ$1,FALSE),0)</f>
        <v>0</v>
      </c>
      <c r="AK1520" s="9">
        <f>IFERROR(VLOOKUP($A1520,pivot!$A:$I,計算式2026!AK$1,FALSE),0)</f>
        <v>0</v>
      </c>
      <c r="AL1520" s="9">
        <f>IFERROR(VLOOKUP($A1520,pivot!$A:$I,計算式2026!AL$1,FALSE),0)</f>
        <v>0</v>
      </c>
      <c r="AR1520" s="8"/>
      <c r="AS1520" s="8"/>
      <c r="AT1520" s="8"/>
      <c r="AU1520" s="8"/>
      <c r="AV1520" s="8"/>
      <c r="AW1520" s="8"/>
      <c r="AX1520" s="8"/>
      <c r="AY1520" s="8"/>
      <c r="AZ1520" s="8"/>
      <c r="BA1520" s="8"/>
      <c r="BB1520" s="8"/>
      <c r="BC1520" s="8"/>
      <c r="BD1520" s="8"/>
      <c r="BE1520" s="8"/>
      <c r="BF1520" s="8"/>
      <c r="BG1520" s="8"/>
    </row>
    <row r="1521" spans="1:59" s="9" customFormat="1">
      <c r="A1521" s="8" t="s">
        <v>907</v>
      </c>
      <c r="B1521" s="8" t="s">
        <v>900</v>
      </c>
      <c r="C1521" s="9">
        <v>0</v>
      </c>
      <c r="D1521" s="9">
        <v>0</v>
      </c>
      <c r="E1521" s="9">
        <v>0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R1521" s="9">
        <v>0</v>
      </c>
      <c r="S1521" s="9">
        <v>0</v>
      </c>
      <c r="T1521" s="9">
        <v>1</v>
      </c>
      <c r="U1521" s="9">
        <v>0</v>
      </c>
      <c r="V1521" s="9">
        <v>0</v>
      </c>
      <c r="W1521" s="9">
        <v>0</v>
      </c>
      <c r="X1521" s="9">
        <v>1</v>
      </c>
      <c r="AE1521" s="9">
        <f>IFERROR(VLOOKUP($A1521,pivot!$A:$G,計算式2026!AE$1,FALSE),0)</f>
        <v>0</v>
      </c>
      <c r="AF1521" s="9">
        <f>IFERROR(VLOOKUP($A1521,pivot!$A:$I,計算式2026!AF$1,FALSE),0)</f>
        <v>0</v>
      </c>
      <c r="AI1521" s="9">
        <f>IFERROR(VLOOKUP($A1521,pivot!$A:$I,計算式2026!AI$1,FALSE),0)</f>
        <v>0</v>
      </c>
      <c r="AJ1521" s="9">
        <f>IFERROR(VLOOKUP($A1521,pivot!$A:$I,計算式2026!AJ$1,FALSE),0)</f>
        <v>0</v>
      </c>
      <c r="AK1521" s="9">
        <f>IFERROR(VLOOKUP($A1521,pivot!$A:$I,計算式2026!AK$1,FALSE),0)</f>
        <v>0</v>
      </c>
      <c r="AL1521" s="9">
        <f>IFERROR(VLOOKUP($A1521,pivot!$A:$I,計算式2026!AL$1,FALSE),0)</f>
        <v>0</v>
      </c>
      <c r="AR1521" s="8"/>
      <c r="AS1521" s="8"/>
      <c r="AT1521" s="8"/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8"/>
      <c r="BG1521" s="8"/>
    </row>
    <row r="1522" spans="1:59" s="9" customFormat="1">
      <c r="A1522" s="8" t="s">
        <v>908</v>
      </c>
      <c r="B1522" s="8" t="s">
        <v>900</v>
      </c>
      <c r="C1522" s="9">
        <v>0</v>
      </c>
      <c r="D1522" s="9">
        <v>0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R1522" s="9">
        <v>0</v>
      </c>
      <c r="S1522" s="9">
        <v>0</v>
      </c>
      <c r="T1522" s="9">
        <v>1</v>
      </c>
      <c r="U1522" s="9">
        <v>0</v>
      </c>
      <c r="V1522" s="9">
        <v>0</v>
      </c>
      <c r="W1522" s="9">
        <v>0</v>
      </c>
      <c r="X1522" s="9">
        <v>1</v>
      </c>
      <c r="AE1522" s="9">
        <f>IFERROR(VLOOKUP($A1522,pivot!$A:$G,計算式2026!AE$1,FALSE),0)</f>
        <v>0</v>
      </c>
      <c r="AF1522" s="9">
        <f>IFERROR(VLOOKUP($A1522,pivot!$A:$I,計算式2026!AF$1,FALSE),0)</f>
        <v>0</v>
      </c>
      <c r="AI1522" s="9">
        <f>IFERROR(VLOOKUP($A1522,pivot!$A:$I,計算式2026!AI$1,FALSE),0)</f>
        <v>0</v>
      </c>
      <c r="AJ1522" s="9">
        <f>IFERROR(VLOOKUP($A1522,pivot!$A:$I,計算式2026!AJ$1,FALSE),0)</f>
        <v>0</v>
      </c>
      <c r="AK1522" s="9">
        <f>IFERROR(VLOOKUP($A1522,pivot!$A:$I,計算式2026!AK$1,FALSE),0)</f>
        <v>0</v>
      </c>
      <c r="AL1522" s="9">
        <f>IFERROR(VLOOKUP($A1522,pivot!$A:$I,計算式2026!AL$1,FALSE),0)</f>
        <v>0</v>
      </c>
      <c r="AR1522" s="8"/>
      <c r="AS1522" s="8"/>
      <c r="AT1522" s="8"/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8"/>
      <c r="BG1522" s="8"/>
    </row>
    <row r="1523" spans="1:59" s="9" customFormat="1">
      <c r="A1523" s="8" t="s">
        <v>909</v>
      </c>
      <c r="B1523" s="8" t="s">
        <v>900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R1523" s="9">
        <v>0</v>
      </c>
      <c r="S1523" s="9">
        <v>0</v>
      </c>
      <c r="T1523" s="9">
        <v>2</v>
      </c>
      <c r="U1523" s="9">
        <v>0</v>
      </c>
      <c r="V1523" s="9">
        <v>0</v>
      </c>
      <c r="W1523" s="9">
        <v>0</v>
      </c>
      <c r="X1523" s="9">
        <v>1</v>
      </c>
      <c r="AE1523" s="9">
        <f>IFERROR(VLOOKUP($A1523,pivot!$A:$G,計算式2026!AE$1,FALSE),0)</f>
        <v>0</v>
      </c>
      <c r="AF1523" s="9">
        <f>IFERROR(VLOOKUP($A1523,pivot!$A:$I,計算式2026!AF$1,FALSE),0)</f>
        <v>0</v>
      </c>
      <c r="AI1523" s="9">
        <f>IFERROR(VLOOKUP($A1523,pivot!$A:$I,計算式2026!AI$1,FALSE),0)</f>
        <v>0</v>
      </c>
      <c r="AJ1523" s="9">
        <f>IFERROR(VLOOKUP($A1523,pivot!$A:$I,計算式2026!AJ$1,FALSE),0)</f>
        <v>0</v>
      </c>
      <c r="AK1523" s="9">
        <f>IFERROR(VLOOKUP($A1523,pivot!$A:$I,計算式2026!AK$1,FALSE),0)</f>
        <v>0</v>
      </c>
      <c r="AL1523" s="9">
        <f>IFERROR(VLOOKUP($A1523,pivot!$A:$I,計算式2026!AL$1,FALSE),0)</f>
        <v>0</v>
      </c>
      <c r="AR1523" s="8"/>
      <c r="AS1523" s="8"/>
      <c r="AT1523" s="8"/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8"/>
      <c r="BG1523" s="8"/>
    </row>
    <row r="1524" spans="1:59" s="9" customFormat="1">
      <c r="A1524" s="8" t="s">
        <v>910</v>
      </c>
      <c r="B1524" s="8" t="s">
        <v>900</v>
      </c>
      <c r="C1524" s="9">
        <v>0</v>
      </c>
      <c r="D1524" s="9">
        <v>0</v>
      </c>
      <c r="E1524" s="9">
        <v>0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1</v>
      </c>
      <c r="AE1524" s="9">
        <f>IFERROR(VLOOKUP($A1524,pivot!$A:$G,計算式2026!AE$1,FALSE),0)</f>
        <v>0</v>
      </c>
      <c r="AF1524" s="9">
        <f>IFERROR(VLOOKUP($A1524,pivot!$A:$I,計算式2026!AF$1,FALSE),0)</f>
        <v>0</v>
      </c>
      <c r="AI1524" s="9">
        <f>IFERROR(VLOOKUP($A1524,pivot!$A:$I,計算式2026!AI$1,FALSE),0)</f>
        <v>0</v>
      </c>
      <c r="AJ1524" s="9">
        <f>IFERROR(VLOOKUP($A1524,pivot!$A:$I,計算式2026!AJ$1,FALSE),0)</f>
        <v>0</v>
      </c>
      <c r="AK1524" s="9">
        <f>IFERROR(VLOOKUP($A1524,pivot!$A:$I,計算式2026!AK$1,FALSE),0)</f>
        <v>0</v>
      </c>
      <c r="AL1524" s="9">
        <f>IFERROR(VLOOKUP($A1524,pivot!$A:$I,計算式2026!AL$1,FALSE),0)</f>
        <v>0</v>
      </c>
      <c r="AR1524" s="8"/>
      <c r="AS1524" s="8"/>
      <c r="AT1524" s="8"/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8"/>
      <c r="BG1524" s="8"/>
    </row>
    <row r="1525" spans="1:59" s="9" customFormat="1">
      <c r="A1525" s="8" t="s">
        <v>911</v>
      </c>
      <c r="B1525" s="8" t="s">
        <v>900</v>
      </c>
      <c r="C1525" s="9">
        <v>0</v>
      </c>
      <c r="D1525" s="9">
        <v>0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R1525" s="9">
        <v>0</v>
      </c>
      <c r="S1525" s="9">
        <v>0</v>
      </c>
      <c r="T1525" s="9">
        <v>2</v>
      </c>
      <c r="U1525" s="9">
        <v>0</v>
      </c>
      <c r="V1525" s="9">
        <v>0</v>
      </c>
      <c r="W1525" s="9">
        <v>0</v>
      </c>
      <c r="X1525" s="9">
        <v>1</v>
      </c>
      <c r="AE1525" s="9">
        <f>IFERROR(VLOOKUP($A1525,pivot!$A:$G,計算式2026!AE$1,FALSE),0)</f>
        <v>0</v>
      </c>
      <c r="AF1525" s="9">
        <f>IFERROR(VLOOKUP($A1525,pivot!$A:$I,計算式2026!AF$1,FALSE),0)</f>
        <v>0</v>
      </c>
      <c r="AI1525" s="9">
        <f>IFERROR(VLOOKUP($A1525,pivot!$A:$I,計算式2026!AI$1,FALSE),0)</f>
        <v>0</v>
      </c>
      <c r="AJ1525" s="9">
        <f>IFERROR(VLOOKUP($A1525,pivot!$A:$I,計算式2026!AJ$1,FALSE),0)</f>
        <v>0</v>
      </c>
      <c r="AK1525" s="9">
        <f>IFERROR(VLOOKUP($A1525,pivot!$A:$I,計算式2026!AK$1,FALSE),0)</f>
        <v>0</v>
      </c>
      <c r="AL1525" s="9">
        <f>IFERROR(VLOOKUP($A1525,pivot!$A:$I,計算式2026!AL$1,FALSE),0)</f>
        <v>0</v>
      </c>
      <c r="AR1525" s="8"/>
      <c r="AS1525" s="8"/>
      <c r="AT1525" s="8"/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8"/>
      <c r="BG1525" s="8"/>
    </row>
    <row r="1526" spans="1:59" s="9" customFormat="1">
      <c r="A1526" s="8" t="s">
        <v>912</v>
      </c>
      <c r="B1526" s="8" t="s">
        <v>900</v>
      </c>
      <c r="C1526" s="9">
        <v>0</v>
      </c>
      <c r="D1526" s="9">
        <v>0</v>
      </c>
      <c r="E1526" s="9">
        <v>0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R1526" s="9">
        <v>0</v>
      </c>
      <c r="S1526" s="9">
        <v>0</v>
      </c>
      <c r="T1526" s="9">
        <v>1</v>
      </c>
      <c r="U1526" s="9">
        <v>0</v>
      </c>
      <c r="V1526" s="9">
        <v>1</v>
      </c>
      <c r="W1526" s="9">
        <v>0</v>
      </c>
      <c r="X1526" s="9">
        <v>1</v>
      </c>
      <c r="AE1526" s="9">
        <f>IFERROR(VLOOKUP($A1526,pivot!$A:$G,計算式2026!AE$1,FALSE),0)</f>
        <v>0</v>
      </c>
      <c r="AF1526" s="9">
        <f>IFERROR(VLOOKUP($A1526,pivot!$A:$I,計算式2026!AF$1,FALSE),0)</f>
        <v>0</v>
      </c>
      <c r="AI1526" s="9">
        <f>IFERROR(VLOOKUP($A1526,pivot!$A:$I,計算式2026!AI$1,FALSE),0)</f>
        <v>0</v>
      </c>
      <c r="AJ1526" s="9">
        <f>IFERROR(VLOOKUP($A1526,pivot!$A:$I,計算式2026!AJ$1,FALSE),0)</f>
        <v>0</v>
      </c>
      <c r="AK1526" s="9">
        <f>IFERROR(VLOOKUP($A1526,pivot!$A:$I,計算式2026!AK$1,FALSE),0)</f>
        <v>0</v>
      </c>
      <c r="AL1526" s="9">
        <f>IFERROR(VLOOKUP($A1526,pivot!$A:$I,計算式2026!AL$1,FALSE),0)</f>
        <v>0</v>
      </c>
      <c r="AR1526" s="8"/>
      <c r="AS1526" s="8"/>
      <c r="AT1526" s="8"/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8"/>
      <c r="BG1526" s="8"/>
    </row>
    <row r="1527" spans="1:59" s="9" customFormat="1">
      <c r="A1527" s="8" t="s">
        <v>913</v>
      </c>
      <c r="B1527" s="8" t="s">
        <v>900</v>
      </c>
      <c r="C1527" s="9">
        <v>0</v>
      </c>
      <c r="D1527" s="9">
        <v>0</v>
      </c>
      <c r="E1527" s="9">
        <v>0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1</v>
      </c>
      <c r="AE1527" s="9">
        <f>IFERROR(VLOOKUP($A1527,pivot!$A:$G,計算式2026!AE$1,FALSE),0)</f>
        <v>0</v>
      </c>
      <c r="AF1527" s="9">
        <f>IFERROR(VLOOKUP($A1527,pivot!$A:$I,計算式2026!AF$1,FALSE),0)</f>
        <v>0</v>
      </c>
      <c r="AI1527" s="9">
        <f>IFERROR(VLOOKUP($A1527,pivot!$A:$I,計算式2026!AI$1,FALSE),0)</f>
        <v>0</v>
      </c>
      <c r="AJ1527" s="9">
        <f>IFERROR(VLOOKUP($A1527,pivot!$A:$I,計算式2026!AJ$1,FALSE),0)</f>
        <v>0</v>
      </c>
      <c r="AK1527" s="9">
        <f>IFERROR(VLOOKUP($A1527,pivot!$A:$I,計算式2026!AK$1,FALSE),0)</f>
        <v>0</v>
      </c>
      <c r="AL1527" s="9">
        <f>IFERROR(VLOOKUP($A1527,pivot!$A:$I,計算式2026!AL$1,FALSE),0)</f>
        <v>0</v>
      </c>
      <c r="AR1527" s="8"/>
      <c r="AS1527" s="8"/>
      <c r="AT1527" s="8"/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8"/>
      <c r="BG1527" s="8"/>
    </row>
    <row r="1528" spans="1:59" s="9" customFormat="1">
      <c r="A1528" s="8" t="s">
        <v>914</v>
      </c>
      <c r="B1528" s="8" t="s">
        <v>900</v>
      </c>
      <c r="C1528" s="9">
        <v>0</v>
      </c>
      <c r="D1528" s="9">
        <v>0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1</v>
      </c>
      <c r="AE1528" s="9">
        <f>IFERROR(VLOOKUP($A1528,pivot!$A:$G,計算式2026!AE$1,FALSE),0)</f>
        <v>0</v>
      </c>
      <c r="AF1528" s="9">
        <f>IFERROR(VLOOKUP($A1528,pivot!$A:$I,計算式2026!AF$1,FALSE),0)</f>
        <v>0</v>
      </c>
      <c r="AI1528" s="9">
        <f>IFERROR(VLOOKUP($A1528,pivot!$A:$I,計算式2026!AI$1,FALSE),0)</f>
        <v>0</v>
      </c>
      <c r="AJ1528" s="9">
        <f>IFERROR(VLOOKUP($A1528,pivot!$A:$I,計算式2026!AJ$1,FALSE),0)</f>
        <v>0</v>
      </c>
      <c r="AK1528" s="9">
        <f>IFERROR(VLOOKUP($A1528,pivot!$A:$I,計算式2026!AK$1,FALSE),0)</f>
        <v>0</v>
      </c>
      <c r="AL1528" s="9">
        <f>IFERROR(VLOOKUP($A1528,pivot!$A:$I,計算式2026!AL$1,FALSE),0)</f>
        <v>0</v>
      </c>
      <c r="AR1528" s="8"/>
      <c r="AS1528" s="8"/>
      <c r="AT1528" s="8"/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8"/>
      <c r="BG1528" s="8"/>
    </row>
    <row r="1529" spans="1:59" s="9" customFormat="1">
      <c r="A1529" s="8" t="s">
        <v>915</v>
      </c>
      <c r="B1529" s="8" t="s">
        <v>900</v>
      </c>
      <c r="C1529" s="9">
        <v>0</v>
      </c>
      <c r="D1529" s="9">
        <v>0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R1529" s="9">
        <v>0</v>
      </c>
      <c r="S1529" s="9">
        <v>0</v>
      </c>
      <c r="T1529" s="9">
        <v>1</v>
      </c>
      <c r="U1529" s="9">
        <v>0</v>
      </c>
      <c r="V1529" s="9">
        <v>0</v>
      </c>
      <c r="W1529" s="9">
        <v>0</v>
      </c>
      <c r="X1529" s="9">
        <v>1</v>
      </c>
      <c r="AE1529" s="9">
        <f>IFERROR(VLOOKUP($A1529,pivot!$A:$G,計算式2026!AE$1,FALSE),0)</f>
        <v>0</v>
      </c>
      <c r="AF1529" s="9">
        <f>IFERROR(VLOOKUP($A1529,pivot!$A:$I,計算式2026!AF$1,FALSE),0)</f>
        <v>0</v>
      </c>
      <c r="AI1529" s="9">
        <f>IFERROR(VLOOKUP($A1529,pivot!$A:$I,計算式2026!AI$1,FALSE),0)</f>
        <v>0</v>
      </c>
      <c r="AJ1529" s="9">
        <f>IFERROR(VLOOKUP($A1529,pivot!$A:$I,計算式2026!AJ$1,FALSE),0)</f>
        <v>0</v>
      </c>
      <c r="AK1529" s="9">
        <f>IFERROR(VLOOKUP($A1529,pivot!$A:$I,計算式2026!AK$1,FALSE),0)</f>
        <v>0</v>
      </c>
      <c r="AL1529" s="9">
        <f>IFERROR(VLOOKUP($A1529,pivot!$A:$I,計算式2026!AL$1,FALSE),0)</f>
        <v>0</v>
      </c>
      <c r="AR1529" s="8"/>
      <c r="AS1529" s="8"/>
      <c r="AT1529" s="8"/>
      <c r="AU1529" s="8"/>
      <c r="AV1529" s="8"/>
      <c r="AW1529" s="8"/>
      <c r="AX1529" s="8"/>
      <c r="AY1529" s="8"/>
      <c r="AZ1529" s="8"/>
      <c r="BA1529" s="8"/>
      <c r="BB1529" s="8"/>
      <c r="BC1529" s="8"/>
      <c r="BD1529" s="8"/>
      <c r="BE1529" s="8"/>
      <c r="BF1529" s="8"/>
      <c r="BG1529" s="8"/>
    </row>
    <row r="1530" spans="1:59" s="9" customFormat="1">
      <c r="A1530" s="8" t="s">
        <v>917</v>
      </c>
      <c r="B1530" s="8" t="s">
        <v>916</v>
      </c>
      <c r="C1530" s="9">
        <v>0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1</v>
      </c>
      <c r="W1530" s="9">
        <v>0</v>
      </c>
      <c r="X1530" s="9">
        <v>0</v>
      </c>
      <c r="AE1530" s="9">
        <f>IFERROR(VLOOKUP($A1530,pivot!$A:$G,計算式2026!AE$1,FALSE),0)</f>
        <v>0</v>
      </c>
      <c r="AF1530" s="9">
        <f>IFERROR(VLOOKUP($A1530,pivot!$A:$I,計算式2026!AF$1,FALSE),0)</f>
        <v>0</v>
      </c>
      <c r="AI1530" s="9">
        <f>IFERROR(VLOOKUP($A1530,pivot!$A:$I,計算式2026!AI$1,FALSE),0)</f>
        <v>0</v>
      </c>
      <c r="AJ1530" s="9">
        <f>IFERROR(VLOOKUP($A1530,pivot!$A:$I,計算式2026!AJ$1,FALSE),0)</f>
        <v>0</v>
      </c>
      <c r="AK1530" s="9">
        <f>IFERROR(VLOOKUP($A1530,pivot!$A:$I,計算式2026!AK$1,FALSE),0)</f>
        <v>0</v>
      </c>
      <c r="AL1530" s="9">
        <f>IFERROR(VLOOKUP($A1530,pivot!$A:$I,計算式2026!AL$1,FALSE),0)</f>
        <v>0</v>
      </c>
      <c r="AR1530" s="8"/>
      <c r="AS1530" s="8"/>
      <c r="AT1530" s="8"/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8"/>
      <c r="BG1530" s="8"/>
    </row>
    <row r="1531" spans="1:59" s="9" customFormat="1">
      <c r="A1531" s="8" t="s">
        <v>918</v>
      </c>
      <c r="B1531" s="8" t="s">
        <v>919</v>
      </c>
      <c r="C1531" s="9">
        <v>0</v>
      </c>
      <c r="D1531" s="9">
        <v>0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1</v>
      </c>
      <c r="AE1531" s="9">
        <f>IFERROR(VLOOKUP($A1531,pivot!$A:$G,計算式2026!AE$1,FALSE),0)</f>
        <v>0</v>
      </c>
      <c r="AF1531" s="9">
        <f>IFERROR(VLOOKUP($A1531,pivot!$A:$I,計算式2026!AF$1,FALSE),0)</f>
        <v>0</v>
      </c>
      <c r="AI1531" s="9">
        <f>IFERROR(VLOOKUP($A1531,pivot!$A:$I,計算式2026!AI$1,FALSE),0)</f>
        <v>0</v>
      </c>
      <c r="AJ1531" s="9">
        <f>IFERROR(VLOOKUP($A1531,pivot!$A:$I,計算式2026!AJ$1,FALSE),0)</f>
        <v>0</v>
      </c>
      <c r="AK1531" s="9">
        <f>IFERROR(VLOOKUP($A1531,pivot!$A:$I,計算式2026!AK$1,FALSE),0)</f>
        <v>0</v>
      </c>
      <c r="AL1531" s="9">
        <f>IFERROR(VLOOKUP($A1531,pivot!$A:$I,計算式2026!AL$1,FALSE),0)</f>
        <v>0</v>
      </c>
      <c r="AR1531" s="8"/>
      <c r="AS1531" s="8"/>
      <c r="AT1531" s="8"/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8"/>
      <c r="BG1531" s="8"/>
    </row>
    <row r="1532" spans="1:59" s="9" customFormat="1">
      <c r="A1532" s="8" t="s">
        <v>2291</v>
      </c>
      <c r="B1532" s="8" t="s">
        <v>919</v>
      </c>
      <c r="C1532" s="9">
        <v>0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R1532" s="9">
        <v>1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1</v>
      </c>
      <c r="AE1532" s="9">
        <f>IFERROR(VLOOKUP($A1532,pivot!$A:$G,計算式2026!AE$1,FALSE),0)</f>
        <v>0</v>
      </c>
      <c r="AF1532" s="9">
        <f>IFERROR(VLOOKUP($A1532,pivot!$A:$I,計算式2026!AF$1,FALSE),0)</f>
        <v>0</v>
      </c>
      <c r="AI1532" s="9">
        <f>IFERROR(VLOOKUP($A1532,pivot!$A:$I,計算式2026!AI$1,FALSE),0)</f>
        <v>0</v>
      </c>
      <c r="AJ1532" s="9">
        <f>IFERROR(VLOOKUP($A1532,pivot!$A:$I,計算式2026!AJ$1,FALSE),0)</f>
        <v>0</v>
      </c>
      <c r="AK1532" s="9">
        <f>IFERROR(VLOOKUP($A1532,pivot!$A:$I,計算式2026!AK$1,FALSE),0)</f>
        <v>0</v>
      </c>
      <c r="AL1532" s="9">
        <f>IFERROR(VLOOKUP($A1532,pivot!$A:$I,計算式2026!AL$1,FALSE),0)</f>
        <v>0</v>
      </c>
      <c r="AR1532" s="8"/>
      <c r="AS1532" s="8"/>
      <c r="AT1532" s="8"/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8"/>
      <c r="BG1532" s="8"/>
    </row>
    <row r="1533" spans="1:59" s="9" customFormat="1">
      <c r="A1533" s="8" t="s">
        <v>2292</v>
      </c>
      <c r="B1533" s="8" t="s">
        <v>919</v>
      </c>
      <c r="C1533" s="9">
        <v>0</v>
      </c>
      <c r="D1533" s="9">
        <v>0</v>
      </c>
      <c r="E1533" s="9">
        <v>0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R1533" s="9">
        <v>1</v>
      </c>
      <c r="S1533" s="9">
        <v>0</v>
      </c>
      <c r="T1533" s="9">
        <v>1</v>
      </c>
      <c r="U1533" s="9">
        <v>0</v>
      </c>
      <c r="V1533" s="9">
        <v>0</v>
      </c>
      <c r="W1533" s="9">
        <v>0</v>
      </c>
      <c r="X1533" s="9">
        <v>1</v>
      </c>
      <c r="AE1533" s="9">
        <f>IFERROR(VLOOKUP($A1533,pivot!$A:$G,計算式2026!AE$1,FALSE),0)</f>
        <v>0</v>
      </c>
      <c r="AF1533" s="9">
        <f>IFERROR(VLOOKUP($A1533,pivot!$A:$I,計算式2026!AF$1,FALSE),0)</f>
        <v>0</v>
      </c>
      <c r="AI1533" s="9">
        <f>IFERROR(VLOOKUP($A1533,pivot!$A:$I,計算式2026!AI$1,FALSE),0)</f>
        <v>0</v>
      </c>
      <c r="AJ1533" s="9">
        <f>IFERROR(VLOOKUP($A1533,pivot!$A:$I,計算式2026!AJ$1,FALSE),0)</f>
        <v>0</v>
      </c>
      <c r="AK1533" s="9">
        <f>IFERROR(VLOOKUP($A1533,pivot!$A:$I,計算式2026!AK$1,FALSE),0)</f>
        <v>0</v>
      </c>
      <c r="AL1533" s="9">
        <f>IFERROR(VLOOKUP($A1533,pivot!$A:$I,計算式2026!AL$1,FALSE),0)</f>
        <v>0</v>
      </c>
      <c r="AR1533" s="8"/>
      <c r="AS1533" s="8"/>
      <c r="AT1533" s="8"/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8"/>
      <c r="BG1533" s="8"/>
    </row>
    <row r="1534" spans="1:59" s="9" customFormat="1">
      <c r="A1534" s="8" t="s">
        <v>920</v>
      </c>
      <c r="B1534" s="8" t="s">
        <v>919</v>
      </c>
      <c r="C1534" s="9">
        <v>2</v>
      </c>
      <c r="D1534" s="9">
        <v>0</v>
      </c>
      <c r="E1534" s="9">
        <v>0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R1534" s="9">
        <v>0</v>
      </c>
      <c r="S1534" s="9">
        <v>1</v>
      </c>
      <c r="T1534" s="9">
        <v>2</v>
      </c>
      <c r="U1534" s="9">
        <v>0</v>
      </c>
      <c r="V1534" s="9">
        <v>2</v>
      </c>
      <c r="W1534" s="9">
        <v>0</v>
      </c>
      <c r="X1534" s="9">
        <v>1</v>
      </c>
      <c r="AE1534" s="9">
        <f>IFERROR(VLOOKUP($A1534,pivot!$A:$G,計算式2026!AE$1,FALSE),0)</f>
        <v>0</v>
      </c>
      <c r="AF1534" s="9">
        <f>IFERROR(VLOOKUP($A1534,pivot!$A:$I,計算式2026!AF$1,FALSE),0)</f>
        <v>0</v>
      </c>
      <c r="AI1534" s="9">
        <f>IFERROR(VLOOKUP($A1534,pivot!$A:$I,計算式2026!AI$1,FALSE),0)</f>
        <v>0</v>
      </c>
      <c r="AJ1534" s="9">
        <f>IFERROR(VLOOKUP($A1534,pivot!$A:$I,計算式2026!AJ$1,FALSE),0)</f>
        <v>0</v>
      </c>
      <c r="AK1534" s="9">
        <f>IFERROR(VLOOKUP($A1534,pivot!$A:$I,計算式2026!AK$1,FALSE),0)</f>
        <v>0</v>
      </c>
      <c r="AL1534" s="9">
        <f>IFERROR(VLOOKUP($A1534,pivot!$A:$I,計算式2026!AL$1,FALSE),0)</f>
        <v>0</v>
      </c>
      <c r="AR1534" s="8"/>
      <c r="AS1534" s="8"/>
      <c r="AT1534" s="8"/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8"/>
      <c r="BG1534" s="8"/>
    </row>
    <row r="1535" spans="1:59" s="9" customFormat="1">
      <c r="A1535" s="8" t="s">
        <v>921</v>
      </c>
      <c r="B1535" s="8" t="s">
        <v>919</v>
      </c>
      <c r="C1535" s="9">
        <v>0</v>
      </c>
      <c r="D1535" s="9">
        <v>0</v>
      </c>
      <c r="E1535" s="9">
        <v>0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R1535" s="9">
        <v>0</v>
      </c>
      <c r="S1535" s="9">
        <v>1</v>
      </c>
      <c r="T1535" s="9">
        <v>2</v>
      </c>
      <c r="U1535" s="9">
        <v>0</v>
      </c>
      <c r="V1535" s="9">
        <v>1</v>
      </c>
      <c r="W1535" s="9">
        <v>0</v>
      </c>
      <c r="X1535" s="9">
        <v>1</v>
      </c>
      <c r="AE1535" s="9">
        <f>IFERROR(VLOOKUP($A1535,pivot!$A:$G,計算式2026!AE$1,FALSE),0)</f>
        <v>0</v>
      </c>
      <c r="AF1535" s="9">
        <f>IFERROR(VLOOKUP($A1535,pivot!$A:$I,計算式2026!AF$1,FALSE),0)</f>
        <v>0</v>
      </c>
      <c r="AI1535" s="9">
        <f>IFERROR(VLOOKUP($A1535,pivot!$A:$I,計算式2026!AI$1,FALSE),0)</f>
        <v>0</v>
      </c>
      <c r="AJ1535" s="9">
        <f>IFERROR(VLOOKUP($A1535,pivot!$A:$I,計算式2026!AJ$1,FALSE),0)</f>
        <v>0</v>
      </c>
      <c r="AK1535" s="9">
        <f>IFERROR(VLOOKUP($A1535,pivot!$A:$I,計算式2026!AK$1,FALSE),0)</f>
        <v>0</v>
      </c>
      <c r="AL1535" s="9">
        <f>IFERROR(VLOOKUP($A1535,pivot!$A:$I,計算式2026!AL$1,FALSE),0)</f>
        <v>0</v>
      </c>
      <c r="AR1535" s="8"/>
      <c r="AS1535" s="8"/>
      <c r="AT1535" s="8"/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8"/>
      <c r="BG1535" s="8"/>
    </row>
    <row r="1536" spans="1:59" s="9" customFormat="1">
      <c r="A1536" s="8" t="s">
        <v>2293</v>
      </c>
      <c r="B1536" s="8" t="s">
        <v>919</v>
      </c>
      <c r="C1536" s="9">
        <v>0</v>
      </c>
      <c r="D1536" s="9">
        <v>0</v>
      </c>
      <c r="E1536" s="9">
        <v>0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R1536" s="9">
        <v>0</v>
      </c>
      <c r="S1536" s="9">
        <v>0</v>
      </c>
      <c r="T1536" s="9">
        <v>1</v>
      </c>
      <c r="U1536" s="9">
        <v>0</v>
      </c>
      <c r="V1536" s="9">
        <v>1</v>
      </c>
      <c r="W1536" s="9">
        <v>0</v>
      </c>
      <c r="X1536" s="9">
        <v>1</v>
      </c>
      <c r="AE1536" s="9">
        <f>IFERROR(VLOOKUP($A1536,pivot!$A:$G,計算式2026!AE$1,FALSE),0)</f>
        <v>0</v>
      </c>
      <c r="AF1536" s="9">
        <f>IFERROR(VLOOKUP($A1536,pivot!$A:$I,計算式2026!AF$1,FALSE),0)</f>
        <v>0</v>
      </c>
      <c r="AI1536" s="9">
        <f>IFERROR(VLOOKUP($A1536,pivot!$A:$I,計算式2026!AI$1,FALSE),0)</f>
        <v>0</v>
      </c>
      <c r="AJ1536" s="9">
        <f>IFERROR(VLOOKUP($A1536,pivot!$A:$I,計算式2026!AJ$1,FALSE),0)</f>
        <v>0</v>
      </c>
      <c r="AK1536" s="9">
        <f>IFERROR(VLOOKUP($A1536,pivot!$A:$I,計算式2026!AK$1,FALSE),0)</f>
        <v>0</v>
      </c>
      <c r="AL1536" s="9">
        <f>IFERROR(VLOOKUP($A1536,pivot!$A:$I,計算式2026!AL$1,FALSE),0)</f>
        <v>0</v>
      </c>
      <c r="AR1536" s="8"/>
      <c r="AS1536" s="8"/>
      <c r="AT1536" s="8"/>
      <c r="AU1536" s="8"/>
      <c r="AV1536" s="8"/>
      <c r="AW1536" s="8"/>
      <c r="AX1536" s="8"/>
      <c r="AY1536" s="8"/>
      <c r="AZ1536" s="8"/>
      <c r="BA1536" s="8"/>
      <c r="BB1536" s="8"/>
      <c r="BC1536" s="8"/>
      <c r="BD1536" s="8"/>
      <c r="BE1536" s="8"/>
      <c r="BF1536" s="8"/>
      <c r="BG1536" s="8"/>
    </row>
    <row r="1537" spans="1:59" s="9" customFormat="1">
      <c r="A1537" s="8" t="s">
        <v>922</v>
      </c>
      <c r="B1537" s="8" t="s">
        <v>919</v>
      </c>
      <c r="C1537" s="9">
        <v>0</v>
      </c>
      <c r="D1537" s="9">
        <v>0</v>
      </c>
      <c r="E1537" s="9">
        <v>0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R1537" s="9">
        <v>0</v>
      </c>
      <c r="S1537" s="9">
        <v>1</v>
      </c>
      <c r="T1537" s="9">
        <v>0</v>
      </c>
      <c r="U1537" s="9">
        <v>0</v>
      </c>
      <c r="V1537" s="9">
        <v>0</v>
      </c>
      <c r="W1537" s="9">
        <v>0</v>
      </c>
      <c r="X1537" s="9">
        <v>1</v>
      </c>
      <c r="AE1537" s="9">
        <f>IFERROR(VLOOKUP($A1537,pivot!$A:$G,計算式2026!AE$1,FALSE),0)</f>
        <v>0</v>
      </c>
      <c r="AF1537" s="9">
        <f>IFERROR(VLOOKUP($A1537,pivot!$A:$I,計算式2026!AF$1,FALSE),0)</f>
        <v>0</v>
      </c>
      <c r="AI1537" s="9">
        <f>IFERROR(VLOOKUP($A1537,pivot!$A:$I,計算式2026!AI$1,FALSE),0)</f>
        <v>0</v>
      </c>
      <c r="AJ1537" s="9">
        <f>IFERROR(VLOOKUP($A1537,pivot!$A:$I,計算式2026!AJ$1,FALSE),0)</f>
        <v>0</v>
      </c>
      <c r="AK1537" s="9">
        <f>IFERROR(VLOOKUP($A1537,pivot!$A:$I,計算式2026!AK$1,FALSE),0)</f>
        <v>0</v>
      </c>
      <c r="AL1537" s="9">
        <f>IFERROR(VLOOKUP($A1537,pivot!$A:$I,計算式2026!AL$1,FALSE),0)</f>
        <v>0</v>
      </c>
      <c r="AR1537" s="8"/>
      <c r="AS1537" s="8"/>
      <c r="AT1537" s="8"/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8"/>
      <c r="BG1537" s="8"/>
    </row>
    <row r="1538" spans="1:59" s="9" customFormat="1">
      <c r="A1538" s="8" t="s">
        <v>923</v>
      </c>
      <c r="B1538" s="8" t="s">
        <v>919</v>
      </c>
      <c r="C1538" s="9">
        <v>0</v>
      </c>
      <c r="D1538" s="9">
        <v>0</v>
      </c>
      <c r="E1538" s="9">
        <v>0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1</v>
      </c>
      <c r="AE1538" s="9">
        <f>IFERROR(VLOOKUP($A1538,pivot!$A:$G,計算式2026!AE$1,FALSE),0)</f>
        <v>0</v>
      </c>
      <c r="AF1538" s="9">
        <f>IFERROR(VLOOKUP($A1538,pivot!$A:$I,計算式2026!AF$1,FALSE),0)</f>
        <v>0</v>
      </c>
      <c r="AI1538" s="9">
        <f>IFERROR(VLOOKUP($A1538,pivot!$A:$I,計算式2026!AI$1,FALSE),0)</f>
        <v>0</v>
      </c>
      <c r="AJ1538" s="9">
        <f>IFERROR(VLOOKUP($A1538,pivot!$A:$I,計算式2026!AJ$1,FALSE),0)</f>
        <v>0</v>
      </c>
      <c r="AK1538" s="9">
        <f>IFERROR(VLOOKUP($A1538,pivot!$A:$I,計算式2026!AK$1,FALSE),0)</f>
        <v>0</v>
      </c>
      <c r="AL1538" s="9">
        <f>IFERROR(VLOOKUP($A1538,pivot!$A:$I,計算式2026!AL$1,FALSE),0)</f>
        <v>0</v>
      </c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</row>
    <row r="1539" spans="1:59" s="9" customFormat="1">
      <c r="A1539" s="8" t="s">
        <v>2830</v>
      </c>
      <c r="B1539" s="8" t="s">
        <v>919</v>
      </c>
      <c r="C1539" s="9">
        <v>0</v>
      </c>
      <c r="D1539" s="9">
        <v>0</v>
      </c>
      <c r="E1539" s="9">
        <v>0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1</v>
      </c>
      <c r="W1539" s="9">
        <v>0</v>
      </c>
      <c r="X1539" s="9">
        <v>1</v>
      </c>
      <c r="AE1539" s="9">
        <f>IFERROR(VLOOKUP($A1539,pivot!$A:$G,計算式2026!AE$1,FALSE),0)</f>
        <v>0</v>
      </c>
      <c r="AF1539" s="9">
        <f>IFERROR(VLOOKUP($A1539,pivot!$A:$I,計算式2026!AF$1,FALSE),0)</f>
        <v>0</v>
      </c>
      <c r="AI1539" s="9">
        <f>IFERROR(VLOOKUP($A1539,pivot!$A:$I,計算式2026!AI$1,FALSE),0)</f>
        <v>0</v>
      </c>
      <c r="AJ1539" s="9">
        <f>IFERROR(VLOOKUP($A1539,pivot!$A:$I,計算式2026!AJ$1,FALSE),0)</f>
        <v>0</v>
      </c>
      <c r="AK1539" s="9">
        <f>IFERROR(VLOOKUP($A1539,pivot!$A:$I,計算式2026!AK$1,FALSE),0)</f>
        <v>0</v>
      </c>
      <c r="AL1539" s="9">
        <f>IFERROR(VLOOKUP($A1539,pivot!$A:$I,計算式2026!AL$1,FALSE),0)</f>
        <v>0</v>
      </c>
      <c r="AR1539" s="8"/>
      <c r="AS1539" s="8"/>
      <c r="AT1539" s="8"/>
      <c r="AU1539" s="8"/>
      <c r="AV1539" s="8"/>
      <c r="AW1539" s="8"/>
      <c r="AX1539" s="8"/>
      <c r="AY1539" s="8"/>
      <c r="AZ1539" s="8"/>
      <c r="BA1539" s="8"/>
      <c r="BB1539" s="8"/>
      <c r="BC1539" s="8"/>
      <c r="BD1539" s="8"/>
      <c r="BE1539" s="8"/>
      <c r="BF1539" s="8"/>
      <c r="BG1539" s="8"/>
    </row>
    <row r="1540" spans="1:59" s="9" customFormat="1">
      <c r="A1540" s="8" t="s">
        <v>2831</v>
      </c>
      <c r="B1540" s="8" t="s">
        <v>919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R1540" s="9">
        <v>0</v>
      </c>
      <c r="S1540" s="9">
        <v>1</v>
      </c>
      <c r="T1540" s="9">
        <v>1</v>
      </c>
      <c r="U1540" s="9">
        <v>0</v>
      </c>
      <c r="V1540" s="9">
        <v>1</v>
      </c>
      <c r="W1540" s="9">
        <v>0</v>
      </c>
      <c r="X1540" s="9">
        <v>1</v>
      </c>
      <c r="AE1540" s="9">
        <f>IFERROR(VLOOKUP($A1540,pivot!$A:$G,計算式2026!AE$1,FALSE),0)</f>
        <v>0</v>
      </c>
      <c r="AF1540" s="9">
        <f>IFERROR(VLOOKUP($A1540,pivot!$A:$I,計算式2026!AF$1,FALSE),0)</f>
        <v>0</v>
      </c>
      <c r="AI1540" s="9">
        <f>IFERROR(VLOOKUP($A1540,pivot!$A:$I,計算式2026!AI$1,FALSE),0)</f>
        <v>0</v>
      </c>
      <c r="AJ1540" s="9">
        <f>IFERROR(VLOOKUP($A1540,pivot!$A:$I,計算式2026!AJ$1,FALSE),0)</f>
        <v>0</v>
      </c>
      <c r="AK1540" s="9">
        <f>IFERROR(VLOOKUP($A1540,pivot!$A:$I,計算式2026!AK$1,FALSE),0)</f>
        <v>0</v>
      </c>
      <c r="AL1540" s="9">
        <f>IFERROR(VLOOKUP($A1540,pivot!$A:$I,計算式2026!AL$1,FALSE),0)</f>
        <v>0</v>
      </c>
      <c r="AR1540" s="8"/>
      <c r="AS1540" s="8"/>
      <c r="AT1540" s="8"/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8"/>
      <c r="BG1540" s="8"/>
    </row>
    <row r="1541" spans="1:59" s="9" customFormat="1">
      <c r="A1541" s="8" t="s">
        <v>2832</v>
      </c>
      <c r="B1541" s="8" t="s">
        <v>919</v>
      </c>
      <c r="C1541" s="9">
        <v>0</v>
      </c>
      <c r="D1541" s="9">
        <v>0</v>
      </c>
      <c r="E1541" s="9">
        <v>0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R1541" s="9">
        <v>0</v>
      </c>
      <c r="S1541" s="9">
        <v>1</v>
      </c>
      <c r="T1541" s="9">
        <v>1</v>
      </c>
      <c r="U1541" s="9">
        <v>0</v>
      </c>
      <c r="V1541" s="9">
        <v>0</v>
      </c>
      <c r="W1541" s="9">
        <v>0</v>
      </c>
      <c r="X1541" s="9">
        <v>0</v>
      </c>
      <c r="AE1541" s="9">
        <f>IFERROR(VLOOKUP($A1541,pivot!$A:$G,計算式2026!AE$1,FALSE),0)</f>
        <v>0</v>
      </c>
      <c r="AF1541" s="9">
        <f>IFERROR(VLOOKUP($A1541,pivot!$A:$I,計算式2026!AF$1,FALSE),0)</f>
        <v>0</v>
      </c>
      <c r="AI1541" s="9">
        <f>IFERROR(VLOOKUP($A1541,pivot!$A:$I,計算式2026!AI$1,FALSE),0)</f>
        <v>0</v>
      </c>
      <c r="AJ1541" s="9">
        <f>IFERROR(VLOOKUP($A1541,pivot!$A:$I,計算式2026!AJ$1,FALSE),0)</f>
        <v>0</v>
      </c>
      <c r="AK1541" s="9">
        <f>IFERROR(VLOOKUP($A1541,pivot!$A:$I,計算式2026!AK$1,FALSE),0)</f>
        <v>0</v>
      </c>
      <c r="AL1541" s="9">
        <f>IFERROR(VLOOKUP($A1541,pivot!$A:$I,計算式2026!AL$1,FALSE),0)</f>
        <v>0</v>
      </c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</row>
    <row r="1542" spans="1:59" s="9" customFormat="1">
      <c r="A1542" s="8" t="s">
        <v>2833</v>
      </c>
      <c r="B1542" s="8" t="s">
        <v>919</v>
      </c>
      <c r="C1542" s="9">
        <v>0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1</v>
      </c>
      <c r="AE1542" s="9">
        <f>IFERROR(VLOOKUP($A1542,pivot!$A:$G,計算式2026!AE$1,FALSE),0)</f>
        <v>0</v>
      </c>
      <c r="AF1542" s="9">
        <f>IFERROR(VLOOKUP($A1542,pivot!$A:$I,計算式2026!AF$1,FALSE),0)</f>
        <v>0</v>
      </c>
      <c r="AI1542" s="9">
        <f>IFERROR(VLOOKUP($A1542,pivot!$A:$I,計算式2026!AI$1,FALSE),0)</f>
        <v>0</v>
      </c>
      <c r="AJ1542" s="9">
        <f>IFERROR(VLOOKUP($A1542,pivot!$A:$I,計算式2026!AJ$1,FALSE),0)</f>
        <v>0</v>
      </c>
      <c r="AK1542" s="9">
        <f>IFERROR(VLOOKUP($A1542,pivot!$A:$I,計算式2026!AK$1,FALSE),0)</f>
        <v>0</v>
      </c>
      <c r="AL1542" s="9">
        <f>IFERROR(VLOOKUP($A1542,pivot!$A:$I,計算式2026!AL$1,FALSE),0)</f>
        <v>0</v>
      </c>
      <c r="AR1542" s="8"/>
      <c r="AS1542" s="8"/>
      <c r="AT1542" s="8"/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8"/>
      <c r="BG1542" s="8"/>
    </row>
    <row r="1543" spans="1:59" s="9" customFormat="1">
      <c r="A1543" s="8" t="s">
        <v>2294</v>
      </c>
      <c r="B1543" s="8" t="s">
        <v>919</v>
      </c>
      <c r="C1543" s="9">
        <v>0</v>
      </c>
      <c r="D1543" s="9">
        <v>0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R1543" s="9">
        <v>1</v>
      </c>
      <c r="S1543" s="9">
        <v>1</v>
      </c>
      <c r="T1543" s="9">
        <v>1</v>
      </c>
      <c r="U1543" s="9">
        <v>0</v>
      </c>
      <c r="V1543" s="9">
        <v>0</v>
      </c>
      <c r="W1543" s="9">
        <v>0</v>
      </c>
      <c r="X1543" s="9">
        <v>1</v>
      </c>
      <c r="AE1543" s="9">
        <f>IFERROR(VLOOKUP($A1543,pivot!$A:$G,計算式2026!AE$1,FALSE),0)</f>
        <v>0</v>
      </c>
      <c r="AF1543" s="9">
        <f>IFERROR(VLOOKUP($A1543,pivot!$A:$I,計算式2026!AF$1,FALSE),0)</f>
        <v>0</v>
      </c>
      <c r="AI1543" s="9">
        <f>IFERROR(VLOOKUP($A1543,pivot!$A:$I,計算式2026!AI$1,FALSE),0)</f>
        <v>0</v>
      </c>
      <c r="AJ1543" s="9">
        <f>IFERROR(VLOOKUP($A1543,pivot!$A:$I,計算式2026!AJ$1,FALSE),0)</f>
        <v>0</v>
      </c>
      <c r="AK1543" s="9">
        <f>IFERROR(VLOOKUP($A1543,pivot!$A:$I,計算式2026!AK$1,FALSE),0)</f>
        <v>0</v>
      </c>
      <c r="AL1543" s="9">
        <f>IFERROR(VLOOKUP($A1543,pivot!$A:$I,計算式2026!AL$1,FALSE),0)</f>
        <v>0</v>
      </c>
      <c r="AR1543" s="8"/>
      <c r="AS1543" s="8"/>
      <c r="AT1543" s="8"/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8"/>
      <c r="BG1543" s="8"/>
    </row>
    <row r="1544" spans="1:59" s="9" customFormat="1">
      <c r="A1544" s="8" t="s">
        <v>924</v>
      </c>
      <c r="B1544" s="8" t="s">
        <v>919</v>
      </c>
      <c r="C1544" s="9">
        <v>0</v>
      </c>
      <c r="D1544" s="9">
        <v>0</v>
      </c>
      <c r="E1544" s="9">
        <v>0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R1544" s="9">
        <v>1</v>
      </c>
      <c r="S1544" s="9">
        <v>1</v>
      </c>
      <c r="T1544" s="9">
        <v>1</v>
      </c>
      <c r="U1544" s="9">
        <v>0</v>
      </c>
      <c r="V1544" s="9">
        <v>1</v>
      </c>
      <c r="W1544" s="9">
        <v>0</v>
      </c>
      <c r="X1544" s="9">
        <v>1</v>
      </c>
      <c r="AE1544" s="9">
        <f>IFERROR(VLOOKUP($A1544,pivot!$A:$G,計算式2026!AE$1,FALSE),0)</f>
        <v>0</v>
      </c>
      <c r="AF1544" s="9">
        <f>IFERROR(VLOOKUP($A1544,pivot!$A:$I,計算式2026!AF$1,FALSE),0)</f>
        <v>0</v>
      </c>
      <c r="AI1544" s="9">
        <f>IFERROR(VLOOKUP($A1544,pivot!$A:$I,計算式2026!AI$1,FALSE),0)</f>
        <v>0</v>
      </c>
      <c r="AJ1544" s="9">
        <f>IFERROR(VLOOKUP($A1544,pivot!$A:$I,計算式2026!AJ$1,FALSE),0)</f>
        <v>0</v>
      </c>
      <c r="AK1544" s="9">
        <f>IFERROR(VLOOKUP($A1544,pivot!$A:$I,計算式2026!AK$1,FALSE),0)</f>
        <v>0</v>
      </c>
      <c r="AL1544" s="9">
        <f>IFERROR(VLOOKUP($A1544,pivot!$A:$I,計算式2026!AL$1,FALSE),0)</f>
        <v>0</v>
      </c>
      <c r="AR1544" s="8"/>
      <c r="AS1544" s="8"/>
      <c r="AT1544" s="8"/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8"/>
      <c r="BG1544" s="8"/>
    </row>
    <row r="1545" spans="1:59" s="9" customFormat="1">
      <c r="A1545" s="8" t="s">
        <v>925</v>
      </c>
      <c r="B1545" s="8" t="s">
        <v>919</v>
      </c>
      <c r="C1545" s="9">
        <v>0</v>
      </c>
      <c r="D1545" s="9">
        <v>0</v>
      </c>
      <c r="E1545" s="9">
        <v>0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R1545" s="9">
        <v>1</v>
      </c>
      <c r="S1545" s="9">
        <v>1</v>
      </c>
      <c r="T1545" s="9">
        <v>2</v>
      </c>
      <c r="U1545" s="9">
        <v>0</v>
      </c>
      <c r="V1545" s="9">
        <v>1</v>
      </c>
      <c r="W1545" s="9">
        <v>0</v>
      </c>
      <c r="X1545" s="9">
        <v>1</v>
      </c>
      <c r="AE1545" s="9">
        <f>IFERROR(VLOOKUP($A1545,pivot!$A:$G,計算式2026!AE$1,FALSE),0)</f>
        <v>0</v>
      </c>
      <c r="AF1545" s="9">
        <f>IFERROR(VLOOKUP($A1545,pivot!$A:$I,計算式2026!AF$1,FALSE),0)</f>
        <v>0</v>
      </c>
      <c r="AI1545" s="9">
        <f>IFERROR(VLOOKUP($A1545,pivot!$A:$I,計算式2026!AI$1,FALSE),0)</f>
        <v>0</v>
      </c>
      <c r="AJ1545" s="9">
        <f>IFERROR(VLOOKUP($A1545,pivot!$A:$I,計算式2026!AJ$1,FALSE),0)</f>
        <v>0</v>
      </c>
      <c r="AK1545" s="9">
        <f>IFERROR(VLOOKUP($A1545,pivot!$A:$I,計算式2026!AK$1,FALSE),0)</f>
        <v>0</v>
      </c>
      <c r="AL1545" s="9">
        <f>IFERROR(VLOOKUP($A1545,pivot!$A:$I,計算式2026!AL$1,FALSE),0)</f>
        <v>0</v>
      </c>
      <c r="AR1545" s="8"/>
      <c r="AS1545" s="8"/>
      <c r="AT1545" s="8"/>
      <c r="AU1545" s="8"/>
      <c r="AV1545" s="8"/>
      <c r="AW1545" s="8"/>
      <c r="AX1545" s="8"/>
      <c r="AY1545" s="8"/>
      <c r="AZ1545" s="8"/>
      <c r="BA1545" s="8"/>
      <c r="BB1545" s="8"/>
      <c r="BC1545" s="8"/>
      <c r="BD1545" s="8"/>
      <c r="BE1545" s="8"/>
      <c r="BF1545" s="8"/>
      <c r="BG1545" s="8"/>
    </row>
    <row r="1546" spans="1:59" s="9" customFormat="1">
      <c r="A1546" s="8" t="s">
        <v>926</v>
      </c>
      <c r="B1546" s="8" t="s">
        <v>927</v>
      </c>
      <c r="C1546" s="9">
        <v>0</v>
      </c>
      <c r="D1546" s="9">
        <v>0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R1546" s="9">
        <v>0</v>
      </c>
      <c r="S1546" s="9">
        <v>0</v>
      </c>
      <c r="T1546" s="9">
        <v>1</v>
      </c>
      <c r="U1546" s="9">
        <v>0</v>
      </c>
      <c r="V1546" s="9">
        <v>1</v>
      </c>
      <c r="W1546" s="9">
        <v>0</v>
      </c>
      <c r="X1546" s="9">
        <v>1</v>
      </c>
      <c r="AE1546" s="9">
        <f>IFERROR(VLOOKUP($A1546,pivot!$A:$G,計算式2026!AE$1,FALSE),0)</f>
        <v>0</v>
      </c>
      <c r="AF1546" s="9">
        <f>IFERROR(VLOOKUP($A1546,pivot!$A:$I,計算式2026!AF$1,FALSE),0)</f>
        <v>0</v>
      </c>
      <c r="AI1546" s="9">
        <f>IFERROR(VLOOKUP($A1546,pivot!$A:$I,計算式2026!AI$1,FALSE),0)</f>
        <v>0</v>
      </c>
      <c r="AJ1546" s="9">
        <f>IFERROR(VLOOKUP($A1546,pivot!$A:$I,計算式2026!AJ$1,FALSE),0)</f>
        <v>0</v>
      </c>
      <c r="AK1546" s="9">
        <f>IFERROR(VLOOKUP($A1546,pivot!$A:$I,計算式2026!AK$1,FALSE),0)</f>
        <v>0</v>
      </c>
      <c r="AL1546" s="9">
        <f>IFERROR(VLOOKUP($A1546,pivot!$A:$I,計算式2026!AL$1,FALSE),0)</f>
        <v>0</v>
      </c>
      <c r="AR1546" s="8"/>
      <c r="AS1546" s="8"/>
      <c r="AT1546" s="8"/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8"/>
      <c r="BG1546" s="8"/>
    </row>
    <row r="1547" spans="1:59" s="9" customFormat="1">
      <c r="A1547" s="8" t="s">
        <v>928</v>
      </c>
      <c r="B1547" s="8" t="s">
        <v>927</v>
      </c>
      <c r="C1547" s="9">
        <v>0</v>
      </c>
      <c r="D1547" s="9">
        <v>0</v>
      </c>
      <c r="E1547" s="9">
        <v>0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9">
        <v>0</v>
      </c>
      <c r="X1547" s="9">
        <v>1</v>
      </c>
      <c r="AE1547" s="9">
        <f>IFERROR(VLOOKUP($A1547,pivot!$A:$G,計算式2026!AE$1,FALSE),0)</f>
        <v>0</v>
      </c>
      <c r="AF1547" s="9">
        <f>IFERROR(VLOOKUP($A1547,pivot!$A:$I,計算式2026!AF$1,FALSE),0)</f>
        <v>0</v>
      </c>
      <c r="AI1547" s="9">
        <f>IFERROR(VLOOKUP($A1547,pivot!$A:$I,計算式2026!AI$1,FALSE),0)</f>
        <v>0</v>
      </c>
      <c r="AJ1547" s="9">
        <f>IFERROR(VLOOKUP($A1547,pivot!$A:$I,計算式2026!AJ$1,FALSE),0)</f>
        <v>0</v>
      </c>
      <c r="AK1547" s="9">
        <f>IFERROR(VLOOKUP($A1547,pivot!$A:$I,計算式2026!AK$1,FALSE),0)</f>
        <v>0</v>
      </c>
      <c r="AL1547" s="9">
        <f>IFERROR(VLOOKUP($A1547,pivot!$A:$I,計算式2026!AL$1,FALSE),0)</f>
        <v>0</v>
      </c>
      <c r="AR1547" s="8"/>
      <c r="AS1547" s="8"/>
      <c r="AT1547" s="8"/>
      <c r="AU1547" s="8"/>
      <c r="AV1547" s="8"/>
      <c r="AW1547" s="8"/>
      <c r="AX1547" s="8"/>
      <c r="AY1547" s="8"/>
      <c r="AZ1547" s="8"/>
      <c r="BA1547" s="8"/>
      <c r="BB1547" s="8"/>
      <c r="BC1547" s="8"/>
      <c r="BD1547" s="8"/>
      <c r="BE1547" s="8"/>
      <c r="BF1547" s="8"/>
      <c r="BG1547" s="8"/>
    </row>
    <row r="1548" spans="1:59" s="9" customFormat="1">
      <c r="A1548" s="8" t="s">
        <v>929</v>
      </c>
      <c r="B1548" s="8" t="s">
        <v>927</v>
      </c>
      <c r="C1548" s="9">
        <v>0</v>
      </c>
      <c r="D1548" s="9">
        <v>0</v>
      </c>
      <c r="E1548" s="9">
        <v>0</v>
      </c>
      <c r="F1548" s="9">
        <v>0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1</v>
      </c>
      <c r="AE1548" s="9">
        <f>IFERROR(VLOOKUP($A1548,pivot!$A:$G,計算式2026!AE$1,FALSE),0)</f>
        <v>0</v>
      </c>
      <c r="AF1548" s="9">
        <f>IFERROR(VLOOKUP($A1548,pivot!$A:$I,計算式2026!AF$1,FALSE),0)</f>
        <v>0</v>
      </c>
      <c r="AI1548" s="9">
        <f>IFERROR(VLOOKUP($A1548,pivot!$A:$I,計算式2026!AI$1,FALSE),0)</f>
        <v>0</v>
      </c>
      <c r="AJ1548" s="9">
        <f>IFERROR(VLOOKUP($A1548,pivot!$A:$I,計算式2026!AJ$1,FALSE),0)</f>
        <v>0</v>
      </c>
      <c r="AK1548" s="9">
        <f>IFERROR(VLOOKUP($A1548,pivot!$A:$I,計算式2026!AK$1,FALSE),0)</f>
        <v>0</v>
      </c>
      <c r="AL1548" s="9">
        <f>IFERROR(VLOOKUP($A1548,pivot!$A:$I,計算式2026!AL$1,FALSE),0)</f>
        <v>0</v>
      </c>
      <c r="AR1548" s="8"/>
      <c r="AS1548" s="8"/>
      <c r="AT1548" s="8"/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8"/>
      <c r="BG1548" s="8"/>
    </row>
    <row r="1549" spans="1:59" s="9" customFormat="1">
      <c r="A1549" s="8" t="s">
        <v>930</v>
      </c>
      <c r="B1549" s="8" t="s">
        <v>927</v>
      </c>
      <c r="C1549" s="9">
        <v>0</v>
      </c>
      <c r="D1549" s="9">
        <v>0</v>
      </c>
      <c r="E1549" s="9">
        <v>0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1</v>
      </c>
      <c r="AE1549" s="9">
        <f>IFERROR(VLOOKUP($A1549,pivot!$A:$G,計算式2026!AE$1,FALSE),0)</f>
        <v>0</v>
      </c>
      <c r="AF1549" s="9">
        <f>IFERROR(VLOOKUP($A1549,pivot!$A:$I,計算式2026!AF$1,FALSE),0)</f>
        <v>0</v>
      </c>
      <c r="AI1549" s="9">
        <f>IFERROR(VLOOKUP($A1549,pivot!$A:$I,計算式2026!AI$1,FALSE),0)</f>
        <v>0</v>
      </c>
      <c r="AJ1549" s="9">
        <f>IFERROR(VLOOKUP($A1549,pivot!$A:$I,計算式2026!AJ$1,FALSE),0)</f>
        <v>0</v>
      </c>
      <c r="AK1549" s="9">
        <f>IFERROR(VLOOKUP($A1549,pivot!$A:$I,計算式2026!AK$1,FALSE),0)</f>
        <v>0</v>
      </c>
      <c r="AL1549" s="9">
        <f>IFERROR(VLOOKUP($A1549,pivot!$A:$I,計算式2026!AL$1,FALSE),0)</f>
        <v>0</v>
      </c>
      <c r="AR1549" s="8"/>
      <c r="AS1549" s="8"/>
      <c r="AT1549" s="8"/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8"/>
      <c r="BG1549" s="8"/>
    </row>
    <row r="1550" spans="1:59" s="9" customFormat="1">
      <c r="A1550" s="8" t="s">
        <v>931</v>
      </c>
      <c r="B1550" s="8" t="s">
        <v>927</v>
      </c>
      <c r="C1550" s="9">
        <v>0</v>
      </c>
      <c r="D1550" s="9">
        <v>0</v>
      </c>
      <c r="E1550" s="9">
        <v>0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1</v>
      </c>
      <c r="AE1550" s="9">
        <f>IFERROR(VLOOKUP($A1550,pivot!$A:$G,計算式2026!AE$1,FALSE),0)</f>
        <v>0</v>
      </c>
      <c r="AF1550" s="9">
        <f>IFERROR(VLOOKUP($A1550,pivot!$A:$I,計算式2026!AF$1,FALSE),0)</f>
        <v>0</v>
      </c>
      <c r="AI1550" s="9">
        <f>IFERROR(VLOOKUP($A1550,pivot!$A:$I,計算式2026!AI$1,FALSE),0)</f>
        <v>0</v>
      </c>
      <c r="AJ1550" s="9">
        <f>IFERROR(VLOOKUP($A1550,pivot!$A:$I,計算式2026!AJ$1,FALSE),0)</f>
        <v>0</v>
      </c>
      <c r="AK1550" s="9">
        <f>IFERROR(VLOOKUP($A1550,pivot!$A:$I,計算式2026!AK$1,FALSE),0)</f>
        <v>0</v>
      </c>
      <c r="AL1550" s="9">
        <f>IFERROR(VLOOKUP($A1550,pivot!$A:$I,計算式2026!AL$1,FALSE),0)</f>
        <v>0</v>
      </c>
      <c r="AR1550" s="8"/>
      <c r="AS1550" s="8"/>
      <c r="AT1550" s="8"/>
      <c r="AU1550" s="8"/>
      <c r="AV1550" s="8"/>
      <c r="AW1550" s="8"/>
      <c r="AX1550" s="8"/>
      <c r="AY1550" s="8"/>
      <c r="AZ1550" s="8"/>
      <c r="BA1550" s="8"/>
      <c r="BB1550" s="8"/>
      <c r="BC1550" s="8"/>
      <c r="BD1550" s="8"/>
      <c r="BE1550" s="8"/>
      <c r="BF1550" s="8"/>
      <c r="BG1550" s="8"/>
    </row>
    <row r="1551" spans="1:59" s="9" customFormat="1">
      <c r="A1551" s="8" t="s">
        <v>932</v>
      </c>
      <c r="B1551" s="8" t="s">
        <v>933</v>
      </c>
      <c r="C1551" s="9">
        <v>0</v>
      </c>
      <c r="D1551" s="9">
        <v>0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1</v>
      </c>
      <c r="AE1551" s="9">
        <f>IFERROR(VLOOKUP($A1551,pivot!$A:$G,計算式2026!AE$1,FALSE),0)</f>
        <v>0</v>
      </c>
      <c r="AF1551" s="9">
        <f>IFERROR(VLOOKUP($A1551,pivot!$A:$I,計算式2026!AF$1,FALSE),0)</f>
        <v>0</v>
      </c>
      <c r="AI1551" s="9">
        <f>IFERROR(VLOOKUP($A1551,pivot!$A:$I,計算式2026!AI$1,FALSE),0)</f>
        <v>0</v>
      </c>
      <c r="AJ1551" s="9">
        <f>IFERROR(VLOOKUP($A1551,pivot!$A:$I,計算式2026!AJ$1,FALSE),0)</f>
        <v>0</v>
      </c>
      <c r="AK1551" s="9">
        <f>IFERROR(VLOOKUP($A1551,pivot!$A:$I,計算式2026!AK$1,FALSE),0)</f>
        <v>0</v>
      </c>
      <c r="AL1551" s="9">
        <f>IFERROR(VLOOKUP($A1551,pivot!$A:$I,計算式2026!AL$1,FALSE),0)</f>
        <v>0</v>
      </c>
      <c r="AR1551" s="8"/>
      <c r="AS1551" s="8"/>
      <c r="AT1551" s="8"/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8"/>
      <c r="BG1551" s="8"/>
    </row>
    <row r="1552" spans="1:59" s="9" customFormat="1">
      <c r="A1552" s="8" t="s">
        <v>934</v>
      </c>
      <c r="B1552" s="8" t="s">
        <v>933</v>
      </c>
      <c r="C1552" s="9">
        <v>0</v>
      </c>
      <c r="D1552" s="9">
        <v>0</v>
      </c>
      <c r="E1552" s="9">
        <v>0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1</v>
      </c>
      <c r="W1552" s="9">
        <v>0</v>
      </c>
      <c r="X1552" s="9">
        <v>1</v>
      </c>
      <c r="AE1552" s="9">
        <f>IFERROR(VLOOKUP($A1552,pivot!$A:$G,計算式2026!AE$1,FALSE),0)</f>
        <v>0</v>
      </c>
      <c r="AF1552" s="9">
        <f>IFERROR(VLOOKUP($A1552,pivot!$A:$I,計算式2026!AF$1,FALSE),0)</f>
        <v>0</v>
      </c>
      <c r="AI1552" s="9">
        <f>IFERROR(VLOOKUP($A1552,pivot!$A:$I,計算式2026!AI$1,FALSE),0)</f>
        <v>0</v>
      </c>
      <c r="AJ1552" s="9">
        <f>IFERROR(VLOOKUP($A1552,pivot!$A:$I,計算式2026!AJ$1,FALSE),0)</f>
        <v>0</v>
      </c>
      <c r="AK1552" s="9">
        <f>IFERROR(VLOOKUP($A1552,pivot!$A:$I,計算式2026!AK$1,FALSE),0)</f>
        <v>0</v>
      </c>
      <c r="AL1552" s="9">
        <f>IFERROR(VLOOKUP($A1552,pivot!$A:$I,計算式2026!AL$1,FALSE),0)</f>
        <v>0</v>
      </c>
      <c r="AR1552" s="8"/>
      <c r="AS1552" s="8"/>
      <c r="AT1552" s="8"/>
      <c r="AU1552" s="8"/>
      <c r="AV1552" s="8"/>
      <c r="AW1552" s="8"/>
      <c r="AX1552" s="8"/>
      <c r="AY1552" s="8"/>
      <c r="AZ1552" s="8"/>
      <c r="BA1552" s="8"/>
      <c r="BB1552" s="8"/>
      <c r="BC1552" s="8"/>
      <c r="BD1552" s="8"/>
      <c r="BE1552" s="8"/>
      <c r="BF1552" s="8"/>
      <c r="BG1552" s="8"/>
    </row>
    <row r="1553" spans="1:59" s="9" customFormat="1">
      <c r="A1553" s="8" t="s">
        <v>935</v>
      </c>
      <c r="B1553" s="8" t="s">
        <v>933</v>
      </c>
      <c r="C1553" s="9">
        <v>0</v>
      </c>
      <c r="D1553" s="9">
        <v>0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R1553" s="9">
        <v>0</v>
      </c>
      <c r="S1553" s="9">
        <v>0</v>
      </c>
      <c r="T1553" s="9">
        <v>1</v>
      </c>
      <c r="U1553" s="9">
        <v>0</v>
      </c>
      <c r="V1553" s="9">
        <v>1</v>
      </c>
      <c r="W1553" s="9">
        <v>0</v>
      </c>
      <c r="X1553" s="9">
        <v>1</v>
      </c>
      <c r="AE1553" s="9">
        <f>IFERROR(VLOOKUP($A1553,pivot!$A:$G,計算式2026!AE$1,FALSE),0)</f>
        <v>0</v>
      </c>
      <c r="AF1553" s="9">
        <f>IFERROR(VLOOKUP($A1553,pivot!$A:$I,計算式2026!AF$1,FALSE),0)</f>
        <v>0</v>
      </c>
      <c r="AI1553" s="9">
        <f>IFERROR(VLOOKUP($A1553,pivot!$A:$I,計算式2026!AI$1,FALSE),0)</f>
        <v>0</v>
      </c>
      <c r="AJ1553" s="9">
        <f>IFERROR(VLOOKUP($A1553,pivot!$A:$I,計算式2026!AJ$1,FALSE),0)</f>
        <v>0</v>
      </c>
      <c r="AK1553" s="9">
        <f>IFERROR(VLOOKUP($A1553,pivot!$A:$I,計算式2026!AK$1,FALSE),0)</f>
        <v>0</v>
      </c>
      <c r="AL1553" s="9">
        <f>IFERROR(VLOOKUP($A1553,pivot!$A:$I,計算式2026!AL$1,FALSE),0)</f>
        <v>0</v>
      </c>
      <c r="AR1553" s="8"/>
      <c r="AS1553" s="8"/>
      <c r="AT1553" s="8"/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8"/>
      <c r="BG1553" s="8"/>
    </row>
    <row r="1554" spans="1:59" s="9" customFormat="1">
      <c r="A1554" s="8" t="s">
        <v>936</v>
      </c>
      <c r="B1554" s="8" t="s">
        <v>933</v>
      </c>
      <c r="C1554" s="9">
        <v>0</v>
      </c>
      <c r="D1554" s="9">
        <v>0</v>
      </c>
      <c r="E1554" s="9">
        <v>0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1</v>
      </c>
      <c r="W1554" s="9">
        <v>0</v>
      </c>
      <c r="X1554" s="9">
        <v>1</v>
      </c>
      <c r="AE1554" s="9">
        <f>IFERROR(VLOOKUP($A1554,pivot!$A:$G,計算式2026!AE$1,FALSE),0)</f>
        <v>0</v>
      </c>
      <c r="AF1554" s="9">
        <f>IFERROR(VLOOKUP($A1554,pivot!$A:$I,計算式2026!AF$1,FALSE),0)</f>
        <v>0</v>
      </c>
      <c r="AI1554" s="9">
        <f>IFERROR(VLOOKUP($A1554,pivot!$A:$I,計算式2026!AI$1,FALSE),0)</f>
        <v>0</v>
      </c>
      <c r="AJ1554" s="9">
        <f>IFERROR(VLOOKUP($A1554,pivot!$A:$I,計算式2026!AJ$1,FALSE),0)</f>
        <v>0</v>
      </c>
      <c r="AK1554" s="9">
        <f>IFERROR(VLOOKUP($A1554,pivot!$A:$I,計算式2026!AK$1,FALSE),0)</f>
        <v>0</v>
      </c>
      <c r="AL1554" s="9">
        <f>IFERROR(VLOOKUP($A1554,pivot!$A:$I,計算式2026!AL$1,FALSE),0)</f>
        <v>0</v>
      </c>
      <c r="AR1554" s="8"/>
      <c r="AS1554" s="8"/>
      <c r="AT1554" s="8"/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8"/>
      <c r="BG1554" s="8"/>
    </row>
    <row r="1555" spans="1:59" s="9" customFormat="1">
      <c r="A1555" s="8" t="s">
        <v>937</v>
      </c>
      <c r="B1555" s="8" t="s">
        <v>933</v>
      </c>
      <c r="C1555" s="9">
        <v>0</v>
      </c>
      <c r="D1555" s="9">
        <v>0</v>
      </c>
      <c r="E1555" s="9">
        <v>0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R1555" s="9">
        <v>0</v>
      </c>
      <c r="S1555" s="9">
        <v>0</v>
      </c>
      <c r="T1555" s="9">
        <v>1</v>
      </c>
      <c r="U1555" s="9">
        <v>0</v>
      </c>
      <c r="V1555" s="9">
        <v>0</v>
      </c>
      <c r="W1555" s="9">
        <v>0</v>
      </c>
      <c r="X1555" s="9">
        <v>1</v>
      </c>
      <c r="AE1555" s="9">
        <f>IFERROR(VLOOKUP($A1555,pivot!$A:$G,計算式2026!AE$1,FALSE),0)</f>
        <v>0</v>
      </c>
      <c r="AF1555" s="9">
        <f>IFERROR(VLOOKUP($A1555,pivot!$A:$I,計算式2026!AF$1,FALSE),0)</f>
        <v>0</v>
      </c>
      <c r="AI1555" s="9">
        <f>IFERROR(VLOOKUP($A1555,pivot!$A:$I,計算式2026!AI$1,FALSE),0)</f>
        <v>0</v>
      </c>
      <c r="AJ1555" s="9">
        <f>IFERROR(VLOOKUP($A1555,pivot!$A:$I,計算式2026!AJ$1,FALSE),0)</f>
        <v>0</v>
      </c>
      <c r="AK1555" s="9">
        <f>IFERROR(VLOOKUP($A1555,pivot!$A:$I,計算式2026!AK$1,FALSE),0)</f>
        <v>0</v>
      </c>
      <c r="AL1555" s="9">
        <f>IFERROR(VLOOKUP($A1555,pivot!$A:$I,計算式2026!AL$1,FALSE),0)</f>
        <v>0</v>
      </c>
      <c r="AR1555" s="8"/>
      <c r="AS1555" s="8"/>
      <c r="AT1555" s="8"/>
      <c r="AU1555" s="8"/>
      <c r="AV1555" s="8"/>
      <c r="AW1555" s="8"/>
      <c r="AX1555" s="8"/>
      <c r="AY1555" s="8"/>
      <c r="AZ1555" s="8"/>
      <c r="BA1555" s="8"/>
      <c r="BB1555" s="8"/>
      <c r="BC1555" s="8"/>
      <c r="BD1555" s="8"/>
      <c r="BE1555" s="8"/>
      <c r="BF1555" s="8"/>
      <c r="BG1555" s="8"/>
    </row>
    <row r="1556" spans="1:59" s="9" customFormat="1">
      <c r="A1556" s="8" t="s">
        <v>938</v>
      </c>
      <c r="B1556" s="8" t="s">
        <v>933</v>
      </c>
      <c r="C1556" s="9">
        <v>0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R1556" s="9">
        <v>0</v>
      </c>
      <c r="S1556" s="9">
        <v>0</v>
      </c>
      <c r="T1556" s="9">
        <v>1</v>
      </c>
      <c r="U1556" s="9">
        <v>0</v>
      </c>
      <c r="V1556" s="9">
        <v>0</v>
      </c>
      <c r="W1556" s="9">
        <v>0</v>
      </c>
      <c r="X1556" s="9">
        <v>1</v>
      </c>
      <c r="AE1556" s="9">
        <f>IFERROR(VLOOKUP($A1556,pivot!$A:$G,計算式2026!AE$1,FALSE),0)</f>
        <v>0</v>
      </c>
      <c r="AF1556" s="9">
        <f>IFERROR(VLOOKUP($A1556,pivot!$A:$I,計算式2026!AF$1,FALSE),0)</f>
        <v>0</v>
      </c>
      <c r="AI1556" s="9">
        <f>IFERROR(VLOOKUP($A1556,pivot!$A:$I,計算式2026!AI$1,FALSE),0)</f>
        <v>0</v>
      </c>
      <c r="AJ1556" s="9">
        <f>IFERROR(VLOOKUP($A1556,pivot!$A:$I,計算式2026!AJ$1,FALSE),0)</f>
        <v>0</v>
      </c>
      <c r="AK1556" s="9">
        <f>IFERROR(VLOOKUP($A1556,pivot!$A:$I,計算式2026!AK$1,FALSE),0)</f>
        <v>0</v>
      </c>
      <c r="AL1556" s="9">
        <f>IFERROR(VLOOKUP($A1556,pivot!$A:$I,計算式2026!AL$1,FALSE),0)</f>
        <v>0</v>
      </c>
      <c r="AR1556" s="8"/>
      <c r="AS1556" s="8"/>
      <c r="AT1556" s="8"/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8"/>
      <c r="BG1556" s="8"/>
    </row>
    <row r="1557" spans="1:59" s="9" customFormat="1">
      <c r="A1557" s="8" t="s">
        <v>939</v>
      </c>
      <c r="B1557" s="8" t="s">
        <v>933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1</v>
      </c>
      <c r="AE1557" s="9">
        <f>IFERROR(VLOOKUP($A1557,pivot!$A:$G,計算式2026!AE$1,FALSE),0)</f>
        <v>0</v>
      </c>
      <c r="AF1557" s="9">
        <f>IFERROR(VLOOKUP($A1557,pivot!$A:$I,計算式2026!AF$1,FALSE),0)</f>
        <v>0</v>
      </c>
      <c r="AI1557" s="9">
        <f>IFERROR(VLOOKUP($A1557,pivot!$A:$I,計算式2026!AI$1,FALSE),0)</f>
        <v>0</v>
      </c>
      <c r="AJ1557" s="9">
        <f>IFERROR(VLOOKUP($A1557,pivot!$A:$I,計算式2026!AJ$1,FALSE),0)</f>
        <v>0</v>
      </c>
      <c r="AK1557" s="9">
        <f>IFERROR(VLOOKUP($A1557,pivot!$A:$I,計算式2026!AK$1,FALSE),0)</f>
        <v>0</v>
      </c>
      <c r="AL1557" s="9">
        <f>IFERROR(VLOOKUP($A1557,pivot!$A:$I,計算式2026!AL$1,FALSE),0)</f>
        <v>0</v>
      </c>
      <c r="AR1557" s="8"/>
      <c r="AS1557" s="8"/>
      <c r="AT1557" s="8"/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8"/>
      <c r="BG1557" s="8"/>
    </row>
    <row r="1558" spans="1:59" s="9" customFormat="1">
      <c r="A1558" s="8" t="s">
        <v>940</v>
      </c>
      <c r="B1558" s="8" t="s">
        <v>941</v>
      </c>
      <c r="C1558" s="9">
        <v>0</v>
      </c>
      <c r="D1558" s="9">
        <v>0</v>
      </c>
      <c r="E1558" s="9">
        <v>0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R1558" s="9">
        <v>0</v>
      </c>
      <c r="S1558" s="9">
        <v>0</v>
      </c>
      <c r="T1558" s="9">
        <v>1</v>
      </c>
      <c r="U1558" s="9">
        <v>0</v>
      </c>
      <c r="V1558" s="9">
        <v>0</v>
      </c>
      <c r="W1558" s="9">
        <v>0</v>
      </c>
      <c r="X1558" s="9">
        <v>1</v>
      </c>
      <c r="AE1558" s="9">
        <f>IFERROR(VLOOKUP($A1558,pivot!$A:$G,計算式2026!AE$1,FALSE),0)</f>
        <v>0</v>
      </c>
      <c r="AF1558" s="9">
        <f>IFERROR(VLOOKUP($A1558,pivot!$A:$I,計算式2026!AF$1,FALSE),0)</f>
        <v>0</v>
      </c>
      <c r="AI1558" s="9">
        <f>IFERROR(VLOOKUP($A1558,pivot!$A:$I,計算式2026!AI$1,FALSE),0)</f>
        <v>0</v>
      </c>
      <c r="AJ1558" s="9">
        <f>IFERROR(VLOOKUP($A1558,pivot!$A:$I,計算式2026!AJ$1,FALSE),0)</f>
        <v>0</v>
      </c>
      <c r="AK1558" s="9">
        <f>IFERROR(VLOOKUP($A1558,pivot!$A:$I,計算式2026!AK$1,FALSE),0)</f>
        <v>0</v>
      </c>
      <c r="AL1558" s="9">
        <f>IFERROR(VLOOKUP($A1558,pivot!$A:$I,計算式2026!AL$1,FALSE),0)</f>
        <v>0</v>
      </c>
      <c r="AR1558" s="8"/>
      <c r="AS1558" s="8"/>
      <c r="AT1558" s="8"/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8"/>
      <c r="BG1558" s="8"/>
    </row>
    <row r="1559" spans="1:59" s="9" customFormat="1">
      <c r="A1559" s="8" t="s">
        <v>942</v>
      </c>
      <c r="B1559" s="8" t="s">
        <v>941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R1559" s="9">
        <v>0</v>
      </c>
      <c r="S1559" s="9">
        <v>0</v>
      </c>
      <c r="T1559" s="9">
        <v>2</v>
      </c>
      <c r="U1559" s="9">
        <v>2</v>
      </c>
      <c r="V1559" s="9">
        <v>1</v>
      </c>
      <c r="W1559" s="9">
        <v>0</v>
      </c>
      <c r="X1559" s="9">
        <v>1</v>
      </c>
      <c r="AE1559" s="9">
        <f>IFERROR(VLOOKUP($A1559,pivot!$A:$G,計算式2026!AE$1,FALSE),0)</f>
        <v>0</v>
      </c>
      <c r="AF1559" s="9">
        <f>IFERROR(VLOOKUP($A1559,pivot!$A:$I,計算式2026!AF$1,FALSE),0)</f>
        <v>0</v>
      </c>
      <c r="AI1559" s="9">
        <f>IFERROR(VLOOKUP($A1559,pivot!$A:$I,計算式2026!AI$1,FALSE),0)</f>
        <v>0</v>
      </c>
      <c r="AJ1559" s="9">
        <f>IFERROR(VLOOKUP($A1559,pivot!$A:$I,計算式2026!AJ$1,FALSE),0)</f>
        <v>0</v>
      </c>
      <c r="AK1559" s="9">
        <f>IFERROR(VLOOKUP($A1559,pivot!$A:$I,計算式2026!AK$1,FALSE),0)</f>
        <v>0</v>
      </c>
      <c r="AL1559" s="9">
        <f>IFERROR(VLOOKUP($A1559,pivot!$A:$I,計算式2026!AL$1,FALSE),0)</f>
        <v>0</v>
      </c>
      <c r="AR1559" s="8"/>
      <c r="AS1559" s="8"/>
      <c r="AT1559" s="8"/>
      <c r="AU1559" s="8"/>
      <c r="AV1559" s="8"/>
      <c r="AW1559" s="8"/>
      <c r="AX1559" s="8"/>
      <c r="AY1559" s="8"/>
      <c r="AZ1559" s="8"/>
      <c r="BA1559" s="8"/>
      <c r="BB1559" s="8"/>
      <c r="BC1559" s="8"/>
      <c r="BD1559" s="8"/>
      <c r="BE1559" s="8"/>
      <c r="BF1559" s="8"/>
      <c r="BG1559" s="8"/>
    </row>
    <row r="1560" spans="1:59" s="9" customFormat="1">
      <c r="A1560" s="8" t="s">
        <v>943</v>
      </c>
      <c r="B1560" s="8" t="s">
        <v>941</v>
      </c>
      <c r="C1560" s="9">
        <v>0</v>
      </c>
      <c r="D1560" s="9">
        <v>0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R1560" s="9">
        <v>0</v>
      </c>
      <c r="S1560" s="9">
        <v>0</v>
      </c>
      <c r="T1560" s="9">
        <v>1</v>
      </c>
      <c r="U1560" s="9">
        <v>0</v>
      </c>
      <c r="V1560" s="9">
        <v>0</v>
      </c>
      <c r="W1560" s="9">
        <v>0</v>
      </c>
      <c r="X1560" s="9">
        <v>1</v>
      </c>
      <c r="AE1560" s="9">
        <f>IFERROR(VLOOKUP($A1560,pivot!$A:$G,計算式2026!AE$1,FALSE),0)</f>
        <v>0</v>
      </c>
      <c r="AF1560" s="9">
        <f>IFERROR(VLOOKUP($A1560,pivot!$A:$I,計算式2026!AF$1,FALSE),0)</f>
        <v>0</v>
      </c>
      <c r="AI1560" s="9">
        <f>IFERROR(VLOOKUP($A1560,pivot!$A:$I,計算式2026!AI$1,FALSE),0)</f>
        <v>0</v>
      </c>
      <c r="AJ1560" s="9">
        <f>IFERROR(VLOOKUP($A1560,pivot!$A:$I,計算式2026!AJ$1,FALSE),0)</f>
        <v>0</v>
      </c>
      <c r="AK1560" s="9">
        <f>IFERROR(VLOOKUP($A1560,pivot!$A:$I,計算式2026!AK$1,FALSE),0)</f>
        <v>0</v>
      </c>
      <c r="AL1560" s="9">
        <f>IFERROR(VLOOKUP($A1560,pivot!$A:$I,計算式2026!AL$1,FALSE),0)</f>
        <v>0</v>
      </c>
      <c r="AR1560" s="8"/>
      <c r="AS1560" s="8"/>
      <c r="AT1560" s="8"/>
      <c r="AU1560" s="8"/>
      <c r="AV1560" s="8"/>
      <c r="AW1560" s="8"/>
      <c r="AX1560" s="8"/>
      <c r="AY1560" s="8"/>
      <c r="AZ1560" s="8"/>
      <c r="BA1560" s="8"/>
      <c r="BB1560" s="8"/>
      <c r="BC1560" s="8"/>
      <c r="BD1560" s="8"/>
      <c r="BE1560" s="8"/>
      <c r="BF1560" s="8"/>
      <c r="BG1560" s="8"/>
    </row>
    <row r="1561" spans="1:59" s="9" customFormat="1">
      <c r="A1561" s="8" t="s">
        <v>944</v>
      </c>
      <c r="B1561" s="8" t="s">
        <v>941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1</v>
      </c>
      <c r="AE1561" s="9">
        <f>IFERROR(VLOOKUP($A1561,pivot!$A:$G,計算式2026!AE$1,FALSE),0)</f>
        <v>0</v>
      </c>
      <c r="AF1561" s="9">
        <f>IFERROR(VLOOKUP($A1561,pivot!$A:$I,計算式2026!AF$1,FALSE),0)</f>
        <v>0</v>
      </c>
      <c r="AI1561" s="9">
        <f>IFERROR(VLOOKUP($A1561,pivot!$A:$I,計算式2026!AI$1,FALSE),0)</f>
        <v>0</v>
      </c>
      <c r="AJ1561" s="9">
        <f>IFERROR(VLOOKUP($A1561,pivot!$A:$I,計算式2026!AJ$1,FALSE),0)</f>
        <v>0</v>
      </c>
      <c r="AK1561" s="9">
        <f>IFERROR(VLOOKUP($A1561,pivot!$A:$I,計算式2026!AK$1,FALSE),0)</f>
        <v>0</v>
      </c>
      <c r="AL1561" s="9">
        <f>IFERROR(VLOOKUP($A1561,pivot!$A:$I,計算式2026!AL$1,FALSE),0)</f>
        <v>0</v>
      </c>
      <c r="AR1561" s="8"/>
      <c r="AS1561" s="8"/>
      <c r="AT1561" s="8"/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8"/>
      <c r="BG1561" s="8"/>
    </row>
    <row r="1562" spans="1:59" s="9" customFormat="1">
      <c r="A1562" s="8" t="s">
        <v>945</v>
      </c>
      <c r="B1562" s="8" t="s">
        <v>941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R1562" s="9">
        <v>0</v>
      </c>
      <c r="S1562" s="9">
        <v>0</v>
      </c>
      <c r="T1562" s="9">
        <v>1</v>
      </c>
      <c r="U1562" s="9">
        <v>0</v>
      </c>
      <c r="V1562" s="9">
        <v>1</v>
      </c>
      <c r="W1562" s="9">
        <v>0</v>
      </c>
      <c r="X1562" s="9">
        <v>1</v>
      </c>
      <c r="AE1562" s="9">
        <f>IFERROR(VLOOKUP($A1562,pivot!$A:$G,計算式2026!AE$1,FALSE),0)</f>
        <v>0</v>
      </c>
      <c r="AF1562" s="9">
        <f>IFERROR(VLOOKUP($A1562,pivot!$A:$I,計算式2026!AF$1,FALSE),0)</f>
        <v>0</v>
      </c>
      <c r="AI1562" s="9">
        <f>IFERROR(VLOOKUP($A1562,pivot!$A:$I,計算式2026!AI$1,FALSE),0)</f>
        <v>0</v>
      </c>
      <c r="AJ1562" s="9">
        <f>IFERROR(VLOOKUP($A1562,pivot!$A:$I,計算式2026!AJ$1,FALSE),0)</f>
        <v>0</v>
      </c>
      <c r="AK1562" s="9">
        <f>IFERROR(VLOOKUP($A1562,pivot!$A:$I,計算式2026!AK$1,FALSE),0)</f>
        <v>0</v>
      </c>
      <c r="AL1562" s="9">
        <f>IFERROR(VLOOKUP($A1562,pivot!$A:$I,計算式2026!AL$1,FALSE),0)</f>
        <v>0</v>
      </c>
      <c r="AR1562" s="8"/>
      <c r="AS1562" s="8"/>
      <c r="AT1562" s="8"/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8"/>
      <c r="BG1562" s="8"/>
    </row>
    <row r="1563" spans="1:59" s="9" customFormat="1">
      <c r="A1563" s="8" t="s">
        <v>946</v>
      </c>
      <c r="B1563" s="8" t="s">
        <v>941</v>
      </c>
      <c r="C1563" s="9">
        <v>0</v>
      </c>
      <c r="D1563" s="9">
        <v>0</v>
      </c>
      <c r="E1563" s="9">
        <v>0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R1563" s="9">
        <v>0</v>
      </c>
      <c r="S1563" s="9">
        <v>0</v>
      </c>
      <c r="T1563" s="9">
        <v>1</v>
      </c>
      <c r="U1563" s="9">
        <v>0</v>
      </c>
      <c r="V1563" s="9">
        <v>0</v>
      </c>
      <c r="W1563" s="9">
        <v>0</v>
      </c>
      <c r="X1563" s="9">
        <v>1</v>
      </c>
      <c r="AE1563" s="9">
        <f>IFERROR(VLOOKUP($A1563,pivot!$A:$G,計算式2026!AE$1,FALSE),0)</f>
        <v>0</v>
      </c>
      <c r="AF1563" s="9">
        <f>IFERROR(VLOOKUP($A1563,pivot!$A:$I,計算式2026!AF$1,FALSE),0)</f>
        <v>0</v>
      </c>
      <c r="AI1563" s="9">
        <f>IFERROR(VLOOKUP($A1563,pivot!$A:$I,計算式2026!AI$1,FALSE),0)</f>
        <v>0</v>
      </c>
      <c r="AJ1563" s="9">
        <f>IFERROR(VLOOKUP($A1563,pivot!$A:$I,計算式2026!AJ$1,FALSE),0)</f>
        <v>0</v>
      </c>
      <c r="AK1563" s="9">
        <f>IFERROR(VLOOKUP($A1563,pivot!$A:$I,計算式2026!AK$1,FALSE),0)</f>
        <v>0</v>
      </c>
      <c r="AL1563" s="9">
        <f>IFERROR(VLOOKUP($A1563,pivot!$A:$I,計算式2026!AL$1,FALSE),0)</f>
        <v>0</v>
      </c>
      <c r="AR1563" s="8"/>
      <c r="AS1563" s="8"/>
      <c r="AT1563" s="8"/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8"/>
      <c r="BG1563" s="8"/>
    </row>
    <row r="1564" spans="1:59" s="9" customFormat="1">
      <c r="A1564" s="8" t="s">
        <v>947</v>
      </c>
      <c r="B1564" s="8" t="s">
        <v>941</v>
      </c>
      <c r="C1564" s="9">
        <v>0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1</v>
      </c>
      <c r="AE1564" s="9">
        <f>IFERROR(VLOOKUP($A1564,pivot!$A:$G,計算式2026!AE$1,FALSE),0)</f>
        <v>0</v>
      </c>
      <c r="AF1564" s="9">
        <f>IFERROR(VLOOKUP($A1564,pivot!$A:$I,計算式2026!AF$1,FALSE),0)</f>
        <v>0</v>
      </c>
      <c r="AI1564" s="9">
        <f>IFERROR(VLOOKUP($A1564,pivot!$A:$I,計算式2026!AI$1,FALSE),0)</f>
        <v>0</v>
      </c>
      <c r="AJ1564" s="9">
        <f>IFERROR(VLOOKUP($A1564,pivot!$A:$I,計算式2026!AJ$1,FALSE),0)</f>
        <v>0</v>
      </c>
      <c r="AK1564" s="9">
        <f>IFERROR(VLOOKUP($A1564,pivot!$A:$I,計算式2026!AK$1,FALSE),0)</f>
        <v>0</v>
      </c>
      <c r="AL1564" s="9">
        <f>IFERROR(VLOOKUP($A1564,pivot!$A:$I,計算式2026!AL$1,FALSE),0)</f>
        <v>0</v>
      </c>
      <c r="AR1564" s="8"/>
      <c r="AS1564" s="8"/>
      <c r="AT1564" s="8"/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8"/>
      <c r="BG1564" s="8"/>
    </row>
    <row r="1565" spans="1:59" s="9" customFormat="1">
      <c r="A1565" s="8" t="s">
        <v>948</v>
      </c>
      <c r="B1565" s="8" t="s">
        <v>941</v>
      </c>
      <c r="C1565" s="9">
        <v>0</v>
      </c>
      <c r="D1565" s="9">
        <v>0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R1565" s="9">
        <v>0</v>
      </c>
      <c r="S1565" s="9">
        <v>0</v>
      </c>
      <c r="T1565" s="9">
        <v>2</v>
      </c>
      <c r="U1565" s="9">
        <v>2</v>
      </c>
      <c r="V1565" s="9">
        <v>0</v>
      </c>
      <c r="W1565" s="9">
        <v>0</v>
      </c>
      <c r="X1565" s="9">
        <v>1</v>
      </c>
      <c r="AE1565" s="9">
        <f>IFERROR(VLOOKUP($A1565,pivot!$A:$G,計算式2026!AE$1,FALSE),0)</f>
        <v>0</v>
      </c>
      <c r="AF1565" s="9">
        <f>IFERROR(VLOOKUP($A1565,pivot!$A:$I,計算式2026!AF$1,FALSE),0)</f>
        <v>0</v>
      </c>
      <c r="AI1565" s="9">
        <f>IFERROR(VLOOKUP($A1565,pivot!$A:$I,計算式2026!AI$1,FALSE),0)</f>
        <v>0</v>
      </c>
      <c r="AJ1565" s="9">
        <f>IFERROR(VLOOKUP($A1565,pivot!$A:$I,計算式2026!AJ$1,FALSE),0)</f>
        <v>0</v>
      </c>
      <c r="AK1565" s="9">
        <f>IFERROR(VLOOKUP($A1565,pivot!$A:$I,計算式2026!AK$1,FALSE),0)</f>
        <v>0</v>
      </c>
      <c r="AL1565" s="9">
        <f>IFERROR(VLOOKUP($A1565,pivot!$A:$I,計算式2026!AL$1,FALSE),0)</f>
        <v>0</v>
      </c>
      <c r="AR1565" s="8"/>
      <c r="AS1565" s="8"/>
      <c r="AT1565" s="8"/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8"/>
      <c r="BG1565" s="8"/>
    </row>
    <row r="1566" spans="1:59" s="9" customFormat="1">
      <c r="A1566" s="8" t="s">
        <v>949</v>
      </c>
      <c r="B1566" s="8" t="s">
        <v>941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R1566" s="9">
        <v>0</v>
      </c>
      <c r="S1566" s="9">
        <v>0</v>
      </c>
      <c r="T1566" s="9">
        <v>1</v>
      </c>
      <c r="U1566" s="9">
        <v>0</v>
      </c>
      <c r="V1566" s="9">
        <v>0</v>
      </c>
      <c r="W1566" s="9">
        <v>0</v>
      </c>
      <c r="X1566" s="9">
        <v>1</v>
      </c>
      <c r="AE1566" s="9">
        <f>IFERROR(VLOOKUP($A1566,pivot!$A:$G,計算式2026!AE$1,FALSE),0)</f>
        <v>0</v>
      </c>
      <c r="AF1566" s="9">
        <f>IFERROR(VLOOKUP($A1566,pivot!$A:$I,計算式2026!AF$1,FALSE),0)</f>
        <v>0</v>
      </c>
      <c r="AI1566" s="9">
        <f>IFERROR(VLOOKUP($A1566,pivot!$A:$I,計算式2026!AI$1,FALSE),0)</f>
        <v>0</v>
      </c>
      <c r="AJ1566" s="9">
        <f>IFERROR(VLOOKUP($A1566,pivot!$A:$I,計算式2026!AJ$1,FALSE),0)</f>
        <v>0</v>
      </c>
      <c r="AK1566" s="9">
        <f>IFERROR(VLOOKUP($A1566,pivot!$A:$I,計算式2026!AK$1,FALSE),0)</f>
        <v>0</v>
      </c>
      <c r="AL1566" s="9">
        <f>IFERROR(VLOOKUP($A1566,pivot!$A:$I,計算式2026!AL$1,FALSE),0)</f>
        <v>0</v>
      </c>
      <c r="AR1566" s="8"/>
      <c r="AS1566" s="8"/>
      <c r="AT1566" s="8"/>
      <c r="AU1566" s="8"/>
      <c r="AV1566" s="8"/>
      <c r="AW1566" s="8"/>
      <c r="AX1566" s="8"/>
      <c r="AY1566" s="8"/>
      <c r="AZ1566" s="8"/>
      <c r="BA1566" s="8"/>
      <c r="BB1566" s="8"/>
      <c r="BC1566" s="8"/>
      <c r="BD1566" s="8"/>
      <c r="BE1566" s="8"/>
      <c r="BF1566" s="8"/>
      <c r="BG1566" s="8"/>
    </row>
    <row r="1567" spans="1:59" s="9" customFormat="1">
      <c r="A1567" s="8" t="s">
        <v>950</v>
      </c>
      <c r="B1567" s="8" t="s">
        <v>951</v>
      </c>
      <c r="C1567" s="9">
        <v>0</v>
      </c>
      <c r="D1567" s="9">
        <v>0</v>
      </c>
      <c r="E1567" s="9">
        <v>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R1567" s="9">
        <v>0</v>
      </c>
      <c r="S1567" s="9">
        <v>0</v>
      </c>
      <c r="T1567" s="9">
        <v>1</v>
      </c>
      <c r="U1567" s="9">
        <v>0</v>
      </c>
      <c r="V1567" s="9">
        <v>1</v>
      </c>
      <c r="W1567" s="9">
        <v>0</v>
      </c>
      <c r="X1567" s="9">
        <v>0</v>
      </c>
      <c r="AE1567" s="9">
        <f>IFERROR(VLOOKUP($A1567,pivot!$A:$G,計算式2026!AE$1,FALSE),0)</f>
        <v>0</v>
      </c>
      <c r="AF1567" s="9">
        <f>IFERROR(VLOOKUP($A1567,pivot!$A:$I,計算式2026!AF$1,FALSE),0)</f>
        <v>0</v>
      </c>
      <c r="AI1567" s="9">
        <f>IFERROR(VLOOKUP($A1567,pivot!$A:$I,計算式2026!AI$1,FALSE),0)</f>
        <v>0</v>
      </c>
      <c r="AJ1567" s="9">
        <f>IFERROR(VLOOKUP($A1567,pivot!$A:$I,計算式2026!AJ$1,FALSE),0)</f>
        <v>0</v>
      </c>
      <c r="AK1567" s="9">
        <f>IFERROR(VLOOKUP($A1567,pivot!$A:$I,計算式2026!AK$1,FALSE),0)</f>
        <v>0</v>
      </c>
      <c r="AL1567" s="9">
        <f>IFERROR(VLOOKUP($A1567,pivot!$A:$I,計算式2026!AL$1,FALSE),0)</f>
        <v>0</v>
      </c>
      <c r="AR1567" s="8"/>
      <c r="AS1567" s="8"/>
      <c r="AT1567" s="8"/>
      <c r="AU1567" s="8"/>
      <c r="AV1567" s="8"/>
      <c r="AW1567" s="8"/>
      <c r="AX1567" s="8"/>
      <c r="AY1567" s="8"/>
      <c r="AZ1567" s="8"/>
      <c r="BA1567" s="8"/>
      <c r="BB1567" s="8"/>
      <c r="BC1567" s="8"/>
      <c r="BD1567" s="8"/>
      <c r="BE1567" s="8"/>
      <c r="BF1567" s="8"/>
      <c r="BG1567" s="8"/>
    </row>
    <row r="1568" spans="1:59" s="9" customFormat="1">
      <c r="A1568" s="8" t="s">
        <v>952</v>
      </c>
      <c r="B1568" s="8" t="s">
        <v>951</v>
      </c>
      <c r="C1568" s="9">
        <v>0</v>
      </c>
      <c r="D1568" s="9">
        <v>0</v>
      </c>
      <c r="E1568" s="9">
        <v>0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R1568" s="9">
        <v>0</v>
      </c>
      <c r="S1568" s="9">
        <v>0</v>
      </c>
      <c r="T1568" s="9">
        <v>1</v>
      </c>
      <c r="U1568" s="9">
        <v>0</v>
      </c>
      <c r="V1568" s="9">
        <v>0</v>
      </c>
      <c r="W1568" s="9">
        <v>0</v>
      </c>
      <c r="X1568" s="9">
        <v>0</v>
      </c>
      <c r="AE1568" s="9">
        <f>IFERROR(VLOOKUP($A1568,pivot!$A:$G,計算式2026!AE$1,FALSE),0)</f>
        <v>0</v>
      </c>
      <c r="AF1568" s="9">
        <f>IFERROR(VLOOKUP($A1568,pivot!$A:$I,計算式2026!AF$1,FALSE),0)</f>
        <v>0</v>
      </c>
      <c r="AI1568" s="9">
        <f>IFERROR(VLOOKUP($A1568,pivot!$A:$I,計算式2026!AI$1,FALSE),0)</f>
        <v>0</v>
      </c>
      <c r="AJ1568" s="9">
        <f>IFERROR(VLOOKUP($A1568,pivot!$A:$I,計算式2026!AJ$1,FALSE),0)</f>
        <v>0</v>
      </c>
      <c r="AK1568" s="9">
        <f>IFERROR(VLOOKUP($A1568,pivot!$A:$I,計算式2026!AK$1,FALSE),0)</f>
        <v>0</v>
      </c>
      <c r="AL1568" s="9">
        <f>IFERROR(VLOOKUP($A1568,pivot!$A:$I,計算式2026!AL$1,FALSE),0)</f>
        <v>0</v>
      </c>
      <c r="AR1568" s="8"/>
      <c r="AS1568" s="8"/>
      <c r="AT1568" s="8"/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8"/>
      <c r="BG1568" s="8"/>
    </row>
    <row r="1569" spans="1:59" s="9" customFormat="1">
      <c r="A1569" s="8" t="s">
        <v>953</v>
      </c>
      <c r="B1569" s="8" t="s">
        <v>951</v>
      </c>
      <c r="C1569" s="9">
        <v>0</v>
      </c>
      <c r="D1569" s="9">
        <v>0</v>
      </c>
      <c r="E1569" s="9">
        <v>0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R1569" s="9">
        <v>0</v>
      </c>
      <c r="S1569" s="9">
        <v>0</v>
      </c>
      <c r="T1569" s="9">
        <v>1</v>
      </c>
      <c r="U1569" s="9">
        <v>0</v>
      </c>
      <c r="V1569" s="9">
        <v>1</v>
      </c>
      <c r="W1569" s="9">
        <v>0</v>
      </c>
      <c r="X1569" s="9">
        <v>0</v>
      </c>
      <c r="AE1569" s="9">
        <f>IFERROR(VLOOKUP($A1569,pivot!$A:$G,計算式2026!AE$1,FALSE),0)</f>
        <v>0</v>
      </c>
      <c r="AF1569" s="9">
        <f>IFERROR(VLOOKUP($A1569,pivot!$A:$I,計算式2026!AF$1,FALSE),0)</f>
        <v>0</v>
      </c>
      <c r="AI1569" s="9">
        <f>IFERROR(VLOOKUP($A1569,pivot!$A:$I,計算式2026!AI$1,FALSE),0)</f>
        <v>0</v>
      </c>
      <c r="AJ1569" s="9">
        <f>IFERROR(VLOOKUP($A1569,pivot!$A:$I,計算式2026!AJ$1,FALSE),0)</f>
        <v>0</v>
      </c>
      <c r="AK1569" s="9">
        <f>IFERROR(VLOOKUP($A1569,pivot!$A:$I,計算式2026!AK$1,FALSE),0)</f>
        <v>0</v>
      </c>
      <c r="AL1569" s="9">
        <f>IFERROR(VLOOKUP($A1569,pivot!$A:$I,計算式2026!AL$1,FALSE),0)</f>
        <v>0</v>
      </c>
      <c r="AR1569" s="8"/>
      <c r="AS1569" s="8"/>
      <c r="AT1569" s="8"/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8"/>
      <c r="BG1569" s="8"/>
    </row>
    <row r="1570" spans="1:59" s="9" customFormat="1">
      <c r="A1570" s="8" t="s">
        <v>954</v>
      </c>
      <c r="B1570" s="8" t="s">
        <v>951</v>
      </c>
      <c r="C1570" s="9">
        <v>0</v>
      </c>
      <c r="D1570" s="9">
        <v>0</v>
      </c>
      <c r="E1570" s="9">
        <v>0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R1570" s="9">
        <v>0</v>
      </c>
      <c r="S1570" s="9">
        <v>0</v>
      </c>
      <c r="T1570" s="9">
        <v>0</v>
      </c>
      <c r="U1570" s="9">
        <v>1</v>
      </c>
      <c r="V1570" s="9">
        <v>2</v>
      </c>
      <c r="W1570" s="9">
        <v>0</v>
      </c>
      <c r="X1570" s="9">
        <v>0</v>
      </c>
      <c r="AE1570" s="9">
        <f>IFERROR(VLOOKUP($A1570,pivot!$A:$G,計算式2026!AE$1,FALSE),0)</f>
        <v>0</v>
      </c>
      <c r="AF1570" s="9">
        <f>IFERROR(VLOOKUP($A1570,pivot!$A:$I,計算式2026!AF$1,FALSE),0)</f>
        <v>0</v>
      </c>
      <c r="AI1570" s="9">
        <f>IFERROR(VLOOKUP($A1570,pivot!$A:$I,計算式2026!AI$1,FALSE),0)</f>
        <v>0</v>
      </c>
      <c r="AJ1570" s="9">
        <f>IFERROR(VLOOKUP($A1570,pivot!$A:$I,計算式2026!AJ$1,FALSE),0)</f>
        <v>0</v>
      </c>
      <c r="AK1570" s="9">
        <f>IFERROR(VLOOKUP($A1570,pivot!$A:$I,計算式2026!AK$1,FALSE),0)</f>
        <v>0</v>
      </c>
      <c r="AL1570" s="9">
        <f>IFERROR(VLOOKUP($A1570,pivot!$A:$I,計算式2026!AL$1,FALSE),0)</f>
        <v>0</v>
      </c>
      <c r="AR1570" s="8"/>
      <c r="AS1570" s="8"/>
      <c r="AT1570" s="8"/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8"/>
      <c r="BG1570" s="8"/>
    </row>
    <row r="1571" spans="1:59" s="9" customFormat="1">
      <c r="A1571" s="8" t="s">
        <v>955</v>
      </c>
      <c r="B1571" s="8" t="s">
        <v>951</v>
      </c>
      <c r="C1571" s="9">
        <v>0</v>
      </c>
      <c r="D1571" s="9">
        <v>0</v>
      </c>
      <c r="E1571" s="9">
        <v>0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R1571" s="9">
        <v>0</v>
      </c>
      <c r="S1571" s="9">
        <v>1</v>
      </c>
      <c r="T1571" s="9">
        <v>1</v>
      </c>
      <c r="U1571" s="9">
        <v>1</v>
      </c>
      <c r="V1571" s="9">
        <v>2</v>
      </c>
      <c r="W1571" s="9">
        <v>0</v>
      </c>
      <c r="X1571" s="9">
        <v>0</v>
      </c>
      <c r="AE1571" s="9">
        <f>IFERROR(VLOOKUP($A1571,pivot!$A:$G,計算式2026!AE$1,FALSE),0)</f>
        <v>0</v>
      </c>
      <c r="AF1571" s="9">
        <f>IFERROR(VLOOKUP($A1571,pivot!$A:$I,計算式2026!AF$1,FALSE),0)</f>
        <v>0</v>
      </c>
      <c r="AI1571" s="9">
        <f>IFERROR(VLOOKUP($A1571,pivot!$A:$I,計算式2026!AI$1,FALSE),0)</f>
        <v>0</v>
      </c>
      <c r="AJ1571" s="9">
        <f>IFERROR(VLOOKUP($A1571,pivot!$A:$I,計算式2026!AJ$1,FALSE),0)</f>
        <v>0</v>
      </c>
      <c r="AK1571" s="9">
        <f>IFERROR(VLOOKUP($A1571,pivot!$A:$I,計算式2026!AK$1,FALSE),0)</f>
        <v>0</v>
      </c>
      <c r="AL1571" s="9">
        <f>IFERROR(VLOOKUP($A1571,pivot!$A:$I,計算式2026!AL$1,FALSE),0)</f>
        <v>0</v>
      </c>
      <c r="AR1571" s="8"/>
      <c r="AS1571" s="8"/>
      <c r="AT1571" s="8"/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8"/>
      <c r="BG1571" s="8"/>
    </row>
    <row r="1572" spans="1:59" s="9" customFormat="1">
      <c r="A1572" s="8" t="s">
        <v>956</v>
      </c>
      <c r="B1572" s="8" t="s">
        <v>951</v>
      </c>
      <c r="C1572" s="9">
        <v>0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1</v>
      </c>
      <c r="W1572" s="9">
        <v>0</v>
      </c>
      <c r="X1572" s="9">
        <v>0</v>
      </c>
      <c r="AE1572" s="9">
        <f>IFERROR(VLOOKUP($A1572,pivot!$A:$G,計算式2026!AE$1,FALSE),0)</f>
        <v>0</v>
      </c>
      <c r="AF1572" s="9">
        <f>IFERROR(VLOOKUP($A1572,pivot!$A:$I,計算式2026!AF$1,FALSE),0)</f>
        <v>0</v>
      </c>
      <c r="AI1572" s="9">
        <f>IFERROR(VLOOKUP($A1572,pivot!$A:$I,計算式2026!AI$1,FALSE),0)</f>
        <v>0</v>
      </c>
      <c r="AJ1572" s="9">
        <f>IFERROR(VLOOKUP($A1572,pivot!$A:$I,計算式2026!AJ$1,FALSE),0)</f>
        <v>0</v>
      </c>
      <c r="AK1572" s="9">
        <f>IFERROR(VLOOKUP($A1572,pivot!$A:$I,計算式2026!AK$1,FALSE),0)</f>
        <v>0</v>
      </c>
      <c r="AL1572" s="9">
        <f>IFERROR(VLOOKUP($A1572,pivot!$A:$I,計算式2026!AL$1,FALSE),0)</f>
        <v>0</v>
      </c>
      <c r="AR1572" s="8"/>
      <c r="AS1572" s="8"/>
      <c r="AT1572" s="8"/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8"/>
      <c r="BG1572" s="8"/>
    </row>
    <row r="1573" spans="1:59" s="9" customFormat="1">
      <c r="A1573" s="8" t="s">
        <v>958</v>
      </c>
      <c r="B1573" s="8" t="s">
        <v>957</v>
      </c>
      <c r="C1573" s="9">
        <v>0</v>
      </c>
      <c r="D1573" s="9">
        <v>0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R1573" s="9">
        <v>0</v>
      </c>
      <c r="S1573" s="9">
        <v>1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AE1573" s="9">
        <f>IFERROR(VLOOKUP($A1573,pivot!$A:$G,計算式2026!AE$1,FALSE),0)</f>
        <v>0</v>
      </c>
      <c r="AF1573" s="9">
        <f>IFERROR(VLOOKUP($A1573,pivot!$A:$I,計算式2026!AF$1,FALSE),0)</f>
        <v>0</v>
      </c>
      <c r="AI1573" s="9">
        <f>IFERROR(VLOOKUP($A1573,pivot!$A:$I,計算式2026!AI$1,FALSE),0)</f>
        <v>0</v>
      </c>
      <c r="AJ1573" s="9">
        <f>IFERROR(VLOOKUP($A1573,pivot!$A:$I,計算式2026!AJ$1,FALSE),0)</f>
        <v>0</v>
      </c>
      <c r="AK1573" s="9">
        <f>IFERROR(VLOOKUP($A1573,pivot!$A:$I,計算式2026!AK$1,FALSE),0)</f>
        <v>0</v>
      </c>
      <c r="AL1573" s="9">
        <f>IFERROR(VLOOKUP($A1573,pivot!$A:$I,計算式2026!AL$1,FALSE),0)</f>
        <v>0</v>
      </c>
      <c r="AR1573" s="8"/>
      <c r="AS1573" s="8"/>
      <c r="AT1573" s="8"/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8"/>
      <c r="BG1573" s="8"/>
    </row>
    <row r="1574" spans="1:59" s="9" customFormat="1">
      <c r="A1574" s="8" t="s">
        <v>959</v>
      </c>
      <c r="B1574" s="8" t="s">
        <v>957</v>
      </c>
      <c r="C1574" s="9">
        <v>0</v>
      </c>
      <c r="D1574" s="9">
        <v>0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R1574" s="9">
        <v>1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AE1574" s="9">
        <f>IFERROR(VLOOKUP($A1574,pivot!$A:$G,計算式2026!AE$1,FALSE),0)</f>
        <v>0</v>
      </c>
      <c r="AF1574" s="9">
        <f>IFERROR(VLOOKUP($A1574,pivot!$A:$I,計算式2026!AF$1,FALSE),0)</f>
        <v>0</v>
      </c>
      <c r="AI1574" s="9">
        <f>IFERROR(VLOOKUP($A1574,pivot!$A:$I,計算式2026!AI$1,FALSE),0)</f>
        <v>0</v>
      </c>
      <c r="AJ1574" s="9">
        <f>IFERROR(VLOOKUP($A1574,pivot!$A:$I,計算式2026!AJ$1,FALSE),0)</f>
        <v>0</v>
      </c>
      <c r="AK1574" s="9">
        <f>IFERROR(VLOOKUP($A1574,pivot!$A:$I,計算式2026!AK$1,FALSE),0)</f>
        <v>0</v>
      </c>
      <c r="AL1574" s="9">
        <f>IFERROR(VLOOKUP($A1574,pivot!$A:$I,計算式2026!AL$1,FALSE),0)</f>
        <v>0</v>
      </c>
      <c r="AR1574" s="8"/>
      <c r="AS1574" s="8"/>
      <c r="AT1574" s="8"/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8"/>
      <c r="BG1574" s="8"/>
    </row>
    <row r="1575" spans="1:59" s="9" customFormat="1">
      <c r="A1575" s="8" t="s">
        <v>961</v>
      </c>
      <c r="B1575" s="8" t="s">
        <v>960</v>
      </c>
      <c r="C1575" s="9">
        <v>2</v>
      </c>
      <c r="D1575" s="9">
        <v>0</v>
      </c>
      <c r="E1575" s="9">
        <v>0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AE1575" s="9">
        <f>IFERROR(VLOOKUP($A1575,pivot!$A:$G,計算式2026!AE$1,FALSE),0)</f>
        <v>0</v>
      </c>
      <c r="AF1575" s="9">
        <f>IFERROR(VLOOKUP($A1575,pivot!$A:$I,計算式2026!AF$1,FALSE),0)</f>
        <v>0</v>
      </c>
      <c r="AI1575" s="9">
        <f>IFERROR(VLOOKUP($A1575,pivot!$A:$I,計算式2026!AI$1,FALSE),0)</f>
        <v>0</v>
      </c>
      <c r="AJ1575" s="9">
        <f>IFERROR(VLOOKUP($A1575,pivot!$A:$I,計算式2026!AJ$1,FALSE),0)</f>
        <v>0</v>
      </c>
      <c r="AK1575" s="9">
        <f>IFERROR(VLOOKUP($A1575,pivot!$A:$I,計算式2026!AK$1,FALSE),0)</f>
        <v>0</v>
      </c>
      <c r="AL1575" s="9">
        <f>IFERROR(VLOOKUP($A1575,pivot!$A:$I,計算式2026!AL$1,FALSE),0)</f>
        <v>0</v>
      </c>
      <c r="AR1575" s="8"/>
      <c r="AS1575" s="8"/>
      <c r="AT1575" s="8"/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8"/>
      <c r="BG1575" s="8"/>
    </row>
    <row r="1576" spans="1:59" s="9" customFormat="1">
      <c r="A1576" s="8" t="s">
        <v>962</v>
      </c>
      <c r="B1576" s="8" t="s">
        <v>960</v>
      </c>
      <c r="C1576" s="9">
        <v>5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AE1576" s="9">
        <f>IFERROR(VLOOKUP($A1576,pivot!$A:$G,計算式2026!AE$1,FALSE),0)</f>
        <v>0</v>
      </c>
      <c r="AF1576" s="9">
        <f>IFERROR(VLOOKUP($A1576,pivot!$A:$I,計算式2026!AF$1,FALSE),0)</f>
        <v>0</v>
      </c>
      <c r="AI1576" s="9">
        <f>IFERROR(VLOOKUP($A1576,pivot!$A:$I,計算式2026!AI$1,FALSE),0)</f>
        <v>0</v>
      </c>
      <c r="AJ1576" s="9">
        <f>IFERROR(VLOOKUP($A1576,pivot!$A:$I,計算式2026!AJ$1,FALSE),0)</f>
        <v>0</v>
      </c>
      <c r="AK1576" s="9">
        <f>IFERROR(VLOOKUP($A1576,pivot!$A:$I,計算式2026!AK$1,FALSE),0)</f>
        <v>0</v>
      </c>
      <c r="AL1576" s="9">
        <f>IFERROR(VLOOKUP($A1576,pivot!$A:$I,計算式2026!AL$1,FALSE),0)</f>
        <v>0</v>
      </c>
      <c r="AR1576" s="8"/>
      <c r="AS1576" s="8"/>
      <c r="AT1576" s="8"/>
      <c r="AU1576" s="8"/>
      <c r="AV1576" s="8"/>
      <c r="AW1576" s="8"/>
      <c r="AX1576" s="8"/>
      <c r="AY1576" s="8"/>
      <c r="AZ1576" s="8"/>
      <c r="BA1576" s="8"/>
      <c r="BB1576" s="8"/>
      <c r="BC1576" s="8"/>
      <c r="BD1576" s="8"/>
      <c r="BE1576" s="8"/>
      <c r="BF1576" s="8"/>
      <c r="BG1576" s="8"/>
    </row>
    <row r="1577" spans="1:59" s="9" customFormat="1">
      <c r="A1577" s="8" t="s">
        <v>963</v>
      </c>
      <c r="B1577" s="8" t="s">
        <v>960</v>
      </c>
      <c r="C1577" s="9">
        <v>5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AE1577" s="9">
        <f>IFERROR(VLOOKUP($A1577,pivot!$A:$G,計算式2026!AE$1,FALSE),0)</f>
        <v>0</v>
      </c>
      <c r="AF1577" s="9">
        <f>IFERROR(VLOOKUP($A1577,pivot!$A:$I,計算式2026!AF$1,FALSE),0)</f>
        <v>0</v>
      </c>
      <c r="AI1577" s="9">
        <f>IFERROR(VLOOKUP($A1577,pivot!$A:$I,計算式2026!AI$1,FALSE),0)</f>
        <v>0</v>
      </c>
      <c r="AJ1577" s="9">
        <f>IFERROR(VLOOKUP($A1577,pivot!$A:$I,計算式2026!AJ$1,FALSE),0)</f>
        <v>0</v>
      </c>
      <c r="AK1577" s="9">
        <f>IFERROR(VLOOKUP($A1577,pivot!$A:$I,計算式2026!AK$1,FALSE),0)</f>
        <v>0</v>
      </c>
      <c r="AL1577" s="9">
        <f>IFERROR(VLOOKUP($A1577,pivot!$A:$I,計算式2026!AL$1,FALSE),0)</f>
        <v>0</v>
      </c>
      <c r="AR1577" s="8"/>
      <c r="AS1577" s="8"/>
      <c r="AT1577" s="8"/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8"/>
      <c r="BG1577" s="8"/>
    </row>
    <row r="1578" spans="1:59" s="9" customFormat="1">
      <c r="A1578" s="8" t="s">
        <v>964</v>
      </c>
      <c r="B1578" s="8" t="s">
        <v>960</v>
      </c>
      <c r="C1578" s="9">
        <v>3</v>
      </c>
      <c r="D1578" s="9">
        <v>0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AE1578" s="9">
        <f>IFERROR(VLOOKUP($A1578,pivot!$A:$G,計算式2026!AE$1,FALSE),0)</f>
        <v>0</v>
      </c>
      <c r="AF1578" s="9">
        <f>IFERROR(VLOOKUP($A1578,pivot!$A:$I,計算式2026!AF$1,FALSE),0)</f>
        <v>0</v>
      </c>
      <c r="AI1578" s="9">
        <f>IFERROR(VLOOKUP($A1578,pivot!$A:$I,計算式2026!AI$1,FALSE),0)</f>
        <v>0</v>
      </c>
      <c r="AJ1578" s="9">
        <f>IFERROR(VLOOKUP($A1578,pivot!$A:$I,計算式2026!AJ$1,FALSE),0)</f>
        <v>0</v>
      </c>
      <c r="AK1578" s="9">
        <f>IFERROR(VLOOKUP($A1578,pivot!$A:$I,計算式2026!AK$1,FALSE),0)</f>
        <v>0</v>
      </c>
      <c r="AL1578" s="9">
        <f>IFERROR(VLOOKUP($A1578,pivot!$A:$I,計算式2026!AL$1,FALSE),0)</f>
        <v>0</v>
      </c>
      <c r="AR1578" s="8"/>
      <c r="AS1578" s="8"/>
      <c r="AT1578" s="8"/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8"/>
      <c r="BG1578" s="8"/>
    </row>
    <row r="1579" spans="1:59" s="9" customFormat="1">
      <c r="A1579" s="8" t="s">
        <v>965</v>
      </c>
      <c r="B1579" s="8" t="s">
        <v>960</v>
      </c>
      <c r="C1579" s="9">
        <v>1</v>
      </c>
      <c r="D1579" s="9">
        <v>0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AE1579" s="9">
        <f>IFERROR(VLOOKUP($A1579,pivot!$A:$G,計算式2026!AE$1,FALSE),0)</f>
        <v>0</v>
      </c>
      <c r="AF1579" s="9">
        <f>IFERROR(VLOOKUP($A1579,pivot!$A:$I,計算式2026!AF$1,FALSE),0)</f>
        <v>0</v>
      </c>
      <c r="AI1579" s="9">
        <f>IFERROR(VLOOKUP($A1579,pivot!$A:$I,計算式2026!AI$1,FALSE),0)</f>
        <v>0</v>
      </c>
      <c r="AJ1579" s="9">
        <f>IFERROR(VLOOKUP($A1579,pivot!$A:$I,計算式2026!AJ$1,FALSE),0)</f>
        <v>0</v>
      </c>
      <c r="AK1579" s="9">
        <f>IFERROR(VLOOKUP($A1579,pivot!$A:$I,計算式2026!AK$1,FALSE),0)</f>
        <v>0</v>
      </c>
      <c r="AL1579" s="9">
        <f>IFERROR(VLOOKUP($A1579,pivot!$A:$I,計算式2026!AL$1,FALSE),0)</f>
        <v>0</v>
      </c>
      <c r="AR1579" s="8"/>
      <c r="AS1579" s="8"/>
      <c r="AT1579" s="8"/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8"/>
      <c r="BG1579" s="8"/>
    </row>
    <row r="1580" spans="1:59" s="9" customFormat="1">
      <c r="A1580" s="8" t="s">
        <v>966</v>
      </c>
      <c r="B1580" s="8" t="s">
        <v>960</v>
      </c>
      <c r="C1580" s="9">
        <v>1</v>
      </c>
      <c r="D1580" s="9">
        <v>0</v>
      </c>
      <c r="E1580" s="9">
        <v>0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AE1580" s="9">
        <f>IFERROR(VLOOKUP($A1580,pivot!$A:$G,計算式2026!AE$1,FALSE),0)</f>
        <v>0</v>
      </c>
      <c r="AF1580" s="9">
        <f>IFERROR(VLOOKUP($A1580,pivot!$A:$I,計算式2026!AF$1,FALSE),0)</f>
        <v>0</v>
      </c>
      <c r="AI1580" s="9">
        <f>IFERROR(VLOOKUP($A1580,pivot!$A:$I,計算式2026!AI$1,FALSE),0)</f>
        <v>0</v>
      </c>
      <c r="AJ1580" s="9">
        <f>IFERROR(VLOOKUP($A1580,pivot!$A:$I,計算式2026!AJ$1,FALSE),0)</f>
        <v>0</v>
      </c>
      <c r="AK1580" s="9">
        <f>IFERROR(VLOOKUP($A1580,pivot!$A:$I,計算式2026!AK$1,FALSE),0)</f>
        <v>0</v>
      </c>
      <c r="AL1580" s="9">
        <f>IFERROR(VLOOKUP($A1580,pivot!$A:$I,計算式2026!AL$1,FALSE),0)</f>
        <v>0</v>
      </c>
      <c r="AR1580" s="8"/>
      <c r="AS1580" s="8"/>
      <c r="AT1580" s="8"/>
      <c r="AU1580" s="8"/>
      <c r="AV1580" s="8"/>
      <c r="AW1580" s="8"/>
      <c r="AX1580" s="8"/>
      <c r="AY1580" s="8"/>
      <c r="AZ1580" s="8"/>
      <c r="BA1580" s="8"/>
      <c r="BB1580" s="8"/>
      <c r="BC1580" s="8"/>
      <c r="BD1580" s="8"/>
      <c r="BE1580" s="8"/>
      <c r="BF1580" s="8"/>
      <c r="BG1580" s="8"/>
    </row>
    <row r="1581" spans="1:59" s="9" customFormat="1">
      <c r="A1581" s="8" t="s">
        <v>967</v>
      </c>
      <c r="B1581" s="8" t="s">
        <v>960</v>
      </c>
      <c r="C1581" s="9">
        <v>1</v>
      </c>
      <c r="D1581" s="9">
        <v>0</v>
      </c>
      <c r="E1581" s="9">
        <v>0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AE1581" s="9">
        <f>IFERROR(VLOOKUP($A1581,pivot!$A:$G,計算式2026!AE$1,FALSE),0)</f>
        <v>0</v>
      </c>
      <c r="AF1581" s="9">
        <f>IFERROR(VLOOKUP($A1581,pivot!$A:$I,計算式2026!AF$1,FALSE),0)</f>
        <v>0</v>
      </c>
      <c r="AI1581" s="9">
        <f>IFERROR(VLOOKUP($A1581,pivot!$A:$I,計算式2026!AI$1,FALSE),0)</f>
        <v>0</v>
      </c>
      <c r="AJ1581" s="9">
        <f>IFERROR(VLOOKUP($A1581,pivot!$A:$I,計算式2026!AJ$1,FALSE),0)</f>
        <v>0</v>
      </c>
      <c r="AK1581" s="9">
        <f>IFERROR(VLOOKUP($A1581,pivot!$A:$I,計算式2026!AK$1,FALSE),0)</f>
        <v>0</v>
      </c>
      <c r="AL1581" s="9">
        <f>IFERROR(VLOOKUP($A1581,pivot!$A:$I,計算式2026!AL$1,FALSE),0)</f>
        <v>0</v>
      </c>
      <c r="AR1581" s="8"/>
      <c r="AS1581" s="8"/>
      <c r="AT1581" s="8"/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8"/>
      <c r="BG1581" s="8"/>
    </row>
    <row r="1582" spans="1:59" s="9" customFormat="1">
      <c r="A1582" s="8" t="s">
        <v>968</v>
      </c>
      <c r="B1582" s="8" t="s">
        <v>960</v>
      </c>
      <c r="C1582" s="9">
        <v>1</v>
      </c>
      <c r="D1582" s="9">
        <v>0</v>
      </c>
      <c r="E1582" s="9">
        <v>0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AE1582" s="9">
        <f>IFERROR(VLOOKUP($A1582,pivot!$A:$G,計算式2026!AE$1,FALSE),0)</f>
        <v>0</v>
      </c>
      <c r="AF1582" s="9">
        <f>IFERROR(VLOOKUP($A1582,pivot!$A:$I,計算式2026!AF$1,FALSE),0)</f>
        <v>0</v>
      </c>
      <c r="AI1582" s="9">
        <f>IFERROR(VLOOKUP($A1582,pivot!$A:$I,計算式2026!AI$1,FALSE),0)</f>
        <v>0</v>
      </c>
      <c r="AJ1582" s="9">
        <f>IFERROR(VLOOKUP($A1582,pivot!$A:$I,計算式2026!AJ$1,FALSE),0)</f>
        <v>0</v>
      </c>
      <c r="AK1582" s="9">
        <f>IFERROR(VLOOKUP($A1582,pivot!$A:$I,計算式2026!AK$1,FALSE),0)</f>
        <v>0</v>
      </c>
      <c r="AL1582" s="9">
        <f>IFERROR(VLOOKUP($A1582,pivot!$A:$I,計算式2026!AL$1,FALSE),0)</f>
        <v>0</v>
      </c>
      <c r="AR1582" s="8"/>
      <c r="AS1582" s="8"/>
      <c r="AT1582" s="8"/>
      <c r="AU1582" s="8"/>
      <c r="AV1582" s="8"/>
      <c r="AW1582" s="8"/>
      <c r="AX1582" s="8"/>
      <c r="AY1582" s="8"/>
      <c r="AZ1582" s="8"/>
      <c r="BA1582" s="8"/>
      <c r="BB1582" s="8"/>
      <c r="BC1582" s="8"/>
      <c r="BD1582" s="8"/>
      <c r="BE1582" s="8"/>
      <c r="BF1582" s="8"/>
      <c r="BG1582" s="8"/>
    </row>
    <row r="1583" spans="1:59" s="9" customFormat="1">
      <c r="A1583" s="8" t="s">
        <v>969</v>
      </c>
      <c r="B1583" s="8" t="s">
        <v>960</v>
      </c>
      <c r="C1583" s="9">
        <v>3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AE1583" s="9">
        <f>IFERROR(VLOOKUP($A1583,pivot!$A:$G,計算式2026!AE$1,FALSE),0)</f>
        <v>0</v>
      </c>
      <c r="AF1583" s="9">
        <f>IFERROR(VLOOKUP($A1583,pivot!$A:$I,計算式2026!AF$1,FALSE),0)</f>
        <v>0</v>
      </c>
      <c r="AI1583" s="9">
        <f>IFERROR(VLOOKUP($A1583,pivot!$A:$I,計算式2026!AI$1,FALSE),0)</f>
        <v>0</v>
      </c>
      <c r="AJ1583" s="9">
        <f>IFERROR(VLOOKUP($A1583,pivot!$A:$I,計算式2026!AJ$1,FALSE),0)</f>
        <v>0</v>
      </c>
      <c r="AK1583" s="9">
        <f>IFERROR(VLOOKUP($A1583,pivot!$A:$I,計算式2026!AK$1,FALSE),0)</f>
        <v>0</v>
      </c>
      <c r="AL1583" s="9">
        <f>IFERROR(VLOOKUP($A1583,pivot!$A:$I,計算式2026!AL$1,FALSE),0)</f>
        <v>0</v>
      </c>
      <c r="AR1583" s="8"/>
      <c r="AS1583" s="8"/>
      <c r="AT1583" s="8"/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8"/>
      <c r="BG1583" s="8"/>
    </row>
    <row r="1584" spans="1:59" s="9" customFormat="1">
      <c r="A1584" s="8" t="s">
        <v>970</v>
      </c>
      <c r="B1584" s="8" t="s">
        <v>960</v>
      </c>
      <c r="C1584" s="9">
        <v>2</v>
      </c>
      <c r="D1584" s="9">
        <v>0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AE1584" s="9">
        <f>IFERROR(VLOOKUP($A1584,pivot!$A:$G,計算式2026!AE$1,FALSE),0)</f>
        <v>0</v>
      </c>
      <c r="AF1584" s="9">
        <f>IFERROR(VLOOKUP($A1584,pivot!$A:$I,計算式2026!AF$1,FALSE),0)</f>
        <v>0</v>
      </c>
      <c r="AI1584" s="9">
        <f>IFERROR(VLOOKUP($A1584,pivot!$A:$I,計算式2026!AI$1,FALSE),0)</f>
        <v>0</v>
      </c>
      <c r="AJ1584" s="9">
        <f>IFERROR(VLOOKUP($A1584,pivot!$A:$I,計算式2026!AJ$1,FALSE),0)</f>
        <v>0</v>
      </c>
      <c r="AK1584" s="9">
        <f>IFERROR(VLOOKUP($A1584,pivot!$A:$I,計算式2026!AK$1,FALSE),0)</f>
        <v>0</v>
      </c>
      <c r="AL1584" s="9">
        <f>IFERROR(VLOOKUP($A1584,pivot!$A:$I,計算式2026!AL$1,FALSE),0)</f>
        <v>0</v>
      </c>
      <c r="AR1584" s="8"/>
      <c r="AS1584" s="8"/>
      <c r="AT1584" s="8"/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8"/>
      <c r="BG1584" s="8"/>
    </row>
    <row r="1585" spans="1:59" s="9" customFormat="1">
      <c r="A1585" s="8" t="s">
        <v>971</v>
      </c>
      <c r="B1585" s="8" t="s">
        <v>960</v>
      </c>
      <c r="C1585" s="9">
        <v>2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AE1585" s="9">
        <f>IFERROR(VLOOKUP($A1585,pivot!$A:$G,計算式2026!AE$1,FALSE),0)</f>
        <v>0</v>
      </c>
      <c r="AF1585" s="9">
        <f>IFERROR(VLOOKUP($A1585,pivot!$A:$I,計算式2026!AF$1,FALSE),0)</f>
        <v>0</v>
      </c>
      <c r="AI1585" s="9">
        <f>IFERROR(VLOOKUP($A1585,pivot!$A:$I,計算式2026!AI$1,FALSE),0)</f>
        <v>0</v>
      </c>
      <c r="AJ1585" s="9">
        <f>IFERROR(VLOOKUP($A1585,pivot!$A:$I,計算式2026!AJ$1,FALSE),0)</f>
        <v>0</v>
      </c>
      <c r="AK1585" s="9">
        <f>IFERROR(VLOOKUP($A1585,pivot!$A:$I,計算式2026!AK$1,FALSE),0)</f>
        <v>0</v>
      </c>
      <c r="AL1585" s="9">
        <f>IFERROR(VLOOKUP($A1585,pivot!$A:$I,計算式2026!AL$1,FALSE),0)</f>
        <v>0</v>
      </c>
      <c r="AR1585" s="8"/>
      <c r="AS1585" s="8"/>
      <c r="AT1585" s="8"/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8"/>
      <c r="BG1585" s="8"/>
    </row>
    <row r="1586" spans="1:59" s="9" customFormat="1">
      <c r="A1586" s="8" t="s">
        <v>972</v>
      </c>
      <c r="B1586" s="8" t="s">
        <v>973</v>
      </c>
      <c r="C1586" s="9">
        <v>2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AE1586" s="9">
        <f>IFERROR(VLOOKUP($A1586,pivot!$A:$G,計算式2026!AE$1,FALSE),0)</f>
        <v>0</v>
      </c>
      <c r="AF1586" s="9">
        <f>IFERROR(VLOOKUP($A1586,pivot!$A:$I,計算式2026!AF$1,FALSE),0)</f>
        <v>0</v>
      </c>
      <c r="AI1586" s="9">
        <f>IFERROR(VLOOKUP($A1586,pivot!$A:$I,計算式2026!AI$1,FALSE),0)</f>
        <v>0</v>
      </c>
      <c r="AJ1586" s="9">
        <f>IFERROR(VLOOKUP($A1586,pivot!$A:$I,計算式2026!AJ$1,FALSE),0)</f>
        <v>0</v>
      </c>
      <c r="AK1586" s="9">
        <f>IFERROR(VLOOKUP($A1586,pivot!$A:$I,計算式2026!AK$1,FALSE),0)</f>
        <v>0</v>
      </c>
      <c r="AL1586" s="9">
        <f>IFERROR(VLOOKUP($A1586,pivot!$A:$I,計算式2026!AL$1,FALSE),0)</f>
        <v>0</v>
      </c>
      <c r="AR1586" s="8"/>
      <c r="AS1586" s="8"/>
      <c r="AT1586" s="8"/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8"/>
      <c r="BG1586" s="8"/>
    </row>
    <row r="1587" spans="1:59" s="9" customFormat="1">
      <c r="A1587" s="8" t="s">
        <v>974</v>
      </c>
      <c r="B1587" s="8" t="s">
        <v>973</v>
      </c>
      <c r="C1587" s="9">
        <v>5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AE1587" s="9">
        <f>IFERROR(VLOOKUP($A1587,pivot!$A:$G,計算式2026!AE$1,FALSE),0)</f>
        <v>0</v>
      </c>
      <c r="AF1587" s="9">
        <f>IFERROR(VLOOKUP($A1587,pivot!$A:$I,計算式2026!AF$1,FALSE),0)</f>
        <v>0</v>
      </c>
      <c r="AI1587" s="9">
        <f>IFERROR(VLOOKUP($A1587,pivot!$A:$I,計算式2026!AI$1,FALSE),0)</f>
        <v>0</v>
      </c>
      <c r="AJ1587" s="9">
        <f>IFERROR(VLOOKUP($A1587,pivot!$A:$I,計算式2026!AJ$1,FALSE),0)</f>
        <v>0</v>
      </c>
      <c r="AK1587" s="9">
        <f>IFERROR(VLOOKUP($A1587,pivot!$A:$I,計算式2026!AK$1,FALSE),0)</f>
        <v>0</v>
      </c>
      <c r="AL1587" s="9">
        <f>IFERROR(VLOOKUP($A1587,pivot!$A:$I,計算式2026!AL$1,FALSE),0)</f>
        <v>0</v>
      </c>
      <c r="AR1587" s="8"/>
      <c r="AS1587" s="8"/>
      <c r="AT1587" s="8"/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8"/>
      <c r="BG1587" s="8"/>
    </row>
    <row r="1588" spans="1:59" s="9" customFormat="1">
      <c r="A1588" s="8" t="s">
        <v>975</v>
      </c>
      <c r="B1588" s="8" t="s">
        <v>973</v>
      </c>
      <c r="C1588" s="9">
        <v>3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AE1588" s="9">
        <f>IFERROR(VLOOKUP($A1588,pivot!$A:$G,計算式2026!AE$1,FALSE),0)</f>
        <v>0</v>
      </c>
      <c r="AF1588" s="9">
        <f>IFERROR(VLOOKUP($A1588,pivot!$A:$I,計算式2026!AF$1,FALSE),0)</f>
        <v>0</v>
      </c>
      <c r="AI1588" s="9">
        <f>IFERROR(VLOOKUP($A1588,pivot!$A:$I,計算式2026!AI$1,FALSE),0)</f>
        <v>0</v>
      </c>
      <c r="AJ1588" s="9">
        <f>IFERROR(VLOOKUP($A1588,pivot!$A:$I,計算式2026!AJ$1,FALSE),0)</f>
        <v>0</v>
      </c>
      <c r="AK1588" s="9">
        <f>IFERROR(VLOOKUP($A1588,pivot!$A:$I,計算式2026!AK$1,FALSE),0)</f>
        <v>0</v>
      </c>
      <c r="AL1588" s="9">
        <f>IFERROR(VLOOKUP($A1588,pivot!$A:$I,計算式2026!AL$1,FALSE),0)</f>
        <v>0</v>
      </c>
      <c r="AR1588" s="8"/>
      <c r="AS1588" s="8"/>
      <c r="AT1588" s="8"/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8"/>
      <c r="BG1588" s="8"/>
    </row>
    <row r="1589" spans="1:59" s="9" customFormat="1">
      <c r="A1589" s="8" t="s">
        <v>976</v>
      </c>
      <c r="B1589" s="8" t="s">
        <v>973</v>
      </c>
      <c r="C1589" s="9">
        <v>2</v>
      </c>
      <c r="D1589" s="9">
        <v>0</v>
      </c>
      <c r="E1589" s="9">
        <v>0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AE1589" s="9">
        <f>IFERROR(VLOOKUP($A1589,pivot!$A:$G,計算式2026!AE$1,FALSE),0)</f>
        <v>0</v>
      </c>
      <c r="AF1589" s="9">
        <f>IFERROR(VLOOKUP($A1589,pivot!$A:$I,計算式2026!AF$1,FALSE),0)</f>
        <v>0</v>
      </c>
      <c r="AI1589" s="9">
        <f>IFERROR(VLOOKUP($A1589,pivot!$A:$I,計算式2026!AI$1,FALSE),0)</f>
        <v>0</v>
      </c>
      <c r="AJ1589" s="9">
        <f>IFERROR(VLOOKUP($A1589,pivot!$A:$I,計算式2026!AJ$1,FALSE),0)</f>
        <v>0</v>
      </c>
      <c r="AK1589" s="9">
        <f>IFERROR(VLOOKUP($A1589,pivot!$A:$I,計算式2026!AK$1,FALSE),0)</f>
        <v>0</v>
      </c>
      <c r="AL1589" s="9">
        <f>IFERROR(VLOOKUP($A1589,pivot!$A:$I,計算式2026!AL$1,FALSE),0)</f>
        <v>0</v>
      </c>
      <c r="AR1589" s="8"/>
      <c r="AS1589" s="8"/>
      <c r="AT1589" s="8"/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8"/>
      <c r="BG1589" s="8"/>
    </row>
    <row r="1590" spans="1:59" s="9" customFormat="1">
      <c r="A1590" s="8" t="s">
        <v>977</v>
      </c>
      <c r="B1590" s="8" t="s">
        <v>973</v>
      </c>
      <c r="C1590" s="9">
        <v>8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AE1590" s="9">
        <f>IFERROR(VLOOKUP($A1590,pivot!$A:$G,計算式2026!AE$1,FALSE),0)</f>
        <v>0</v>
      </c>
      <c r="AF1590" s="9">
        <f>IFERROR(VLOOKUP($A1590,pivot!$A:$I,計算式2026!AF$1,FALSE),0)</f>
        <v>0</v>
      </c>
      <c r="AI1590" s="9">
        <f>IFERROR(VLOOKUP($A1590,pivot!$A:$I,計算式2026!AI$1,FALSE),0)</f>
        <v>0</v>
      </c>
      <c r="AJ1590" s="9">
        <f>IFERROR(VLOOKUP($A1590,pivot!$A:$I,計算式2026!AJ$1,FALSE),0)</f>
        <v>0</v>
      </c>
      <c r="AK1590" s="9">
        <f>IFERROR(VLOOKUP($A1590,pivot!$A:$I,計算式2026!AK$1,FALSE),0)</f>
        <v>0</v>
      </c>
      <c r="AL1590" s="9">
        <f>IFERROR(VLOOKUP($A1590,pivot!$A:$I,計算式2026!AL$1,FALSE),0)</f>
        <v>0</v>
      </c>
      <c r="AR1590" s="8"/>
      <c r="AS1590" s="8"/>
      <c r="AT1590" s="8"/>
      <c r="AU1590" s="8"/>
      <c r="AV1590" s="8"/>
      <c r="AW1590" s="8"/>
      <c r="AX1590" s="8"/>
      <c r="AY1590" s="8"/>
      <c r="AZ1590" s="8"/>
      <c r="BA1590" s="8"/>
      <c r="BB1590" s="8"/>
      <c r="BC1590" s="8"/>
      <c r="BD1590" s="8"/>
      <c r="BE1590" s="8"/>
      <c r="BF1590" s="8"/>
      <c r="BG1590" s="8"/>
    </row>
    <row r="1591" spans="1:59" s="9" customFormat="1">
      <c r="A1591" s="8" t="s">
        <v>978</v>
      </c>
      <c r="B1591" s="8" t="s">
        <v>973</v>
      </c>
      <c r="C1591" s="9">
        <v>2</v>
      </c>
      <c r="D1591" s="9">
        <v>0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AE1591" s="9">
        <f>IFERROR(VLOOKUP($A1591,pivot!$A:$G,計算式2026!AE$1,FALSE),0)</f>
        <v>0</v>
      </c>
      <c r="AF1591" s="9">
        <f>IFERROR(VLOOKUP($A1591,pivot!$A:$I,計算式2026!AF$1,FALSE),0)</f>
        <v>0</v>
      </c>
      <c r="AI1591" s="9">
        <f>IFERROR(VLOOKUP($A1591,pivot!$A:$I,計算式2026!AI$1,FALSE),0)</f>
        <v>0</v>
      </c>
      <c r="AJ1591" s="9">
        <f>IFERROR(VLOOKUP($A1591,pivot!$A:$I,計算式2026!AJ$1,FALSE),0)</f>
        <v>0</v>
      </c>
      <c r="AK1591" s="9">
        <f>IFERROR(VLOOKUP($A1591,pivot!$A:$I,計算式2026!AK$1,FALSE),0)</f>
        <v>0</v>
      </c>
      <c r="AL1591" s="9">
        <f>IFERROR(VLOOKUP($A1591,pivot!$A:$I,計算式2026!AL$1,FALSE),0)</f>
        <v>0</v>
      </c>
      <c r="AR1591" s="8"/>
      <c r="AS1591" s="8"/>
      <c r="AT1591" s="8"/>
      <c r="AU1591" s="8"/>
      <c r="AV1591" s="8"/>
      <c r="AW1591" s="8"/>
      <c r="AX1591" s="8"/>
      <c r="AY1591" s="8"/>
      <c r="AZ1591" s="8"/>
      <c r="BA1591" s="8"/>
      <c r="BB1591" s="8"/>
      <c r="BC1591" s="8"/>
      <c r="BD1591" s="8"/>
      <c r="BE1591" s="8"/>
      <c r="BF1591" s="8"/>
      <c r="BG1591" s="8"/>
    </row>
    <row r="1592" spans="1:59" s="9" customFormat="1">
      <c r="A1592" s="8" t="s">
        <v>979</v>
      </c>
      <c r="B1592" s="8" t="s">
        <v>973</v>
      </c>
      <c r="C1592" s="9">
        <v>1</v>
      </c>
      <c r="D1592" s="9">
        <v>0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AE1592" s="9">
        <f>IFERROR(VLOOKUP($A1592,pivot!$A:$G,計算式2026!AE$1,FALSE),0)</f>
        <v>0</v>
      </c>
      <c r="AF1592" s="9">
        <f>IFERROR(VLOOKUP($A1592,pivot!$A:$I,計算式2026!AF$1,FALSE),0)</f>
        <v>0</v>
      </c>
      <c r="AI1592" s="9">
        <f>IFERROR(VLOOKUP($A1592,pivot!$A:$I,計算式2026!AI$1,FALSE),0)</f>
        <v>0</v>
      </c>
      <c r="AJ1592" s="9">
        <f>IFERROR(VLOOKUP($A1592,pivot!$A:$I,計算式2026!AJ$1,FALSE),0)</f>
        <v>0</v>
      </c>
      <c r="AK1592" s="9">
        <f>IFERROR(VLOOKUP($A1592,pivot!$A:$I,計算式2026!AK$1,FALSE),0)</f>
        <v>0</v>
      </c>
      <c r="AL1592" s="9">
        <f>IFERROR(VLOOKUP($A1592,pivot!$A:$I,計算式2026!AL$1,FALSE),0)</f>
        <v>0</v>
      </c>
      <c r="AR1592" s="8"/>
      <c r="AS1592" s="8"/>
      <c r="AT1592" s="8"/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8"/>
      <c r="BG1592" s="8"/>
    </row>
    <row r="1593" spans="1:59" s="9" customFormat="1">
      <c r="A1593" s="8" t="s">
        <v>980</v>
      </c>
      <c r="B1593" s="8" t="s">
        <v>973</v>
      </c>
      <c r="C1593" s="9">
        <v>2</v>
      </c>
      <c r="D1593" s="9">
        <v>0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AE1593" s="9">
        <f>IFERROR(VLOOKUP($A1593,pivot!$A:$G,計算式2026!AE$1,FALSE),0)</f>
        <v>0</v>
      </c>
      <c r="AF1593" s="9">
        <f>IFERROR(VLOOKUP($A1593,pivot!$A:$I,計算式2026!AF$1,FALSE),0)</f>
        <v>0</v>
      </c>
      <c r="AI1593" s="9">
        <f>IFERROR(VLOOKUP($A1593,pivot!$A:$I,計算式2026!AI$1,FALSE),0)</f>
        <v>0</v>
      </c>
      <c r="AJ1593" s="9">
        <f>IFERROR(VLOOKUP($A1593,pivot!$A:$I,計算式2026!AJ$1,FALSE),0)</f>
        <v>0</v>
      </c>
      <c r="AK1593" s="9">
        <f>IFERROR(VLOOKUP($A1593,pivot!$A:$I,計算式2026!AK$1,FALSE),0)</f>
        <v>0</v>
      </c>
      <c r="AL1593" s="9">
        <f>IFERROR(VLOOKUP($A1593,pivot!$A:$I,計算式2026!AL$1,FALSE),0)</f>
        <v>0</v>
      </c>
      <c r="AR1593" s="8"/>
      <c r="AS1593" s="8"/>
      <c r="AT1593" s="8"/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8"/>
      <c r="BG1593" s="8"/>
    </row>
    <row r="1594" spans="1:59" s="9" customFormat="1">
      <c r="A1594" s="8" t="s">
        <v>981</v>
      </c>
      <c r="B1594" s="8" t="s">
        <v>973</v>
      </c>
      <c r="C1594" s="9">
        <v>2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AE1594" s="9">
        <f>IFERROR(VLOOKUP($A1594,pivot!$A:$G,計算式2026!AE$1,FALSE),0)</f>
        <v>0</v>
      </c>
      <c r="AF1594" s="9">
        <f>IFERROR(VLOOKUP($A1594,pivot!$A:$I,計算式2026!AF$1,FALSE),0)</f>
        <v>0</v>
      </c>
      <c r="AI1594" s="9">
        <f>IFERROR(VLOOKUP($A1594,pivot!$A:$I,計算式2026!AI$1,FALSE),0)</f>
        <v>0</v>
      </c>
      <c r="AJ1594" s="9">
        <f>IFERROR(VLOOKUP($A1594,pivot!$A:$I,計算式2026!AJ$1,FALSE),0)</f>
        <v>0</v>
      </c>
      <c r="AK1594" s="9">
        <f>IFERROR(VLOOKUP($A1594,pivot!$A:$I,計算式2026!AK$1,FALSE),0)</f>
        <v>0</v>
      </c>
      <c r="AL1594" s="9">
        <f>IFERROR(VLOOKUP($A1594,pivot!$A:$I,計算式2026!AL$1,FALSE),0)</f>
        <v>0</v>
      </c>
      <c r="AR1594" s="8"/>
      <c r="AS1594" s="8"/>
      <c r="AT1594" s="8"/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8"/>
      <c r="BG1594" s="8"/>
    </row>
    <row r="1595" spans="1:59" s="9" customFormat="1">
      <c r="A1595" s="8" t="s">
        <v>1769</v>
      </c>
      <c r="B1595" s="8" t="s">
        <v>982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  <c r="K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AE1595" s="9">
        <f>IFERROR(VLOOKUP($A1595,pivot!$A:$G,計算式2026!AE$1,FALSE),0)</f>
        <v>0</v>
      </c>
      <c r="AF1595" s="9">
        <f>IFERROR(VLOOKUP($A1595,pivot!$A:$I,計算式2026!AF$1,FALSE),0)</f>
        <v>0</v>
      </c>
      <c r="AI1595" s="9">
        <f>IFERROR(VLOOKUP($A1595,pivot!$A:$I,計算式2026!AI$1,FALSE),0)</f>
        <v>0</v>
      </c>
      <c r="AJ1595" s="9">
        <f>IFERROR(VLOOKUP($A1595,pivot!$A:$I,計算式2026!AJ$1,FALSE),0)</f>
        <v>0</v>
      </c>
      <c r="AK1595" s="9">
        <f>IFERROR(VLOOKUP($A1595,pivot!$A:$I,計算式2026!AK$1,FALSE),0)</f>
        <v>0</v>
      </c>
      <c r="AL1595" s="9">
        <f>IFERROR(VLOOKUP($A1595,pivot!$A:$I,計算式2026!AL$1,FALSE),0)</f>
        <v>0</v>
      </c>
      <c r="AR1595" s="8"/>
      <c r="AS1595" s="8"/>
      <c r="AT1595" s="8"/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8"/>
      <c r="BG1595" s="8"/>
    </row>
    <row r="1596" spans="1:59" s="9" customFormat="1">
      <c r="A1596" s="8" t="s">
        <v>2295</v>
      </c>
      <c r="B1596" s="8" t="s">
        <v>2296</v>
      </c>
      <c r="C1596" s="9">
        <v>0</v>
      </c>
      <c r="D1596" s="9">
        <v>0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2</v>
      </c>
      <c r="W1596" s="9">
        <v>0</v>
      </c>
      <c r="X1596" s="9">
        <v>0</v>
      </c>
      <c r="AE1596" s="9">
        <f>IFERROR(VLOOKUP($A1596,pivot!$A:$G,計算式2026!AE$1,FALSE),0)</f>
        <v>0</v>
      </c>
      <c r="AF1596" s="9">
        <f>IFERROR(VLOOKUP($A1596,pivot!$A:$I,計算式2026!AF$1,FALSE),0)</f>
        <v>0</v>
      </c>
      <c r="AI1596" s="9">
        <f>IFERROR(VLOOKUP($A1596,pivot!$A:$I,計算式2026!AI$1,FALSE),0)</f>
        <v>0</v>
      </c>
      <c r="AJ1596" s="9">
        <f>IFERROR(VLOOKUP($A1596,pivot!$A:$I,計算式2026!AJ$1,FALSE),0)</f>
        <v>0</v>
      </c>
      <c r="AK1596" s="9">
        <f>IFERROR(VLOOKUP($A1596,pivot!$A:$I,計算式2026!AK$1,FALSE),0)</f>
        <v>0</v>
      </c>
      <c r="AL1596" s="9">
        <f>IFERROR(VLOOKUP($A1596,pivot!$A:$I,計算式2026!AL$1,FALSE),0)</f>
        <v>0</v>
      </c>
      <c r="AR1596" s="8"/>
      <c r="AS1596" s="8"/>
      <c r="AT1596" s="8"/>
      <c r="AU1596" s="8"/>
      <c r="AV1596" s="8"/>
      <c r="AW1596" s="8"/>
      <c r="AX1596" s="8"/>
      <c r="AY1596" s="8"/>
      <c r="AZ1596" s="8"/>
      <c r="BA1596" s="8"/>
      <c r="BB1596" s="8"/>
      <c r="BC1596" s="8"/>
      <c r="BD1596" s="8"/>
      <c r="BE1596" s="8"/>
      <c r="BF1596" s="8"/>
      <c r="BG1596" s="8"/>
    </row>
    <row r="1597" spans="1:59" s="9" customFormat="1">
      <c r="A1597" s="8" t="s">
        <v>2297</v>
      </c>
      <c r="B1597" s="8" t="s">
        <v>2296</v>
      </c>
      <c r="C1597" s="9">
        <v>8</v>
      </c>
      <c r="D1597" s="9">
        <v>0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R1597" s="9">
        <v>0</v>
      </c>
      <c r="S1597" s="9">
        <v>2</v>
      </c>
      <c r="T1597" s="9">
        <v>0</v>
      </c>
      <c r="U1597" s="9">
        <v>0</v>
      </c>
      <c r="V1597" s="9">
        <v>2</v>
      </c>
      <c r="W1597" s="9">
        <v>0</v>
      </c>
      <c r="X1597" s="9">
        <v>0</v>
      </c>
      <c r="AE1597" s="9">
        <f>IFERROR(VLOOKUP($A1597,pivot!$A:$G,計算式2026!AE$1,FALSE),0)</f>
        <v>0</v>
      </c>
      <c r="AF1597" s="9">
        <f>IFERROR(VLOOKUP($A1597,pivot!$A:$I,計算式2026!AF$1,FALSE),0)</f>
        <v>0</v>
      </c>
      <c r="AI1597" s="9">
        <f>IFERROR(VLOOKUP($A1597,pivot!$A:$I,計算式2026!AI$1,FALSE),0)</f>
        <v>0</v>
      </c>
      <c r="AJ1597" s="9">
        <f>IFERROR(VLOOKUP($A1597,pivot!$A:$I,計算式2026!AJ$1,FALSE),0)</f>
        <v>0</v>
      </c>
      <c r="AK1597" s="9">
        <f>IFERROR(VLOOKUP($A1597,pivot!$A:$I,計算式2026!AK$1,FALSE),0)</f>
        <v>0</v>
      </c>
      <c r="AL1597" s="9">
        <f>IFERROR(VLOOKUP($A1597,pivot!$A:$I,計算式2026!AL$1,FALSE),0)</f>
        <v>0</v>
      </c>
      <c r="AR1597" s="8"/>
      <c r="AS1597" s="8"/>
      <c r="AT1597" s="8"/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8"/>
      <c r="BG1597" s="8"/>
    </row>
    <row r="1598" spans="1:59" s="9" customFormat="1">
      <c r="A1598" s="8" t="s">
        <v>2298</v>
      </c>
      <c r="B1598" s="8" t="s">
        <v>2296</v>
      </c>
      <c r="C1598" s="9">
        <v>3</v>
      </c>
      <c r="D1598" s="9">
        <v>0</v>
      </c>
      <c r="E1598" s="9">
        <v>0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R1598" s="9">
        <v>0</v>
      </c>
      <c r="S1598" s="9">
        <v>1</v>
      </c>
      <c r="T1598" s="9">
        <v>0</v>
      </c>
      <c r="U1598" s="9">
        <v>0</v>
      </c>
      <c r="V1598" s="9">
        <v>1</v>
      </c>
      <c r="W1598" s="9">
        <v>0</v>
      </c>
      <c r="X1598" s="9">
        <v>0</v>
      </c>
      <c r="AE1598" s="9">
        <f>IFERROR(VLOOKUP($A1598,pivot!$A:$G,計算式2026!AE$1,FALSE),0)</f>
        <v>0</v>
      </c>
      <c r="AF1598" s="9">
        <f>IFERROR(VLOOKUP($A1598,pivot!$A:$I,計算式2026!AF$1,FALSE),0)</f>
        <v>0</v>
      </c>
      <c r="AI1598" s="9">
        <f>IFERROR(VLOOKUP($A1598,pivot!$A:$I,計算式2026!AI$1,FALSE),0)</f>
        <v>0</v>
      </c>
      <c r="AJ1598" s="9">
        <f>IFERROR(VLOOKUP($A1598,pivot!$A:$I,計算式2026!AJ$1,FALSE),0)</f>
        <v>0</v>
      </c>
      <c r="AK1598" s="9">
        <f>IFERROR(VLOOKUP($A1598,pivot!$A:$I,計算式2026!AK$1,FALSE),0)</f>
        <v>0</v>
      </c>
      <c r="AL1598" s="9">
        <f>IFERROR(VLOOKUP($A1598,pivot!$A:$I,計算式2026!AL$1,FALSE),0)</f>
        <v>0</v>
      </c>
      <c r="AR1598" s="8"/>
      <c r="AS1598" s="8"/>
      <c r="AT1598" s="8"/>
      <c r="AU1598" s="8"/>
      <c r="AV1598" s="8"/>
      <c r="AW1598" s="8"/>
      <c r="AX1598" s="8"/>
      <c r="AY1598" s="8"/>
      <c r="AZ1598" s="8"/>
      <c r="BA1598" s="8"/>
      <c r="BB1598" s="8"/>
      <c r="BC1598" s="8"/>
      <c r="BD1598" s="8"/>
      <c r="BE1598" s="8"/>
      <c r="BF1598" s="8"/>
      <c r="BG1598" s="8"/>
    </row>
    <row r="1599" spans="1:59" s="9" customFormat="1">
      <c r="A1599" s="8">
        <v>8228555044</v>
      </c>
      <c r="B1599" s="8" t="s">
        <v>2300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1</v>
      </c>
      <c r="W1599" s="9">
        <v>0</v>
      </c>
      <c r="X1599" s="9">
        <v>0</v>
      </c>
      <c r="AE1599" s="9">
        <f>IFERROR(VLOOKUP($A1599,pivot!$A:$G,計算式2026!AE$1,FALSE),0)</f>
        <v>0</v>
      </c>
      <c r="AF1599" s="9">
        <f>IFERROR(VLOOKUP($A1599,pivot!$A:$I,計算式2026!AF$1,FALSE),0)</f>
        <v>0</v>
      </c>
      <c r="AI1599" s="9">
        <f>IFERROR(VLOOKUP($A1599,pivot!$A:$I,計算式2026!AI$1,FALSE),0)</f>
        <v>0</v>
      </c>
      <c r="AJ1599" s="9">
        <f>IFERROR(VLOOKUP($A1599,pivot!$A:$I,計算式2026!AJ$1,FALSE),0)</f>
        <v>0</v>
      </c>
      <c r="AK1599" s="9">
        <f>IFERROR(VLOOKUP($A1599,pivot!$A:$I,計算式2026!AK$1,FALSE),0)</f>
        <v>0</v>
      </c>
      <c r="AL1599" s="9">
        <f>IFERROR(VLOOKUP($A1599,pivot!$A:$I,計算式2026!AL$1,FALSE),0)</f>
        <v>0</v>
      </c>
      <c r="AR1599" s="8"/>
      <c r="AS1599" s="8"/>
      <c r="AT1599" s="8"/>
      <c r="AU1599" s="8"/>
      <c r="AV1599" s="8"/>
      <c r="AW1599" s="8"/>
      <c r="AX1599" s="8"/>
      <c r="AY1599" s="8"/>
      <c r="AZ1599" s="8"/>
      <c r="BA1599" s="8"/>
      <c r="BB1599" s="8"/>
      <c r="BC1599" s="8"/>
      <c r="BD1599" s="8"/>
      <c r="BE1599" s="8"/>
      <c r="BF1599" s="8"/>
      <c r="BG1599" s="8"/>
    </row>
    <row r="1600" spans="1:59" s="9" customFormat="1">
      <c r="A1600" s="8">
        <v>8228555046</v>
      </c>
      <c r="B1600" s="8" t="s">
        <v>2300</v>
      </c>
      <c r="C1600" s="9">
        <v>0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R1600" s="9">
        <v>0</v>
      </c>
      <c r="S1600" s="9">
        <v>1</v>
      </c>
      <c r="T1600" s="9">
        <v>1</v>
      </c>
      <c r="U1600" s="9">
        <v>0</v>
      </c>
      <c r="V1600" s="9">
        <v>1</v>
      </c>
      <c r="W1600" s="9">
        <v>0</v>
      </c>
      <c r="X1600" s="9">
        <v>1</v>
      </c>
      <c r="AE1600" s="9">
        <f>IFERROR(VLOOKUP($A1600,pivot!$A:$G,計算式2026!AE$1,FALSE),0)</f>
        <v>0</v>
      </c>
      <c r="AF1600" s="9">
        <f>IFERROR(VLOOKUP($A1600,pivot!$A:$I,計算式2026!AF$1,FALSE),0)</f>
        <v>0</v>
      </c>
      <c r="AI1600" s="9">
        <f>IFERROR(VLOOKUP($A1600,pivot!$A:$I,計算式2026!AI$1,FALSE),0)</f>
        <v>0</v>
      </c>
      <c r="AJ1600" s="9">
        <f>IFERROR(VLOOKUP($A1600,pivot!$A:$I,計算式2026!AJ$1,FALSE),0)</f>
        <v>0</v>
      </c>
      <c r="AK1600" s="9">
        <f>IFERROR(VLOOKUP($A1600,pivot!$A:$I,計算式2026!AK$1,FALSE),0)</f>
        <v>0</v>
      </c>
      <c r="AL1600" s="9">
        <f>IFERROR(VLOOKUP($A1600,pivot!$A:$I,計算式2026!AL$1,FALSE),0)</f>
        <v>0</v>
      </c>
      <c r="AR1600" s="8"/>
      <c r="AS1600" s="8"/>
      <c r="AT1600" s="8"/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8"/>
      <c r="BG1600" s="8"/>
    </row>
    <row r="1601" spans="1:59" s="9" customFormat="1">
      <c r="A1601" s="8">
        <v>8228555048</v>
      </c>
      <c r="B1601" s="8" t="s">
        <v>2300</v>
      </c>
      <c r="C1601" s="9">
        <v>0</v>
      </c>
      <c r="D1601" s="9">
        <v>0</v>
      </c>
      <c r="E1601" s="9">
        <v>0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R1601" s="9">
        <v>0</v>
      </c>
      <c r="S1601" s="9">
        <v>2</v>
      </c>
      <c r="T1601" s="9">
        <v>1</v>
      </c>
      <c r="U1601" s="9">
        <v>0</v>
      </c>
      <c r="V1601" s="9">
        <v>2</v>
      </c>
      <c r="W1601" s="9">
        <v>0</v>
      </c>
      <c r="X1601" s="9">
        <v>1</v>
      </c>
      <c r="AE1601" s="9">
        <f>IFERROR(VLOOKUP($A1601,pivot!$A:$G,計算式2026!AE$1,FALSE),0)</f>
        <v>0</v>
      </c>
      <c r="AF1601" s="9">
        <f>IFERROR(VLOOKUP($A1601,pivot!$A:$I,計算式2026!AF$1,FALSE),0)</f>
        <v>0</v>
      </c>
      <c r="AI1601" s="9">
        <f>IFERROR(VLOOKUP($A1601,pivot!$A:$I,計算式2026!AI$1,FALSE),0)</f>
        <v>0</v>
      </c>
      <c r="AJ1601" s="9">
        <f>IFERROR(VLOOKUP($A1601,pivot!$A:$I,計算式2026!AJ$1,FALSE),0)</f>
        <v>0</v>
      </c>
      <c r="AK1601" s="9">
        <f>IFERROR(VLOOKUP($A1601,pivot!$A:$I,計算式2026!AK$1,FALSE),0)</f>
        <v>0</v>
      </c>
      <c r="AL1601" s="9">
        <f>IFERROR(VLOOKUP($A1601,pivot!$A:$I,計算式2026!AL$1,FALSE),0)</f>
        <v>0</v>
      </c>
      <c r="AR1601" s="8"/>
      <c r="AS1601" s="8"/>
      <c r="AT1601" s="8"/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8"/>
      <c r="BG1601" s="8"/>
    </row>
    <row r="1602" spans="1:59" s="9" customFormat="1">
      <c r="A1602" s="8">
        <v>8228555050</v>
      </c>
      <c r="B1602" s="8" t="s">
        <v>2300</v>
      </c>
      <c r="C1602" s="9">
        <v>0</v>
      </c>
      <c r="D1602" s="9">
        <v>0</v>
      </c>
      <c r="E1602" s="9">
        <v>0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R1602" s="9">
        <v>0</v>
      </c>
      <c r="S1602" s="9">
        <v>1</v>
      </c>
      <c r="T1602" s="9">
        <v>0</v>
      </c>
      <c r="U1602" s="9">
        <v>0</v>
      </c>
      <c r="V1602" s="9">
        <v>2</v>
      </c>
      <c r="W1602" s="9">
        <v>0</v>
      </c>
      <c r="X1602" s="9">
        <v>1</v>
      </c>
      <c r="AE1602" s="9">
        <f>IFERROR(VLOOKUP($A1602,pivot!$A:$G,計算式2026!AE$1,FALSE),0)</f>
        <v>0</v>
      </c>
      <c r="AF1602" s="9">
        <f>IFERROR(VLOOKUP($A1602,pivot!$A:$I,計算式2026!AF$1,FALSE),0)</f>
        <v>0</v>
      </c>
      <c r="AI1602" s="9">
        <f>IFERROR(VLOOKUP($A1602,pivot!$A:$I,計算式2026!AI$1,FALSE),0)</f>
        <v>0</v>
      </c>
      <c r="AJ1602" s="9">
        <f>IFERROR(VLOOKUP($A1602,pivot!$A:$I,計算式2026!AJ$1,FALSE),0)</f>
        <v>0</v>
      </c>
      <c r="AK1602" s="9">
        <f>IFERROR(VLOOKUP($A1602,pivot!$A:$I,計算式2026!AK$1,FALSE),0)</f>
        <v>0</v>
      </c>
      <c r="AL1602" s="9">
        <f>IFERROR(VLOOKUP($A1602,pivot!$A:$I,計算式2026!AL$1,FALSE),0)</f>
        <v>0</v>
      </c>
      <c r="AR1602" s="8"/>
      <c r="AS1602" s="8"/>
      <c r="AT1602" s="8"/>
      <c r="AU1602" s="8"/>
      <c r="AV1602" s="8"/>
      <c r="AW1602" s="8"/>
      <c r="AX1602" s="8"/>
      <c r="AY1602" s="8"/>
      <c r="AZ1602" s="8"/>
      <c r="BA1602" s="8"/>
      <c r="BB1602" s="8"/>
      <c r="BC1602" s="8"/>
      <c r="BD1602" s="8"/>
      <c r="BE1602" s="8"/>
      <c r="BF1602" s="8"/>
      <c r="BG1602" s="8"/>
    </row>
    <row r="1603" spans="1:59" s="9" customFormat="1">
      <c r="A1603" s="8">
        <v>8228563344</v>
      </c>
      <c r="B1603" s="8" t="s">
        <v>2300</v>
      </c>
      <c r="C1603" s="9">
        <v>0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R1603" s="9">
        <v>0</v>
      </c>
      <c r="S1603" s="9">
        <v>1</v>
      </c>
      <c r="T1603" s="9">
        <v>0</v>
      </c>
      <c r="U1603" s="9">
        <v>0</v>
      </c>
      <c r="V1603" s="9">
        <v>1</v>
      </c>
      <c r="W1603" s="9">
        <v>0</v>
      </c>
      <c r="X1603" s="9">
        <v>1</v>
      </c>
      <c r="AE1603" s="9">
        <f>IFERROR(VLOOKUP($A1603,pivot!$A:$G,計算式2026!AE$1,FALSE),0)</f>
        <v>0</v>
      </c>
      <c r="AF1603" s="9">
        <f>IFERROR(VLOOKUP($A1603,pivot!$A:$I,計算式2026!AF$1,FALSE),0)</f>
        <v>0</v>
      </c>
      <c r="AI1603" s="9">
        <f>IFERROR(VLOOKUP($A1603,pivot!$A:$I,計算式2026!AI$1,FALSE),0)</f>
        <v>0</v>
      </c>
      <c r="AJ1603" s="9">
        <f>IFERROR(VLOOKUP($A1603,pivot!$A:$I,計算式2026!AJ$1,FALSE),0)</f>
        <v>0</v>
      </c>
      <c r="AK1603" s="9">
        <f>IFERROR(VLOOKUP($A1603,pivot!$A:$I,計算式2026!AK$1,FALSE),0)</f>
        <v>0</v>
      </c>
      <c r="AL1603" s="9">
        <f>IFERROR(VLOOKUP($A1603,pivot!$A:$I,計算式2026!AL$1,FALSE),0)</f>
        <v>0</v>
      </c>
      <c r="AR1603" s="8"/>
      <c r="AS1603" s="8"/>
      <c r="AT1603" s="8"/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8"/>
      <c r="BG1603" s="8"/>
    </row>
    <row r="1604" spans="1:59" s="9" customFormat="1">
      <c r="A1604" s="8">
        <v>8228563346</v>
      </c>
      <c r="B1604" s="8" t="s">
        <v>2300</v>
      </c>
      <c r="C1604" s="9">
        <v>0</v>
      </c>
      <c r="D1604" s="9">
        <v>0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1</v>
      </c>
      <c r="W1604" s="9">
        <v>0</v>
      </c>
      <c r="X1604" s="9">
        <v>1</v>
      </c>
      <c r="AE1604" s="9">
        <f>IFERROR(VLOOKUP($A1604,pivot!$A:$G,計算式2026!AE$1,FALSE),0)</f>
        <v>0</v>
      </c>
      <c r="AF1604" s="9">
        <f>IFERROR(VLOOKUP($A1604,pivot!$A:$I,計算式2026!AF$1,FALSE),0)</f>
        <v>0</v>
      </c>
      <c r="AI1604" s="9">
        <f>IFERROR(VLOOKUP($A1604,pivot!$A:$I,計算式2026!AI$1,FALSE),0)</f>
        <v>0</v>
      </c>
      <c r="AJ1604" s="9">
        <f>IFERROR(VLOOKUP($A1604,pivot!$A:$I,計算式2026!AJ$1,FALSE),0)</f>
        <v>0</v>
      </c>
      <c r="AK1604" s="9">
        <f>IFERROR(VLOOKUP($A1604,pivot!$A:$I,計算式2026!AK$1,FALSE),0)</f>
        <v>0</v>
      </c>
      <c r="AL1604" s="9">
        <f>IFERROR(VLOOKUP($A1604,pivot!$A:$I,計算式2026!AL$1,FALSE),0)</f>
        <v>0</v>
      </c>
      <c r="AR1604" s="8"/>
      <c r="AS1604" s="8"/>
      <c r="AT1604" s="8"/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8"/>
      <c r="BG1604" s="8"/>
    </row>
    <row r="1605" spans="1:59" s="9" customFormat="1">
      <c r="A1605" s="8">
        <v>8228563348</v>
      </c>
      <c r="B1605" s="8" t="s">
        <v>2300</v>
      </c>
      <c r="C1605" s="9">
        <v>0</v>
      </c>
      <c r="D1605" s="9">
        <v>2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R1605" s="9">
        <v>0</v>
      </c>
      <c r="S1605" s="9">
        <v>2</v>
      </c>
      <c r="T1605" s="9">
        <v>1</v>
      </c>
      <c r="U1605" s="9">
        <v>0</v>
      </c>
      <c r="V1605" s="9">
        <v>2</v>
      </c>
      <c r="W1605" s="9">
        <v>0</v>
      </c>
      <c r="X1605" s="9">
        <v>1</v>
      </c>
      <c r="AE1605" s="9">
        <f>IFERROR(VLOOKUP($A1605,pivot!$A:$G,計算式2026!AE$1,FALSE),0)</f>
        <v>0</v>
      </c>
      <c r="AF1605" s="9">
        <f>IFERROR(VLOOKUP($A1605,pivot!$A:$I,計算式2026!AF$1,FALSE),0)</f>
        <v>0</v>
      </c>
      <c r="AI1605" s="9">
        <f>IFERROR(VLOOKUP($A1605,pivot!$A:$I,計算式2026!AI$1,FALSE),0)</f>
        <v>0</v>
      </c>
      <c r="AJ1605" s="9">
        <f>IFERROR(VLOOKUP($A1605,pivot!$A:$I,計算式2026!AJ$1,FALSE),0)</f>
        <v>0</v>
      </c>
      <c r="AK1605" s="9">
        <f>IFERROR(VLOOKUP($A1605,pivot!$A:$I,計算式2026!AK$1,FALSE),0)</f>
        <v>0</v>
      </c>
      <c r="AL1605" s="9">
        <f>IFERROR(VLOOKUP($A1605,pivot!$A:$I,計算式2026!AL$1,FALSE),0)</f>
        <v>0</v>
      </c>
      <c r="AR1605" s="8"/>
      <c r="AS1605" s="8"/>
      <c r="AT1605" s="8"/>
      <c r="AU1605" s="8"/>
      <c r="AV1605" s="8"/>
      <c r="AW1605" s="8"/>
      <c r="AX1605" s="8"/>
      <c r="AY1605" s="8"/>
      <c r="AZ1605" s="8"/>
      <c r="BA1605" s="8"/>
      <c r="BB1605" s="8"/>
      <c r="BC1605" s="8"/>
      <c r="BD1605" s="8"/>
      <c r="BE1605" s="8"/>
      <c r="BF1605" s="8"/>
      <c r="BG1605" s="8"/>
    </row>
    <row r="1606" spans="1:59" s="9" customFormat="1">
      <c r="A1606" s="8">
        <v>8228563350</v>
      </c>
      <c r="B1606" s="8" t="s">
        <v>2300</v>
      </c>
      <c r="C1606" s="9">
        <v>0</v>
      </c>
      <c r="D1606" s="9">
        <v>0</v>
      </c>
      <c r="E1606" s="9">
        <v>0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R1606" s="9">
        <v>0</v>
      </c>
      <c r="S1606" s="9">
        <v>1</v>
      </c>
      <c r="T1606" s="9">
        <v>0</v>
      </c>
      <c r="U1606" s="9">
        <v>0</v>
      </c>
      <c r="V1606" s="9">
        <v>2</v>
      </c>
      <c r="W1606" s="9">
        <v>0</v>
      </c>
      <c r="X1606" s="9">
        <v>1</v>
      </c>
      <c r="AE1606" s="9">
        <f>IFERROR(VLOOKUP($A1606,pivot!$A:$G,計算式2026!AE$1,FALSE),0)</f>
        <v>0</v>
      </c>
      <c r="AF1606" s="9">
        <f>IFERROR(VLOOKUP($A1606,pivot!$A:$I,計算式2026!AF$1,FALSE),0)</f>
        <v>0</v>
      </c>
      <c r="AI1606" s="9">
        <f>IFERROR(VLOOKUP($A1606,pivot!$A:$I,計算式2026!AI$1,FALSE),0)</f>
        <v>0</v>
      </c>
      <c r="AJ1606" s="9">
        <f>IFERROR(VLOOKUP($A1606,pivot!$A:$I,計算式2026!AJ$1,FALSE),0)</f>
        <v>0</v>
      </c>
      <c r="AK1606" s="9">
        <f>IFERROR(VLOOKUP($A1606,pivot!$A:$I,計算式2026!AK$1,FALSE),0)</f>
        <v>0</v>
      </c>
      <c r="AL1606" s="9">
        <f>IFERROR(VLOOKUP($A1606,pivot!$A:$I,計算式2026!AL$1,FALSE),0)</f>
        <v>0</v>
      </c>
      <c r="AR1606" s="8"/>
      <c r="AS1606" s="8"/>
      <c r="AT1606" s="8"/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8"/>
      <c r="BG1606" s="8"/>
    </row>
    <row r="1607" spans="1:59" s="9" customFormat="1">
      <c r="A1607" s="8">
        <v>8228563352</v>
      </c>
      <c r="B1607" s="8" t="s">
        <v>2300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1</v>
      </c>
      <c r="W1607" s="9">
        <v>0</v>
      </c>
      <c r="X1607" s="9">
        <v>1</v>
      </c>
      <c r="AE1607" s="9">
        <f>IFERROR(VLOOKUP($A1607,pivot!$A:$G,計算式2026!AE$1,FALSE),0)</f>
        <v>0</v>
      </c>
      <c r="AF1607" s="9">
        <f>IFERROR(VLOOKUP($A1607,pivot!$A:$I,計算式2026!AF$1,FALSE),0)</f>
        <v>0</v>
      </c>
      <c r="AI1607" s="9">
        <f>IFERROR(VLOOKUP($A1607,pivot!$A:$I,計算式2026!AI$1,FALSE),0)</f>
        <v>0</v>
      </c>
      <c r="AJ1607" s="9">
        <f>IFERROR(VLOOKUP($A1607,pivot!$A:$I,計算式2026!AJ$1,FALSE),0)</f>
        <v>0</v>
      </c>
      <c r="AK1607" s="9">
        <f>IFERROR(VLOOKUP($A1607,pivot!$A:$I,計算式2026!AK$1,FALSE),0)</f>
        <v>0</v>
      </c>
      <c r="AL1607" s="9">
        <f>IFERROR(VLOOKUP($A1607,pivot!$A:$I,計算式2026!AL$1,FALSE),0)</f>
        <v>0</v>
      </c>
      <c r="AR1607" s="8"/>
      <c r="AS1607" s="8"/>
      <c r="AT1607" s="8"/>
      <c r="AU1607" s="8"/>
      <c r="AV1607" s="8"/>
      <c r="AW1607" s="8"/>
      <c r="AX1607" s="8"/>
      <c r="AY1607" s="8"/>
      <c r="AZ1607" s="8"/>
      <c r="BA1607" s="8"/>
      <c r="BB1607" s="8"/>
      <c r="BC1607" s="8"/>
      <c r="BD1607" s="8"/>
      <c r="BE1607" s="8"/>
      <c r="BF1607" s="8"/>
      <c r="BG1607" s="8"/>
    </row>
    <row r="1608" spans="1:59" s="9" customFormat="1">
      <c r="A1608" s="8" t="s">
        <v>2299</v>
      </c>
      <c r="B1608" s="8" t="s">
        <v>2300</v>
      </c>
      <c r="C1608" s="9">
        <v>1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R1608" s="9">
        <v>0</v>
      </c>
      <c r="S1608" s="9">
        <v>0</v>
      </c>
      <c r="T1608" s="9">
        <v>1</v>
      </c>
      <c r="U1608" s="9">
        <v>0</v>
      </c>
      <c r="V1608" s="9">
        <v>0</v>
      </c>
      <c r="W1608" s="9">
        <v>0</v>
      </c>
      <c r="X1608" s="9">
        <v>1</v>
      </c>
      <c r="AE1608" s="9">
        <f>IFERROR(VLOOKUP($A1608,pivot!$A:$G,計算式2026!AE$1,FALSE),0)</f>
        <v>0</v>
      </c>
      <c r="AF1608" s="9">
        <f>IFERROR(VLOOKUP($A1608,pivot!$A:$I,計算式2026!AF$1,FALSE),0)</f>
        <v>0</v>
      </c>
      <c r="AI1608" s="9">
        <f>IFERROR(VLOOKUP($A1608,pivot!$A:$I,計算式2026!AI$1,FALSE),0)</f>
        <v>0</v>
      </c>
      <c r="AJ1608" s="9">
        <f>IFERROR(VLOOKUP($A1608,pivot!$A:$I,計算式2026!AJ$1,FALSE),0)</f>
        <v>0</v>
      </c>
      <c r="AK1608" s="9">
        <f>IFERROR(VLOOKUP($A1608,pivot!$A:$I,計算式2026!AK$1,FALSE),0)</f>
        <v>0</v>
      </c>
      <c r="AL1608" s="9">
        <f>IFERROR(VLOOKUP($A1608,pivot!$A:$I,計算式2026!AL$1,FALSE),0)</f>
        <v>0</v>
      </c>
      <c r="AR1608" s="8"/>
      <c r="AS1608" s="8"/>
      <c r="AT1608" s="8"/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8"/>
      <c r="BG1608" s="8"/>
    </row>
    <row r="1609" spans="1:59" s="9" customFormat="1">
      <c r="A1609" s="8" t="s">
        <v>2301</v>
      </c>
      <c r="B1609" s="8" t="s">
        <v>2300</v>
      </c>
      <c r="C1609" s="9">
        <v>16</v>
      </c>
      <c r="D1609" s="9">
        <v>0</v>
      </c>
      <c r="E1609" s="9">
        <v>0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R1609" s="9">
        <v>0</v>
      </c>
      <c r="S1609" s="9">
        <v>0</v>
      </c>
      <c r="T1609" s="9">
        <v>1</v>
      </c>
      <c r="U1609" s="9">
        <v>0</v>
      </c>
      <c r="V1609" s="9">
        <v>0</v>
      </c>
      <c r="W1609" s="9">
        <v>0</v>
      </c>
      <c r="X1609" s="9">
        <v>1</v>
      </c>
      <c r="AE1609" s="9">
        <f>IFERROR(VLOOKUP($A1609,pivot!$A:$G,計算式2026!AE$1,FALSE),0)</f>
        <v>0</v>
      </c>
      <c r="AF1609" s="9">
        <f>IFERROR(VLOOKUP($A1609,pivot!$A:$I,計算式2026!AF$1,FALSE),0)</f>
        <v>0</v>
      </c>
      <c r="AI1609" s="9">
        <f>IFERROR(VLOOKUP($A1609,pivot!$A:$I,計算式2026!AI$1,FALSE),0)</f>
        <v>0</v>
      </c>
      <c r="AJ1609" s="9">
        <f>IFERROR(VLOOKUP($A1609,pivot!$A:$I,計算式2026!AJ$1,FALSE),0)</f>
        <v>0</v>
      </c>
      <c r="AK1609" s="9">
        <f>IFERROR(VLOOKUP($A1609,pivot!$A:$I,計算式2026!AK$1,FALSE),0)</f>
        <v>0</v>
      </c>
      <c r="AL1609" s="9">
        <f>IFERROR(VLOOKUP($A1609,pivot!$A:$I,計算式2026!AL$1,FALSE),0)</f>
        <v>0</v>
      </c>
      <c r="AR1609" s="8"/>
      <c r="AS1609" s="8"/>
      <c r="AT1609" s="8"/>
      <c r="AU1609" s="8"/>
      <c r="AV1609" s="8"/>
      <c r="AW1609" s="8"/>
      <c r="AX1609" s="8"/>
      <c r="AY1609" s="8"/>
      <c r="AZ1609" s="8"/>
      <c r="BA1609" s="8"/>
      <c r="BB1609" s="8"/>
      <c r="BC1609" s="8"/>
      <c r="BD1609" s="8"/>
      <c r="BE1609" s="8"/>
      <c r="BF1609" s="8"/>
      <c r="BG1609" s="8"/>
    </row>
    <row r="1610" spans="1:59" s="9" customFormat="1">
      <c r="A1610" s="8" t="s">
        <v>2302</v>
      </c>
      <c r="B1610" s="8" t="s">
        <v>2300</v>
      </c>
      <c r="C1610" s="9">
        <v>3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R1610" s="9">
        <v>0</v>
      </c>
      <c r="S1610" s="9">
        <v>0</v>
      </c>
      <c r="T1610" s="9">
        <v>1</v>
      </c>
      <c r="U1610" s="9">
        <v>0</v>
      </c>
      <c r="V1610" s="9">
        <v>0</v>
      </c>
      <c r="W1610" s="9">
        <v>0</v>
      </c>
      <c r="X1610" s="9">
        <v>1</v>
      </c>
      <c r="AE1610" s="9">
        <f>IFERROR(VLOOKUP($A1610,pivot!$A:$G,計算式2026!AE$1,FALSE),0)</f>
        <v>0</v>
      </c>
      <c r="AF1610" s="9">
        <f>IFERROR(VLOOKUP($A1610,pivot!$A:$I,計算式2026!AF$1,FALSE),0)</f>
        <v>0</v>
      </c>
      <c r="AI1610" s="9">
        <f>IFERROR(VLOOKUP($A1610,pivot!$A:$I,計算式2026!AI$1,FALSE),0)</f>
        <v>0</v>
      </c>
      <c r="AJ1610" s="9">
        <f>IFERROR(VLOOKUP($A1610,pivot!$A:$I,計算式2026!AJ$1,FALSE),0)</f>
        <v>0</v>
      </c>
      <c r="AK1610" s="9">
        <f>IFERROR(VLOOKUP($A1610,pivot!$A:$I,計算式2026!AK$1,FALSE),0)</f>
        <v>0</v>
      </c>
      <c r="AL1610" s="9">
        <f>IFERROR(VLOOKUP($A1610,pivot!$A:$I,計算式2026!AL$1,FALSE),0)</f>
        <v>0</v>
      </c>
      <c r="AR1610" s="8"/>
      <c r="AS1610" s="8"/>
      <c r="AT1610" s="8"/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8"/>
      <c r="BG1610" s="8"/>
    </row>
    <row r="1611" spans="1:59" s="9" customFormat="1">
      <c r="A1611" s="8" t="s">
        <v>2303</v>
      </c>
      <c r="B1611" s="8" t="s">
        <v>2304</v>
      </c>
      <c r="C1611" s="9">
        <v>0</v>
      </c>
      <c r="D1611" s="9">
        <v>0</v>
      </c>
      <c r="E1611" s="9">
        <v>0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R1611" s="9">
        <v>0</v>
      </c>
      <c r="S1611" s="9">
        <v>2</v>
      </c>
      <c r="T1611" s="9">
        <v>1</v>
      </c>
      <c r="U1611" s="9">
        <v>0</v>
      </c>
      <c r="V1611" s="9">
        <v>2</v>
      </c>
      <c r="W1611" s="9">
        <v>0</v>
      </c>
      <c r="X1611" s="9">
        <v>2</v>
      </c>
      <c r="AE1611" s="9">
        <f>IFERROR(VLOOKUP($A1611,pivot!$A:$G,計算式2026!AE$1,FALSE),0)</f>
        <v>0</v>
      </c>
      <c r="AF1611" s="9">
        <f>IFERROR(VLOOKUP($A1611,pivot!$A:$I,計算式2026!AF$1,FALSE),0)</f>
        <v>0</v>
      </c>
      <c r="AI1611" s="9">
        <f>IFERROR(VLOOKUP($A1611,pivot!$A:$I,計算式2026!AI$1,FALSE),0)</f>
        <v>0</v>
      </c>
      <c r="AJ1611" s="9">
        <f>IFERROR(VLOOKUP($A1611,pivot!$A:$I,計算式2026!AJ$1,FALSE),0)</f>
        <v>0</v>
      </c>
      <c r="AK1611" s="9">
        <f>IFERROR(VLOOKUP($A1611,pivot!$A:$I,計算式2026!AK$1,FALSE),0)</f>
        <v>0</v>
      </c>
      <c r="AL1611" s="9">
        <f>IFERROR(VLOOKUP($A1611,pivot!$A:$I,計算式2026!AL$1,FALSE),0)</f>
        <v>0</v>
      </c>
      <c r="AR1611" s="8"/>
      <c r="AS1611" s="8"/>
      <c r="AT1611" s="8"/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8"/>
      <c r="BG1611" s="8"/>
    </row>
    <row r="1612" spans="1:59" s="9" customFormat="1">
      <c r="A1612" s="8" t="s">
        <v>2305</v>
      </c>
      <c r="B1612" s="8" t="s">
        <v>2304</v>
      </c>
      <c r="C1612" s="9">
        <v>0</v>
      </c>
      <c r="D1612" s="9">
        <v>0</v>
      </c>
      <c r="E1612" s="9">
        <v>0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R1612" s="9">
        <v>0</v>
      </c>
      <c r="S1612" s="9">
        <v>1</v>
      </c>
      <c r="T1612" s="9">
        <v>1</v>
      </c>
      <c r="U1612" s="9">
        <v>0</v>
      </c>
      <c r="V1612" s="9">
        <v>2</v>
      </c>
      <c r="W1612" s="9">
        <v>0</v>
      </c>
      <c r="X1612" s="9">
        <v>1</v>
      </c>
      <c r="AE1612" s="9">
        <f>IFERROR(VLOOKUP($A1612,pivot!$A:$G,計算式2026!AE$1,FALSE),0)</f>
        <v>0</v>
      </c>
      <c r="AF1612" s="9">
        <f>IFERROR(VLOOKUP($A1612,pivot!$A:$I,計算式2026!AF$1,FALSE),0)</f>
        <v>0</v>
      </c>
      <c r="AI1612" s="9">
        <f>IFERROR(VLOOKUP($A1612,pivot!$A:$I,計算式2026!AI$1,FALSE),0)</f>
        <v>0</v>
      </c>
      <c r="AJ1612" s="9">
        <f>IFERROR(VLOOKUP($A1612,pivot!$A:$I,計算式2026!AJ$1,FALSE),0)</f>
        <v>0</v>
      </c>
      <c r="AK1612" s="9">
        <f>IFERROR(VLOOKUP($A1612,pivot!$A:$I,計算式2026!AK$1,FALSE),0)</f>
        <v>0</v>
      </c>
      <c r="AL1612" s="9">
        <f>IFERROR(VLOOKUP($A1612,pivot!$A:$I,計算式2026!AL$1,FALSE),0)</f>
        <v>0</v>
      </c>
      <c r="AR1612" s="8"/>
      <c r="AS1612" s="8"/>
      <c r="AT1612" s="8"/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8"/>
      <c r="BG1612" s="8"/>
    </row>
    <row r="1613" spans="1:59" s="9" customFormat="1">
      <c r="A1613" s="8" t="s">
        <v>2306</v>
      </c>
      <c r="B1613" s="8" t="s">
        <v>2304</v>
      </c>
      <c r="C1613" s="9">
        <v>0</v>
      </c>
      <c r="D1613" s="9">
        <v>0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R1613" s="9">
        <v>0</v>
      </c>
      <c r="S1613" s="9">
        <v>0</v>
      </c>
      <c r="T1613" s="9">
        <v>1</v>
      </c>
      <c r="U1613" s="9">
        <v>0</v>
      </c>
      <c r="V1613" s="9">
        <v>1</v>
      </c>
      <c r="W1613" s="9">
        <v>0</v>
      </c>
      <c r="X1613" s="9">
        <v>0</v>
      </c>
      <c r="AE1613" s="9">
        <f>IFERROR(VLOOKUP($A1613,pivot!$A:$G,計算式2026!AE$1,FALSE),0)</f>
        <v>0</v>
      </c>
      <c r="AF1613" s="9">
        <f>IFERROR(VLOOKUP($A1613,pivot!$A:$I,計算式2026!AF$1,FALSE),0)</f>
        <v>0</v>
      </c>
      <c r="AI1613" s="9">
        <f>IFERROR(VLOOKUP($A1613,pivot!$A:$I,計算式2026!AI$1,FALSE),0)</f>
        <v>0</v>
      </c>
      <c r="AJ1613" s="9">
        <f>IFERROR(VLOOKUP($A1613,pivot!$A:$I,計算式2026!AJ$1,FALSE),0)</f>
        <v>0</v>
      </c>
      <c r="AK1613" s="9">
        <f>IFERROR(VLOOKUP($A1613,pivot!$A:$I,計算式2026!AK$1,FALSE),0)</f>
        <v>0</v>
      </c>
      <c r="AL1613" s="9">
        <f>IFERROR(VLOOKUP($A1613,pivot!$A:$I,計算式2026!AL$1,FALSE),0)</f>
        <v>0</v>
      </c>
      <c r="AR1613" s="8"/>
      <c r="AS1613" s="8"/>
      <c r="AT1613" s="8"/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8"/>
      <c r="BG1613" s="8"/>
    </row>
    <row r="1614" spans="1:59" s="9" customFormat="1">
      <c r="A1614" s="8" t="s">
        <v>2307</v>
      </c>
      <c r="B1614" s="8" t="s">
        <v>2308</v>
      </c>
      <c r="C1614" s="9">
        <v>0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1</v>
      </c>
      <c r="W1614" s="9">
        <v>0</v>
      </c>
      <c r="X1614" s="9">
        <v>1</v>
      </c>
      <c r="AE1614" s="9">
        <f>IFERROR(VLOOKUP($A1614,pivot!$A:$G,計算式2026!AE$1,FALSE),0)</f>
        <v>0</v>
      </c>
      <c r="AF1614" s="9">
        <f>IFERROR(VLOOKUP($A1614,pivot!$A:$I,計算式2026!AF$1,FALSE),0)</f>
        <v>0</v>
      </c>
      <c r="AI1614" s="9">
        <f>IFERROR(VLOOKUP($A1614,pivot!$A:$I,計算式2026!AI$1,FALSE),0)</f>
        <v>0</v>
      </c>
      <c r="AJ1614" s="9">
        <f>IFERROR(VLOOKUP($A1614,pivot!$A:$I,計算式2026!AJ$1,FALSE),0)</f>
        <v>0</v>
      </c>
      <c r="AK1614" s="9">
        <f>IFERROR(VLOOKUP($A1614,pivot!$A:$I,計算式2026!AK$1,FALSE),0)</f>
        <v>0</v>
      </c>
      <c r="AL1614" s="9">
        <f>IFERROR(VLOOKUP($A1614,pivot!$A:$I,計算式2026!AL$1,FALSE),0)</f>
        <v>0</v>
      </c>
      <c r="AR1614" s="8"/>
      <c r="AS1614" s="8"/>
      <c r="AT1614" s="8"/>
      <c r="AU1614" s="8"/>
      <c r="AV1614" s="8"/>
      <c r="AW1614" s="8"/>
      <c r="AX1614" s="8"/>
      <c r="AY1614" s="8"/>
      <c r="AZ1614" s="8"/>
      <c r="BA1614" s="8"/>
      <c r="BB1614" s="8"/>
      <c r="BC1614" s="8"/>
      <c r="BD1614" s="8"/>
      <c r="BE1614" s="8"/>
      <c r="BF1614" s="8"/>
      <c r="BG1614" s="8"/>
    </row>
    <row r="1615" spans="1:59" s="9" customFormat="1">
      <c r="A1615" s="8" t="s">
        <v>2309</v>
      </c>
      <c r="B1615" s="8" t="s">
        <v>2308</v>
      </c>
      <c r="C1615" s="9">
        <v>0</v>
      </c>
      <c r="D1615" s="9">
        <v>0</v>
      </c>
      <c r="E1615" s="9">
        <v>0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AE1615" s="9">
        <f>IFERROR(VLOOKUP($A1615,pivot!$A:$G,計算式2026!AE$1,FALSE),0)</f>
        <v>0</v>
      </c>
      <c r="AF1615" s="9">
        <f>IFERROR(VLOOKUP($A1615,pivot!$A:$I,計算式2026!AF$1,FALSE),0)</f>
        <v>0</v>
      </c>
      <c r="AI1615" s="9">
        <f>IFERROR(VLOOKUP($A1615,pivot!$A:$I,計算式2026!AI$1,FALSE),0)</f>
        <v>0</v>
      </c>
      <c r="AJ1615" s="9">
        <f>IFERROR(VLOOKUP($A1615,pivot!$A:$I,計算式2026!AJ$1,FALSE),0)</f>
        <v>0</v>
      </c>
      <c r="AK1615" s="9">
        <f>IFERROR(VLOOKUP($A1615,pivot!$A:$I,計算式2026!AK$1,FALSE),0)</f>
        <v>0</v>
      </c>
      <c r="AL1615" s="9">
        <f>IFERROR(VLOOKUP($A1615,pivot!$A:$I,計算式2026!AL$1,FALSE),0)</f>
        <v>0</v>
      </c>
      <c r="AR1615" s="8"/>
      <c r="AS1615" s="8"/>
      <c r="AT1615" s="8"/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8"/>
      <c r="BG1615" s="8"/>
    </row>
    <row r="1616" spans="1:59" s="9" customFormat="1">
      <c r="A1616" s="8" t="s">
        <v>2310</v>
      </c>
      <c r="B1616" s="8" t="s">
        <v>2308</v>
      </c>
      <c r="C1616" s="9">
        <v>1</v>
      </c>
      <c r="D1616" s="9">
        <v>1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R1616" s="9">
        <v>0</v>
      </c>
      <c r="S1616" s="9">
        <v>1</v>
      </c>
      <c r="T1616" s="9">
        <v>0</v>
      </c>
      <c r="U1616" s="9">
        <v>0</v>
      </c>
      <c r="V1616" s="9">
        <v>1</v>
      </c>
      <c r="W1616" s="9">
        <v>0</v>
      </c>
      <c r="X1616" s="9">
        <v>1</v>
      </c>
      <c r="AE1616" s="9">
        <f>IFERROR(VLOOKUP($A1616,pivot!$A:$G,計算式2026!AE$1,FALSE),0)</f>
        <v>0</v>
      </c>
      <c r="AF1616" s="9">
        <f>IFERROR(VLOOKUP($A1616,pivot!$A:$I,計算式2026!AF$1,FALSE),0)</f>
        <v>0</v>
      </c>
      <c r="AI1616" s="9">
        <f>IFERROR(VLOOKUP($A1616,pivot!$A:$I,計算式2026!AI$1,FALSE),0)</f>
        <v>0</v>
      </c>
      <c r="AJ1616" s="9">
        <f>IFERROR(VLOOKUP($A1616,pivot!$A:$I,計算式2026!AJ$1,FALSE),0)</f>
        <v>0</v>
      </c>
      <c r="AK1616" s="9">
        <f>IFERROR(VLOOKUP($A1616,pivot!$A:$I,計算式2026!AK$1,FALSE),0)</f>
        <v>0</v>
      </c>
      <c r="AL1616" s="9">
        <f>IFERROR(VLOOKUP($A1616,pivot!$A:$I,計算式2026!AL$1,FALSE),0)</f>
        <v>0</v>
      </c>
      <c r="AR1616" s="8"/>
      <c r="AS1616" s="8"/>
      <c r="AT1616" s="8"/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8"/>
      <c r="BG1616" s="8"/>
    </row>
    <row r="1617" spans="1:59" s="9" customFormat="1">
      <c r="A1617" s="8" t="s">
        <v>1809</v>
      </c>
      <c r="B1617" s="8" t="s">
        <v>984</v>
      </c>
      <c r="C1617" s="9">
        <v>3</v>
      </c>
      <c r="D1617" s="9">
        <v>0</v>
      </c>
      <c r="E1617" s="9">
        <v>0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AE1617" s="9">
        <f>IFERROR(VLOOKUP($A1617,pivot!$A:$G,計算式2026!AE$1,FALSE),0)</f>
        <v>0</v>
      </c>
      <c r="AF1617" s="9">
        <f>IFERROR(VLOOKUP($A1617,pivot!$A:$I,計算式2026!AF$1,FALSE),0)</f>
        <v>0</v>
      </c>
      <c r="AI1617" s="9">
        <f>IFERROR(VLOOKUP($A1617,pivot!$A:$I,計算式2026!AI$1,FALSE),0)</f>
        <v>0</v>
      </c>
      <c r="AJ1617" s="9">
        <f>IFERROR(VLOOKUP($A1617,pivot!$A:$I,計算式2026!AJ$1,FALSE),0)</f>
        <v>0</v>
      </c>
      <c r="AK1617" s="9">
        <f>IFERROR(VLOOKUP($A1617,pivot!$A:$I,計算式2026!AK$1,FALSE),0)</f>
        <v>0</v>
      </c>
      <c r="AL1617" s="9">
        <f>IFERROR(VLOOKUP($A1617,pivot!$A:$I,計算式2026!AL$1,FALSE),0)</f>
        <v>0</v>
      </c>
      <c r="AR1617" s="8"/>
      <c r="AS1617" s="8"/>
      <c r="AT1617" s="8"/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8"/>
      <c r="BG1617" s="8"/>
    </row>
    <row r="1618" spans="1:59" s="9" customFormat="1">
      <c r="A1618" s="8" t="s">
        <v>1810</v>
      </c>
      <c r="B1618" s="8" t="s">
        <v>984</v>
      </c>
      <c r="C1618" s="9">
        <v>3</v>
      </c>
      <c r="D1618" s="9">
        <v>0</v>
      </c>
      <c r="E1618" s="9">
        <v>0</v>
      </c>
      <c r="F1618" s="9">
        <v>0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AE1618" s="9">
        <f>IFERROR(VLOOKUP($A1618,pivot!$A:$G,計算式2026!AE$1,FALSE),0)</f>
        <v>0</v>
      </c>
      <c r="AF1618" s="9">
        <f>IFERROR(VLOOKUP($A1618,pivot!$A:$I,計算式2026!AF$1,FALSE),0)</f>
        <v>0</v>
      </c>
      <c r="AI1618" s="9">
        <f>IFERROR(VLOOKUP($A1618,pivot!$A:$I,計算式2026!AI$1,FALSE),0)</f>
        <v>0</v>
      </c>
      <c r="AJ1618" s="9">
        <f>IFERROR(VLOOKUP($A1618,pivot!$A:$I,計算式2026!AJ$1,FALSE),0)</f>
        <v>0</v>
      </c>
      <c r="AK1618" s="9">
        <f>IFERROR(VLOOKUP($A1618,pivot!$A:$I,計算式2026!AK$1,FALSE),0)</f>
        <v>0</v>
      </c>
      <c r="AL1618" s="9">
        <f>IFERROR(VLOOKUP($A1618,pivot!$A:$I,計算式2026!AL$1,FALSE),0)</f>
        <v>0</v>
      </c>
      <c r="AR1618" s="8"/>
      <c r="AS1618" s="8"/>
      <c r="AT1618" s="8"/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8"/>
      <c r="BG1618" s="8"/>
    </row>
    <row r="1619" spans="1:59" s="9" customFormat="1">
      <c r="A1619" s="8" t="s">
        <v>1811</v>
      </c>
      <c r="B1619" s="8" t="s">
        <v>984</v>
      </c>
      <c r="C1619" s="9">
        <v>7</v>
      </c>
      <c r="D1619" s="9">
        <v>0</v>
      </c>
      <c r="E1619" s="9">
        <v>0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AE1619" s="9">
        <f>IFERROR(VLOOKUP($A1619,pivot!$A:$G,計算式2026!AE$1,FALSE),0)</f>
        <v>0</v>
      </c>
      <c r="AF1619" s="9">
        <f>IFERROR(VLOOKUP($A1619,pivot!$A:$I,計算式2026!AF$1,FALSE),0)</f>
        <v>0</v>
      </c>
      <c r="AI1619" s="9">
        <f>IFERROR(VLOOKUP($A1619,pivot!$A:$I,計算式2026!AI$1,FALSE),0)</f>
        <v>0</v>
      </c>
      <c r="AJ1619" s="9">
        <f>IFERROR(VLOOKUP($A1619,pivot!$A:$I,計算式2026!AJ$1,FALSE),0)</f>
        <v>0</v>
      </c>
      <c r="AK1619" s="9">
        <f>IFERROR(VLOOKUP($A1619,pivot!$A:$I,計算式2026!AK$1,FALSE),0)</f>
        <v>0</v>
      </c>
      <c r="AL1619" s="9">
        <f>IFERROR(VLOOKUP($A1619,pivot!$A:$I,計算式2026!AL$1,FALSE),0)</f>
        <v>0</v>
      </c>
      <c r="AR1619" s="8"/>
      <c r="AS1619" s="8"/>
      <c r="AT1619" s="8"/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8"/>
      <c r="BG1619" s="8"/>
    </row>
    <row r="1620" spans="1:59" s="9" customFormat="1">
      <c r="A1620" s="8" t="s">
        <v>1812</v>
      </c>
      <c r="B1620" s="8" t="s">
        <v>984</v>
      </c>
      <c r="C1620" s="9">
        <v>3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AE1620" s="9">
        <f>IFERROR(VLOOKUP($A1620,pivot!$A:$G,計算式2026!AE$1,FALSE),0)</f>
        <v>0</v>
      </c>
      <c r="AF1620" s="9">
        <f>IFERROR(VLOOKUP($A1620,pivot!$A:$I,計算式2026!AF$1,FALSE),0)</f>
        <v>0</v>
      </c>
      <c r="AI1620" s="9">
        <f>IFERROR(VLOOKUP($A1620,pivot!$A:$I,計算式2026!AI$1,FALSE),0)</f>
        <v>0</v>
      </c>
      <c r="AJ1620" s="9">
        <f>IFERROR(VLOOKUP($A1620,pivot!$A:$I,計算式2026!AJ$1,FALSE),0)</f>
        <v>0</v>
      </c>
      <c r="AK1620" s="9">
        <f>IFERROR(VLOOKUP($A1620,pivot!$A:$I,計算式2026!AK$1,FALSE),0)</f>
        <v>0</v>
      </c>
      <c r="AL1620" s="9">
        <f>IFERROR(VLOOKUP($A1620,pivot!$A:$I,計算式2026!AL$1,FALSE),0)</f>
        <v>0</v>
      </c>
      <c r="AR1620" s="8"/>
      <c r="AS1620" s="8"/>
      <c r="AT1620" s="8"/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8"/>
      <c r="BG1620" s="8"/>
    </row>
    <row r="1621" spans="1:59" s="9" customFormat="1">
      <c r="A1621" s="8" t="s">
        <v>1813</v>
      </c>
      <c r="B1621" s="8" t="s">
        <v>984</v>
      </c>
      <c r="C1621" s="9">
        <v>2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AE1621" s="9">
        <f>IFERROR(VLOOKUP($A1621,pivot!$A:$G,計算式2026!AE$1,FALSE),0)</f>
        <v>0</v>
      </c>
      <c r="AF1621" s="9">
        <f>IFERROR(VLOOKUP($A1621,pivot!$A:$I,計算式2026!AF$1,FALSE),0)</f>
        <v>0</v>
      </c>
      <c r="AI1621" s="9">
        <f>IFERROR(VLOOKUP($A1621,pivot!$A:$I,計算式2026!AI$1,FALSE),0)</f>
        <v>0</v>
      </c>
      <c r="AJ1621" s="9">
        <f>IFERROR(VLOOKUP($A1621,pivot!$A:$I,計算式2026!AJ$1,FALSE),0)</f>
        <v>0</v>
      </c>
      <c r="AK1621" s="9">
        <f>IFERROR(VLOOKUP($A1621,pivot!$A:$I,計算式2026!AK$1,FALSE),0)</f>
        <v>0</v>
      </c>
      <c r="AL1621" s="9">
        <f>IFERROR(VLOOKUP($A1621,pivot!$A:$I,計算式2026!AL$1,FALSE),0)</f>
        <v>0</v>
      </c>
      <c r="AR1621" s="8"/>
      <c r="AS1621" s="8"/>
      <c r="AT1621" s="8"/>
      <c r="AU1621" s="8"/>
      <c r="AV1621" s="8"/>
      <c r="AW1621" s="8"/>
      <c r="AX1621" s="8"/>
      <c r="AY1621" s="8"/>
      <c r="AZ1621" s="8"/>
      <c r="BA1621" s="8"/>
      <c r="BB1621" s="8"/>
      <c r="BC1621" s="8"/>
      <c r="BD1621" s="8"/>
      <c r="BE1621" s="8"/>
      <c r="BF1621" s="8"/>
      <c r="BG1621" s="8"/>
    </row>
    <row r="1622" spans="1:59" s="9" customFormat="1">
      <c r="A1622" s="8" t="s">
        <v>1814</v>
      </c>
      <c r="B1622" s="8" t="s">
        <v>984</v>
      </c>
      <c r="C1622" s="9">
        <v>6</v>
      </c>
      <c r="D1622" s="9">
        <v>0</v>
      </c>
      <c r="E1622" s="9">
        <v>0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AE1622" s="9">
        <f>IFERROR(VLOOKUP($A1622,pivot!$A:$G,計算式2026!AE$1,FALSE),0)</f>
        <v>0</v>
      </c>
      <c r="AF1622" s="9">
        <f>IFERROR(VLOOKUP($A1622,pivot!$A:$I,計算式2026!AF$1,FALSE),0)</f>
        <v>0</v>
      </c>
      <c r="AI1622" s="9">
        <f>IFERROR(VLOOKUP($A1622,pivot!$A:$I,計算式2026!AI$1,FALSE),0)</f>
        <v>0</v>
      </c>
      <c r="AJ1622" s="9">
        <f>IFERROR(VLOOKUP($A1622,pivot!$A:$I,計算式2026!AJ$1,FALSE),0)</f>
        <v>0</v>
      </c>
      <c r="AK1622" s="9">
        <f>IFERROR(VLOOKUP($A1622,pivot!$A:$I,計算式2026!AK$1,FALSE),0)</f>
        <v>0</v>
      </c>
      <c r="AL1622" s="9">
        <f>IFERROR(VLOOKUP($A1622,pivot!$A:$I,計算式2026!AL$1,FALSE),0)</f>
        <v>0</v>
      </c>
      <c r="AR1622" s="8"/>
      <c r="AS1622" s="8"/>
      <c r="AT1622" s="8"/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8"/>
      <c r="BG1622" s="8"/>
    </row>
    <row r="1623" spans="1:59" s="9" customFormat="1">
      <c r="A1623" s="8" t="s">
        <v>1815</v>
      </c>
      <c r="B1623" s="8" t="s">
        <v>984</v>
      </c>
      <c r="C1623" s="9">
        <v>1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AE1623" s="9">
        <f>IFERROR(VLOOKUP($A1623,pivot!$A:$G,計算式2026!AE$1,FALSE),0)</f>
        <v>0</v>
      </c>
      <c r="AF1623" s="9">
        <f>IFERROR(VLOOKUP($A1623,pivot!$A:$I,計算式2026!AF$1,FALSE),0)</f>
        <v>0</v>
      </c>
      <c r="AI1623" s="9">
        <f>IFERROR(VLOOKUP($A1623,pivot!$A:$I,計算式2026!AI$1,FALSE),0)</f>
        <v>0</v>
      </c>
      <c r="AJ1623" s="9">
        <f>IFERROR(VLOOKUP($A1623,pivot!$A:$I,計算式2026!AJ$1,FALSE),0)</f>
        <v>0</v>
      </c>
      <c r="AK1623" s="9">
        <f>IFERROR(VLOOKUP($A1623,pivot!$A:$I,計算式2026!AK$1,FALSE),0)</f>
        <v>0</v>
      </c>
      <c r="AL1623" s="9">
        <f>IFERROR(VLOOKUP($A1623,pivot!$A:$I,計算式2026!AL$1,FALSE),0)</f>
        <v>0</v>
      </c>
      <c r="AR1623" s="8"/>
      <c r="AS1623" s="8"/>
      <c r="AT1623" s="8"/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8"/>
      <c r="BG1623" s="8"/>
    </row>
    <row r="1624" spans="1:59" s="9" customFormat="1">
      <c r="A1624" s="8" t="s">
        <v>985</v>
      </c>
      <c r="B1624" s="8" t="s">
        <v>986</v>
      </c>
      <c r="C1624" s="9">
        <v>2</v>
      </c>
      <c r="D1624" s="9">
        <v>0</v>
      </c>
      <c r="E1624" s="9">
        <v>0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R1624" s="9">
        <v>0</v>
      </c>
      <c r="S1624" s="9">
        <v>0</v>
      </c>
      <c r="T1624" s="9">
        <v>1</v>
      </c>
      <c r="U1624" s="9">
        <v>0</v>
      </c>
      <c r="V1624" s="9">
        <v>0</v>
      </c>
      <c r="W1624" s="9">
        <v>0</v>
      </c>
      <c r="X1624" s="9">
        <v>1</v>
      </c>
      <c r="AE1624" s="9">
        <f>IFERROR(VLOOKUP($A1624,pivot!$A:$G,計算式2026!AE$1,FALSE),0)</f>
        <v>0</v>
      </c>
      <c r="AF1624" s="9">
        <f>IFERROR(VLOOKUP($A1624,pivot!$A:$I,計算式2026!AF$1,FALSE),0)</f>
        <v>0</v>
      </c>
      <c r="AI1624" s="9">
        <f>IFERROR(VLOOKUP($A1624,pivot!$A:$I,計算式2026!AI$1,FALSE),0)</f>
        <v>0</v>
      </c>
      <c r="AJ1624" s="9">
        <f>IFERROR(VLOOKUP($A1624,pivot!$A:$I,計算式2026!AJ$1,FALSE),0)</f>
        <v>0</v>
      </c>
      <c r="AK1624" s="9">
        <f>IFERROR(VLOOKUP($A1624,pivot!$A:$I,計算式2026!AK$1,FALSE),0)</f>
        <v>0</v>
      </c>
      <c r="AL1624" s="9">
        <f>IFERROR(VLOOKUP($A1624,pivot!$A:$I,計算式2026!AL$1,FALSE),0)</f>
        <v>0</v>
      </c>
      <c r="AR1624" s="8"/>
      <c r="AS1624" s="8"/>
      <c r="AT1624" s="8"/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8"/>
      <c r="BG1624" s="8"/>
    </row>
    <row r="1625" spans="1:59" s="9" customFormat="1">
      <c r="A1625" s="8" t="s">
        <v>987</v>
      </c>
      <c r="B1625" s="8" t="s">
        <v>986</v>
      </c>
      <c r="C1625" s="9">
        <v>6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R1625" s="9">
        <v>0</v>
      </c>
      <c r="S1625" s="9">
        <v>0</v>
      </c>
      <c r="T1625" s="9">
        <v>1</v>
      </c>
      <c r="U1625" s="9">
        <v>0</v>
      </c>
      <c r="V1625" s="9">
        <v>0</v>
      </c>
      <c r="W1625" s="9">
        <v>0</v>
      </c>
      <c r="X1625" s="9">
        <v>1</v>
      </c>
      <c r="AE1625" s="9">
        <f>IFERROR(VLOOKUP($A1625,pivot!$A:$G,計算式2026!AE$1,FALSE),0)</f>
        <v>0</v>
      </c>
      <c r="AF1625" s="9">
        <f>IFERROR(VLOOKUP($A1625,pivot!$A:$I,計算式2026!AF$1,FALSE),0)</f>
        <v>0</v>
      </c>
      <c r="AI1625" s="9">
        <f>IFERROR(VLOOKUP($A1625,pivot!$A:$I,計算式2026!AI$1,FALSE),0)</f>
        <v>0</v>
      </c>
      <c r="AJ1625" s="9">
        <f>IFERROR(VLOOKUP($A1625,pivot!$A:$I,計算式2026!AJ$1,FALSE),0)</f>
        <v>0</v>
      </c>
      <c r="AK1625" s="9">
        <f>IFERROR(VLOOKUP($A1625,pivot!$A:$I,計算式2026!AK$1,FALSE),0)</f>
        <v>0</v>
      </c>
      <c r="AL1625" s="9">
        <f>IFERROR(VLOOKUP($A1625,pivot!$A:$I,計算式2026!AL$1,FALSE),0)</f>
        <v>0</v>
      </c>
      <c r="AR1625" s="8"/>
      <c r="AS1625" s="8"/>
      <c r="AT1625" s="8"/>
      <c r="AU1625" s="8"/>
      <c r="AV1625" s="8"/>
      <c r="AW1625" s="8"/>
      <c r="AX1625" s="8"/>
      <c r="AY1625" s="8"/>
      <c r="AZ1625" s="8"/>
      <c r="BA1625" s="8"/>
      <c r="BB1625" s="8"/>
      <c r="BC1625" s="8"/>
      <c r="BD1625" s="8"/>
      <c r="BE1625" s="8"/>
      <c r="BF1625" s="8"/>
      <c r="BG1625" s="8"/>
    </row>
    <row r="1626" spans="1:59" s="9" customFormat="1">
      <c r="A1626" s="8" t="s">
        <v>988</v>
      </c>
      <c r="B1626" s="8" t="s">
        <v>986</v>
      </c>
      <c r="C1626" s="9">
        <v>1</v>
      </c>
      <c r="D1626" s="9">
        <v>0</v>
      </c>
      <c r="E1626" s="9">
        <v>0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R1626" s="9">
        <v>0</v>
      </c>
      <c r="S1626" s="9">
        <v>0</v>
      </c>
      <c r="T1626" s="9">
        <v>1</v>
      </c>
      <c r="U1626" s="9">
        <v>0</v>
      </c>
      <c r="V1626" s="9">
        <v>0</v>
      </c>
      <c r="W1626" s="9">
        <v>0</v>
      </c>
      <c r="X1626" s="9">
        <v>1</v>
      </c>
      <c r="AE1626" s="9">
        <f>IFERROR(VLOOKUP($A1626,pivot!$A:$G,計算式2026!AE$1,FALSE),0)</f>
        <v>0</v>
      </c>
      <c r="AF1626" s="9">
        <f>IFERROR(VLOOKUP($A1626,pivot!$A:$I,計算式2026!AF$1,FALSE),0)</f>
        <v>0</v>
      </c>
      <c r="AI1626" s="9">
        <f>IFERROR(VLOOKUP($A1626,pivot!$A:$I,計算式2026!AI$1,FALSE),0)</f>
        <v>0</v>
      </c>
      <c r="AJ1626" s="9">
        <f>IFERROR(VLOOKUP($A1626,pivot!$A:$I,計算式2026!AJ$1,FALSE),0)</f>
        <v>0</v>
      </c>
      <c r="AK1626" s="9">
        <f>IFERROR(VLOOKUP($A1626,pivot!$A:$I,計算式2026!AK$1,FALSE),0)</f>
        <v>0</v>
      </c>
      <c r="AL1626" s="9">
        <f>IFERROR(VLOOKUP($A1626,pivot!$A:$I,計算式2026!AL$1,FALSE),0)</f>
        <v>0</v>
      </c>
      <c r="AR1626" s="8"/>
      <c r="AS1626" s="8"/>
      <c r="AT1626" s="8"/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8"/>
      <c r="BG1626" s="8"/>
    </row>
    <row r="1627" spans="1:59" s="9" customFormat="1">
      <c r="A1627" s="8" t="s">
        <v>989</v>
      </c>
      <c r="B1627" s="8" t="s">
        <v>986</v>
      </c>
      <c r="C1627" s="9">
        <v>2</v>
      </c>
      <c r="D1627" s="9">
        <v>0</v>
      </c>
      <c r="E1627" s="9">
        <v>0</v>
      </c>
      <c r="F1627" s="9">
        <v>0</v>
      </c>
      <c r="G1627" s="9">
        <v>0</v>
      </c>
      <c r="H1627" s="9">
        <v>0</v>
      </c>
      <c r="I1627" s="9">
        <v>0</v>
      </c>
      <c r="J1627" s="9">
        <v>0</v>
      </c>
      <c r="K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1</v>
      </c>
      <c r="AE1627" s="9">
        <f>IFERROR(VLOOKUP($A1627,pivot!$A:$G,計算式2026!AE$1,FALSE),0)</f>
        <v>0</v>
      </c>
      <c r="AF1627" s="9">
        <f>IFERROR(VLOOKUP($A1627,pivot!$A:$I,計算式2026!AF$1,FALSE),0)</f>
        <v>0</v>
      </c>
      <c r="AI1627" s="9">
        <f>IFERROR(VLOOKUP($A1627,pivot!$A:$I,計算式2026!AI$1,FALSE),0)</f>
        <v>0</v>
      </c>
      <c r="AJ1627" s="9">
        <f>IFERROR(VLOOKUP($A1627,pivot!$A:$I,計算式2026!AJ$1,FALSE),0)</f>
        <v>0</v>
      </c>
      <c r="AK1627" s="9">
        <f>IFERROR(VLOOKUP($A1627,pivot!$A:$I,計算式2026!AK$1,FALSE),0)</f>
        <v>0</v>
      </c>
      <c r="AL1627" s="9">
        <f>IFERROR(VLOOKUP($A1627,pivot!$A:$I,計算式2026!AL$1,FALSE),0)</f>
        <v>0</v>
      </c>
      <c r="AR1627" s="8"/>
      <c r="AS1627" s="8"/>
      <c r="AT1627" s="8"/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8"/>
      <c r="BG1627" s="8"/>
    </row>
    <row r="1628" spans="1:59" s="9" customFormat="1">
      <c r="A1628" s="8" t="s">
        <v>990</v>
      </c>
      <c r="B1628" s="8" t="s">
        <v>986</v>
      </c>
      <c r="C1628" s="9">
        <v>6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2</v>
      </c>
      <c r="AE1628" s="9">
        <f>IFERROR(VLOOKUP($A1628,pivot!$A:$G,計算式2026!AE$1,FALSE),0)</f>
        <v>0</v>
      </c>
      <c r="AF1628" s="9">
        <f>IFERROR(VLOOKUP($A1628,pivot!$A:$I,計算式2026!AF$1,FALSE),0)</f>
        <v>0</v>
      </c>
      <c r="AI1628" s="9">
        <f>IFERROR(VLOOKUP($A1628,pivot!$A:$I,計算式2026!AI$1,FALSE),0)</f>
        <v>0</v>
      </c>
      <c r="AJ1628" s="9">
        <f>IFERROR(VLOOKUP($A1628,pivot!$A:$I,計算式2026!AJ$1,FALSE),0)</f>
        <v>0</v>
      </c>
      <c r="AK1628" s="9">
        <f>IFERROR(VLOOKUP($A1628,pivot!$A:$I,計算式2026!AK$1,FALSE),0)</f>
        <v>0</v>
      </c>
      <c r="AL1628" s="9">
        <f>IFERROR(VLOOKUP($A1628,pivot!$A:$I,計算式2026!AL$1,FALSE),0)</f>
        <v>0</v>
      </c>
      <c r="AR1628" s="8"/>
      <c r="AS1628" s="8"/>
      <c r="AT1628" s="8"/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8"/>
      <c r="BG1628" s="8"/>
    </row>
    <row r="1629" spans="1:59" s="9" customFormat="1">
      <c r="A1629" s="8" t="s">
        <v>991</v>
      </c>
      <c r="B1629" s="8" t="s">
        <v>986</v>
      </c>
      <c r="C1629" s="9">
        <v>2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R1629" s="9">
        <v>0</v>
      </c>
      <c r="S1629" s="9">
        <v>0</v>
      </c>
      <c r="T1629" s="9">
        <v>1</v>
      </c>
      <c r="U1629" s="9">
        <v>0</v>
      </c>
      <c r="V1629" s="9">
        <v>0</v>
      </c>
      <c r="W1629" s="9">
        <v>0</v>
      </c>
      <c r="X1629" s="9">
        <v>1</v>
      </c>
      <c r="AE1629" s="9">
        <f>IFERROR(VLOOKUP($A1629,pivot!$A:$G,計算式2026!AE$1,FALSE),0)</f>
        <v>0</v>
      </c>
      <c r="AF1629" s="9">
        <f>IFERROR(VLOOKUP($A1629,pivot!$A:$I,計算式2026!AF$1,FALSE),0)</f>
        <v>0</v>
      </c>
      <c r="AI1629" s="9">
        <f>IFERROR(VLOOKUP($A1629,pivot!$A:$I,計算式2026!AI$1,FALSE),0)</f>
        <v>0</v>
      </c>
      <c r="AJ1629" s="9">
        <f>IFERROR(VLOOKUP($A1629,pivot!$A:$I,計算式2026!AJ$1,FALSE),0)</f>
        <v>0</v>
      </c>
      <c r="AK1629" s="9">
        <f>IFERROR(VLOOKUP($A1629,pivot!$A:$I,計算式2026!AK$1,FALSE),0)</f>
        <v>0</v>
      </c>
      <c r="AL1629" s="9">
        <f>IFERROR(VLOOKUP($A1629,pivot!$A:$I,計算式2026!AL$1,FALSE),0)</f>
        <v>0</v>
      </c>
      <c r="AR1629" s="8"/>
      <c r="AS1629" s="8"/>
      <c r="AT1629" s="8"/>
      <c r="AU1629" s="8"/>
      <c r="AV1629" s="8"/>
      <c r="AW1629" s="8"/>
      <c r="AX1629" s="8"/>
      <c r="AY1629" s="8"/>
      <c r="AZ1629" s="8"/>
      <c r="BA1629" s="8"/>
      <c r="BB1629" s="8"/>
      <c r="BC1629" s="8"/>
      <c r="BD1629" s="8"/>
      <c r="BE1629" s="8"/>
      <c r="BF1629" s="8"/>
      <c r="BG1629" s="8"/>
    </row>
    <row r="1630" spans="1:59" s="9" customFormat="1">
      <c r="A1630" s="8" t="s">
        <v>992</v>
      </c>
      <c r="B1630" s="8" t="s">
        <v>993</v>
      </c>
      <c r="C1630" s="9">
        <v>0</v>
      </c>
      <c r="D1630" s="9">
        <v>0</v>
      </c>
      <c r="E1630" s="9">
        <v>0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R1630" s="9">
        <v>0</v>
      </c>
      <c r="S1630" s="9">
        <v>0</v>
      </c>
      <c r="T1630" s="9">
        <v>1</v>
      </c>
      <c r="U1630" s="9">
        <v>0</v>
      </c>
      <c r="V1630" s="9">
        <v>0</v>
      </c>
      <c r="W1630" s="9">
        <v>0</v>
      </c>
      <c r="X1630" s="9">
        <v>1</v>
      </c>
      <c r="AE1630" s="9">
        <f>IFERROR(VLOOKUP($A1630,pivot!$A:$G,計算式2026!AE$1,FALSE),0)</f>
        <v>0</v>
      </c>
      <c r="AF1630" s="9">
        <f>IFERROR(VLOOKUP($A1630,pivot!$A:$I,計算式2026!AF$1,FALSE),0)</f>
        <v>0</v>
      </c>
      <c r="AI1630" s="9">
        <f>IFERROR(VLOOKUP($A1630,pivot!$A:$I,計算式2026!AI$1,FALSE),0)</f>
        <v>0</v>
      </c>
      <c r="AJ1630" s="9">
        <f>IFERROR(VLOOKUP($A1630,pivot!$A:$I,計算式2026!AJ$1,FALSE),0)</f>
        <v>0</v>
      </c>
      <c r="AK1630" s="9">
        <f>IFERROR(VLOOKUP($A1630,pivot!$A:$I,計算式2026!AK$1,FALSE),0)</f>
        <v>0</v>
      </c>
      <c r="AL1630" s="9">
        <f>IFERROR(VLOOKUP($A1630,pivot!$A:$I,計算式2026!AL$1,FALSE),0)</f>
        <v>0</v>
      </c>
      <c r="AR1630" s="8"/>
      <c r="AS1630" s="8"/>
      <c r="AT1630" s="8"/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8"/>
      <c r="BG1630" s="8"/>
    </row>
    <row r="1631" spans="1:59" s="9" customFormat="1">
      <c r="A1631" s="8" t="s">
        <v>994</v>
      </c>
      <c r="B1631" s="8" t="s">
        <v>993</v>
      </c>
      <c r="C1631" s="9">
        <v>0</v>
      </c>
      <c r="D1631" s="9">
        <v>0</v>
      </c>
      <c r="E1631" s="9">
        <v>0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1</v>
      </c>
      <c r="AE1631" s="9">
        <f>IFERROR(VLOOKUP($A1631,pivot!$A:$G,計算式2026!AE$1,FALSE),0)</f>
        <v>0</v>
      </c>
      <c r="AF1631" s="9">
        <f>IFERROR(VLOOKUP($A1631,pivot!$A:$I,計算式2026!AF$1,FALSE),0)</f>
        <v>0</v>
      </c>
      <c r="AI1631" s="9">
        <f>IFERROR(VLOOKUP($A1631,pivot!$A:$I,計算式2026!AI$1,FALSE),0)</f>
        <v>0</v>
      </c>
      <c r="AJ1631" s="9">
        <f>IFERROR(VLOOKUP($A1631,pivot!$A:$I,計算式2026!AJ$1,FALSE),0)</f>
        <v>0</v>
      </c>
      <c r="AK1631" s="9">
        <f>IFERROR(VLOOKUP($A1631,pivot!$A:$I,計算式2026!AK$1,FALSE),0)</f>
        <v>0</v>
      </c>
      <c r="AL1631" s="9">
        <f>IFERROR(VLOOKUP($A1631,pivot!$A:$I,計算式2026!AL$1,FALSE),0)</f>
        <v>0</v>
      </c>
      <c r="AR1631" s="8"/>
      <c r="AS1631" s="8"/>
      <c r="AT1631" s="8"/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8"/>
      <c r="BG1631" s="8"/>
    </row>
    <row r="1632" spans="1:59" s="9" customFormat="1">
      <c r="A1632" s="8" t="s">
        <v>995</v>
      </c>
      <c r="B1632" s="8" t="s">
        <v>993</v>
      </c>
      <c r="C1632" s="9">
        <v>0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R1632" s="9">
        <v>1</v>
      </c>
      <c r="S1632" s="9">
        <v>2</v>
      </c>
      <c r="T1632" s="9">
        <v>1</v>
      </c>
      <c r="U1632" s="9">
        <v>0</v>
      </c>
      <c r="V1632" s="9">
        <v>1</v>
      </c>
      <c r="W1632" s="9">
        <v>0</v>
      </c>
      <c r="X1632" s="9">
        <v>1</v>
      </c>
      <c r="AE1632" s="9">
        <f>IFERROR(VLOOKUP($A1632,pivot!$A:$G,計算式2026!AE$1,FALSE),0)</f>
        <v>0</v>
      </c>
      <c r="AF1632" s="9">
        <f>IFERROR(VLOOKUP($A1632,pivot!$A:$I,計算式2026!AF$1,FALSE),0)</f>
        <v>0</v>
      </c>
      <c r="AI1632" s="9">
        <f>IFERROR(VLOOKUP($A1632,pivot!$A:$I,計算式2026!AI$1,FALSE),0)</f>
        <v>0</v>
      </c>
      <c r="AJ1632" s="9">
        <f>IFERROR(VLOOKUP($A1632,pivot!$A:$I,計算式2026!AJ$1,FALSE),0)</f>
        <v>0</v>
      </c>
      <c r="AK1632" s="9">
        <f>IFERROR(VLOOKUP($A1632,pivot!$A:$I,計算式2026!AK$1,FALSE),0)</f>
        <v>0</v>
      </c>
      <c r="AL1632" s="9">
        <f>IFERROR(VLOOKUP($A1632,pivot!$A:$I,計算式2026!AL$1,FALSE),0)</f>
        <v>0</v>
      </c>
      <c r="AR1632" s="8"/>
      <c r="AS1632" s="8"/>
      <c r="AT1632" s="8"/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8"/>
      <c r="BG1632" s="8"/>
    </row>
    <row r="1633" spans="1:59" s="9" customFormat="1">
      <c r="A1633" s="8" t="s">
        <v>996</v>
      </c>
      <c r="B1633" s="8" t="s">
        <v>993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R1633" s="9">
        <v>0</v>
      </c>
      <c r="S1633" s="9">
        <v>0</v>
      </c>
      <c r="T1633" s="9">
        <v>1</v>
      </c>
      <c r="U1633" s="9">
        <v>0</v>
      </c>
      <c r="V1633" s="9">
        <v>0</v>
      </c>
      <c r="W1633" s="9">
        <v>0</v>
      </c>
      <c r="X1633" s="9">
        <v>1</v>
      </c>
      <c r="AE1633" s="9">
        <f>IFERROR(VLOOKUP($A1633,pivot!$A:$G,計算式2026!AE$1,FALSE),0)</f>
        <v>0</v>
      </c>
      <c r="AF1633" s="9">
        <f>IFERROR(VLOOKUP($A1633,pivot!$A:$I,計算式2026!AF$1,FALSE),0)</f>
        <v>0</v>
      </c>
      <c r="AI1633" s="9">
        <f>IFERROR(VLOOKUP($A1633,pivot!$A:$I,計算式2026!AI$1,FALSE),0)</f>
        <v>0</v>
      </c>
      <c r="AJ1633" s="9">
        <f>IFERROR(VLOOKUP($A1633,pivot!$A:$I,計算式2026!AJ$1,FALSE),0)</f>
        <v>0</v>
      </c>
      <c r="AK1633" s="9">
        <f>IFERROR(VLOOKUP($A1633,pivot!$A:$I,計算式2026!AK$1,FALSE),0)</f>
        <v>0</v>
      </c>
      <c r="AL1633" s="9">
        <f>IFERROR(VLOOKUP($A1633,pivot!$A:$I,計算式2026!AL$1,FALSE),0)</f>
        <v>0</v>
      </c>
      <c r="AR1633" s="8"/>
      <c r="AS1633" s="8"/>
      <c r="AT1633" s="8"/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8"/>
      <c r="BG1633" s="8"/>
    </row>
    <row r="1634" spans="1:59" s="9" customFormat="1">
      <c r="A1634" s="8" t="s">
        <v>997</v>
      </c>
      <c r="B1634" s="8" t="s">
        <v>993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R1634" s="9">
        <v>1</v>
      </c>
      <c r="S1634" s="9">
        <v>1</v>
      </c>
      <c r="T1634" s="9">
        <v>0</v>
      </c>
      <c r="U1634" s="9">
        <v>0</v>
      </c>
      <c r="V1634" s="9">
        <v>0</v>
      </c>
      <c r="W1634" s="9">
        <v>0</v>
      </c>
      <c r="X1634" s="9">
        <v>1</v>
      </c>
      <c r="AE1634" s="9">
        <f>IFERROR(VLOOKUP($A1634,pivot!$A:$G,計算式2026!AE$1,FALSE),0)</f>
        <v>0</v>
      </c>
      <c r="AF1634" s="9">
        <f>IFERROR(VLOOKUP($A1634,pivot!$A:$I,計算式2026!AF$1,FALSE),0)</f>
        <v>0</v>
      </c>
      <c r="AI1634" s="9">
        <f>IFERROR(VLOOKUP($A1634,pivot!$A:$I,計算式2026!AI$1,FALSE),0)</f>
        <v>0</v>
      </c>
      <c r="AJ1634" s="9">
        <f>IFERROR(VLOOKUP($A1634,pivot!$A:$I,計算式2026!AJ$1,FALSE),0)</f>
        <v>0</v>
      </c>
      <c r="AK1634" s="9">
        <f>IFERROR(VLOOKUP($A1634,pivot!$A:$I,計算式2026!AK$1,FALSE),0)</f>
        <v>0</v>
      </c>
      <c r="AL1634" s="9">
        <f>IFERROR(VLOOKUP($A1634,pivot!$A:$I,計算式2026!AL$1,FALSE),0)</f>
        <v>0</v>
      </c>
      <c r="AR1634" s="8"/>
      <c r="AS1634" s="8"/>
      <c r="AT1634" s="8"/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8"/>
      <c r="BG1634" s="8"/>
    </row>
    <row r="1635" spans="1:59" s="9" customFormat="1">
      <c r="A1635" s="8" t="s">
        <v>998</v>
      </c>
      <c r="B1635" s="8" t="s">
        <v>993</v>
      </c>
      <c r="C1635" s="9">
        <v>0</v>
      </c>
      <c r="D1635" s="9">
        <v>0</v>
      </c>
      <c r="E1635" s="9">
        <v>0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R1635" s="9">
        <v>0</v>
      </c>
      <c r="S1635" s="9">
        <v>1</v>
      </c>
      <c r="T1635" s="9">
        <v>1</v>
      </c>
      <c r="U1635" s="9">
        <v>0</v>
      </c>
      <c r="V1635" s="9">
        <v>0</v>
      </c>
      <c r="W1635" s="9">
        <v>0</v>
      </c>
      <c r="X1635" s="9">
        <v>1</v>
      </c>
      <c r="AE1635" s="9">
        <f>IFERROR(VLOOKUP($A1635,pivot!$A:$G,計算式2026!AE$1,FALSE),0)</f>
        <v>0</v>
      </c>
      <c r="AF1635" s="9">
        <f>IFERROR(VLOOKUP($A1635,pivot!$A:$I,計算式2026!AF$1,FALSE),0)</f>
        <v>0</v>
      </c>
      <c r="AI1635" s="9">
        <f>IFERROR(VLOOKUP($A1635,pivot!$A:$I,計算式2026!AI$1,FALSE),0)</f>
        <v>0</v>
      </c>
      <c r="AJ1635" s="9">
        <f>IFERROR(VLOOKUP($A1635,pivot!$A:$I,計算式2026!AJ$1,FALSE),0)</f>
        <v>0</v>
      </c>
      <c r="AK1635" s="9">
        <f>IFERROR(VLOOKUP($A1635,pivot!$A:$I,計算式2026!AK$1,FALSE),0)</f>
        <v>0</v>
      </c>
      <c r="AL1635" s="9">
        <f>IFERROR(VLOOKUP($A1635,pivot!$A:$I,計算式2026!AL$1,FALSE),0)</f>
        <v>0</v>
      </c>
      <c r="AR1635" s="8"/>
      <c r="AS1635" s="8"/>
      <c r="AT1635" s="8"/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8"/>
      <c r="BG1635" s="8"/>
    </row>
    <row r="1636" spans="1:59" s="9" customFormat="1">
      <c r="A1636" s="8" t="s">
        <v>999</v>
      </c>
      <c r="B1636" s="8" t="s">
        <v>993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1</v>
      </c>
      <c r="AE1636" s="9">
        <f>IFERROR(VLOOKUP($A1636,pivot!$A:$G,計算式2026!AE$1,FALSE),0)</f>
        <v>0</v>
      </c>
      <c r="AF1636" s="9">
        <f>IFERROR(VLOOKUP($A1636,pivot!$A:$I,計算式2026!AF$1,FALSE),0)</f>
        <v>0</v>
      </c>
      <c r="AI1636" s="9">
        <f>IFERROR(VLOOKUP($A1636,pivot!$A:$I,計算式2026!AI$1,FALSE),0)</f>
        <v>0</v>
      </c>
      <c r="AJ1636" s="9">
        <f>IFERROR(VLOOKUP($A1636,pivot!$A:$I,計算式2026!AJ$1,FALSE),0)</f>
        <v>0</v>
      </c>
      <c r="AK1636" s="9">
        <f>IFERROR(VLOOKUP($A1636,pivot!$A:$I,計算式2026!AK$1,FALSE),0)</f>
        <v>0</v>
      </c>
      <c r="AL1636" s="9">
        <f>IFERROR(VLOOKUP($A1636,pivot!$A:$I,計算式2026!AL$1,FALSE),0)</f>
        <v>0</v>
      </c>
      <c r="AR1636" s="8"/>
      <c r="AS1636" s="8"/>
      <c r="AT1636" s="8"/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8"/>
      <c r="BG1636" s="8"/>
    </row>
    <row r="1637" spans="1:59" s="9" customFormat="1">
      <c r="A1637" s="8" t="s">
        <v>1000</v>
      </c>
      <c r="B1637" s="8" t="s">
        <v>1001</v>
      </c>
      <c r="C1637" s="9">
        <v>0</v>
      </c>
      <c r="D1637" s="9">
        <v>0</v>
      </c>
      <c r="E1637" s="9">
        <v>0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1</v>
      </c>
      <c r="AE1637" s="9">
        <f>IFERROR(VLOOKUP($A1637,pivot!$A:$G,計算式2026!AE$1,FALSE),0)</f>
        <v>0</v>
      </c>
      <c r="AF1637" s="9">
        <f>IFERROR(VLOOKUP($A1637,pivot!$A:$I,計算式2026!AF$1,FALSE),0)</f>
        <v>0</v>
      </c>
      <c r="AI1637" s="9">
        <f>IFERROR(VLOOKUP($A1637,pivot!$A:$I,計算式2026!AI$1,FALSE),0)</f>
        <v>0</v>
      </c>
      <c r="AJ1637" s="9">
        <f>IFERROR(VLOOKUP($A1637,pivot!$A:$I,計算式2026!AJ$1,FALSE),0)</f>
        <v>0</v>
      </c>
      <c r="AK1637" s="9">
        <f>IFERROR(VLOOKUP($A1637,pivot!$A:$I,計算式2026!AK$1,FALSE),0)</f>
        <v>0</v>
      </c>
      <c r="AL1637" s="9">
        <f>IFERROR(VLOOKUP($A1637,pivot!$A:$I,計算式2026!AL$1,FALSE),0)</f>
        <v>0</v>
      </c>
      <c r="AR1637" s="8"/>
      <c r="AS1637" s="8"/>
      <c r="AT1637" s="8"/>
      <c r="AU1637" s="8"/>
      <c r="AV1637" s="8"/>
      <c r="AW1637" s="8"/>
      <c r="AX1637" s="8"/>
      <c r="AY1637" s="8"/>
      <c r="AZ1637" s="8"/>
      <c r="BA1637" s="8"/>
      <c r="BB1637" s="8"/>
      <c r="BC1637" s="8"/>
      <c r="BD1637" s="8"/>
      <c r="BE1637" s="8"/>
      <c r="BF1637" s="8"/>
      <c r="BG1637" s="8"/>
    </row>
    <row r="1638" spans="1:59" s="9" customFormat="1">
      <c r="A1638" s="8" t="s">
        <v>1002</v>
      </c>
      <c r="B1638" s="8" t="s">
        <v>993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  <c r="K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1</v>
      </c>
      <c r="AE1638" s="9">
        <f>IFERROR(VLOOKUP($A1638,pivot!$A:$G,計算式2026!AE$1,FALSE),0)</f>
        <v>0</v>
      </c>
      <c r="AF1638" s="9">
        <f>IFERROR(VLOOKUP($A1638,pivot!$A:$I,計算式2026!AF$1,FALSE),0)</f>
        <v>0</v>
      </c>
      <c r="AI1638" s="9">
        <f>IFERROR(VLOOKUP($A1638,pivot!$A:$I,計算式2026!AI$1,FALSE),0)</f>
        <v>0</v>
      </c>
      <c r="AJ1638" s="9">
        <f>IFERROR(VLOOKUP($A1638,pivot!$A:$I,計算式2026!AJ$1,FALSE),0)</f>
        <v>0</v>
      </c>
      <c r="AK1638" s="9">
        <f>IFERROR(VLOOKUP($A1638,pivot!$A:$I,計算式2026!AK$1,FALSE),0)</f>
        <v>0</v>
      </c>
      <c r="AL1638" s="9">
        <f>IFERROR(VLOOKUP($A1638,pivot!$A:$I,計算式2026!AL$1,FALSE),0)</f>
        <v>0</v>
      </c>
      <c r="AR1638" s="8"/>
      <c r="AS1638" s="8"/>
      <c r="AT1638" s="8"/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8"/>
      <c r="BG1638" s="8"/>
    </row>
    <row r="1639" spans="1:59" s="9" customFormat="1">
      <c r="A1639" s="8" t="s">
        <v>1003</v>
      </c>
      <c r="B1639" s="8" t="s">
        <v>993</v>
      </c>
      <c r="C1639" s="9">
        <v>0</v>
      </c>
      <c r="D1639" s="9">
        <v>0</v>
      </c>
      <c r="E1639" s="9">
        <v>0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1</v>
      </c>
      <c r="AE1639" s="9">
        <f>IFERROR(VLOOKUP($A1639,pivot!$A:$G,計算式2026!AE$1,FALSE),0)</f>
        <v>0</v>
      </c>
      <c r="AF1639" s="9">
        <f>IFERROR(VLOOKUP($A1639,pivot!$A:$I,計算式2026!AF$1,FALSE),0)</f>
        <v>0</v>
      </c>
      <c r="AI1639" s="9">
        <f>IFERROR(VLOOKUP($A1639,pivot!$A:$I,計算式2026!AI$1,FALSE),0)</f>
        <v>0</v>
      </c>
      <c r="AJ1639" s="9">
        <f>IFERROR(VLOOKUP($A1639,pivot!$A:$I,計算式2026!AJ$1,FALSE),0)</f>
        <v>0</v>
      </c>
      <c r="AK1639" s="9">
        <f>IFERROR(VLOOKUP($A1639,pivot!$A:$I,計算式2026!AK$1,FALSE),0)</f>
        <v>0</v>
      </c>
      <c r="AL1639" s="9">
        <f>IFERROR(VLOOKUP($A1639,pivot!$A:$I,計算式2026!AL$1,FALSE),0)</f>
        <v>0</v>
      </c>
      <c r="AR1639" s="8"/>
      <c r="AS1639" s="8"/>
      <c r="AT1639" s="8"/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8"/>
      <c r="BG1639" s="8"/>
    </row>
    <row r="1640" spans="1:59" s="9" customFormat="1">
      <c r="A1640" s="8" t="s">
        <v>1004</v>
      </c>
      <c r="B1640" s="8" t="s">
        <v>993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1</v>
      </c>
      <c r="AE1640" s="9">
        <f>IFERROR(VLOOKUP($A1640,pivot!$A:$G,計算式2026!AE$1,FALSE),0)</f>
        <v>0</v>
      </c>
      <c r="AF1640" s="9">
        <f>IFERROR(VLOOKUP($A1640,pivot!$A:$I,計算式2026!AF$1,FALSE),0)</f>
        <v>0</v>
      </c>
      <c r="AI1640" s="9">
        <f>IFERROR(VLOOKUP($A1640,pivot!$A:$I,計算式2026!AI$1,FALSE),0)</f>
        <v>0</v>
      </c>
      <c r="AJ1640" s="9">
        <f>IFERROR(VLOOKUP($A1640,pivot!$A:$I,計算式2026!AJ$1,FALSE),0)</f>
        <v>0</v>
      </c>
      <c r="AK1640" s="9">
        <f>IFERROR(VLOOKUP($A1640,pivot!$A:$I,計算式2026!AK$1,FALSE),0)</f>
        <v>0</v>
      </c>
      <c r="AL1640" s="9">
        <f>IFERROR(VLOOKUP($A1640,pivot!$A:$I,計算式2026!AL$1,FALSE),0)</f>
        <v>0</v>
      </c>
      <c r="AR1640" s="8"/>
      <c r="AS1640" s="8"/>
      <c r="AT1640" s="8"/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8"/>
      <c r="BG1640" s="8"/>
    </row>
    <row r="1641" spans="1:59" s="9" customFormat="1">
      <c r="A1641" s="8" t="s">
        <v>1005</v>
      </c>
      <c r="B1641" s="8" t="s">
        <v>993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R1641" s="9">
        <v>0</v>
      </c>
      <c r="S1641" s="9">
        <v>0</v>
      </c>
      <c r="T1641" s="9">
        <v>1</v>
      </c>
      <c r="U1641" s="9">
        <v>0</v>
      </c>
      <c r="V1641" s="9">
        <v>0</v>
      </c>
      <c r="W1641" s="9">
        <v>0</v>
      </c>
      <c r="X1641" s="9">
        <v>0</v>
      </c>
      <c r="AE1641" s="9">
        <f>IFERROR(VLOOKUP($A1641,pivot!$A:$G,計算式2026!AE$1,FALSE),0)</f>
        <v>0</v>
      </c>
      <c r="AF1641" s="9">
        <f>IFERROR(VLOOKUP($A1641,pivot!$A:$I,計算式2026!AF$1,FALSE),0)</f>
        <v>0</v>
      </c>
      <c r="AI1641" s="9">
        <f>IFERROR(VLOOKUP($A1641,pivot!$A:$I,計算式2026!AI$1,FALSE),0)</f>
        <v>0</v>
      </c>
      <c r="AJ1641" s="9">
        <f>IFERROR(VLOOKUP($A1641,pivot!$A:$I,計算式2026!AJ$1,FALSE),0)</f>
        <v>0</v>
      </c>
      <c r="AK1641" s="9">
        <f>IFERROR(VLOOKUP($A1641,pivot!$A:$I,計算式2026!AK$1,FALSE),0)</f>
        <v>0</v>
      </c>
      <c r="AL1641" s="9">
        <f>IFERROR(VLOOKUP($A1641,pivot!$A:$I,計算式2026!AL$1,FALSE),0)</f>
        <v>0</v>
      </c>
      <c r="AR1641" s="8"/>
      <c r="AS1641" s="8"/>
      <c r="AT1641" s="8"/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8"/>
      <c r="BG1641" s="8"/>
    </row>
    <row r="1642" spans="1:59" s="9" customFormat="1">
      <c r="A1642" s="8" t="s">
        <v>1006</v>
      </c>
      <c r="B1642" s="8" t="s">
        <v>993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R1642" s="9">
        <v>0</v>
      </c>
      <c r="S1642" s="9">
        <v>0</v>
      </c>
      <c r="T1642" s="9">
        <v>1</v>
      </c>
      <c r="U1642" s="9">
        <v>0</v>
      </c>
      <c r="V1642" s="9">
        <v>0</v>
      </c>
      <c r="W1642" s="9">
        <v>0</v>
      </c>
      <c r="X1642" s="9">
        <v>0</v>
      </c>
      <c r="AE1642" s="9">
        <f>IFERROR(VLOOKUP($A1642,pivot!$A:$G,計算式2026!AE$1,FALSE),0)</f>
        <v>0</v>
      </c>
      <c r="AF1642" s="9">
        <f>IFERROR(VLOOKUP($A1642,pivot!$A:$I,計算式2026!AF$1,FALSE),0)</f>
        <v>0</v>
      </c>
      <c r="AI1642" s="9">
        <f>IFERROR(VLOOKUP($A1642,pivot!$A:$I,計算式2026!AI$1,FALSE),0)</f>
        <v>0</v>
      </c>
      <c r="AJ1642" s="9">
        <f>IFERROR(VLOOKUP($A1642,pivot!$A:$I,計算式2026!AJ$1,FALSE),0)</f>
        <v>0</v>
      </c>
      <c r="AK1642" s="9">
        <f>IFERROR(VLOOKUP($A1642,pivot!$A:$I,計算式2026!AK$1,FALSE),0)</f>
        <v>0</v>
      </c>
      <c r="AL1642" s="9">
        <f>IFERROR(VLOOKUP($A1642,pivot!$A:$I,計算式2026!AL$1,FALSE),0)</f>
        <v>0</v>
      </c>
      <c r="AR1642" s="8"/>
      <c r="AS1642" s="8"/>
      <c r="AT1642" s="8"/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8"/>
      <c r="BG1642" s="8"/>
    </row>
    <row r="1643" spans="1:59" s="9" customFormat="1">
      <c r="A1643" s="8" t="s">
        <v>1007</v>
      </c>
      <c r="B1643" s="8" t="s">
        <v>993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R1643" s="9">
        <v>0</v>
      </c>
      <c r="S1643" s="9">
        <v>0</v>
      </c>
      <c r="T1643" s="9">
        <v>1</v>
      </c>
      <c r="U1643" s="9">
        <v>0</v>
      </c>
      <c r="V1643" s="9">
        <v>0</v>
      </c>
      <c r="W1643" s="9">
        <v>0</v>
      </c>
      <c r="X1643" s="9">
        <v>1</v>
      </c>
      <c r="AE1643" s="9">
        <f>IFERROR(VLOOKUP($A1643,pivot!$A:$G,計算式2026!AE$1,FALSE),0)</f>
        <v>0</v>
      </c>
      <c r="AF1643" s="9">
        <f>IFERROR(VLOOKUP($A1643,pivot!$A:$I,計算式2026!AF$1,FALSE),0)</f>
        <v>0</v>
      </c>
      <c r="AI1643" s="9">
        <f>IFERROR(VLOOKUP($A1643,pivot!$A:$I,計算式2026!AI$1,FALSE),0)</f>
        <v>0</v>
      </c>
      <c r="AJ1643" s="9">
        <f>IFERROR(VLOOKUP($A1643,pivot!$A:$I,計算式2026!AJ$1,FALSE),0)</f>
        <v>0</v>
      </c>
      <c r="AK1643" s="9">
        <f>IFERROR(VLOOKUP($A1643,pivot!$A:$I,計算式2026!AK$1,FALSE),0)</f>
        <v>0</v>
      </c>
      <c r="AL1643" s="9">
        <f>IFERROR(VLOOKUP($A1643,pivot!$A:$I,計算式2026!AL$1,FALSE),0)</f>
        <v>0</v>
      </c>
      <c r="AR1643" s="8"/>
      <c r="AS1643" s="8"/>
      <c r="AT1643" s="8"/>
      <c r="AU1643" s="8"/>
      <c r="AV1643" s="8"/>
      <c r="AW1643" s="8"/>
      <c r="AX1643" s="8"/>
      <c r="AY1643" s="8"/>
      <c r="AZ1643" s="8"/>
      <c r="BA1643" s="8"/>
      <c r="BB1643" s="8"/>
      <c r="BC1643" s="8"/>
      <c r="BD1643" s="8"/>
      <c r="BE1643" s="8"/>
      <c r="BF1643" s="8"/>
      <c r="BG1643" s="8"/>
    </row>
    <row r="1644" spans="1:59" s="9" customFormat="1">
      <c r="A1644" s="8" t="s">
        <v>1008</v>
      </c>
      <c r="B1644" s="8" t="s">
        <v>993</v>
      </c>
      <c r="C1644" s="9">
        <v>0</v>
      </c>
      <c r="D1644" s="9">
        <v>0</v>
      </c>
      <c r="E1644" s="9">
        <v>0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1</v>
      </c>
      <c r="AE1644" s="9">
        <f>IFERROR(VLOOKUP($A1644,pivot!$A:$G,計算式2026!AE$1,FALSE),0)</f>
        <v>0</v>
      </c>
      <c r="AF1644" s="9">
        <f>IFERROR(VLOOKUP($A1644,pivot!$A:$I,計算式2026!AF$1,FALSE),0)</f>
        <v>0</v>
      </c>
      <c r="AI1644" s="9">
        <f>IFERROR(VLOOKUP($A1644,pivot!$A:$I,計算式2026!AI$1,FALSE),0)</f>
        <v>0</v>
      </c>
      <c r="AJ1644" s="9">
        <f>IFERROR(VLOOKUP($A1644,pivot!$A:$I,計算式2026!AJ$1,FALSE),0)</f>
        <v>0</v>
      </c>
      <c r="AK1644" s="9">
        <f>IFERROR(VLOOKUP($A1644,pivot!$A:$I,計算式2026!AK$1,FALSE),0)</f>
        <v>0</v>
      </c>
      <c r="AL1644" s="9">
        <f>IFERROR(VLOOKUP($A1644,pivot!$A:$I,計算式2026!AL$1,FALSE),0)</f>
        <v>0</v>
      </c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</row>
    <row r="1645" spans="1:59" s="9" customFormat="1">
      <c r="A1645" s="8" t="s">
        <v>1009</v>
      </c>
      <c r="B1645" s="8" t="s">
        <v>1001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1</v>
      </c>
      <c r="AE1645" s="9">
        <f>IFERROR(VLOOKUP($A1645,pivot!$A:$G,計算式2026!AE$1,FALSE),0)</f>
        <v>0</v>
      </c>
      <c r="AF1645" s="9">
        <f>IFERROR(VLOOKUP($A1645,pivot!$A:$I,計算式2026!AF$1,FALSE),0)</f>
        <v>0</v>
      </c>
      <c r="AI1645" s="9">
        <f>IFERROR(VLOOKUP($A1645,pivot!$A:$I,計算式2026!AI$1,FALSE),0)</f>
        <v>0</v>
      </c>
      <c r="AJ1645" s="9">
        <f>IFERROR(VLOOKUP($A1645,pivot!$A:$I,計算式2026!AJ$1,FALSE),0)</f>
        <v>0</v>
      </c>
      <c r="AK1645" s="9">
        <f>IFERROR(VLOOKUP($A1645,pivot!$A:$I,計算式2026!AK$1,FALSE),0)</f>
        <v>0</v>
      </c>
      <c r="AL1645" s="9">
        <f>IFERROR(VLOOKUP($A1645,pivot!$A:$I,計算式2026!AL$1,FALSE),0)</f>
        <v>0</v>
      </c>
      <c r="AR1645" s="8"/>
      <c r="AS1645" s="8"/>
      <c r="AT1645" s="8"/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8"/>
      <c r="BG1645" s="8"/>
    </row>
    <row r="1646" spans="1:59" s="9" customFormat="1">
      <c r="A1646" s="8" t="s">
        <v>1010</v>
      </c>
      <c r="B1646" s="8" t="s">
        <v>993</v>
      </c>
      <c r="C1646" s="9">
        <v>0</v>
      </c>
      <c r="D1646" s="9">
        <v>0</v>
      </c>
      <c r="E1646" s="9">
        <v>0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R1646" s="9">
        <v>0</v>
      </c>
      <c r="S1646" s="9">
        <v>0</v>
      </c>
      <c r="T1646" s="9">
        <v>1</v>
      </c>
      <c r="U1646" s="9">
        <v>0</v>
      </c>
      <c r="V1646" s="9">
        <v>0</v>
      </c>
      <c r="W1646" s="9">
        <v>0</v>
      </c>
      <c r="X1646" s="9">
        <v>1</v>
      </c>
      <c r="AE1646" s="9">
        <f>IFERROR(VLOOKUP($A1646,pivot!$A:$G,計算式2026!AE$1,FALSE),0)</f>
        <v>0</v>
      </c>
      <c r="AF1646" s="9">
        <f>IFERROR(VLOOKUP($A1646,pivot!$A:$I,計算式2026!AF$1,FALSE),0)</f>
        <v>0</v>
      </c>
      <c r="AI1646" s="9">
        <f>IFERROR(VLOOKUP($A1646,pivot!$A:$I,計算式2026!AI$1,FALSE),0)</f>
        <v>0</v>
      </c>
      <c r="AJ1646" s="9">
        <f>IFERROR(VLOOKUP($A1646,pivot!$A:$I,計算式2026!AJ$1,FALSE),0)</f>
        <v>0</v>
      </c>
      <c r="AK1646" s="9">
        <f>IFERROR(VLOOKUP($A1646,pivot!$A:$I,計算式2026!AK$1,FALSE),0)</f>
        <v>0</v>
      </c>
      <c r="AL1646" s="9">
        <f>IFERROR(VLOOKUP($A1646,pivot!$A:$I,計算式2026!AL$1,FALSE),0)</f>
        <v>0</v>
      </c>
      <c r="AR1646" s="8"/>
      <c r="AS1646" s="8"/>
      <c r="AT1646" s="8"/>
      <c r="AU1646" s="8"/>
      <c r="AV1646" s="8"/>
      <c r="AW1646" s="8"/>
      <c r="AX1646" s="8"/>
      <c r="AY1646" s="8"/>
      <c r="AZ1646" s="8"/>
      <c r="BA1646" s="8"/>
      <c r="BB1646" s="8"/>
      <c r="BC1646" s="8"/>
      <c r="BD1646" s="8"/>
      <c r="BE1646" s="8"/>
      <c r="BF1646" s="8"/>
      <c r="BG1646" s="8"/>
    </row>
    <row r="1647" spans="1:59" s="9" customFormat="1">
      <c r="A1647" s="8" t="s">
        <v>1011</v>
      </c>
      <c r="B1647" s="8" t="s">
        <v>993</v>
      </c>
      <c r="C1647" s="9">
        <v>0</v>
      </c>
      <c r="D1647" s="9">
        <v>0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R1647" s="9">
        <v>0</v>
      </c>
      <c r="S1647" s="9">
        <v>0</v>
      </c>
      <c r="T1647" s="9">
        <v>1</v>
      </c>
      <c r="U1647" s="9">
        <v>0</v>
      </c>
      <c r="V1647" s="9">
        <v>0</v>
      </c>
      <c r="W1647" s="9">
        <v>0</v>
      </c>
      <c r="X1647" s="9">
        <v>1</v>
      </c>
      <c r="AE1647" s="9">
        <f>IFERROR(VLOOKUP($A1647,pivot!$A:$G,計算式2026!AE$1,FALSE),0)</f>
        <v>0</v>
      </c>
      <c r="AF1647" s="9">
        <f>IFERROR(VLOOKUP($A1647,pivot!$A:$I,計算式2026!AF$1,FALSE),0)</f>
        <v>0</v>
      </c>
      <c r="AI1647" s="9">
        <f>IFERROR(VLOOKUP($A1647,pivot!$A:$I,計算式2026!AI$1,FALSE),0)</f>
        <v>0</v>
      </c>
      <c r="AJ1647" s="9">
        <f>IFERROR(VLOOKUP($A1647,pivot!$A:$I,計算式2026!AJ$1,FALSE),0)</f>
        <v>0</v>
      </c>
      <c r="AK1647" s="9">
        <f>IFERROR(VLOOKUP($A1647,pivot!$A:$I,計算式2026!AK$1,FALSE),0)</f>
        <v>0</v>
      </c>
      <c r="AL1647" s="9">
        <f>IFERROR(VLOOKUP($A1647,pivot!$A:$I,計算式2026!AL$1,FALSE),0)</f>
        <v>0</v>
      </c>
      <c r="AR1647" s="8"/>
      <c r="AS1647" s="8"/>
      <c r="AT1647" s="8"/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8"/>
      <c r="BG1647" s="8"/>
    </row>
    <row r="1648" spans="1:59" s="9" customFormat="1">
      <c r="A1648" s="8" t="s">
        <v>1012</v>
      </c>
      <c r="B1648" s="8" t="s">
        <v>993</v>
      </c>
      <c r="C1648" s="9">
        <v>0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R1648" s="9">
        <v>0</v>
      </c>
      <c r="S1648" s="9">
        <v>0</v>
      </c>
      <c r="T1648" s="9">
        <v>1</v>
      </c>
      <c r="U1648" s="9">
        <v>0</v>
      </c>
      <c r="V1648" s="9">
        <v>0</v>
      </c>
      <c r="W1648" s="9">
        <v>0</v>
      </c>
      <c r="X1648" s="9">
        <v>1</v>
      </c>
      <c r="AE1648" s="9">
        <f>IFERROR(VLOOKUP($A1648,pivot!$A:$G,計算式2026!AE$1,FALSE),0)</f>
        <v>0</v>
      </c>
      <c r="AF1648" s="9">
        <f>IFERROR(VLOOKUP($A1648,pivot!$A:$I,計算式2026!AF$1,FALSE),0)</f>
        <v>0</v>
      </c>
      <c r="AI1648" s="9">
        <f>IFERROR(VLOOKUP($A1648,pivot!$A:$I,計算式2026!AI$1,FALSE),0)</f>
        <v>0</v>
      </c>
      <c r="AJ1648" s="9">
        <f>IFERROR(VLOOKUP($A1648,pivot!$A:$I,計算式2026!AJ$1,FALSE),0)</f>
        <v>0</v>
      </c>
      <c r="AK1648" s="9">
        <f>IFERROR(VLOOKUP($A1648,pivot!$A:$I,計算式2026!AK$1,FALSE),0)</f>
        <v>0</v>
      </c>
      <c r="AL1648" s="9">
        <f>IFERROR(VLOOKUP($A1648,pivot!$A:$I,計算式2026!AL$1,FALSE),0)</f>
        <v>0</v>
      </c>
      <c r="AR1648" s="8"/>
      <c r="AS1648" s="8"/>
      <c r="AT1648" s="8"/>
      <c r="AU1648" s="8"/>
      <c r="AV1648" s="8"/>
      <c r="AW1648" s="8"/>
      <c r="AX1648" s="8"/>
      <c r="AY1648" s="8"/>
      <c r="AZ1648" s="8"/>
      <c r="BA1648" s="8"/>
      <c r="BB1648" s="8"/>
      <c r="BC1648" s="8"/>
      <c r="BD1648" s="8"/>
      <c r="BE1648" s="8"/>
      <c r="BF1648" s="8"/>
      <c r="BG1648" s="8"/>
    </row>
    <row r="1649" spans="1:59" s="9" customFormat="1">
      <c r="A1649" s="8" t="s">
        <v>1014</v>
      </c>
      <c r="B1649" s="8" t="s">
        <v>1013</v>
      </c>
      <c r="C1649" s="9">
        <v>0</v>
      </c>
      <c r="D1649" s="9">
        <v>0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R1649" s="9">
        <v>0</v>
      </c>
      <c r="S1649" s="9">
        <v>1</v>
      </c>
      <c r="T1649" s="9">
        <v>0</v>
      </c>
      <c r="U1649" s="9">
        <v>0</v>
      </c>
      <c r="V1649" s="9">
        <v>1</v>
      </c>
      <c r="W1649" s="9">
        <v>0</v>
      </c>
      <c r="X1649" s="9">
        <v>0</v>
      </c>
      <c r="AE1649" s="9">
        <f>IFERROR(VLOOKUP($A1649,pivot!$A:$G,計算式2026!AE$1,FALSE),0)</f>
        <v>0</v>
      </c>
      <c r="AF1649" s="9">
        <f>IFERROR(VLOOKUP($A1649,pivot!$A:$I,計算式2026!AF$1,FALSE),0)</f>
        <v>0</v>
      </c>
      <c r="AI1649" s="9">
        <f>IFERROR(VLOOKUP($A1649,pivot!$A:$I,計算式2026!AI$1,FALSE),0)</f>
        <v>0</v>
      </c>
      <c r="AJ1649" s="9">
        <f>IFERROR(VLOOKUP($A1649,pivot!$A:$I,計算式2026!AJ$1,FALSE),0)</f>
        <v>0</v>
      </c>
      <c r="AK1649" s="9">
        <f>IFERROR(VLOOKUP($A1649,pivot!$A:$I,計算式2026!AK$1,FALSE),0)</f>
        <v>0</v>
      </c>
      <c r="AL1649" s="9">
        <f>IFERROR(VLOOKUP($A1649,pivot!$A:$I,計算式2026!AL$1,FALSE),0)</f>
        <v>0</v>
      </c>
      <c r="AR1649" s="8"/>
      <c r="AS1649" s="8"/>
      <c r="AT1649" s="8"/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8"/>
      <c r="BG1649" s="8"/>
    </row>
    <row r="1650" spans="1:59" s="9" customFormat="1">
      <c r="A1650" s="8" t="s">
        <v>1015</v>
      </c>
      <c r="B1650" s="8" t="s">
        <v>1013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R1650" s="9">
        <v>0</v>
      </c>
      <c r="S1650" s="9">
        <v>2</v>
      </c>
      <c r="T1650" s="9">
        <v>0</v>
      </c>
      <c r="U1650" s="9">
        <v>0</v>
      </c>
      <c r="V1650" s="9">
        <v>1</v>
      </c>
      <c r="W1650" s="9">
        <v>0</v>
      </c>
      <c r="X1650" s="9">
        <v>0</v>
      </c>
      <c r="AE1650" s="9">
        <f>IFERROR(VLOOKUP($A1650,pivot!$A:$G,計算式2026!AE$1,FALSE),0)</f>
        <v>0</v>
      </c>
      <c r="AF1650" s="9">
        <f>IFERROR(VLOOKUP($A1650,pivot!$A:$I,計算式2026!AF$1,FALSE),0)</f>
        <v>0</v>
      </c>
      <c r="AI1650" s="9">
        <f>IFERROR(VLOOKUP($A1650,pivot!$A:$I,計算式2026!AI$1,FALSE),0)</f>
        <v>0</v>
      </c>
      <c r="AJ1650" s="9">
        <f>IFERROR(VLOOKUP($A1650,pivot!$A:$I,計算式2026!AJ$1,FALSE),0)</f>
        <v>0</v>
      </c>
      <c r="AK1650" s="9">
        <f>IFERROR(VLOOKUP($A1650,pivot!$A:$I,計算式2026!AK$1,FALSE),0)</f>
        <v>0</v>
      </c>
      <c r="AL1650" s="9">
        <f>IFERROR(VLOOKUP($A1650,pivot!$A:$I,計算式2026!AL$1,FALSE),0)</f>
        <v>0</v>
      </c>
      <c r="AR1650" s="8"/>
      <c r="AS1650" s="8"/>
      <c r="AT1650" s="8"/>
      <c r="AU1650" s="8"/>
      <c r="AV1650" s="8"/>
      <c r="AW1650" s="8"/>
      <c r="AX1650" s="8"/>
      <c r="AY1650" s="8"/>
      <c r="AZ1650" s="8"/>
      <c r="BA1650" s="8"/>
      <c r="BB1650" s="8"/>
      <c r="BC1650" s="8"/>
      <c r="BD1650" s="8"/>
      <c r="BE1650" s="8"/>
      <c r="BF1650" s="8"/>
      <c r="BG1650" s="8"/>
    </row>
    <row r="1651" spans="1:59" s="9" customFormat="1">
      <c r="A1651" s="8" t="s">
        <v>1016</v>
      </c>
      <c r="B1651" s="8" t="s">
        <v>1013</v>
      </c>
      <c r="C1651" s="9">
        <v>0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R1651" s="9">
        <v>0</v>
      </c>
      <c r="S1651" s="9">
        <v>1</v>
      </c>
      <c r="T1651" s="9">
        <v>0</v>
      </c>
      <c r="U1651" s="9">
        <v>0</v>
      </c>
      <c r="V1651" s="9">
        <v>1</v>
      </c>
      <c r="W1651" s="9">
        <v>0</v>
      </c>
      <c r="X1651" s="9">
        <v>0</v>
      </c>
      <c r="AE1651" s="9">
        <f>IFERROR(VLOOKUP($A1651,pivot!$A:$G,計算式2026!AE$1,FALSE),0)</f>
        <v>0</v>
      </c>
      <c r="AF1651" s="9">
        <f>IFERROR(VLOOKUP($A1651,pivot!$A:$I,計算式2026!AF$1,FALSE),0)</f>
        <v>0</v>
      </c>
      <c r="AI1651" s="9">
        <f>IFERROR(VLOOKUP($A1651,pivot!$A:$I,計算式2026!AI$1,FALSE),0)</f>
        <v>0</v>
      </c>
      <c r="AJ1651" s="9">
        <f>IFERROR(VLOOKUP($A1651,pivot!$A:$I,計算式2026!AJ$1,FALSE),0)</f>
        <v>0</v>
      </c>
      <c r="AK1651" s="9">
        <f>IFERROR(VLOOKUP($A1651,pivot!$A:$I,計算式2026!AK$1,FALSE),0)</f>
        <v>0</v>
      </c>
      <c r="AL1651" s="9">
        <f>IFERROR(VLOOKUP($A1651,pivot!$A:$I,計算式2026!AL$1,FALSE),0)</f>
        <v>0</v>
      </c>
      <c r="AR1651" s="8"/>
      <c r="AS1651" s="8"/>
      <c r="AT1651" s="8"/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8"/>
      <c r="BG1651" s="8"/>
    </row>
    <row r="1652" spans="1:59" s="9" customFormat="1">
      <c r="A1652" s="8" t="s">
        <v>1017</v>
      </c>
      <c r="B1652" s="8" t="s">
        <v>1013</v>
      </c>
      <c r="C1652" s="9">
        <v>0</v>
      </c>
      <c r="D1652" s="9">
        <v>0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R1652" s="9">
        <v>0</v>
      </c>
      <c r="S1652" s="9">
        <v>1</v>
      </c>
      <c r="T1652" s="9">
        <v>0</v>
      </c>
      <c r="U1652" s="9">
        <v>0</v>
      </c>
      <c r="V1652" s="9">
        <v>1</v>
      </c>
      <c r="W1652" s="9">
        <v>0</v>
      </c>
      <c r="X1652" s="9">
        <v>0</v>
      </c>
      <c r="AE1652" s="9">
        <f>IFERROR(VLOOKUP($A1652,pivot!$A:$G,計算式2026!AE$1,FALSE),0)</f>
        <v>0</v>
      </c>
      <c r="AF1652" s="9">
        <f>IFERROR(VLOOKUP($A1652,pivot!$A:$I,計算式2026!AF$1,FALSE),0)</f>
        <v>0</v>
      </c>
      <c r="AI1652" s="9">
        <f>IFERROR(VLOOKUP($A1652,pivot!$A:$I,計算式2026!AI$1,FALSE),0)</f>
        <v>0</v>
      </c>
      <c r="AJ1652" s="9">
        <f>IFERROR(VLOOKUP($A1652,pivot!$A:$I,計算式2026!AJ$1,FALSE),0)</f>
        <v>0</v>
      </c>
      <c r="AK1652" s="9">
        <f>IFERROR(VLOOKUP($A1652,pivot!$A:$I,計算式2026!AK$1,FALSE),0)</f>
        <v>0</v>
      </c>
      <c r="AL1652" s="9">
        <f>IFERROR(VLOOKUP($A1652,pivot!$A:$I,計算式2026!AL$1,FALSE),0)</f>
        <v>0</v>
      </c>
      <c r="AR1652" s="8"/>
      <c r="AS1652" s="8"/>
      <c r="AT1652" s="8"/>
      <c r="AU1652" s="8"/>
      <c r="AV1652" s="8"/>
      <c r="AW1652" s="8"/>
      <c r="AX1652" s="8"/>
      <c r="AY1652" s="8"/>
      <c r="AZ1652" s="8"/>
      <c r="BA1652" s="8"/>
      <c r="BB1652" s="8"/>
      <c r="BC1652" s="8"/>
      <c r="BD1652" s="8"/>
      <c r="BE1652" s="8"/>
      <c r="BF1652" s="8"/>
      <c r="BG1652" s="8"/>
    </row>
    <row r="1653" spans="1:59" s="9" customFormat="1">
      <c r="A1653" s="8" t="s">
        <v>1018</v>
      </c>
      <c r="B1653" s="8" t="s">
        <v>1013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1</v>
      </c>
      <c r="W1653" s="9">
        <v>0</v>
      </c>
      <c r="X1653" s="9">
        <v>0</v>
      </c>
      <c r="AE1653" s="9">
        <f>IFERROR(VLOOKUP($A1653,pivot!$A:$G,計算式2026!AE$1,FALSE),0)</f>
        <v>0</v>
      </c>
      <c r="AF1653" s="9">
        <f>IFERROR(VLOOKUP($A1653,pivot!$A:$I,計算式2026!AF$1,FALSE),0)</f>
        <v>0</v>
      </c>
      <c r="AI1653" s="9">
        <f>IFERROR(VLOOKUP($A1653,pivot!$A:$I,計算式2026!AI$1,FALSE),0)</f>
        <v>0</v>
      </c>
      <c r="AJ1653" s="9">
        <f>IFERROR(VLOOKUP($A1653,pivot!$A:$I,計算式2026!AJ$1,FALSE),0)</f>
        <v>0</v>
      </c>
      <c r="AK1653" s="9">
        <f>IFERROR(VLOOKUP($A1653,pivot!$A:$I,計算式2026!AK$1,FALSE),0)</f>
        <v>0</v>
      </c>
      <c r="AL1653" s="9">
        <f>IFERROR(VLOOKUP($A1653,pivot!$A:$I,計算式2026!AL$1,FALSE),0)</f>
        <v>0</v>
      </c>
      <c r="AR1653" s="8"/>
      <c r="AS1653" s="8"/>
      <c r="AT1653" s="8"/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8"/>
      <c r="BG1653" s="8"/>
    </row>
    <row r="1654" spans="1:59" s="9" customFormat="1">
      <c r="A1654" s="8" t="s">
        <v>1019</v>
      </c>
      <c r="B1654" s="8" t="s">
        <v>1013</v>
      </c>
      <c r="C1654" s="9">
        <v>0</v>
      </c>
      <c r="D1654" s="9">
        <v>0</v>
      </c>
      <c r="E1654" s="9">
        <v>0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1</v>
      </c>
      <c r="W1654" s="9">
        <v>0</v>
      </c>
      <c r="X1654" s="9">
        <v>0</v>
      </c>
      <c r="AE1654" s="9">
        <f>IFERROR(VLOOKUP($A1654,pivot!$A:$G,計算式2026!AE$1,FALSE),0)</f>
        <v>0</v>
      </c>
      <c r="AF1654" s="9">
        <f>IFERROR(VLOOKUP($A1654,pivot!$A:$I,計算式2026!AF$1,FALSE),0)</f>
        <v>0</v>
      </c>
      <c r="AI1654" s="9">
        <f>IFERROR(VLOOKUP($A1654,pivot!$A:$I,計算式2026!AI$1,FALSE),0)</f>
        <v>0</v>
      </c>
      <c r="AJ1654" s="9">
        <f>IFERROR(VLOOKUP($A1654,pivot!$A:$I,計算式2026!AJ$1,FALSE),0)</f>
        <v>0</v>
      </c>
      <c r="AK1654" s="9">
        <f>IFERROR(VLOOKUP($A1654,pivot!$A:$I,計算式2026!AK$1,FALSE),0)</f>
        <v>0</v>
      </c>
      <c r="AL1654" s="9">
        <f>IFERROR(VLOOKUP($A1654,pivot!$A:$I,計算式2026!AL$1,FALSE),0)</f>
        <v>0</v>
      </c>
      <c r="AR1654" s="8"/>
      <c r="AS1654" s="8"/>
      <c r="AT1654" s="8"/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8"/>
      <c r="BG1654" s="8"/>
    </row>
    <row r="1655" spans="1:59" s="9" customFormat="1">
      <c r="A1655" s="8" t="s">
        <v>1517</v>
      </c>
      <c r="B1655" s="8" t="s">
        <v>1013</v>
      </c>
      <c r="C1655" s="9">
        <v>1</v>
      </c>
      <c r="D1655" s="9">
        <v>0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AE1655" s="9">
        <f>IFERROR(VLOOKUP($A1655,pivot!$A:$G,計算式2026!AE$1,FALSE),0)</f>
        <v>0</v>
      </c>
      <c r="AF1655" s="9">
        <f>IFERROR(VLOOKUP($A1655,pivot!$A:$I,計算式2026!AF$1,FALSE),0)</f>
        <v>0</v>
      </c>
      <c r="AI1655" s="9">
        <f>IFERROR(VLOOKUP($A1655,pivot!$A:$I,計算式2026!AI$1,FALSE),0)</f>
        <v>0</v>
      </c>
      <c r="AJ1655" s="9">
        <f>IFERROR(VLOOKUP($A1655,pivot!$A:$I,計算式2026!AJ$1,FALSE),0)</f>
        <v>0</v>
      </c>
      <c r="AK1655" s="9">
        <f>IFERROR(VLOOKUP($A1655,pivot!$A:$I,計算式2026!AK$1,FALSE),0)</f>
        <v>0</v>
      </c>
      <c r="AL1655" s="9">
        <f>IFERROR(VLOOKUP($A1655,pivot!$A:$I,計算式2026!AL$1,FALSE),0)</f>
        <v>0</v>
      </c>
      <c r="AR1655" s="8"/>
      <c r="AS1655" s="8"/>
      <c r="AT1655" s="8"/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8"/>
      <c r="BG1655" s="8"/>
    </row>
    <row r="1656" spans="1:59" s="9" customFormat="1">
      <c r="A1656" s="8" t="s">
        <v>1518</v>
      </c>
      <c r="B1656" s="8" t="s">
        <v>1013</v>
      </c>
      <c r="C1656" s="9">
        <v>0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R1656" s="9">
        <v>0</v>
      </c>
      <c r="S1656" s="9">
        <v>1</v>
      </c>
      <c r="T1656" s="9">
        <v>0</v>
      </c>
      <c r="U1656" s="9">
        <v>0</v>
      </c>
      <c r="V1656" s="9">
        <v>1</v>
      </c>
      <c r="W1656" s="9">
        <v>0</v>
      </c>
      <c r="X1656" s="9">
        <v>0</v>
      </c>
      <c r="AE1656" s="9">
        <f>IFERROR(VLOOKUP($A1656,pivot!$A:$G,計算式2026!AE$1,FALSE),0)</f>
        <v>0</v>
      </c>
      <c r="AF1656" s="9">
        <f>IFERROR(VLOOKUP($A1656,pivot!$A:$I,計算式2026!AF$1,FALSE),0)</f>
        <v>0</v>
      </c>
      <c r="AI1656" s="9">
        <f>IFERROR(VLOOKUP($A1656,pivot!$A:$I,計算式2026!AI$1,FALSE),0)</f>
        <v>0</v>
      </c>
      <c r="AJ1656" s="9">
        <f>IFERROR(VLOOKUP($A1656,pivot!$A:$I,計算式2026!AJ$1,FALSE),0)</f>
        <v>0</v>
      </c>
      <c r="AK1656" s="9">
        <f>IFERROR(VLOOKUP($A1656,pivot!$A:$I,計算式2026!AK$1,FALSE),0)</f>
        <v>0</v>
      </c>
      <c r="AL1656" s="9">
        <f>IFERROR(VLOOKUP($A1656,pivot!$A:$I,計算式2026!AL$1,FALSE),0)</f>
        <v>0</v>
      </c>
      <c r="AR1656" s="8"/>
      <c r="AS1656" s="8"/>
      <c r="AT1656" s="8"/>
      <c r="AU1656" s="8"/>
      <c r="AV1656" s="8"/>
      <c r="AW1656" s="8"/>
      <c r="AX1656" s="8"/>
      <c r="AY1656" s="8"/>
      <c r="AZ1656" s="8"/>
      <c r="BA1656" s="8"/>
      <c r="BB1656" s="8"/>
      <c r="BC1656" s="8"/>
      <c r="BD1656" s="8"/>
      <c r="BE1656" s="8"/>
      <c r="BF1656" s="8"/>
      <c r="BG1656" s="8"/>
    </row>
    <row r="1657" spans="1:59" s="9" customFormat="1">
      <c r="A1657" s="8" t="s">
        <v>1519</v>
      </c>
      <c r="B1657" s="8" t="s">
        <v>1013</v>
      </c>
      <c r="C1657" s="9">
        <v>1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0</v>
      </c>
      <c r="R1657" s="9">
        <v>0</v>
      </c>
      <c r="S1657" s="9">
        <v>1</v>
      </c>
      <c r="T1657" s="9">
        <v>0</v>
      </c>
      <c r="U1657" s="9">
        <v>0</v>
      </c>
      <c r="V1657" s="9">
        <v>1</v>
      </c>
      <c r="W1657" s="9">
        <v>0</v>
      </c>
      <c r="X1657" s="9">
        <v>0</v>
      </c>
      <c r="AE1657" s="9">
        <f>IFERROR(VLOOKUP($A1657,pivot!$A:$G,計算式2026!AE$1,FALSE),0)</f>
        <v>0</v>
      </c>
      <c r="AF1657" s="9">
        <f>IFERROR(VLOOKUP($A1657,pivot!$A:$I,計算式2026!AF$1,FALSE),0)</f>
        <v>0</v>
      </c>
      <c r="AI1657" s="9">
        <f>IFERROR(VLOOKUP($A1657,pivot!$A:$I,計算式2026!AI$1,FALSE),0)</f>
        <v>0</v>
      </c>
      <c r="AJ1657" s="9">
        <f>IFERROR(VLOOKUP($A1657,pivot!$A:$I,計算式2026!AJ$1,FALSE),0)</f>
        <v>0</v>
      </c>
      <c r="AK1657" s="9">
        <f>IFERROR(VLOOKUP($A1657,pivot!$A:$I,計算式2026!AK$1,FALSE),0)</f>
        <v>0</v>
      </c>
      <c r="AL1657" s="9">
        <f>IFERROR(VLOOKUP($A1657,pivot!$A:$I,計算式2026!AL$1,FALSE),0)</f>
        <v>0</v>
      </c>
      <c r="AR1657" s="8"/>
      <c r="AS1657" s="8"/>
      <c r="AT1657" s="8"/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8"/>
      <c r="BG1657" s="8"/>
    </row>
    <row r="1658" spans="1:59" s="9" customFormat="1">
      <c r="A1658" s="8" t="s">
        <v>1520</v>
      </c>
      <c r="B1658" s="8" t="s">
        <v>1013</v>
      </c>
      <c r="C1658" s="9">
        <v>1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AE1658" s="9">
        <f>IFERROR(VLOOKUP($A1658,pivot!$A:$G,計算式2026!AE$1,FALSE),0)</f>
        <v>0</v>
      </c>
      <c r="AF1658" s="9">
        <f>IFERROR(VLOOKUP($A1658,pivot!$A:$I,計算式2026!AF$1,FALSE),0)</f>
        <v>0</v>
      </c>
      <c r="AI1658" s="9">
        <f>IFERROR(VLOOKUP($A1658,pivot!$A:$I,計算式2026!AI$1,FALSE),0)</f>
        <v>0</v>
      </c>
      <c r="AJ1658" s="9">
        <f>IFERROR(VLOOKUP($A1658,pivot!$A:$I,計算式2026!AJ$1,FALSE),0)</f>
        <v>0</v>
      </c>
      <c r="AK1658" s="9">
        <f>IFERROR(VLOOKUP($A1658,pivot!$A:$I,計算式2026!AK$1,FALSE),0)</f>
        <v>0</v>
      </c>
      <c r="AL1658" s="9">
        <f>IFERROR(VLOOKUP($A1658,pivot!$A:$I,計算式2026!AL$1,FALSE),0)</f>
        <v>0</v>
      </c>
      <c r="AR1658" s="8"/>
      <c r="AS1658" s="8"/>
      <c r="AT1658" s="8"/>
      <c r="AU1658" s="8"/>
      <c r="AV1658" s="8"/>
      <c r="AW1658" s="8"/>
      <c r="AX1658" s="8"/>
      <c r="AY1658" s="8"/>
      <c r="AZ1658" s="8"/>
      <c r="BA1658" s="8"/>
      <c r="BB1658" s="8"/>
      <c r="BC1658" s="8"/>
      <c r="BD1658" s="8"/>
      <c r="BE1658" s="8"/>
      <c r="BF1658" s="8"/>
      <c r="BG1658" s="8"/>
    </row>
    <row r="1659" spans="1:59" s="9" customFormat="1">
      <c r="A1659" s="8" t="s">
        <v>1521</v>
      </c>
      <c r="B1659" s="8" t="s">
        <v>1013</v>
      </c>
      <c r="C1659" s="9">
        <v>2</v>
      </c>
      <c r="D1659" s="9">
        <v>3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R1659" s="9">
        <v>0</v>
      </c>
      <c r="S1659" s="9">
        <v>2</v>
      </c>
      <c r="T1659" s="9">
        <v>1</v>
      </c>
      <c r="U1659" s="9">
        <v>0</v>
      </c>
      <c r="V1659" s="9">
        <v>2</v>
      </c>
      <c r="W1659" s="9">
        <v>0</v>
      </c>
      <c r="X1659" s="9">
        <v>1</v>
      </c>
      <c r="AE1659" s="9">
        <f>IFERROR(VLOOKUP($A1659,pivot!$A:$G,計算式2026!AE$1,FALSE),0)</f>
        <v>0</v>
      </c>
      <c r="AF1659" s="9">
        <f>IFERROR(VLOOKUP($A1659,pivot!$A:$I,計算式2026!AF$1,FALSE),0)</f>
        <v>0</v>
      </c>
      <c r="AI1659" s="9">
        <f>IFERROR(VLOOKUP($A1659,pivot!$A:$I,計算式2026!AI$1,FALSE),0)</f>
        <v>0</v>
      </c>
      <c r="AJ1659" s="9">
        <f>IFERROR(VLOOKUP($A1659,pivot!$A:$I,計算式2026!AJ$1,FALSE),0)</f>
        <v>0</v>
      </c>
      <c r="AK1659" s="9">
        <f>IFERROR(VLOOKUP($A1659,pivot!$A:$I,計算式2026!AK$1,FALSE),0)</f>
        <v>0</v>
      </c>
      <c r="AL1659" s="9">
        <f>IFERROR(VLOOKUP($A1659,pivot!$A:$I,計算式2026!AL$1,FALSE),0)</f>
        <v>0</v>
      </c>
      <c r="AR1659" s="8"/>
      <c r="AS1659" s="8"/>
      <c r="AT1659" s="8"/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8"/>
      <c r="BG1659" s="8"/>
    </row>
    <row r="1660" spans="1:59" s="9" customFormat="1">
      <c r="A1660" s="8" t="s">
        <v>1522</v>
      </c>
      <c r="B1660" s="8" t="s">
        <v>1013</v>
      </c>
      <c r="C1660" s="9">
        <v>2</v>
      </c>
      <c r="D1660" s="9">
        <v>5</v>
      </c>
      <c r="E1660" s="9">
        <v>0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R1660" s="9">
        <v>0</v>
      </c>
      <c r="S1660" s="9">
        <v>2</v>
      </c>
      <c r="T1660" s="9">
        <v>1</v>
      </c>
      <c r="U1660" s="9">
        <v>0</v>
      </c>
      <c r="V1660" s="9">
        <v>2</v>
      </c>
      <c r="W1660" s="9">
        <v>0</v>
      </c>
      <c r="X1660" s="9">
        <v>1</v>
      </c>
      <c r="AE1660" s="9">
        <f>IFERROR(VLOOKUP($A1660,pivot!$A:$G,計算式2026!AE$1,FALSE),0)</f>
        <v>0</v>
      </c>
      <c r="AF1660" s="9">
        <f>IFERROR(VLOOKUP($A1660,pivot!$A:$I,計算式2026!AF$1,FALSE),0)</f>
        <v>0</v>
      </c>
      <c r="AI1660" s="9">
        <f>IFERROR(VLOOKUP($A1660,pivot!$A:$I,計算式2026!AI$1,FALSE),0)</f>
        <v>0</v>
      </c>
      <c r="AJ1660" s="9">
        <f>IFERROR(VLOOKUP($A1660,pivot!$A:$I,計算式2026!AJ$1,FALSE),0)</f>
        <v>0</v>
      </c>
      <c r="AK1660" s="9">
        <f>IFERROR(VLOOKUP($A1660,pivot!$A:$I,計算式2026!AK$1,FALSE),0)</f>
        <v>0</v>
      </c>
      <c r="AL1660" s="9">
        <f>IFERROR(VLOOKUP($A1660,pivot!$A:$I,計算式2026!AL$1,FALSE),0)</f>
        <v>0</v>
      </c>
      <c r="AR1660" s="8"/>
      <c r="AS1660" s="8"/>
      <c r="AT1660" s="8"/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8"/>
      <c r="BG1660" s="8"/>
    </row>
    <row r="1661" spans="1:59" s="9" customFormat="1">
      <c r="A1661" s="8" t="s">
        <v>1523</v>
      </c>
      <c r="B1661" s="8" t="s">
        <v>1013</v>
      </c>
      <c r="C1661" s="9">
        <v>1</v>
      </c>
      <c r="D1661" s="9">
        <v>1</v>
      </c>
      <c r="E1661" s="9">
        <v>0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R1661" s="9">
        <v>0</v>
      </c>
      <c r="S1661" s="9">
        <v>1</v>
      </c>
      <c r="T1661" s="9">
        <v>0</v>
      </c>
      <c r="U1661" s="9">
        <v>0</v>
      </c>
      <c r="V1661" s="9">
        <v>1</v>
      </c>
      <c r="W1661" s="9">
        <v>0</v>
      </c>
      <c r="X1661" s="9">
        <v>1</v>
      </c>
      <c r="AE1661" s="9">
        <f>IFERROR(VLOOKUP($A1661,pivot!$A:$G,計算式2026!AE$1,FALSE),0)</f>
        <v>0</v>
      </c>
      <c r="AF1661" s="9">
        <f>IFERROR(VLOOKUP($A1661,pivot!$A:$I,計算式2026!AF$1,FALSE),0)</f>
        <v>0</v>
      </c>
      <c r="AI1661" s="9">
        <f>IFERROR(VLOOKUP($A1661,pivot!$A:$I,計算式2026!AI$1,FALSE),0)</f>
        <v>0</v>
      </c>
      <c r="AJ1661" s="9">
        <f>IFERROR(VLOOKUP($A1661,pivot!$A:$I,計算式2026!AJ$1,FALSE),0)</f>
        <v>0</v>
      </c>
      <c r="AK1661" s="9">
        <f>IFERROR(VLOOKUP($A1661,pivot!$A:$I,計算式2026!AK$1,FALSE),0)</f>
        <v>0</v>
      </c>
      <c r="AL1661" s="9">
        <f>IFERROR(VLOOKUP($A1661,pivot!$A:$I,計算式2026!AL$1,FALSE),0)</f>
        <v>0</v>
      </c>
      <c r="AR1661" s="8"/>
      <c r="AS1661" s="8"/>
      <c r="AT1661" s="8"/>
      <c r="AU1661" s="8"/>
      <c r="AV1661" s="8"/>
      <c r="AW1661" s="8"/>
      <c r="AX1661" s="8"/>
      <c r="AY1661" s="8"/>
      <c r="AZ1661" s="8"/>
      <c r="BA1661" s="8"/>
      <c r="BB1661" s="8"/>
      <c r="BC1661" s="8"/>
      <c r="BD1661" s="8"/>
      <c r="BE1661" s="8"/>
      <c r="BF1661" s="8"/>
      <c r="BG1661" s="8"/>
    </row>
    <row r="1662" spans="1:59" s="9" customFormat="1">
      <c r="A1662" s="8" t="s">
        <v>1524</v>
      </c>
      <c r="B1662" s="8" t="s">
        <v>1013</v>
      </c>
      <c r="C1662" s="9">
        <v>2</v>
      </c>
      <c r="D1662" s="9">
        <v>4</v>
      </c>
      <c r="E1662" s="9">
        <v>0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R1662" s="9">
        <v>0</v>
      </c>
      <c r="S1662" s="9">
        <v>2</v>
      </c>
      <c r="T1662" s="9">
        <v>1</v>
      </c>
      <c r="U1662" s="9">
        <v>0</v>
      </c>
      <c r="V1662" s="9">
        <v>2</v>
      </c>
      <c r="W1662" s="9">
        <v>0</v>
      </c>
      <c r="X1662" s="9">
        <v>1</v>
      </c>
      <c r="AE1662" s="9">
        <f>IFERROR(VLOOKUP($A1662,pivot!$A:$G,計算式2026!AE$1,FALSE),0)</f>
        <v>0</v>
      </c>
      <c r="AF1662" s="9">
        <f>IFERROR(VLOOKUP($A1662,pivot!$A:$I,計算式2026!AF$1,FALSE),0)</f>
        <v>0</v>
      </c>
      <c r="AI1662" s="9">
        <f>IFERROR(VLOOKUP($A1662,pivot!$A:$I,計算式2026!AI$1,FALSE),0)</f>
        <v>0</v>
      </c>
      <c r="AJ1662" s="9">
        <f>IFERROR(VLOOKUP($A1662,pivot!$A:$I,計算式2026!AJ$1,FALSE),0)</f>
        <v>0</v>
      </c>
      <c r="AK1662" s="9">
        <f>IFERROR(VLOOKUP($A1662,pivot!$A:$I,計算式2026!AK$1,FALSE),0)</f>
        <v>0</v>
      </c>
      <c r="AL1662" s="9">
        <f>IFERROR(VLOOKUP($A1662,pivot!$A:$I,計算式2026!AL$1,FALSE),0)</f>
        <v>0</v>
      </c>
      <c r="AR1662" s="8"/>
      <c r="AS1662" s="8"/>
      <c r="AT1662" s="8"/>
      <c r="AU1662" s="8"/>
      <c r="AV1662" s="8"/>
      <c r="AW1662" s="8"/>
      <c r="AX1662" s="8"/>
      <c r="AY1662" s="8"/>
      <c r="AZ1662" s="8"/>
      <c r="BA1662" s="8"/>
      <c r="BB1662" s="8"/>
      <c r="BC1662" s="8"/>
      <c r="BD1662" s="8"/>
      <c r="BE1662" s="8"/>
      <c r="BF1662" s="8"/>
      <c r="BG1662" s="8"/>
    </row>
    <row r="1663" spans="1:59" s="9" customFormat="1">
      <c r="A1663" s="8" t="s">
        <v>1525</v>
      </c>
      <c r="B1663" s="8" t="s">
        <v>1013</v>
      </c>
      <c r="C1663" s="9">
        <v>2</v>
      </c>
      <c r="D1663" s="9">
        <v>1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0</v>
      </c>
      <c r="R1663" s="9">
        <v>0</v>
      </c>
      <c r="S1663" s="9">
        <v>2</v>
      </c>
      <c r="T1663" s="9">
        <v>1</v>
      </c>
      <c r="U1663" s="9">
        <v>0</v>
      </c>
      <c r="V1663" s="9">
        <v>2</v>
      </c>
      <c r="W1663" s="9">
        <v>0</v>
      </c>
      <c r="X1663" s="9">
        <v>1</v>
      </c>
      <c r="AE1663" s="9">
        <f>IFERROR(VLOOKUP($A1663,pivot!$A:$G,計算式2026!AE$1,FALSE),0)</f>
        <v>0</v>
      </c>
      <c r="AF1663" s="9">
        <f>IFERROR(VLOOKUP($A1663,pivot!$A:$I,計算式2026!AF$1,FALSE),0)</f>
        <v>0</v>
      </c>
      <c r="AI1663" s="9">
        <f>IFERROR(VLOOKUP($A1663,pivot!$A:$I,計算式2026!AI$1,FALSE),0)</f>
        <v>0</v>
      </c>
      <c r="AJ1663" s="9">
        <f>IFERROR(VLOOKUP($A1663,pivot!$A:$I,計算式2026!AJ$1,FALSE),0)</f>
        <v>0</v>
      </c>
      <c r="AK1663" s="9">
        <f>IFERROR(VLOOKUP($A1663,pivot!$A:$I,計算式2026!AK$1,FALSE),0)</f>
        <v>0</v>
      </c>
      <c r="AL1663" s="9">
        <f>IFERROR(VLOOKUP($A1663,pivot!$A:$I,計算式2026!AL$1,FALSE),0)</f>
        <v>0</v>
      </c>
      <c r="AR1663" s="8"/>
      <c r="AS1663" s="8"/>
      <c r="AT1663" s="8"/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8"/>
      <c r="BG1663" s="8"/>
    </row>
    <row r="1664" spans="1:59" s="9" customFormat="1">
      <c r="A1664" s="8" t="s">
        <v>1526</v>
      </c>
      <c r="B1664" s="8" t="s">
        <v>1013</v>
      </c>
      <c r="C1664" s="9">
        <v>2</v>
      </c>
      <c r="D1664" s="9">
        <v>2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R1664" s="9">
        <v>0</v>
      </c>
      <c r="S1664" s="9">
        <v>1</v>
      </c>
      <c r="T1664" s="9">
        <v>0</v>
      </c>
      <c r="U1664" s="9">
        <v>0</v>
      </c>
      <c r="V1664" s="9">
        <v>1</v>
      </c>
      <c r="W1664" s="9">
        <v>0</v>
      </c>
      <c r="X1664" s="9">
        <v>1</v>
      </c>
      <c r="AE1664" s="9">
        <f>IFERROR(VLOOKUP($A1664,pivot!$A:$G,計算式2026!AE$1,FALSE),0)</f>
        <v>0</v>
      </c>
      <c r="AF1664" s="9">
        <f>IFERROR(VLOOKUP($A1664,pivot!$A:$I,計算式2026!AF$1,FALSE),0)</f>
        <v>0</v>
      </c>
      <c r="AI1664" s="9">
        <f>IFERROR(VLOOKUP($A1664,pivot!$A:$I,計算式2026!AI$1,FALSE),0)</f>
        <v>0</v>
      </c>
      <c r="AJ1664" s="9">
        <f>IFERROR(VLOOKUP($A1664,pivot!$A:$I,計算式2026!AJ$1,FALSE),0)</f>
        <v>0</v>
      </c>
      <c r="AK1664" s="9">
        <f>IFERROR(VLOOKUP($A1664,pivot!$A:$I,計算式2026!AK$1,FALSE),0)</f>
        <v>0</v>
      </c>
      <c r="AL1664" s="9">
        <f>IFERROR(VLOOKUP($A1664,pivot!$A:$I,計算式2026!AL$1,FALSE),0)</f>
        <v>0</v>
      </c>
      <c r="AR1664" s="8"/>
      <c r="AS1664" s="8"/>
      <c r="AT1664" s="8"/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8"/>
      <c r="BG1664" s="8"/>
    </row>
    <row r="1665" spans="1:59" s="9" customFormat="1">
      <c r="A1665" s="8">
        <v>8246221744</v>
      </c>
      <c r="B1665" s="8" t="s">
        <v>1020</v>
      </c>
      <c r="C1665" s="9">
        <v>0</v>
      </c>
      <c r="D1665" s="9">
        <v>0</v>
      </c>
      <c r="E1665" s="9">
        <v>0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1</v>
      </c>
      <c r="AE1665" s="9">
        <f>IFERROR(VLOOKUP($A1665,pivot!$A:$G,計算式2026!AE$1,FALSE),0)</f>
        <v>0</v>
      </c>
      <c r="AF1665" s="9">
        <f>IFERROR(VLOOKUP($A1665,pivot!$A:$I,計算式2026!AF$1,FALSE),0)</f>
        <v>0</v>
      </c>
      <c r="AI1665" s="9">
        <f>IFERROR(VLOOKUP($A1665,pivot!$A:$I,計算式2026!AI$1,FALSE),0)</f>
        <v>0</v>
      </c>
      <c r="AJ1665" s="9">
        <f>IFERROR(VLOOKUP($A1665,pivot!$A:$I,計算式2026!AJ$1,FALSE),0)</f>
        <v>0</v>
      </c>
      <c r="AK1665" s="9">
        <f>IFERROR(VLOOKUP($A1665,pivot!$A:$I,計算式2026!AK$1,FALSE),0)</f>
        <v>0</v>
      </c>
      <c r="AL1665" s="9">
        <f>IFERROR(VLOOKUP($A1665,pivot!$A:$I,計算式2026!AL$1,FALSE),0)</f>
        <v>0</v>
      </c>
      <c r="AR1665" s="8"/>
      <c r="AS1665" s="8"/>
      <c r="AT1665" s="8"/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8"/>
      <c r="BG1665" s="8"/>
    </row>
    <row r="1666" spans="1:59" s="9" customFormat="1">
      <c r="A1666" s="8">
        <v>8246221746</v>
      </c>
      <c r="B1666" s="8" t="s">
        <v>1020</v>
      </c>
      <c r="C1666" s="9">
        <v>6</v>
      </c>
      <c r="D1666" s="9">
        <v>0</v>
      </c>
      <c r="E1666" s="9">
        <v>0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R1666" s="9">
        <v>0</v>
      </c>
      <c r="S1666" s="9">
        <v>0</v>
      </c>
      <c r="T1666" s="9">
        <v>1</v>
      </c>
      <c r="U1666" s="9">
        <v>0</v>
      </c>
      <c r="V1666" s="9">
        <v>0</v>
      </c>
      <c r="W1666" s="9">
        <v>0</v>
      </c>
      <c r="X1666" s="9">
        <v>1</v>
      </c>
      <c r="AE1666" s="9">
        <f>IFERROR(VLOOKUP($A1666,pivot!$A:$G,計算式2026!AE$1,FALSE),0)</f>
        <v>0</v>
      </c>
      <c r="AF1666" s="9">
        <f>IFERROR(VLOOKUP($A1666,pivot!$A:$I,計算式2026!AF$1,FALSE),0)</f>
        <v>0</v>
      </c>
      <c r="AI1666" s="9">
        <f>IFERROR(VLOOKUP($A1666,pivot!$A:$I,計算式2026!AI$1,FALSE),0)</f>
        <v>0</v>
      </c>
      <c r="AJ1666" s="9">
        <f>IFERROR(VLOOKUP($A1666,pivot!$A:$I,計算式2026!AJ$1,FALSE),0)</f>
        <v>0</v>
      </c>
      <c r="AK1666" s="9">
        <f>IFERROR(VLOOKUP($A1666,pivot!$A:$I,計算式2026!AK$1,FALSE),0)</f>
        <v>0</v>
      </c>
      <c r="AL1666" s="9">
        <f>IFERROR(VLOOKUP($A1666,pivot!$A:$I,計算式2026!AL$1,FALSE),0)</f>
        <v>0</v>
      </c>
      <c r="AR1666" s="8"/>
      <c r="AS1666" s="8"/>
      <c r="AT1666" s="8"/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8"/>
      <c r="BG1666" s="8"/>
    </row>
    <row r="1667" spans="1:59" s="9" customFormat="1">
      <c r="A1667" s="8">
        <v>8246221748</v>
      </c>
      <c r="B1667" s="8" t="s">
        <v>1020</v>
      </c>
      <c r="C1667" s="9">
        <v>8</v>
      </c>
      <c r="D1667" s="9">
        <v>0</v>
      </c>
      <c r="E1667" s="9">
        <v>0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R1667" s="9">
        <v>0</v>
      </c>
      <c r="S1667" s="9">
        <v>0</v>
      </c>
      <c r="T1667" s="9">
        <v>1</v>
      </c>
      <c r="U1667" s="9">
        <v>0</v>
      </c>
      <c r="V1667" s="9">
        <v>0</v>
      </c>
      <c r="W1667" s="9">
        <v>0</v>
      </c>
      <c r="X1667" s="9">
        <v>1</v>
      </c>
      <c r="AE1667" s="9">
        <f>IFERROR(VLOOKUP($A1667,pivot!$A:$G,計算式2026!AE$1,FALSE),0)</f>
        <v>0</v>
      </c>
      <c r="AF1667" s="9">
        <f>IFERROR(VLOOKUP($A1667,pivot!$A:$I,計算式2026!AF$1,FALSE),0)</f>
        <v>0</v>
      </c>
      <c r="AI1667" s="9">
        <f>IFERROR(VLOOKUP($A1667,pivot!$A:$I,計算式2026!AI$1,FALSE),0)</f>
        <v>0</v>
      </c>
      <c r="AJ1667" s="9">
        <f>IFERROR(VLOOKUP($A1667,pivot!$A:$I,計算式2026!AJ$1,FALSE),0)</f>
        <v>0</v>
      </c>
      <c r="AK1667" s="9">
        <f>IFERROR(VLOOKUP($A1667,pivot!$A:$I,計算式2026!AK$1,FALSE),0)</f>
        <v>0</v>
      </c>
      <c r="AL1667" s="9">
        <f>IFERROR(VLOOKUP($A1667,pivot!$A:$I,計算式2026!AL$1,FALSE),0)</f>
        <v>0</v>
      </c>
      <c r="AR1667" s="8"/>
      <c r="AS1667" s="8"/>
      <c r="AT1667" s="8"/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8"/>
      <c r="BG1667" s="8"/>
    </row>
    <row r="1668" spans="1:59" s="9" customFormat="1">
      <c r="A1668" s="8">
        <v>8246252546</v>
      </c>
      <c r="B1668" s="8" t="s">
        <v>1020</v>
      </c>
      <c r="C1668" s="9">
        <v>1</v>
      </c>
      <c r="D1668" s="9">
        <v>0</v>
      </c>
      <c r="E1668" s="9">
        <v>0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1</v>
      </c>
      <c r="AE1668" s="9">
        <f>IFERROR(VLOOKUP($A1668,pivot!$A:$G,計算式2026!AE$1,FALSE),0)</f>
        <v>0</v>
      </c>
      <c r="AF1668" s="9">
        <f>IFERROR(VLOOKUP($A1668,pivot!$A:$I,計算式2026!AF$1,FALSE),0)</f>
        <v>0</v>
      </c>
      <c r="AI1668" s="9">
        <f>IFERROR(VLOOKUP($A1668,pivot!$A:$I,計算式2026!AI$1,FALSE),0)</f>
        <v>0</v>
      </c>
      <c r="AJ1668" s="9">
        <f>IFERROR(VLOOKUP($A1668,pivot!$A:$I,計算式2026!AJ$1,FALSE),0)</f>
        <v>0</v>
      </c>
      <c r="AK1668" s="9">
        <f>IFERROR(VLOOKUP($A1668,pivot!$A:$I,計算式2026!AK$1,FALSE),0)</f>
        <v>0</v>
      </c>
      <c r="AL1668" s="9">
        <f>IFERROR(VLOOKUP($A1668,pivot!$A:$I,計算式2026!AL$1,FALSE),0)</f>
        <v>0</v>
      </c>
      <c r="AR1668" s="8"/>
      <c r="AS1668" s="8"/>
      <c r="AT1668" s="8"/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8"/>
      <c r="BG1668" s="8"/>
    </row>
    <row r="1669" spans="1:59" s="9" customFormat="1">
      <c r="A1669" s="8">
        <v>8246256046</v>
      </c>
      <c r="B1669" s="8" t="s">
        <v>1020</v>
      </c>
      <c r="C1669" s="9">
        <v>8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R1669" s="9">
        <v>0</v>
      </c>
      <c r="S1669" s="9">
        <v>0</v>
      </c>
      <c r="T1669" s="9">
        <v>1</v>
      </c>
      <c r="U1669" s="9">
        <v>0</v>
      </c>
      <c r="V1669" s="9">
        <v>0</v>
      </c>
      <c r="W1669" s="9">
        <v>0</v>
      </c>
      <c r="X1669" s="9">
        <v>1</v>
      </c>
      <c r="AE1669" s="9">
        <f>IFERROR(VLOOKUP($A1669,pivot!$A:$G,計算式2026!AE$1,FALSE),0)</f>
        <v>0</v>
      </c>
      <c r="AF1669" s="9">
        <f>IFERROR(VLOOKUP($A1669,pivot!$A:$I,計算式2026!AF$1,FALSE),0)</f>
        <v>0</v>
      </c>
      <c r="AI1669" s="9">
        <f>IFERROR(VLOOKUP($A1669,pivot!$A:$I,計算式2026!AI$1,FALSE),0)</f>
        <v>0</v>
      </c>
      <c r="AJ1669" s="9">
        <f>IFERROR(VLOOKUP($A1669,pivot!$A:$I,計算式2026!AJ$1,FALSE),0)</f>
        <v>0</v>
      </c>
      <c r="AK1669" s="9">
        <f>IFERROR(VLOOKUP($A1669,pivot!$A:$I,計算式2026!AK$1,FALSE),0)</f>
        <v>0</v>
      </c>
      <c r="AL1669" s="9">
        <f>IFERROR(VLOOKUP($A1669,pivot!$A:$I,計算式2026!AL$1,FALSE),0)</f>
        <v>0</v>
      </c>
      <c r="AR1669" s="8"/>
      <c r="AS1669" s="8"/>
      <c r="AT1669" s="8"/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8"/>
      <c r="BG1669" s="8"/>
    </row>
    <row r="1670" spans="1:59" s="9" customFormat="1">
      <c r="A1670" s="8">
        <v>8246256048</v>
      </c>
      <c r="B1670" s="8" t="s">
        <v>1020</v>
      </c>
      <c r="C1670" s="9">
        <v>7</v>
      </c>
      <c r="D1670" s="9">
        <v>0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R1670" s="9">
        <v>0</v>
      </c>
      <c r="S1670" s="9">
        <v>0</v>
      </c>
      <c r="T1670" s="9">
        <v>1</v>
      </c>
      <c r="U1670" s="9">
        <v>0</v>
      </c>
      <c r="V1670" s="9">
        <v>0</v>
      </c>
      <c r="W1670" s="9">
        <v>0</v>
      </c>
      <c r="X1670" s="9">
        <v>1</v>
      </c>
      <c r="AE1670" s="9">
        <f>IFERROR(VLOOKUP($A1670,pivot!$A:$G,計算式2026!AE$1,FALSE),0)</f>
        <v>0</v>
      </c>
      <c r="AF1670" s="9">
        <f>IFERROR(VLOOKUP($A1670,pivot!$A:$I,計算式2026!AF$1,FALSE),0)</f>
        <v>0</v>
      </c>
      <c r="AI1670" s="9">
        <f>IFERROR(VLOOKUP($A1670,pivot!$A:$I,計算式2026!AI$1,FALSE),0)</f>
        <v>0</v>
      </c>
      <c r="AJ1670" s="9">
        <f>IFERROR(VLOOKUP($A1670,pivot!$A:$I,計算式2026!AJ$1,FALSE),0)</f>
        <v>0</v>
      </c>
      <c r="AK1670" s="9">
        <f>IFERROR(VLOOKUP($A1670,pivot!$A:$I,計算式2026!AK$1,FALSE),0)</f>
        <v>0</v>
      </c>
      <c r="AL1670" s="9">
        <f>IFERROR(VLOOKUP($A1670,pivot!$A:$I,計算式2026!AL$1,FALSE),0)</f>
        <v>0</v>
      </c>
      <c r="AR1670" s="8"/>
      <c r="AS1670" s="8"/>
      <c r="AT1670" s="8"/>
      <c r="AU1670" s="8"/>
      <c r="AV1670" s="8"/>
      <c r="AW1670" s="8"/>
      <c r="AX1670" s="8"/>
      <c r="AY1670" s="8"/>
      <c r="AZ1670" s="8"/>
      <c r="BA1670" s="8"/>
      <c r="BB1670" s="8"/>
      <c r="BC1670" s="8"/>
      <c r="BD1670" s="8"/>
      <c r="BE1670" s="8"/>
      <c r="BF1670" s="8"/>
      <c r="BG1670" s="8"/>
    </row>
    <row r="1671" spans="1:59" s="9" customFormat="1">
      <c r="A1671" s="8" t="s">
        <v>1527</v>
      </c>
      <c r="B1671" s="8" t="s">
        <v>2311</v>
      </c>
      <c r="C1671" s="9">
        <v>1</v>
      </c>
      <c r="D1671" s="9">
        <v>0</v>
      </c>
      <c r="E1671" s="9">
        <v>0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1</v>
      </c>
      <c r="AE1671" s="9">
        <f>IFERROR(VLOOKUP($A1671,pivot!$A:$G,計算式2026!AE$1,FALSE),0)</f>
        <v>0</v>
      </c>
      <c r="AF1671" s="9">
        <f>IFERROR(VLOOKUP($A1671,pivot!$A:$I,計算式2026!AF$1,FALSE),0)</f>
        <v>0</v>
      </c>
      <c r="AI1671" s="9">
        <f>IFERROR(VLOOKUP($A1671,pivot!$A:$I,計算式2026!AI$1,FALSE),0)</f>
        <v>0</v>
      </c>
      <c r="AJ1671" s="9">
        <f>IFERROR(VLOOKUP($A1671,pivot!$A:$I,計算式2026!AJ$1,FALSE),0)</f>
        <v>0</v>
      </c>
      <c r="AK1671" s="9">
        <f>IFERROR(VLOOKUP($A1671,pivot!$A:$I,計算式2026!AK$1,FALSE),0)</f>
        <v>0</v>
      </c>
      <c r="AL1671" s="9">
        <f>IFERROR(VLOOKUP($A1671,pivot!$A:$I,計算式2026!AL$1,FALSE),0)</f>
        <v>0</v>
      </c>
      <c r="AR1671" s="8"/>
      <c r="AS1671" s="8"/>
      <c r="AT1671" s="8"/>
      <c r="AU1671" s="8"/>
      <c r="AV1671" s="8"/>
      <c r="AW1671" s="8"/>
      <c r="AX1671" s="8"/>
      <c r="AY1671" s="8"/>
      <c r="AZ1671" s="8"/>
      <c r="BA1671" s="8"/>
      <c r="BB1671" s="8"/>
      <c r="BC1671" s="8"/>
      <c r="BD1671" s="8"/>
      <c r="BE1671" s="8"/>
      <c r="BF1671" s="8"/>
      <c r="BG1671" s="8"/>
    </row>
    <row r="1672" spans="1:59" s="9" customFormat="1">
      <c r="A1672" s="8" t="s">
        <v>1528</v>
      </c>
      <c r="B1672" s="8" t="s">
        <v>2311</v>
      </c>
      <c r="C1672" s="9">
        <v>1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1</v>
      </c>
      <c r="AE1672" s="9">
        <f>IFERROR(VLOOKUP($A1672,pivot!$A:$G,計算式2026!AE$1,FALSE),0)</f>
        <v>0</v>
      </c>
      <c r="AF1672" s="9">
        <f>IFERROR(VLOOKUP($A1672,pivot!$A:$I,計算式2026!AF$1,FALSE),0)</f>
        <v>0</v>
      </c>
      <c r="AI1672" s="9">
        <f>IFERROR(VLOOKUP($A1672,pivot!$A:$I,計算式2026!AI$1,FALSE),0)</f>
        <v>0</v>
      </c>
      <c r="AJ1672" s="9">
        <f>IFERROR(VLOOKUP($A1672,pivot!$A:$I,計算式2026!AJ$1,FALSE),0)</f>
        <v>0</v>
      </c>
      <c r="AK1672" s="9">
        <f>IFERROR(VLOOKUP($A1672,pivot!$A:$I,計算式2026!AK$1,FALSE),0)</f>
        <v>0</v>
      </c>
      <c r="AL1672" s="9">
        <f>IFERROR(VLOOKUP($A1672,pivot!$A:$I,計算式2026!AL$1,FALSE),0)</f>
        <v>0</v>
      </c>
      <c r="AR1672" s="8"/>
      <c r="AS1672" s="8"/>
      <c r="AT1672" s="8"/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8"/>
      <c r="BG1672" s="8"/>
    </row>
    <row r="1673" spans="1:59" s="9" customFormat="1">
      <c r="A1673" s="8" t="s">
        <v>1529</v>
      </c>
      <c r="B1673" s="8" t="s">
        <v>2311</v>
      </c>
      <c r="C1673" s="9">
        <v>2</v>
      </c>
      <c r="D1673" s="9">
        <v>0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1</v>
      </c>
      <c r="AE1673" s="9">
        <f>IFERROR(VLOOKUP($A1673,pivot!$A:$G,計算式2026!AE$1,FALSE),0)</f>
        <v>0</v>
      </c>
      <c r="AF1673" s="9">
        <f>IFERROR(VLOOKUP($A1673,pivot!$A:$I,計算式2026!AF$1,FALSE),0)</f>
        <v>0</v>
      </c>
      <c r="AI1673" s="9">
        <f>IFERROR(VLOOKUP($A1673,pivot!$A:$I,計算式2026!AI$1,FALSE),0)</f>
        <v>0</v>
      </c>
      <c r="AJ1673" s="9">
        <f>IFERROR(VLOOKUP($A1673,pivot!$A:$I,計算式2026!AJ$1,FALSE),0)</f>
        <v>0</v>
      </c>
      <c r="AK1673" s="9">
        <f>IFERROR(VLOOKUP($A1673,pivot!$A:$I,計算式2026!AK$1,FALSE),0)</f>
        <v>0</v>
      </c>
      <c r="AL1673" s="9">
        <f>IFERROR(VLOOKUP($A1673,pivot!$A:$I,計算式2026!AL$1,FALSE),0)</f>
        <v>0</v>
      </c>
      <c r="AR1673" s="8"/>
      <c r="AS1673" s="8"/>
      <c r="AT1673" s="8"/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8"/>
      <c r="BG1673" s="8"/>
    </row>
    <row r="1674" spans="1:59" s="9" customFormat="1">
      <c r="A1674" s="8" t="s">
        <v>2312</v>
      </c>
      <c r="B1674" s="8" t="s">
        <v>1022</v>
      </c>
      <c r="C1674" s="9">
        <v>0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R1674" s="9">
        <v>0</v>
      </c>
      <c r="S1674" s="9">
        <v>2</v>
      </c>
      <c r="T1674" s="9">
        <v>0</v>
      </c>
      <c r="U1674" s="9">
        <v>0</v>
      </c>
      <c r="V1674" s="9">
        <v>2</v>
      </c>
      <c r="W1674" s="9">
        <v>0</v>
      </c>
      <c r="X1674" s="9">
        <v>0</v>
      </c>
      <c r="AE1674" s="9">
        <f>IFERROR(VLOOKUP($A1674,pivot!$A:$G,計算式2026!AE$1,FALSE),0)</f>
        <v>0</v>
      </c>
      <c r="AF1674" s="9">
        <f>IFERROR(VLOOKUP($A1674,pivot!$A:$I,計算式2026!AF$1,FALSE),0)</f>
        <v>0</v>
      </c>
      <c r="AI1674" s="9">
        <f>IFERROR(VLOOKUP($A1674,pivot!$A:$I,計算式2026!AI$1,FALSE),0)</f>
        <v>0</v>
      </c>
      <c r="AJ1674" s="9">
        <f>IFERROR(VLOOKUP($A1674,pivot!$A:$I,計算式2026!AJ$1,FALSE),0)</f>
        <v>0</v>
      </c>
      <c r="AK1674" s="9">
        <f>IFERROR(VLOOKUP($A1674,pivot!$A:$I,計算式2026!AK$1,FALSE),0)</f>
        <v>0</v>
      </c>
      <c r="AL1674" s="9">
        <f>IFERROR(VLOOKUP($A1674,pivot!$A:$I,計算式2026!AL$1,FALSE),0)</f>
        <v>0</v>
      </c>
      <c r="AR1674" s="8"/>
      <c r="AS1674" s="8"/>
      <c r="AT1674" s="8"/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8"/>
      <c r="BG1674" s="8"/>
    </row>
    <row r="1675" spans="1:59" s="9" customFormat="1">
      <c r="A1675" s="8" t="s">
        <v>2313</v>
      </c>
      <c r="B1675" s="8" t="s">
        <v>1022</v>
      </c>
      <c r="C1675" s="9">
        <v>0</v>
      </c>
      <c r="D1675" s="9">
        <v>0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1</v>
      </c>
      <c r="W1675" s="9">
        <v>0</v>
      </c>
      <c r="X1675" s="9">
        <v>1</v>
      </c>
      <c r="AE1675" s="9">
        <f>IFERROR(VLOOKUP($A1675,pivot!$A:$G,計算式2026!AE$1,FALSE),0)</f>
        <v>0</v>
      </c>
      <c r="AF1675" s="9">
        <f>IFERROR(VLOOKUP($A1675,pivot!$A:$I,計算式2026!AF$1,FALSE),0)</f>
        <v>0</v>
      </c>
      <c r="AI1675" s="9">
        <f>IFERROR(VLOOKUP($A1675,pivot!$A:$I,計算式2026!AI$1,FALSE),0)</f>
        <v>0</v>
      </c>
      <c r="AJ1675" s="9">
        <f>IFERROR(VLOOKUP($A1675,pivot!$A:$I,計算式2026!AJ$1,FALSE),0)</f>
        <v>0</v>
      </c>
      <c r="AK1675" s="9">
        <f>IFERROR(VLOOKUP($A1675,pivot!$A:$I,計算式2026!AK$1,FALSE),0)</f>
        <v>0</v>
      </c>
      <c r="AL1675" s="9">
        <f>IFERROR(VLOOKUP($A1675,pivot!$A:$I,計算式2026!AL$1,FALSE),0)</f>
        <v>0</v>
      </c>
      <c r="AR1675" s="8"/>
      <c r="AS1675" s="8"/>
      <c r="AT1675" s="8"/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8"/>
      <c r="BG1675" s="8"/>
    </row>
    <row r="1676" spans="1:59" s="9" customFormat="1">
      <c r="A1676" s="8" t="s">
        <v>2314</v>
      </c>
      <c r="B1676" s="8" t="s">
        <v>1022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R1676" s="9">
        <v>0</v>
      </c>
      <c r="S1676" s="9">
        <v>1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AE1676" s="9">
        <f>IFERROR(VLOOKUP($A1676,pivot!$A:$G,計算式2026!AE$1,FALSE),0)</f>
        <v>0</v>
      </c>
      <c r="AF1676" s="9">
        <f>IFERROR(VLOOKUP($A1676,pivot!$A:$I,計算式2026!AF$1,FALSE),0)</f>
        <v>0</v>
      </c>
      <c r="AI1676" s="9">
        <f>IFERROR(VLOOKUP($A1676,pivot!$A:$I,計算式2026!AI$1,FALSE),0)</f>
        <v>0</v>
      </c>
      <c r="AJ1676" s="9">
        <f>IFERROR(VLOOKUP($A1676,pivot!$A:$I,計算式2026!AJ$1,FALSE),0)</f>
        <v>0</v>
      </c>
      <c r="AK1676" s="9">
        <f>IFERROR(VLOOKUP($A1676,pivot!$A:$I,計算式2026!AK$1,FALSE),0)</f>
        <v>0</v>
      </c>
      <c r="AL1676" s="9">
        <f>IFERROR(VLOOKUP($A1676,pivot!$A:$I,計算式2026!AL$1,FALSE),0)</f>
        <v>0</v>
      </c>
      <c r="AR1676" s="8"/>
      <c r="AS1676" s="8"/>
      <c r="AT1676" s="8"/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8"/>
      <c r="BG1676" s="8"/>
    </row>
    <row r="1677" spans="1:59" s="9" customFormat="1">
      <c r="A1677" s="8" t="s">
        <v>1021</v>
      </c>
      <c r="B1677" s="8" t="s">
        <v>1022</v>
      </c>
      <c r="C1677" s="9">
        <v>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R1677" s="9">
        <v>0</v>
      </c>
      <c r="S1677" s="9">
        <v>1</v>
      </c>
      <c r="T1677" s="9">
        <v>0</v>
      </c>
      <c r="U1677" s="9">
        <v>0</v>
      </c>
      <c r="V1677" s="9">
        <v>1</v>
      </c>
      <c r="W1677" s="9">
        <v>0</v>
      </c>
      <c r="X1677" s="9">
        <v>1</v>
      </c>
      <c r="AE1677" s="9">
        <f>IFERROR(VLOOKUP($A1677,pivot!$A:$G,計算式2026!AE$1,FALSE),0)</f>
        <v>0</v>
      </c>
      <c r="AF1677" s="9">
        <f>IFERROR(VLOOKUP($A1677,pivot!$A:$I,計算式2026!AF$1,FALSE),0)</f>
        <v>0</v>
      </c>
      <c r="AI1677" s="9">
        <f>IFERROR(VLOOKUP($A1677,pivot!$A:$I,計算式2026!AI$1,FALSE),0)</f>
        <v>0</v>
      </c>
      <c r="AJ1677" s="9">
        <f>IFERROR(VLOOKUP($A1677,pivot!$A:$I,計算式2026!AJ$1,FALSE),0)</f>
        <v>0</v>
      </c>
      <c r="AK1677" s="9">
        <f>IFERROR(VLOOKUP($A1677,pivot!$A:$I,計算式2026!AK$1,FALSE),0)</f>
        <v>0</v>
      </c>
      <c r="AL1677" s="9">
        <f>IFERROR(VLOOKUP($A1677,pivot!$A:$I,計算式2026!AL$1,FALSE),0)</f>
        <v>0</v>
      </c>
      <c r="AR1677" s="8"/>
      <c r="AS1677" s="8"/>
      <c r="AT1677" s="8"/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8"/>
      <c r="BG1677" s="8"/>
    </row>
    <row r="1678" spans="1:59" s="9" customFormat="1">
      <c r="A1678" s="8" t="s">
        <v>1023</v>
      </c>
      <c r="B1678" s="8" t="s">
        <v>1022</v>
      </c>
      <c r="C1678" s="9">
        <v>0</v>
      </c>
      <c r="D1678" s="9">
        <v>0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R1678" s="9">
        <v>0</v>
      </c>
      <c r="S1678" s="9">
        <v>2</v>
      </c>
      <c r="T1678" s="9">
        <v>0</v>
      </c>
      <c r="U1678" s="9">
        <v>0</v>
      </c>
      <c r="V1678" s="9">
        <v>2</v>
      </c>
      <c r="W1678" s="9">
        <v>0</v>
      </c>
      <c r="X1678" s="9">
        <v>1</v>
      </c>
      <c r="AE1678" s="9">
        <f>IFERROR(VLOOKUP($A1678,pivot!$A:$G,計算式2026!AE$1,FALSE),0)</f>
        <v>0</v>
      </c>
      <c r="AF1678" s="9">
        <f>IFERROR(VLOOKUP($A1678,pivot!$A:$I,計算式2026!AF$1,FALSE),0)</f>
        <v>0</v>
      </c>
      <c r="AI1678" s="9">
        <f>IFERROR(VLOOKUP($A1678,pivot!$A:$I,計算式2026!AI$1,FALSE),0)</f>
        <v>0</v>
      </c>
      <c r="AJ1678" s="9">
        <f>IFERROR(VLOOKUP($A1678,pivot!$A:$I,計算式2026!AJ$1,FALSE),0)</f>
        <v>0</v>
      </c>
      <c r="AK1678" s="9">
        <f>IFERROR(VLOOKUP($A1678,pivot!$A:$I,計算式2026!AK$1,FALSE),0)</f>
        <v>0</v>
      </c>
      <c r="AL1678" s="9">
        <f>IFERROR(VLOOKUP($A1678,pivot!$A:$I,計算式2026!AL$1,FALSE),0)</f>
        <v>0</v>
      </c>
      <c r="AR1678" s="8"/>
      <c r="AS1678" s="8"/>
      <c r="AT1678" s="8"/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8"/>
      <c r="BG1678" s="8"/>
    </row>
    <row r="1679" spans="1:59" s="9" customFormat="1">
      <c r="A1679" s="8" t="s">
        <v>1024</v>
      </c>
      <c r="B1679" s="8" t="s">
        <v>1022</v>
      </c>
      <c r="C1679" s="9">
        <v>0</v>
      </c>
      <c r="D1679" s="9">
        <v>0</v>
      </c>
      <c r="E1679" s="9">
        <v>0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1</v>
      </c>
      <c r="W1679" s="9">
        <v>0</v>
      </c>
      <c r="X1679" s="9">
        <v>1</v>
      </c>
      <c r="AE1679" s="9">
        <f>IFERROR(VLOOKUP($A1679,pivot!$A:$G,計算式2026!AE$1,FALSE),0)</f>
        <v>0</v>
      </c>
      <c r="AF1679" s="9">
        <f>IFERROR(VLOOKUP($A1679,pivot!$A:$I,計算式2026!AF$1,FALSE),0)</f>
        <v>0</v>
      </c>
      <c r="AI1679" s="9">
        <f>IFERROR(VLOOKUP($A1679,pivot!$A:$I,計算式2026!AI$1,FALSE),0)</f>
        <v>0</v>
      </c>
      <c r="AJ1679" s="9">
        <f>IFERROR(VLOOKUP($A1679,pivot!$A:$I,計算式2026!AJ$1,FALSE),0)</f>
        <v>0</v>
      </c>
      <c r="AK1679" s="9">
        <f>IFERROR(VLOOKUP($A1679,pivot!$A:$I,計算式2026!AK$1,FALSE),0)</f>
        <v>0</v>
      </c>
      <c r="AL1679" s="9">
        <f>IFERROR(VLOOKUP($A1679,pivot!$A:$I,計算式2026!AL$1,FALSE),0)</f>
        <v>0</v>
      </c>
      <c r="AR1679" s="8"/>
      <c r="AS1679" s="8"/>
      <c r="AT1679" s="8"/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8"/>
      <c r="BG1679" s="8"/>
    </row>
    <row r="1680" spans="1:59" s="9" customFormat="1">
      <c r="A1680" s="8" t="s">
        <v>1025</v>
      </c>
      <c r="B1680" s="8" t="s">
        <v>1022</v>
      </c>
      <c r="C1680" s="9">
        <v>0</v>
      </c>
      <c r="D1680" s="9">
        <v>0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1</v>
      </c>
      <c r="AE1680" s="9">
        <f>IFERROR(VLOOKUP($A1680,pivot!$A:$G,計算式2026!AE$1,FALSE),0)</f>
        <v>0</v>
      </c>
      <c r="AF1680" s="9">
        <f>IFERROR(VLOOKUP($A1680,pivot!$A:$I,計算式2026!AF$1,FALSE),0)</f>
        <v>0</v>
      </c>
      <c r="AI1680" s="9">
        <f>IFERROR(VLOOKUP($A1680,pivot!$A:$I,計算式2026!AI$1,FALSE),0)</f>
        <v>0</v>
      </c>
      <c r="AJ1680" s="9">
        <f>IFERROR(VLOOKUP($A1680,pivot!$A:$I,計算式2026!AJ$1,FALSE),0)</f>
        <v>0</v>
      </c>
      <c r="AK1680" s="9">
        <f>IFERROR(VLOOKUP($A1680,pivot!$A:$I,計算式2026!AK$1,FALSE),0)</f>
        <v>0</v>
      </c>
      <c r="AL1680" s="9">
        <f>IFERROR(VLOOKUP($A1680,pivot!$A:$I,計算式2026!AL$1,FALSE),0)</f>
        <v>0</v>
      </c>
      <c r="AR1680" s="8"/>
      <c r="AS1680" s="8"/>
      <c r="AT1680" s="8"/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8"/>
      <c r="BG1680" s="8"/>
    </row>
    <row r="1681" spans="1:59" s="9" customFormat="1">
      <c r="A1681" s="8" t="s">
        <v>1026</v>
      </c>
      <c r="B1681" s="8" t="s">
        <v>1022</v>
      </c>
      <c r="C1681" s="9">
        <v>0</v>
      </c>
      <c r="D1681" s="9">
        <v>0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R1681" s="9">
        <v>0</v>
      </c>
      <c r="S1681" s="9">
        <v>1</v>
      </c>
      <c r="T1681" s="9">
        <v>0</v>
      </c>
      <c r="U1681" s="9">
        <v>0</v>
      </c>
      <c r="V1681" s="9">
        <v>0</v>
      </c>
      <c r="W1681" s="9">
        <v>0</v>
      </c>
      <c r="X1681" s="9">
        <v>1</v>
      </c>
      <c r="AE1681" s="9">
        <f>IFERROR(VLOOKUP($A1681,pivot!$A:$G,計算式2026!AE$1,FALSE),0)</f>
        <v>0</v>
      </c>
      <c r="AF1681" s="9">
        <f>IFERROR(VLOOKUP($A1681,pivot!$A:$I,計算式2026!AF$1,FALSE),0)</f>
        <v>0</v>
      </c>
      <c r="AI1681" s="9">
        <f>IFERROR(VLOOKUP($A1681,pivot!$A:$I,計算式2026!AI$1,FALSE),0)</f>
        <v>0</v>
      </c>
      <c r="AJ1681" s="9">
        <f>IFERROR(VLOOKUP($A1681,pivot!$A:$I,計算式2026!AJ$1,FALSE),0)</f>
        <v>0</v>
      </c>
      <c r="AK1681" s="9">
        <f>IFERROR(VLOOKUP($A1681,pivot!$A:$I,計算式2026!AK$1,FALSE),0)</f>
        <v>0</v>
      </c>
      <c r="AL1681" s="9">
        <f>IFERROR(VLOOKUP($A1681,pivot!$A:$I,計算式2026!AL$1,FALSE),0)</f>
        <v>0</v>
      </c>
      <c r="AR1681" s="8"/>
      <c r="AS1681" s="8"/>
      <c r="AT1681" s="8"/>
      <c r="AU1681" s="8"/>
      <c r="AV1681" s="8"/>
      <c r="AW1681" s="8"/>
      <c r="AX1681" s="8"/>
      <c r="AY1681" s="8"/>
      <c r="AZ1681" s="8"/>
      <c r="BA1681" s="8"/>
      <c r="BB1681" s="8"/>
      <c r="BC1681" s="8"/>
      <c r="BD1681" s="8"/>
      <c r="BE1681" s="8"/>
      <c r="BF1681" s="8"/>
      <c r="BG1681" s="8"/>
    </row>
    <row r="1682" spans="1:59" s="9" customFormat="1">
      <c r="A1682" s="8" t="s">
        <v>1027</v>
      </c>
      <c r="B1682" s="8" t="s">
        <v>1022</v>
      </c>
      <c r="C1682" s="9">
        <v>0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R1682" s="9">
        <v>0</v>
      </c>
      <c r="S1682" s="9">
        <v>1</v>
      </c>
      <c r="T1682" s="9">
        <v>0</v>
      </c>
      <c r="U1682" s="9">
        <v>0</v>
      </c>
      <c r="V1682" s="9">
        <v>1</v>
      </c>
      <c r="W1682" s="9">
        <v>0</v>
      </c>
      <c r="X1682" s="9">
        <v>1</v>
      </c>
      <c r="AE1682" s="9">
        <f>IFERROR(VLOOKUP($A1682,pivot!$A:$G,計算式2026!AE$1,FALSE),0)</f>
        <v>0</v>
      </c>
      <c r="AF1682" s="9">
        <f>IFERROR(VLOOKUP($A1682,pivot!$A:$I,計算式2026!AF$1,FALSE),0)</f>
        <v>0</v>
      </c>
      <c r="AI1682" s="9">
        <f>IFERROR(VLOOKUP($A1682,pivot!$A:$I,計算式2026!AI$1,FALSE),0)</f>
        <v>0</v>
      </c>
      <c r="AJ1682" s="9">
        <f>IFERROR(VLOOKUP($A1682,pivot!$A:$I,計算式2026!AJ$1,FALSE),0)</f>
        <v>0</v>
      </c>
      <c r="AK1682" s="9">
        <f>IFERROR(VLOOKUP($A1682,pivot!$A:$I,計算式2026!AK$1,FALSE),0)</f>
        <v>0</v>
      </c>
      <c r="AL1682" s="9">
        <f>IFERROR(VLOOKUP($A1682,pivot!$A:$I,計算式2026!AL$1,FALSE),0)</f>
        <v>0</v>
      </c>
      <c r="AR1682" s="8"/>
      <c r="AS1682" s="8"/>
      <c r="AT1682" s="8"/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8"/>
      <c r="BG1682" s="8"/>
    </row>
    <row r="1683" spans="1:59" s="9" customFormat="1">
      <c r="A1683" s="8" t="s">
        <v>1028</v>
      </c>
      <c r="B1683" s="8" t="s">
        <v>1022</v>
      </c>
      <c r="C1683" s="9">
        <v>0</v>
      </c>
      <c r="D1683" s="9">
        <v>0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R1683" s="9">
        <v>1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1</v>
      </c>
      <c r="AE1683" s="9">
        <f>IFERROR(VLOOKUP($A1683,pivot!$A:$G,計算式2026!AE$1,FALSE),0)</f>
        <v>0</v>
      </c>
      <c r="AF1683" s="9">
        <f>IFERROR(VLOOKUP($A1683,pivot!$A:$I,計算式2026!AF$1,FALSE),0)</f>
        <v>0</v>
      </c>
      <c r="AI1683" s="9">
        <f>IFERROR(VLOOKUP($A1683,pivot!$A:$I,計算式2026!AI$1,FALSE),0)</f>
        <v>0</v>
      </c>
      <c r="AJ1683" s="9">
        <f>IFERROR(VLOOKUP($A1683,pivot!$A:$I,計算式2026!AJ$1,FALSE),0)</f>
        <v>0</v>
      </c>
      <c r="AK1683" s="9">
        <f>IFERROR(VLOOKUP($A1683,pivot!$A:$I,計算式2026!AK$1,FALSE),0)</f>
        <v>0</v>
      </c>
      <c r="AL1683" s="9">
        <f>IFERROR(VLOOKUP($A1683,pivot!$A:$I,計算式2026!AL$1,FALSE),0)</f>
        <v>0</v>
      </c>
      <c r="AR1683" s="8"/>
      <c r="AS1683" s="8"/>
      <c r="AT1683" s="8"/>
      <c r="AU1683" s="8"/>
      <c r="AV1683" s="8"/>
      <c r="AW1683" s="8"/>
      <c r="AX1683" s="8"/>
      <c r="AY1683" s="8"/>
      <c r="AZ1683" s="8"/>
      <c r="BA1683" s="8"/>
      <c r="BB1683" s="8"/>
      <c r="BC1683" s="8"/>
      <c r="BD1683" s="8"/>
      <c r="BE1683" s="8"/>
      <c r="BF1683" s="8"/>
      <c r="BG1683" s="8"/>
    </row>
    <row r="1684" spans="1:59" s="9" customFormat="1">
      <c r="A1684" s="8" t="s">
        <v>2315</v>
      </c>
      <c r="B1684" s="8" t="s">
        <v>1022</v>
      </c>
      <c r="C1684" s="9">
        <v>0</v>
      </c>
      <c r="D1684" s="9">
        <v>0</v>
      </c>
      <c r="E1684" s="9">
        <v>0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R1684" s="9">
        <v>0</v>
      </c>
      <c r="S1684" s="9">
        <v>2</v>
      </c>
      <c r="T1684" s="9">
        <v>0</v>
      </c>
      <c r="U1684" s="9">
        <v>0</v>
      </c>
      <c r="V1684" s="9">
        <v>1</v>
      </c>
      <c r="W1684" s="9">
        <v>0</v>
      </c>
      <c r="X1684" s="9">
        <v>1</v>
      </c>
      <c r="AE1684" s="9">
        <f>IFERROR(VLOOKUP($A1684,pivot!$A:$G,計算式2026!AE$1,FALSE),0)</f>
        <v>0</v>
      </c>
      <c r="AF1684" s="9">
        <f>IFERROR(VLOOKUP($A1684,pivot!$A:$I,計算式2026!AF$1,FALSE),0)</f>
        <v>0</v>
      </c>
      <c r="AI1684" s="9">
        <f>IFERROR(VLOOKUP($A1684,pivot!$A:$I,計算式2026!AI$1,FALSE),0)</f>
        <v>0</v>
      </c>
      <c r="AJ1684" s="9">
        <f>IFERROR(VLOOKUP($A1684,pivot!$A:$I,計算式2026!AJ$1,FALSE),0)</f>
        <v>0</v>
      </c>
      <c r="AK1684" s="9">
        <f>IFERROR(VLOOKUP($A1684,pivot!$A:$I,計算式2026!AK$1,FALSE),0)</f>
        <v>0</v>
      </c>
      <c r="AL1684" s="9">
        <f>IFERROR(VLOOKUP($A1684,pivot!$A:$I,計算式2026!AL$1,FALSE),0)</f>
        <v>0</v>
      </c>
      <c r="AR1684" s="8"/>
      <c r="AS1684" s="8"/>
      <c r="AT1684" s="8"/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8"/>
      <c r="BG1684" s="8"/>
    </row>
    <row r="1685" spans="1:59" s="9" customFormat="1">
      <c r="A1685" s="8" t="s">
        <v>2316</v>
      </c>
      <c r="B1685" s="8" t="s">
        <v>1022</v>
      </c>
      <c r="C1685" s="9">
        <v>0</v>
      </c>
      <c r="D1685" s="9">
        <v>0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R1685" s="9">
        <v>0</v>
      </c>
      <c r="S1685" s="9">
        <v>2</v>
      </c>
      <c r="T1685" s="9">
        <v>1</v>
      </c>
      <c r="U1685" s="9">
        <v>0</v>
      </c>
      <c r="V1685" s="9">
        <v>1</v>
      </c>
      <c r="W1685" s="9">
        <v>0</v>
      </c>
      <c r="X1685" s="9">
        <v>1</v>
      </c>
      <c r="AE1685" s="9">
        <f>IFERROR(VLOOKUP($A1685,pivot!$A:$G,計算式2026!AE$1,FALSE),0)</f>
        <v>0</v>
      </c>
      <c r="AF1685" s="9">
        <f>IFERROR(VLOOKUP($A1685,pivot!$A:$I,計算式2026!AF$1,FALSE),0)</f>
        <v>0</v>
      </c>
      <c r="AI1685" s="9">
        <f>IFERROR(VLOOKUP($A1685,pivot!$A:$I,計算式2026!AI$1,FALSE),0)</f>
        <v>0</v>
      </c>
      <c r="AJ1685" s="9">
        <f>IFERROR(VLOOKUP($A1685,pivot!$A:$I,計算式2026!AJ$1,FALSE),0)</f>
        <v>0</v>
      </c>
      <c r="AK1685" s="9">
        <f>IFERROR(VLOOKUP($A1685,pivot!$A:$I,計算式2026!AK$1,FALSE),0)</f>
        <v>0</v>
      </c>
      <c r="AL1685" s="9">
        <f>IFERROR(VLOOKUP($A1685,pivot!$A:$I,計算式2026!AL$1,FALSE),0)</f>
        <v>0</v>
      </c>
      <c r="AR1685" s="8"/>
      <c r="AS1685" s="8"/>
      <c r="AT1685" s="8"/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8"/>
      <c r="BG1685" s="8"/>
    </row>
    <row r="1686" spans="1:59" s="9" customFormat="1">
      <c r="A1686" s="8" t="s">
        <v>2317</v>
      </c>
      <c r="B1686" s="8" t="s">
        <v>1022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1</v>
      </c>
      <c r="W1686" s="9">
        <v>0</v>
      </c>
      <c r="X1686" s="9">
        <v>1</v>
      </c>
      <c r="AE1686" s="9">
        <f>IFERROR(VLOOKUP($A1686,pivot!$A:$G,計算式2026!AE$1,FALSE),0)</f>
        <v>0</v>
      </c>
      <c r="AF1686" s="9">
        <f>IFERROR(VLOOKUP($A1686,pivot!$A:$I,計算式2026!AF$1,FALSE),0)</f>
        <v>0</v>
      </c>
      <c r="AI1686" s="9">
        <f>IFERROR(VLOOKUP($A1686,pivot!$A:$I,計算式2026!AI$1,FALSE),0)</f>
        <v>0</v>
      </c>
      <c r="AJ1686" s="9">
        <f>IFERROR(VLOOKUP($A1686,pivot!$A:$I,計算式2026!AJ$1,FALSE),0)</f>
        <v>0</v>
      </c>
      <c r="AK1686" s="9">
        <f>IFERROR(VLOOKUP($A1686,pivot!$A:$I,計算式2026!AK$1,FALSE),0)</f>
        <v>0</v>
      </c>
      <c r="AL1686" s="9">
        <f>IFERROR(VLOOKUP($A1686,pivot!$A:$I,計算式2026!AL$1,FALSE),0)</f>
        <v>0</v>
      </c>
      <c r="AR1686" s="8"/>
      <c r="AS1686" s="8"/>
      <c r="AT1686" s="8"/>
      <c r="AU1686" s="8"/>
      <c r="AV1686" s="8"/>
      <c r="AW1686" s="8"/>
      <c r="AX1686" s="8"/>
      <c r="AY1686" s="8"/>
      <c r="AZ1686" s="8"/>
      <c r="BA1686" s="8"/>
      <c r="BB1686" s="8"/>
      <c r="BC1686" s="8"/>
      <c r="BD1686" s="8"/>
      <c r="BE1686" s="8"/>
      <c r="BF1686" s="8"/>
      <c r="BG1686" s="8"/>
    </row>
    <row r="1687" spans="1:59" s="9" customFormat="1">
      <c r="A1687" s="8" t="s">
        <v>1029</v>
      </c>
      <c r="B1687" s="8" t="s">
        <v>1022</v>
      </c>
      <c r="C1687" s="9">
        <v>0</v>
      </c>
      <c r="D1687" s="9">
        <v>0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1</v>
      </c>
      <c r="W1687" s="9">
        <v>0</v>
      </c>
      <c r="X1687" s="9">
        <v>1</v>
      </c>
      <c r="AE1687" s="9">
        <f>IFERROR(VLOOKUP($A1687,pivot!$A:$G,計算式2026!AE$1,FALSE),0)</f>
        <v>0</v>
      </c>
      <c r="AF1687" s="9">
        <f>IFERROR(VLOOKUP($A1687,pivot!$A:$I,計算式2026!AF$1,FALSE),0)</f>
        <v>0</v>
      </c>
      <c r="AI1687" s="9">
        <f>IFERROR(VLOOKUP($A1687,pivot!$A:$I,計算式2026!AI$1,FALSE),0)</f>
        <v>0</v>
      </c>
      <c r="AJ1687" s="9">
        <f>IFERROR(VLOOKUP($A1687,pivot!$A:$I,計算式2026!AJ$1,FALSE),0)</f>
        <v>0</v>
      </c>
      <c r="AK1687" s="9">
        <f>IFERROR(VLOOKUP($A1687,pivot!$A:$I,計算式2026!AK$1,FALSE),0)</f>
        <v>0</v>
      </c>
      <c r="AL1687" s="9">
        <f>IFERROR(VLOOKUP($A1687,pivot!$A:$I,計算式2026!AL$1,FALSE),0)</f>
        <v>0</v>
      </c>
      <c r="AR1687" s="8"/>
      <c r="AS1687" s="8"/>
      <c r="AT1687" s="8"/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8"/>
      <c r="BG1687" s="8"/>
    </row>
    <row r="1688" spans="1:59" s="9" customFormat="1">
      <c r="A1688" s="8" t="s">
        <v>1030</v>
      </c>
      <c r="B1688" s="8" t="s">
        <v>1022</v>
      </c>
      <c r="C1688" s="9">
        <v>0</v>
      </c>
      <c r="D1688" s="9">
        <v>0</v>
      </c>
      <c r="E1688" s="9">
        <v>0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1</v>
      </c>
      <c r="AE1688" s="9">
        <f>IFERROR(VLOOKUP($A1688,pivot!$A:$G,計算式2026!AE$1,FALSE),0)</f>
        <v>0</v>
      </c>
      <c r="AF1688" s="9">
        <f>IFERROR(VLOOKUP($A1688,pivot!$A:$I,計算式2026!AF$1,FALSE),0)</f>
        <v>0</v>
      </c>
      <c r="AI1688" s="9">
        <f>IFERROR(VLOOKUP($A1688,pivot!$A:$I,計算式2026!AI$1,FALSE),0)</f>
        <v>0</v>
      </c>
      <c r="AJ1688" s="9">
        <f>IFERROR(VLOOKUP($A1688,pivot!$A:$I,計算式2026!AJ$1,FALSE),0)</f>
        <v>0</v>
      </c>
      <c r="AK1688" s="9">
        <f>IFERROR(VLOOKUP($A1688,pivot!$A:$I,計算式2026!AK$1,FALSE),0)</f>
        <v>0</v>
      </c>
      <c r="AL1688" s="9">
        <f>IFERROR(VLOOKUP($A1688,pivot!$A:$I,計算式2026!AL$1,FALSE),0)</f>
        <v>0</v>
      </c>
      <c r="AR1688" s="8"/>
      <c r="AS1688" s="8"/>
      <c r="AT1688" s="8"/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8"/>
      <c r="BG1688" s="8"/>
    </row>
    <row r="1689" spans="1:59" s="9" customFormat="1">
      <c r="A1689" s="8">
        <v>8246503046</v>
      </c>
      <c r="B1689" s="8" t="s">
        <v>1031</v>
      </c>
      <c r="C1689" s="9">
        <v>0</v>
      </c>
      <c r="D1689" s="9">
        <v>0</v>
      </c>
      <c r="E1689" s="9">
        <v>0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1</v>
      </c>
      <c r="AE1689" s="9">
        <f>IFERROR(VLOOKUP($A1689,pivot!$A:$G,計算式2026!AE$1,FALSE),0)</f>
        <v>0</v>
      </c>
      <c r="AF1689" s="9">
        <f>IFERROR(VLOOKUP($A1689,pivot!$A:$I,計算式2026!AF$1,FALSE),0)</f>
        <v>0</v>
      </c>
      <c r="AI1689" s="9">
        <f>IFERROR(VLOOKUP($A1689,pivot!$A:$I,計算式2026!AI$1,FALSE),0)</f>
        <v>0</v>
      </c>
      <c r="AJ1689" s="9">
        <f>IFERROR(VLOOKUP($A1689,pivot!$A:$I,計算式2026!AJ$1,FALSE),0)</f>
        <v>0</v>
      </c>
      <c r="AK1689" s="9">
        <f>IFERROR(VLOOKUP($A1689,pivot!$A:$I,計算式2026!AK$1,FALSE),0)</f>
        <v>0</v>
      </c>
      <c r="AL1689" s="9">
        <f>IFERROR(VLOOKUP($A1689,pivot!$A:$I,計算式2026!AL$1,FALSE),0)</f>
        <v>0</v>
      </c>
      <c r="AR1689" s="8"/>
      <c r="AS1689" s="8"/>
      <c r="AT1689" s="8"/>
      <c r="AU1689" s="8"/>
      <c r="AV1689" s="8"/>
      <c r="AW1689" s="8"/>
      <c r="AX1689" s="8"/>
      <c r="AY1689" s="8"/>
      <c r="AZ1689" s="8"/>
      <c r="BA1689" s="8"/>
      <c r="BB1689" s="8"/>
      <c r="BC1689" s="8"/>
      <c r="BD1689" s="8"/>
      <c r="BE1689" s="8"/>
      <c r="BF1689" s="8"/>
      <c r="BG1689" s="8"/>
    </row>
    <row r="1690" spans="1:59" s="9" customFormat="1">
      <c r="A1690" s="8">
        <v>8246503048</v>
      </c>
      <c r="B1690" s="8" t="s">
        <v>1031</v>
      </c>
      <c r="C1690" s="9">
        <v>1</v>
      </c>
      <c r="D1690" s="9">
        <v>0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R1690" s="9">
        <v>1</v>
      </c>
      <c r="S1690" s="9">
        <v>1</v>
      </c>
      <c r="T1690" s="9">
        <v>1</v>
      </c>
      <c r="U1690" s="9">
        <v>0</v>
      </c>
      <c r="V1690" s="9">
        <v>1</v>
      </c>
      <c r="W1690" s="9">
        <v>0</v>
      </c>
      <c r="X1690" s="9">
        <v>2</v>
      </c>
      <c r="AE1690" s="9">
        <f>IFERROR(VLOOKUP($A1690,pivot!$A:$G,計算式2026!AE$1,FALSE),0)</f>
        <v>0</v>
      </c>
      <c r="AF1690" s="9">
        <f>IFERROR(VLOOKUP($A1690,pivot!$A:$I,計算式2026!AF$1,FALSE),0)</f>
        <v>0</v>
      </c>
      <c r="AI1690" s="9">
        <f>IFERROR(VLOOKUP($A1690,pivot!$A:$I,計算式2026!AI$1,FALSE),0)</f>
        <v>0</v>
      </c>
      <c r="AJ1690" s="9">
        <f>IFERROR(VLOOKUP($A1690,pivot!$A:$I,計算式2026!AJ$1,FALSE),0)</f>
        <v>0</v>
      </c>
      <c r="AK1690" s="9">
        <f>IFERROR(VLOOKUP($A1690,pivot!$A:$I,計算式2026!AK$1,FALSE),0)</f>
        <v>0</v>
      </c>
      <c r="AL1690" s="9">
        <f>IFERROR(VLOOKUP($A1690,pivot!$A:$I,計算式2026!AL$1,FALSE),0)</f>
        <v>0</v>
      </c>
      <c r="AR1690" s="8"/>
      <c r="AS1690" s="8"/>
      <c r="AT1690" s="8"/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8"/>
      <c r="BG1690" s="8"/>
    </row>
    <row r="1691" spans="1:59" s="9" customFormat="1">
      <c r="A1691" s="8">
        <v>8246503050</v>
      </c>
      <c r="B1691" s="8" t="s">
        <v>1031</v>
      </c>
      <c r="C1691" s="9">
        <v>0</v>
      </c>
      <c r="D1691" s="9">
        <v>0</v>
      </c>
      <c r="E1691" s="9">
        <v>0</v>
      </c>
      <c r="F1691" s="9">
        <v>0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2</v>
      </c>
      <c r="AE1691" s="9">
        <f>IFERROR(VLOOKUP($A1691,pivot!$A:$G,計算式2026!AE$1,FALSE),0)</f>
        <v>0</v>
      </c>
      <c r="AF1691" s="9">
        <f>IFERROR(VLOOKUP($A1691,pivot!$A:$I,計算式2026!AF$1,FALSE),0)</f>
        <v>0</v>
      </c>
      <c r="AI1691" s="9">
        <f>IFERROR(VLOOKUP($A1691,pivot!$A:$I,計算式2026!AI$1,FALSE),0)</f>
        <v>0</v>
      </c>
      <c r="AJ1691" s="9">
        <f>IFERROR(VLOOKUP($A1691,pivot!$A:$I,計算式2026!AJ$1,FALSE),0)</f>
        <v>0</v>
      </c>
      <c r="AK1691" s="9">
        <f>IFERROR(VLOOKUP($A1691,pivot!$A:$I,計算式2026!AK$1,FALSE),0)</f>
        <v>0</v>
      </c>
      <c r="AL1691" s="9">
        <f>IFERROR(VLOOKUP($A1691,pivot!$A:$I,計算式2026!AL$1,FALSE),0)</f>
        <v>0</v>
      </c>
      <c r="AR1691" s="8"/>
      <c r="AS1691" s="8"/>
      <c r="AT1691" s="8"/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8"/>
      <c r="BG1691" s="8"/>
    </row>
    <row r="1692" spans="1:59" s="9" customFormat="1">
      <c r="A1692" s="8" t="s">
        <v>1032</v>
      </c>
      <c r="B1692" s="8" t="s">
        <v>1031</v>
      </c>
      <c r="C1692" s="9">
        <v>0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1</v>
      </c>
      <c r="AE1692" s="9">
        <f>IFERROR(VLOOKUP($A1692,pivot!$A:$G,計算式2026!AE$1,FALSE),0)</f>
        <v>0</v>
      </c>
      <c r="AF1692" s="9">
        <f>IFERROR(VLOOKUP($A1692,pivot!$A:$I,計算式2026!AF$1,FALSE),0)</f>
        <v>0</v>
      </c>
      <c r="AI1692" s="9">
        <f>IFERROR(VLOOKUP($A1692,pivot!$A:$I,計算式2026!AI$1,FALSE),0)</f>
        <v>0</v>
      </c>
      <c r="AJ1692" s="9">
        <f>IFERROR(VLOOKUP($A1692,pivot!$A:$I,計算式2026!AJ$1,FALSE),0)</f>
        <v>0</v>
      </c>
      <c r="AK1692" s="9">
        <f>IFERROR(VLOOKUP($A1692,pivot!$A:$I,計算式2026!AK$1,FALSE),0)</f>
        <v>0</v>
      </c>
      <c r="AL1692" s="9">
        <f>IFERROR(VLOOKUP($A1692,pivot!$A:$I,計算式2026!AL$1,FALSE),0)</f>
        <v>0</v>
      </c>
      <c r="AR1692" s="8"/>
      <c r="AS1692" s="8"/>
      <c r="AT1692" s="8"/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8"/>
      <c r="BG1692" s="8"/>
    </row>
    <row r="1693" spans="1:59" s="9" customFormat="1">
      <c r="A1693" s="8" t="s">
        <v>1033</v>
      </c>
      <c r="B1693" s="8" t="s">
        <v>1031</v>
      </c>
      <c r="C1693" s="9">
        <v>0</v>
      </c>
      <c r="D1693" s="9">
        <v>0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1</v>
      </c>
      <c r="AE1693" s="9">
        <f>IFERROR(VLOOKUP($A1693,pivot!$A:$G,計算式2026!AE$1,FALSE),0)</f>
        <v>0</v>
      </c>
      <c r="AF1693" s="9">
        <f>IFERROR(VLOOKUP($A1693,pivot!$A:$I,計算式2026!AF$1,FALSE),0)</f>
        <v>0</v>
      </c>
      <c r="AI1693" s="9">
        <f>IFERROR(VLOOKUP($A1693,pivot!$A:$I,計算式2026!AI$1,FALSE),0)</f>
        <v>0</v>
      </c>
      <c r="AJ1693" s="9">
        <f>IFERROR(VLOOKUP($A1693,pivot!$A:$I,計算式2026!AJ$1,FALSE),0)</f>
        <v>0</v>
      </c>
      <c r="AK1693" s="9">
        <f>IFERROR(VLOOKUP($A1693,pivot!$A:$I,計算式2026!AK$1,FALSE),0)</f>
        <v>0</v>
      </c>
      <c r="AL1693" s="9">
        <f>IFERROR(VLOOKUP($A1693,pivot!$A:$I,計算式2026!AL$1,FALSE),0)</f>
        <v>0</v>
      </c>
      <c r="AR1693" s="8"/>
      <c r="AS1693" s="8"/>
      <c r="AT1693" s="8"/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8"/>
      <c r="BG1693" s="8"/>
    </row>
    <row r="1694" spans="1:59" s="9" customFormat="1">
      <c r="A1694" s="8" t="s">
        <v>1034</v>
      </c>
      <c r="B1694" s="8" t="s">
        <v>1031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1</v>
      </c>
      <c r="AE1694" s="9">
        <f>IFERROR(VLOOKUP($A1694,pivot!$A:$G,計算式2026!AE$1,FALSE),0)</f>
        <v>0</v>
      </c>
      <c r="AF1694" s="9">
        <f>IFERROR(VLOOKUP($A1694,pivot!$A:$I,計算式2026!AF$1,FALSE),0)</f>
        <v>0</v>
      </c>
      <c r="AI1694" s="9">
        <f>IFERROR(VLOOKUP($A1694,pivot!$A:$I,計算式2026!AI$1,FALSE),0)</f>
        <v>0</v>
      </c>
      <c r="AJ1694" s="9">
        <f>IFERROR(VLOOKUP($A1694,pivot!$A:$I,計算式2026!AJ$1,FALSE),0)</f>
        <v>0</v>
      </c>
      <c r="AK1694" s="9">
        <f>IFERROR(VLOOKUP($A1694,pivot!$A:$I,計算式2026!AK$1,FALSE),0)</f>
        <v>0</v>
      </c>
      <c r="AL1694" s="9">
        <f>IFERROR(VLOOKUP($A1694,pivot!$A:$I,計算式2026!AL$1,FALSE),0)</f>
        <v>0</v>
      </c>
      <c r="AR1694" s="8"/>
      <c r="AS1694" s="8"/>
      <c r="AT1694" s="8"/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8"/>
      <c r="BG1694" s="8"/>
    </row>
    <row r="1695" spans="1:59" s="9" customFormat="1">
      <c r="A1695" s="8">
        <v>8246521846</v>
      </c>
      <c r="B1695" s="8" t="s">
        <v>1031</v>
      </c>
      <c r="C1695" s="9">
        <v>0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1</v>
      </c>
      <c r="AE1695" s="9">
        <f>IFERROR(VLOOKUP($A1695,pivot!$A:$G,計算式2026!AE$1,FALSE),0)</f>
        <v>0</v>
      </c>
      <c r="AF1695" s="9">
        <f>IFERROR(VLOOKUP($A1695,pivot!$A:$I,計算式2026!AF$1,FALSE),0)</f>
        <v>0</v>
      </c>
      <c r="AI1695" s="9">
        <f>IFERROR(VLOOKUP($A1695,pivot!$A:$I,計算式2026!AI$1,FALSE),0)</f>
        <v>0</v>
      </c>
      <c r="AJ1695" s="9">
        <f>IFERROR(VLOOKUP($A1695,pivot!$A:$I,計算式2026!AJ$1,FALSE),0)</f>
        <v>0</v>
      </c>
      <c r="AK1695" s="9">
        <f>IFERROR(VLOOKUP($A1695,pivot!$A:$I,計算式2026!AK$1,FALSE),0)</f>
        <v>0</v>
      </c>
      <c r="AL1695" s="9">
        <f>IFERROR(VLOOKUP($A1695,pivot!$A:$I,計算式2026!AL$1,FALSE),0)</f>
        <v>0</v>
      </c>
      <c r="AR1695" s="8"/>
      <c r="AS1695" s="8"/>
      <c r="AT1695" s="8"/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8"/>
      <c r="BG1695" s="8"/>
    </row>
    <row r="1696" spans="1:59" s="9" customFormat="1">
      <c r="A1696" s="8">
        <v>8246521848</v>
      </c>
      <c r="B1696" s="8" t="s">
        <v>1031</v>
      </c>
      <c r="C1696" s="9">
        <v>0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R1696" s="9">
        <v>2</v>
      </c>
      <c r="S1696" s="9">
        <v>1</v>
      </c>
      <c r="T1696" s="9">
        <v>1</v>
      </c>
      <c r="U1696" s="9">
        <v>0</v>
      </c>
      <c r="V1696" s="9">
        <v>1</v>
      </c>
      <c r="W1696" s="9">
        <v>0</v>
      </c>
      <c r="X1696" s="9">
        <v>2</v>
      </c>
      <c r="AE1696" s="9">
        <f>IFERROR(VLOOKUP($A1696,pivot!$A:$G,計算式2026!AE$1,FALSE),0)</f>
        <v>0</v>
      </c>
      <c r="AF1696" s="9">
        <f>IFERROR(VLOOKUP($A1696,pivot!$A:$I,計算式2026!AF$1,FALSE),0)</f>
        <v>0</v>
      </c>
      <c r="AI1696" s="9">
        <f>IFERROR(VLOOKUP($A1696,pivot!$A:$I,計算式2026!AI$1,FALSE),0)</f>
        <v>0</v>
      </c>
      <c r="AJ1696" s="9">
        <f>IFERROR(VLOOKUP($A1696,pivot!$A:$I,計算式2026!AJ$1,FALSE),0)</f>
        <v>0</v>
      </c>
      <c r="AK1696" s="9">
        <f>IFERROR(VLOOKUP($A1696,pivot!$A:$I,計算式2026!AK$1,FALSE),0)</f>
        <v>0</v>
      </c>
      <c r="AL1696" s="9">
        <f>IFERROR(VLOOKUP($A1696,pivot!$A:$I,計算式2026!AL$1,FALSE),0)</f>
        <v>0</v>
      </c>
      <c r="AR1696" s="8"/>
      <c r="AS1696" s="8"/>
      <c r="AT1696" s="8"/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8"/>
      <c r="BG1696" s="8"/>
    </row>
    <row r="1697" spans="1:59" s="9" customFormat="1">
      <c r="A1697" s="8">
        <v>8246521850</v>
      </c>
      <c r="B1697" s="8" t="s">
        <v>1031</v>
      </c>
      <c r="C1697" s="9">
        <v>0</v>
      </c>
      <c r="D1697" s="9">
        <v>0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R1697" s="9">
        <v>0</v>
      </c>
      <c r="S1697" s="9">
        <v>1</v>
      </c>
      <c r="T1697" s="9">
        <v>1</v>
      </c>
      <c r="U1697" s="9">
        <v>0</v>
      </c>
      <c r="V1697" s="9">
        <v>0</v>
      </c>
      <c r="W1697" s="9">
        <v>0</v>
      </c>
      <c r="X1697" s="9">
        <v>2</v>
      </c>
      <c r="AE1697" s="9">
        <f>IFERROR(VLOOKUP($A1697,pivot!$A:$G,計算式2026!AE$1,FALSE),0)</f>
        <v>0</v>
      </c>
      <c r="AF1697" s="9">
        <f>IFERROR(VLOOKUP($A1697,pivot!$A:$I,計算式2026!AF$1,FALSE),0)</f>
        <v>0</v>
      </c>
      <c r="AI1697" s="9">
        <f>IFERROR(VLOOKUP($A1697,pivot!$A:$I,計算式2026!AI$1,FALSE),0)</f>
        <v>0</v>
      </c>
      <c r="AJ1697" s="9">
        <f>IFERROR(VLOOKUP($A1697,pivot!$A:$I,計算式2026!AJ$1,FALSE),0)</f>
        <v>0</v>
      </c>
      <c r="AK1697" s="9">
        <f>IFERROR(VLOOKUP($A1697,pivot!$A:$I,計算式2026!AK$1,FALSE),0)</f>
        <v>0</v>
      </c>
      <c r="AL1697" s="9">
        <f>IFERROR(VLOOKUP($A1697,pivot!$A:$I,計算式2026!AL$1,FALSE),0)</f>
        <v>0</v>
      </c>
      <c r="AR1697" s="8"/>
      <c r="AS1697" s="8"/>
      <c r="AT1697" s="8"/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8"/>
      <c r="BG1697" s="8"/>
    </row>
    <row r="1698" spans="1:59" s="9" customFormat="1">
      <c r="A1698" s="8" t="s">
        <v>1035</v>
      </c>
      <c r="B1698" s="8" t="s">
        <v>1031</v>
      </c>
      <c r="C1698" s="9">
        <v>0</v>
      </c>
      <c r="D1698" s="9">
        <v>0</v>
      </c>
      <c r="E1698" s="9">
        <v>0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1</v>
      </c>
      <c r="AE1698" s="9">
        <f>IFERROR(VLOOKUP($A1698,pivot!$A:$G,計算式2026!AE$1,FALSE),0)</f>
        <v>0</v>
      </c>
      <c r="AF1698" s="9">
        <f>IFERROR(VLOOKUP($A1698,pivot!$A:$I,計算式2026!AF$1,FALSE),0)</f>
        <v>0</v>
      </c>
      <c r="AI1698" s="9">
        <f>IFERROR(VLOOKUP($A1698,pivot!$A:$I,計算式2026!AI$1,FALSE),0)</f>
        <v>0</v>
      </c>
      <c r="AJ1698" s="9">
        <f>IFERROR(VLOOKUP($A1698,pivot!$A:$I,計算式2026!AJ$1,FALSE),0)</f>
        <v>0</v>
      </c>
      <c r="AK1698" s="9">
        <f>IFERROR(VLOOKUP($A1698,pivot!$A:$I,計算式2026!AK$1,FALSE),0)</f>
        <v>0</v>
      </c>
      <c r="AL1698" s="9">
        <f>IFERROR(VLOOKUP($A1698,pivot!$A:$I,計算式2026!AL$1,FALSE),0)</f>
        <v>0</v>
      </c>
      <c r="AR1698" s="8"/>
      <c r="AS1698" s="8"/>
      <c r="AT1698" s="8"/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8"/>
      <c r="BG1698" s="8"/>
    </row>
    <row r="1699" spans="1:59" s="9" customFormat="1">
      <c r="A1699" s="8" t="s">
        <v>1036</v>
      </c>
      <c r="B1699" s="8" t="s">
        <v>1031</v>
      </c>
      <c r="C1699" s="9">
        <v>0</v>
      </c>
      <c r="D1699" s="9">
        <v>0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1</v>
      </c>
      <c r="AE1699" s="9">
        <f>IFERROR(VLOOKUP($A1699,pivot!$A:$G,計算式2026!AE$1,FALSE),0)</f>
        <v>0</v>
      </c>
      <c r="AF1699" s="9">
        <f>IFERROR(VLOOKUP($A1699,pivot!$A:$I,計算式2026!AF$1,FALSE),0)</f>
        <v>0</v>
      </c>
      <c r="AI1699" s="9">
        <f>IFERROR(VLOOKUP($A1699,pivot!$A:$I,計算式2026!AI$1,FALSE),0)</f>
        <v>0</v>
      </c>
      <c r="AJ1699" s="9">
        <f>IFERROR(VLOOKUP($A1699,pivot!$A:$I,計算式2026!AJ$1,FALSE),0)</f>
        <v>0</v>
      </c>
      <c r="AK1699" s="9">
        <f>IFERROR(VLOOKUP($A1699,pivot!$A:$I,計算式2026!AK$1,FALSE),0)</f>
        <v>0</v>
      </c>
      <c r="AL1699" s="9">
        <f>IFERROR(VLOOKUP($A1699,pivot!$A:$I,計算式2026!AL$1,FALSE),0)</f>
        <v>0</v>
      </c>
      <c r="AR1699" s="8"/>
      <c r="AS1699" s="8"/>
      <c r="AT1699" s="8"/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8"/>
      <c r="BG1699" s="8"/>
    </row>
    <row r="1700" spans="1:59" s="9" customFormat="1">
      <c r="A1700" s="8" t="s">
        <v>1037</v>
      </c>
      <c r="B1700" s="8" t="s">
        <v>1031</v>
      </c>
      <c r="C1700" s="9">
        <v>0</v>
      </c>
      <c r="D1700" s="9">
        <v>0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R1700" s="9">
        <v>0</v>
      </c>
      <c r="S1700" s="9">
        <v>1</v>
      </c>
      <c r="T1700" s="9">
        <v>0</v>
      </c>
      <c r="U1700" s="9">
        <v>0</v>
      </c>
      <c r="V1700" s="9">
        <v>0</v>
      </c>
      <c r="W1700" s="9">
        <v>0</v>
      </c>
      <c r="X1700" s="9">
        <v>1</v>
      </c>
      <c r="AE1700" s="9">
        <f>IFERROR(VLOOKUP($A1700,pivot!$A:$G,計算式2026!AE$1,FALSE),0)</f>
        <v>0</v>
      </c>
      <c r="AF1700" s="9">
        <f>IFERROR(VLOOKUP($A1700,pivot!$A:$I,計算式2026!AF$1,FALSE),0)</f>
        <v>0</v>
      </c>
      <c r="AI1700" s="9">
        <f>IFERROR(VLOOKUP($A1700,pivot!$A:$I,計算式2026!AI$1,FALSE),0)</f>
        <v>0</v>
      </c>
      <c r="AJ1700" s="9">
        <f>IFERROR(VLOOKUP($A1700,pivot!$A:$I,計算式2026!AJ$1,FALSE),0)</f>
        <v>0</v>
      </c>
      <c r="AK1700" s="9">
        <f>IFERROR(VLOOKUP($A1700,pivot!$A:$I,計算式2026!AK$1,FALSE),0)</f>
        <v>0</v>
      </c>
      <c r="AL1700" s="9">
        <f>IFERROR(VLOOKUP($A1700,pivot!$A:$I,計算式2026!AL$1,FALSE),0)</f>
        <v>0</v>
      </c>
      <c r="AR1700" s="8"/>
      <c r="AS1700" s="8"/>
      <c r="AT1700" s="8"/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8"/>
      <c r="BG1700" s="8"/>
    </row>
    <row r="1701" spans="1:59" s="9" customFormat="1">
      <c r="A1701" s="8" t="s">
        <v>1038</v>
      </c>
      <c r="B1701" s="8" t="s">
        <v>1031</v>
      </c>
      <c r="C1701" s="9">
        <v>0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1</v>
      </c>
      <c r="AE1701" s="9">
        <f>IFERROR(VLOOKUP($A1701,pivot!$A:$G,計算式2026!AE$1,FALSE),0)</f>
        <v>0</v>
      </c>
      <c r="AF1701" s="9">
        <f>IFERROR(VLOOKUP($A1701,pivot!$A:$I,計算式2026!AF$1,FALSE),0)</f>
        <v>0</v>
      </c>
      <c r="AI1701" s="9">
        <f>IFERROR(VLOOKUP($A1701,pivot!$A:$I,計算式2026!AI$1,FALSE),0)</f>
        <v>0</v>
      </c>
      <c r="AJ1701" s="9">
        <f>IFERROR(VLOOKUP($A1701,pivot!$A:$I,計算式2026!AJ$1,FALSE),0)</f>
        <v>0</v>
      </c>
      <c r="AK1701" s="9">
        <f>IFERROR(VLOOKUP($A1701,pivot!$A:$I,計算式2026!AK$1,FALSE),0)</f>
        <v>0</v>
      </c>
      <c r="AL1701" s="9">
        <f>IFERROR(VLOOKUP($A1701,pivot!$A:$I,計算式2026!AL$1,FALSE),0)</f>
        <v>0</v>
      </c>
      <c r="AR1701" s="8"/>
      <c r="AS1701" s="8"/>
      <c r="AT1701" s="8"/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8"/>
      <c r="BG1701" s="8"/>
    </row>
    <row r="1702" spans="1:59" s="9" customFormat="1">
      <c r="A1702" s="8" t="s">
        <v>1039</v>
      </c>
      <c r="B1702" s="8" t="s">
        <v>1031</v>
      </c>
      <c r="C1702" s="9">
        <v>0</v>
      </c>
      <c r="D1702" s="9">
        <v>0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1</v>
      </c>
      <c r="AE1702" s="9">
        <f>IFERROR(VLOOKUP($A1702,pivot!$A:$G,計算式2026!AE$1,FALSE),0)</f>
        <v>0</v>
      </c>
      <c r="AF1702" s="9">
        <f>IFERROR(VLOOKUP($A1702,pivot!$A:$I,計算式2026!AF$1,FALSE),0)</f>
        <v>0</v>
      </c>
      <c r="AI1702" s="9">
        <f>IFERROR(VLOOKUP($A1702,pivot!$A:$I,計算式2026!AI$1,FALSE),0)</f>
        <v>0</v>
      </c>
      <c r="AJ1702" s="9">
        <f>IFERROR(VLOOKUP($A1702,pivot!$A:$I,計算式2026!AJ$1,FALSE),0)</f>
        <v>0</v>
      </c>
      <c r="AK1702" s="9">
        <f>IFERROR(VLOOKUP($A1702,pivot!$A:$I,計算式2026!AK$1,FALSE),0)</f>
        <v>0</v>
      </c>
      <c r="AL1702" s="9">
        <f>IFERROR(VLOOKUP($A1702,pivot!$A:$I,計算式2026!AL$1,FALSE),0)</f>
        <v>0</v>
      </c>
      <c r="AR1702" s="8"/>
      <c r="AS1702" s="8"/>
      <c r="AT1702" s="8"/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8"/>
      <c r="BG1702" s="8"/>
    </row>
    <row r="1703" spans="1:59" s="9" customFormat="1">
      <c r="A1703" s="8" t="s">
        <v>1040</v>
      </c>
      <c r="B1703" s="8" t="s">
        <v>1031</v>
      </c>
      <c r="C1703" s="9">
        <v>0</v>
      </c>
      <c r="D1703" s="9">
        <v>0</v>
      </c>
      <c r="E1703" s="9">
        <v>0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R1703" s="9">
        <v>1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1</v>
      </c>
      <c r="AE1703" s="9">
        <f>IFERROR(VLOOKUP($A1703,pivot!$A:$G,計算式2026!AE$1,FALSE),0)</f>
        <v>0</v>
      </c>
      <c r="AF1703" s="9">
        <f>IFERROR(VLOOKUP($A1703,pivot!$A:$I,計算式2026!AF$1,FALSE),0)</f>
        <v>0</v>
      </c>
      <c r="AI1703" s="9">
        <f>IFERROR(VLOOKUP($A1703,pivot!$A:$I,計算式2026!AI$1,FALSE),0)</f>
        <v>0</v>
      </c>
      <c r="AJ1703" s="9">
        <f>IFERROR(VLOOKUP($A1703,pivot!$A:$I,計算式2026!AJ$1,FALSE),0)</f>
        <v>0</v>
      </c>
      <c r="AK1703" s="9">
        <f>IFERROR(VLOOKUP($A1703,pivot!$A:$I,計算式2026!AK$1,FALSE),0)</f>
        <v>0</v>
      </c>
      <c r="AL1703" s="9">
        <f>IFERROR(VLOOKUP($A1703,pivot!$A:$I,計算式2026!AL$1,FALSE),0)</f>
        <v>0</v>
      </c>
      <c r="AR1703" s="8"/>
      <c r="AS1703" s="8"/>
      <c r="AT1703" s="8"/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8"/>
      <c r="BG1703" s="8"/>
    </row>
    <row r="1704" spans="1:59" s="9" customFormat="1">
      <c r="A1704" s="8">
        <v>8246622048</v>
      </c>
      <c r="B1704" s="8" t="s">
        <v>1041</v>
      </c>
      <c r="C1704" s="9">
        <v>0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1</v>
      </c>
      <c r="AE1704" s="9">
        <f>IFERROR(VLOOKUP($A1704,pivot!$A:$G,計算式2026!AE$1,FALSE),0)</f>
        <v>0</v>
      </c>
      <c r="AF1704" s="9">
        <f>IFERROR(VLOOKUP($A1704,pivot!$A:$I,計算式2026!AF$1,FALSE),0)</f>
        <v>0</v>
      </c>
      <c r="AI1704" s="9">
        <f>IFERROR(VLOOKUP($A1704,pivot!$A:$I,計算式2026!AI$1,FALSE),0)</f>
        <v>0</v>
      </c>
      <c r="AJ1704" s="9">
        <f>IFERROR(VLOOKUP($A1704,pivot!$A:$I,計算式2026!AJ$1,FALSE),0)</f>
        <v>0</v>
      </c>
      <c r="AK1704" s="9">
        <f>IFERROR(VLOOKUP($A1704,pivot!$A:$I,計算式2026!AK$1,FALSE),0)</f>
        <v>0</v>
      </c>
      <c r="AL1704" s="9">
        <f>IFERROR(VLOOKUP($A1704,pivot!$A:$I,計算式2026!AL$1,FALSE),0)</f>
        <v>0</v>
      </c>
      <c r="AR1704" s="8"/>
      <c r="AS1704" s="8"/>
      <c r="AT1704" s="8"/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8"/>
      <c r="BG1704" s="8"/>
    </row>
    <row r="1705" spans="1:59" s="9" customFormat="1">
      <c r="A1705" s="8" t="s">
        <v>1042</v>
      </c>
      <c r="B1705" s="8" t="s">
        <v>1041</v>
      </c>
      <c r="C1705" s="9">
        <v>0</v>
      </c>
      <c r="D1705" s="9">
        <v>0</v>
      </c>
      <c r="E1705" s="9">
        <v>0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1</v>
      </c>
      <c r="AE1705" s="9">
        <f>IFERROR(VLOOKUP($A1705,pivot!$A:$G,計算式2026!AE$1,FALSE),0)</f>
        <v>0</v>
      </c>
      <c r="AF1705" s="9">
        <f>IFERROR(VLOOKUP($A1705,pivot!$A:$I,計算式2026!AF$1,FALSE),0)</f>
        <v>0</v>
      </c>
      <c r="AI1705" s="9">
        <f>IFERROR(VLOOKUP($A1705,pivot!$A:$I,計算式2026!AI$1,FALSE),0)</f>
        <v>0</v>
      </c>
      <c r="AJ1705" s="9">
        <f>IFERROR(VLOOKUP($A1705,pivot!$A:$I,計算式2026!AJ$1,FALSE),0)</f>
        <v>0</v>
      </c>
      <c r="AK1705" s="9">
        <f>IFERROR(VLOOKUP($A1705,pivot!$A:$I,計算式2026!AK$1,FALSE),0)</f>
        <v>0</v>
      </c>
      <c r="AL1705" s="9">
        <f>IFERROR(VLOOKUP($A1705,pivot!$A:$I,計算式2026!AL$1,FALSE),0)</f>
        <v>0</v>
      </c>
      <c r="AR1705" s="8"/>
      <c r="AS1705" s="8"/>
      <c r="AT1705" s="8"/>
      <c r="AU1705" s="8"/>
      <c r="AV1705" s="8"/>
      <c r="AW1705" s="8"/>
      <c r="AX1705" s="8"/>
      <c r="AY1705" s="8"/>
      <c r="AZ1705" s="8"/>
      <c r="BA1705" s="8"/>
      <c r="BB1705" s="8"/>
      <c r="BC1705" s="8"/>
      <c r="BD1705" s="8"/>
      <c r="BE1705" s="8"/>
      <c r="BF1705" s="8"/>
      <c r="BG1705" s="8"/>
    </row>
    <row r="1706" spans="1:59" s="9" customFormat="1">
      <c r="A1706" s="8" t="s">
        <v>1043</v>
      </c>
      <c r="B1706" s="8" t="s">
        <v>1041</v>
      </c>
      <c r="C1706" s="9">
        <v>0</v>
      </c>
      <c r="D1706" s="9">
        <v>0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1</v>
      </c>
      <c r="AE1706" s="9">
        <f>IFERROR(VLOOKUP($A1706,pivot!$A:$G,計算式2026!AE$1,FALSE),0)</f>
        <v>0</v>
      </c>
      <c r="AF1706" s="9">
        <f>IFERROR(VLOOKUP($A1706,pivot!$A:$I,計算式2026!AF$1,FALSE),0)</f>
        <v>0</v>
      </c>
      <c r="AI1706" s="9">
        <f>IFERROR(VLOOKUP($A1706,pivot!$A:$I,計算式2026!AI$1,FALSE),0)</f>
        <v>0</v>
      </c>
      <c r="AJ1706" s="9">
        <f>IFERROR(VLOOKUP($A1706,pivot!$A:$I,計算式2026!AJ$1,FALSE),0)</f>
        <v>0</v>
      </c>
      <c r="AK1706" s="9">
        <f>IFERROR(VLOOKUP($A1706,pivot!$A:$I,計算式2026!AK$1,FALSE),0)</f>
        <v>0</v>
      </c>
      <c r="AL1706" s="9">
        <f>IFERROR(VLOOKUP($A1706,pivot!$A:$I,計算式2026!AL$1,FALSE),0)</f>
        <v>0</v>
      </c>
      <c r="AR1706" s="8"/>
      <c r="AS1706" s="8"/>
      <c r="AT1706" s="8"/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8"/>
      <c r="BG1706" s="8"/>
    </row>
    <row r="1707" spans="1:59" s="9" customFormat="1">
      <c r="A1707" s="8" t="s">
        <v>1044</v>
      </c>
      <c r="B1707" s="8" t="s">
        <v>1041</v>
      </c>
      <c r="C1707" s="9">
        <v>0</v>
      </c>
      <c r="D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1</v>
      </c>
      <c r="AE1707" s="9">
        <f>IFERROR(VLOOKUP($A1707,pivot!$A:$G,計算式2026!AE$1,FALSE),0)</f>
        <v>0</v>
      </c>
      <c r="AF1707" s="9">
        <f>IFERROR(VLOOKUP($A1707,pivot!$A:$I,計算式2026!AF$1,FALSE),0)</f>
        <v>0</v>
      </c>
      <c r="AI1707" s="9">
        <f>IFERROR(VLOOKUP($A1707,pivot!$A:$I,計算式2026!AI$1,FALSE),0)</f>
        <v>0</v>
      </c>
      <c r="AJ1707" s="9">
        <f>IFERROR(VLOOKUP($A1707,pivot!$A:$I,計算式2026!AJ$1,FALSE),0)</f>
        <v>0</v>
      </c>
      <c r="AK1707" s="9">
        <f>IFERROR(VLOOKUP($A1707,pivot!$A:$I,計算式2026!AK$1,FALSE),0)</f>
        <v>0</v>
      </c>
      <c r="AL1707" s="9">
        <f>IFERROR(VLOOKUP($A1707,pivot!$A:$I,計算式2026!AL$1,FALSE),0)</f>
        <v>0</v>
      </c>
      <c r="AR1707" s="8"/>
      <c r="AS1707" s="8"/>
      <c r="AT1707" s="8"/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8"/>
      <c r="BG1707" s="8"/>
    </row>
    <row r="1708" spans="1:59" s="9" customFormat="1">
      <c r="A1708" s="8" t="s">
        <v>1711</v>
      </c>
      <c r="B1708" s="8" t="s">
        <v>1041</v>
      </c>
      <c r="C1708" s="9">
        <v>0</v>
      </c>
      <c r="D1708" s="9">
        <v>0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1</v>
      </c>
      <c r="AE1708" s="9">
        <f>IFERROR(VLOOKUP($A1708,pivot!$A:$G,計算式2026!AE$1,FALSE),0)</f>
        <v>0</v>
      </c>
      <c r="AF1708" s="9">
        <f>IFERROR(VLOOKUP($A1708,pivot!$A:$I,計算式2026!AF$1,FALSE),0)</f>
        <v>0</v>
      </c>
      <c r="AI1708" s="9">
        <f>IFERROR(VLOOKUP($A1708,pivot!$A:$I,計算式2026!AI$1,FALSE),0)</f>
        <v>0</v>
      </c>
      <c r="AJ1708" s="9">
        <f>IFERROR(VLOOKUP($A1708,pivot!$A:$I,計算式2026!AJ$1,FALSE),0)</f>
        <v>0</v>
      </c>
      <c r="AK1708" s="9">
        <f>IFERROR(VLOOKUP($A1708,pivot!$A:$I,計算式2026!AK$1,FALSE),0)</f>
        <v>0</v>
      </c>
      <c r="AL1708" s="9">
        <f>IFERROR(VLOOKUP($A1708,pivot!$A:$I,計算式2026!AL$1,FALSE),0)</f>
        <v>0</v>
      </c>
      <c r="AR1708" s="8"/>
      <c r="AS1708" s="8"/>
      <c r="AT1708" s="8"/>
      <c r="AU1708" s="8"/>
      <c r="AV1708" s="8"/>
      <c r="AW1708" s="8"/>
      <c r="AX1708" s="8"/>
      <c r="AY1708" s="8"/>
      <c r="AZ1708" s="8"/>
      <c r="BA1708" s="8"/>
      <c r="BB1708" s="8"/>
      <c r="BC1708" s="8"/>
      <c r="BD1708" s="8"/>
      <c r="BE1708" s="8"/>
      <c r="BF1708" s="8"/>
      <c r="BG1708" s="8"/>
    </row>
    <row r="1709" spans="1:59" s="9" customFormat="1">
      <c r="A1709" s="8" t="s">
        <v>1712</v>
      </c>
      <c r="B1709" s="8" t="s">
        <v>1041</v>
      </c>
      <c r="C1709" s="9">
        <v>0</v>
      </c>
      <c r="D1709" s="9">
        <v>0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1</v>
      </c>
      <c r="AE1709" s="9">
        <f>IFERROR(VLOOKUP($A1709,pivot!$A:$G,計算式2026!AE$1,FALSE),0)</f>
        <v>0</v>
      </c>
      <c r="AF1709" s="9">
        <f>IFERROR(VLOOKUP($A1709,pivot!$A:$I,計算式2026!AF$1,FALSE),0)</f>
        <v>0</v>
      </c>
      <c r="AI1709" s="9">
        <f>IFERROR(VLOOKUP($A1709,pivot!$A:$I,計算式2026!AI$1,FALSE),0)</f>
        <v>0</v>
      </c>
      <c r="AJ1709" s="9">
        <f>IFERROR(VLOOKUP($A1709,pivot!$A:$I,計算式2026!AJ$1,FALSE),0)</f>
        <v>0</v>
      </c>
      <c r="AK1709" s="9">
        <f>IFERROR(VLOOKUP($A1709,pivot!$A:$I,計算式2026!AK$1,FALSE),0)</f>
        <v>0</v>
      </c>
      <c r="AL1709" s="9">
        <f>IFERROR(VLOOKUP($A1709,pivot!$A:$I,計算式2026!AL$1,FALSE),0)</f>
        <v>0</v>
      </c>
      <c r="AR1709" s="8"/>
      <c r="AS1709" s="8"/>
      <c r="AT1709" s="8"/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8"/>
      <c r="BG1709" s="8"/>
    </row>
    <row r="1710" spans="1:59" s="9" customFormat="1">
      <c r="A1710" s="8" t="s">
        <v>1713</v>
      </c>
      <c r="B1710" s="8" t="s">
        <v>1041</v>
      </c>
      <c r="C1710" s="9">
        <v>0</v>
      </c>
      <c r="D1710" s="9">
        <v>0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1</v>
      </c>
      <c r="AE1710" s="9">
        <f>IFERROR(VLOOKUP($A1710,pivot!$A:$G,計算式2026!AE$1,FALSE),0)</f>
        <v>0</v>
      </c>
      <c r="AF1710" s="9">
        <f>IFERROR(VLOOKUP($A1710,pivot!$A:$I,計算式2026!AF$1,FALSE),0)</f>
        <v>0</v>
      </c>
      <c r="AI1710" s="9">
        <f>IFERROR(VLOOKUP($A1710,pivot!$A:$I,計算式2026!AI$1,FALSE),0)</f>
        <v>0</v>
      </c>
      <c r="AJ1710" s="9">
        <f>IFERROR(VLOOKUP($A1710,pivot!$A:$I,計算式2026!AJ$1,FALSE),0)</f>
        <v>0</v>
      </c>
      <c r="AK1710" s="9">
        <f>IFERROR(VLOOKUP($A1710,pivot!$A:$I,計算式2026!AK$1,FALSE),0)</f>
        <v>0</v>
      </c>
      <c r="AL1710" s="9">
        <f>IFERROR(VLOOKUP($A1710,pivot!$A:$I,計算式2026!AL$1,FALSE),0)</f>
        <v>0</v>
      </c>
      <c r="AR1710" s="8"/>
      <c r="AS1710" s="8"/>
      <c r="AT1710" s="8"/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8"/>
      <c r="BG1710" s="8"/>
    </row>
    <row r="1711" spans="1:59" s="9" customFormat="1">
      <c r="A1711" s="8" t="s">
        <v>1045</v>
      </c>
      <c r="B1711" s="8" t="s">
        <v>1041</v>
      </c>
      <c r="C1711" s="9">
        <v>0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1</v>
      </c>
      <c r="AE1711" s="9">
        <f>IFERROR(VLOOKUP($A1711,pivot!$A:$G,計算式2026!AE$1,FALSE),0)</f>
        <v>0</v>
      </c>
      <c r="AF1711" s="9">
        <f>IFERROR(VLOOKUP($A1711,pivot!$A:$I,計算式2026!AF$1,FALSE),0)</f>
        <v>0</v>
      </c>
      <c r="AI1711" s="9">
        <f>IFERROR(VLOOKUP($A1711,pivot!$A:$I,計算式2026!AI$1,FALSE),0)</f>
        <v>0</v>
      </c>
      <c r="AJ1711" s="9">
        <f>IFERROR(VLOOKUP($A1711,pivot!$A:$I,計算式2026!AJ$1,FALSE),0)</f>
        <v>0</v>
      </c>
      <c r="AK1711" s="9">
        <f>IFERROR(VLOOKUP($A1711,pivot!$A:$I,計算式2026!AK$1,FALSE),0)</f>
        <v>0</v>
      </c>
      <c r="AL1711" s="9">
        <f>IFERROR(VLOOKUP($A1711,pivot!$A:$I,計算式2026!AL$1,FALSE),0)</f>
        <v>0</v>
      </c>
      <c r="AR1711" s="8"/>
      <c r="AS1711" s="8"/>
      <c r="AT1711" s="8"/>
      <c r="AU1711" s="8"/>
      <c r="AV1711" s="8"/>
      <c r="AW1711" s="8"/>
      <c r="AX1711" s="8"/>
      <c r="AY1711" s="8"/>
      <c r="AZ1711" s="8"/>
      <c r="BA1711" s="8"/>
      <c r="BB1711" s="8"/>
      <c r="BC1711" s="8"/>
      <c r="BD1711" s="8"/>
      <c r="BE1711" s="8"/>
      <c r="BF1711" s="8"/>
      <c r="BG1711" s="8"/>
    </row>
    <row r="1712" spans="1:59" s="9" customFormat="1">
      <c r="A1712" s="8" t="s">
        <v>1046</v>
      </c>
      <c r="B1712" s="8" t="s">
        <v>1041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1</v>
      </c>
      <c r="AE1712" s="9">
        <f>IFERROR(VLOOKUP($A1712,pivot!$A:$G,計算式2026!AE$1,FALSE),0)</f>
        <v>0</v>
      </c>
      <c r="AF1712" s="9">
        <f>IFERROR(VLOOKUP($A1712,pivot!$A:$I,計算式2026!AF$1,FALSE),0)</f>
        <v>0</v>
      </c>
      <c r="AI1712" s="9">
        <f>IFERROR(VLOOKUP($A1712,pivot!$A:$I,計算式2026!AI$1,FALSE),0)</f>
        <v>0</v>
      </c>
      <c r="AJ1712" s="9">
        <f>IFERROR(VLOOKUP($A1712,pivot!$A:$I,計算式2026!AJ$1,FALSE),0)</f>
        <v>0</v>
      </c>
      <c r="AK1712" s="9">
        <f>IFERROR(VLOOKUP($A1712,pivot!$A:$I,計算式2026!AK$1,FALSE),0)</f>
        <v>0</v>
      </c>
      <c r="AL1712" s="9">
        <f>IFERROR(VLOOKUP($A1712,pivot!$A:$I,計算式2026!AL$1,FALSE),0)</f>
        <v>0</v>
      </c>
      <c r="AR1712" s="8"/>
      <c r="AS1712" s="8"/>
      <c r="AT1712" s="8"/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8"/>
      <c r="BG1712" s="8"/>
    </row>
    <row r="1713" spans="1:59" s="9" customFormat="1">
      <c r="A1713" s="8" t="s">
        <v>1047</v>
      </c>
      <c r="B1713" s="8" t="s">
        <v>1041</v>
      </c>
      <c r="C1713" s="9">
        <v>0</v>
      </c>
      <c r="D1713" s="9">
        <v>0</v>
      </c>
      <c r="E1713" s="9">
        <v>0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1</v>
      </c>
      <c r="AE1713" s="9">
        <f>IFERROR(VLOOKUP($A1713,pivot!$A:$G,計算式2026!AE$1,FALSE),0)</f>
        <v>0</v>
      </c>
      <c r="AF1713" s="9">
        <f>IFERROR(VLOOKUP($A1713,pivot!$A:$I,計算式2026!AF$1,FALSE),0)</f>
        <v>0</v>
      </c>
      <c r="AI1713" s="9">
        <f>IFERROR(VLOOKUP($A1713,pivot!$A:$I,計算式2026!AI$1,FALSE),0)</f>
        <v>0</v>
      </c>
      <c r="AJ1713" s="9">
        <f>IFERROR(VLOOKUP($A1713,pivot!$A:$I,計算式2026!AJ$1,FALSE),0)</f>
        <v>0</v>
      </c>
      <c r="AK1713" s="9">
        <f>IFERROR(VLOOKUP($A1713,pivot!$A:$I,計算式2026!AK$1,FALSE),0)</f>
        <v>0</v>
      </c>
      <c r="AL1713" s="9">
        <f>IFERROR(VLOOKUP($A1713,pivot!$A:$I,計算式2026!AL$1,FALSE),0)</f>
        <v>0</v>
      </c>
      <c r="AR1713" s="8"/>
      <c r="AS1713" s="8"/>
      <c r="AT1713" s="8"/>
      <c r="AU1713" s="8"/>
      <c r="AV1713" s="8"/>
      <c r="AW1713" s="8"/>
      <c r="AX1713" s="8"/>
      <c r="AY1713" s="8"/>
      <c r="AZ1713" s="8"/>
      <c r="BA1713" s="8"/>
      <c r="BB1713" s="8"/>
      <c r="BC1713" s="8"/>
      <c r="BD1713" s="8"/>
      <c r="BE1713" s="8"/>
      <c r="BF1713" s="8"/>
      <c r="BG1713" s="8"/>
    </row>
    <row r="1714" spans="1:59" s="9" customFormat="1">
      <c r="A1714" s="8" t="s">
        <v>1048</v>
      </c>
      <c r="B1714" s="8" t="s">
        <v>1049</v>
      </c>
      <c r="C1714" s="9">
        <v>0</v>
      </c>
      <c r="D1714" s="9">
        <v>0</v>
      </c>
      <c r="E1714" s="9">
        <v>0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1</v>
      </c>
      <c r="AE1714" s="9">
        <f>IFERROR(VLOOKUP($A1714,pivot!$A:$G,計算式2026!AE$1,FALSE),0)</f>
        <v>0</v>
      </c>
      <c r="AF1714" s="9">
        <f>IFERROR(VLOOKUP($A1714,pivot!$A:$I,計算式2026!AF$1,FALSE),0)</f>
        <v>0</v>
      </c>
      <c r="AI1714" s="9">
        <f>IFERROR(VLOOKUP($A1714,pivot!$A:$I,計算式2026!AI$1,FALSE),0)</f>
        <v>0</v>
      </c>
      <c r="AJ1714" s="9">
        <f>IFERROR(VLOOKUP($A1714,pivot!$A:$I,計算式2026!AJ$1,FALSE),0)</f>
        <v>0</v>
      </c>
      <c r="AK1714" s="9">
        <f>IFERROR(VLOOKUP($A1714,pivot!$A:$I,計算式2026!AK$1,FALSE),0)</f>
        <v>0</v>
      </c>
      <c r="AL1714" s="9">
        <f>IFERROR(VLOOKUP($A1714,pivot!$A:$I,計算式2026!AL$1,FALSE),0)</f>
        <v>0</v>
      </c>
      <c r="AR1714" s="8"/>
      <c r="AS1714" s="8"/>
      <c r="AT1714" s="8"/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8"/>
      <c r="BG1714" s="8"/>
    </row>
    <row r="1715" spans="1:59" s="9" customFormat="1">
      <c r="A1715" s="8" t="s">
        <v>1050</v>
      </c>
      <c r="B1715" s="8" t="s">
        <v>1049</v>
      </c>
      <c r="C1715" s="9">
        <v>0</v>
      </c>
      <c r="D1715" s="9">
        <v>0</v>
      </c>
      <c r="E1715" s="9">
        <v>0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R1715" s="9">
        <v>1</v>
      </c>
      <c r="S1715" s="9">
        <v>2</v>
      </c>
      <c r="T1715" s="9">
        <v>0</v>
      </c>
      <c r="U1715" s="9">
        <v>0</v>
      </c>
      <c r="V1715" s="9">
        <v>1</v>
      </c>
      <c r="W1715" s="9">
        <v>0</v>
      </c>
      <c r="X1715" s="9">
        <v>1</v>
      </c>
      <c r="AE1715" s="9">
        <f>IFERROR(VLOOKUP($A1715,pivot!$A:$G,計算式2026!AE$1,FALSE),0)</f>
        <v>0</v>
      </c>
      <c r="AF1715" s="9">
        <f>IFERROR(VLOOKUP($A1715,pivot!$A:$I,計算式2026!AF$1,FALSE),0)</f>
        <v>0</v>
      </c>
      <c r="AI1715" s="9">
        <f>IFERROR(VLOOKUP($A1715,pivot!$A:$I,計算式2026!AI$1,FALSE),0)</f>
        <v>0</v>
      </c>
      <c r="AJ1715" s="9">
        <f>IFERROR(VLOOKUP($A1715,pivot!$A:$I,計算式2026!AJ$1,FALSE),0)</f>
        <v>0</v>
      </c>
      <c r="AK1715" s="9">
        <f>IFERROR(VLOOKUP($A1715,pivot!$A:$I,計算式2026!AK$1,FALSE),0)</f>
        <v>0</v>
      </c>
      <c r="AL1715" s="9">
        <f>IFERROR(VLOOKUP($A1715,pivot!$A:$I,計算式2026!AL$1,FALSE),0)</f>
        <v>0</v>
      </c>
      <c r="AR1715" s="8"/>
      <c r="AS1715" s="8"/>
      <c r="AT1715" s="8"/>
      <c r="AU1715" s="8"/>
      <c r="AV1715" s="8"/>
      <c r="AW1715" s="8"/>
      <c r="AX1715" s="8"/>
      <c r="AY1715" s="8"/>
      <c r="AZ1715" s="8"/>
      <c r="BA1715" s="8"/>
      <c r="BB1715" s="8"/>
      <c r="BC1715" s="8"/>
      <c r="BD1715" s="8"/>
      <c r="BE1715" s="8"/>
      <c r="BF1715" s="8"/>
      <c r="BG1715" s="8"/>
    </row>
    <row r="1716" spans="1:59" s="9" customFormat="1">
      <c r="A1716" s="8" t="s">
        <v>1051</v>
      </c>
      <c r="B1716" s="8" t="s">
        <v>1049</v>
      </c>
      <c r="C1716" s="9">
        <v>0</v>
      </c>
      <c r="D1716" s="9">
        <v>0</v>
      </c>
      <c r="E1716" s="9">
        <v>0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R1716" s="9">
        <v>1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1</v>
      </c>
      <c r="AE1716" s="9">
        <f>IFERROR(VLOOKUP($A1716,pivot!$A:$G,計算式2026!AE$1,FALSE),0)</f>
        <v>0</v>
      </c>
      <c r="AF1716" s="9">
        <f>IFERROR(VLOOKUP($A1716,pivot!$A:$I,計算式2026!AF$1,FALSE),0)</f>
        <v>0</v>
      </c>
      <c r="AI1716" s="9">
        <f>IFERROR(VLOOKUP($A1716,pivot!$A:$I,計算式2026!AI$1,FALSE),0)</f>
        <v>0</v>
      </c>
      <c r="AJ1716" s="9">
        <f>IFERROR(VLOOKUP($A1716,pivot!$A:$I,計算式2026!AJ$1,FALSE),0)</f>
        <v>0</v>
      </c>
      <c r="AK1716" s="9">
        <f>IFERROR(VLOOKUP($A1716,pivot!$A:$I,計算式2026!AK$1,FALSE),0)</f>
        <v>0</v>
      </c>
      <c r="AL1716" s="9">
        <f>IFERROR(VLOOKUP($A1716,pivot!$A:$I,計算式2026!AL$1,FALSE),0)</f>
        <v>0</v>
      </c>
      <c r="AR1716" s="8"/>
      <c r="AS1716" s="8"/>
      <c r="AT1716" s="8"/>
      <c r="AU1716" s="8"/>
      <c r="AV1716" s="8"/>
      <c r="AW1716" s="8"/>
      <c r="AX1716" s="8"/>
      <c r="AY1716" s="8"/>
      <c r="AZ1716" s="8"/>
      <c r="BA1716" s="8"/>
      <c r="BB1716" s="8"/>
      <c r="BC1716" s="8"/>
      <c r="BD1716" s="8"/>
      <c r="BE1716" s="8"/>
      <c r="BF1716" s="8"/>
      <c r="BG1716" s="8"/>
    </row>
    <row r="1717" spans="1:59" s="9" customFormat="1">
      <c r="A1717" s="8" t="s">
        <v>1052</v>
      </c>
      <c r="B1717" s="8" t="s">
        <v>1049</v>
      </c>
      <c r="C1717" s="9">
        <v>0</v>
      </c>
      <c r="D1717" s="9">
        <v>0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1</v>
      </c>
      <c r="AE1717" s="9">
        <f>IFERROR(VLOOKUP($A1717,pivot!$A:$G,計算式2026!AE$1,FALSE),0)</f>
        <v>0</v>
      </c>
      <c r="AF1717" s="9">
        <f>IFERROR(VLOOKUP($A1717,pivot!$A:$I,計算式2026!AF$1,FALSE),0)</f>
        <v>0</v>
      </c>
      <c r="AI1717" s="9">
        <f>IFERROR(VLOOKUP($A1717,pivot!$A:$I,計算式2026!AI$1,FALSE),0)</f>
        <v>0</v>
      </c>
      <c r="AJ1717" s="9">
        <f>IFERROR(VLOOKUP($A1717,pivot!$A:$I,計算式2026!AJ$1,FALSE),0)</f>
        <v>0</v>
      </c>
      <c r="AK1717" s="9">
        <f>IFERROR(VLOOKUP($A1717,pivot!$A:$I,計算式2026!AK$1,FALSE),0)</f>
        <v>0</v>
      </c>
      <c r="AL1717" s="9">
        <f>IFERROR(VLOOKUP($A1717,pivot!$A:$I,計算式2026!AL$1,FALSE),0)</f>
        <v>0</v>
      </c>
      <c r="AR1717" s="8"/>
      <c r="AS1717" s="8"/>
      <c r="AT1717" s="8"/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8"/>
      <c r="BG1717" s="8"/>
    </row>
    <row r="1718" spans="1:59" s="9" customFormat="1">
      <c r="A1718" s="8" t="s">
        <v>1053</v>
      </c>
      <c r="B1718" s="8" t="s">
        <v>1049</v>
      </c>
      <c r="C1718" s="9">
        <v>0</v>
      </c>
      <c r="D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R1718" s="9">
        <v>2</v>
      </c>
      <c r="S1718" s="9">
        <v>1</v>
      </c>
      <c r="T1718" s="9">
        <v>0</v>
      </c>
      <c r="U1718" s="9">
        <v>0</v>
      </c>
      <c r="V1718" s="9">
        <v>1</v>
      </c>
      <c r="W1718" s="9">
        <v>0</v>
      </c>
      <c r="X1718" s="9">
        <v>1</v>
      </c>
      <c r="AE1718" s="9">
        <f>IFERROR(VLOOKUP($A1718,pivot!$A:$G,計算式2026!AE$1,FALSE),0)</f>
        <v>0</v>
      </c>
      <c r="AF1718" s="9">
        <f>IFERROR(VLOOKUP($A1718,pivot!$A:$I,計算式2026!AF$1,FALSE),0)</f>
        <v>0</v>
      </c>
      <c r="AI1718" s="9">
        <f>IFERROR(VLOOKUP($A1718,pivot!$A:$I,計算式2026!AI$1,FALSE),0)</f>
        <v>0</v>
      </c>
      <c r="AJ1718" s="9">
        <f>IFERROR(VLOOKUP($A1718,pivot!$A:$I,計算式2026!AJ$1,FALSE),0)</f>
        <v>0</v>
      </c>
      <c r="AK1718" s="9">
        <f>IFERROR(VLOOKUP($A1718,pivot!$A:$I,計算式2026!AK$1,FALSE),0)</f>
        <v>0</v>
      </c>
      <c r="AL1718" s="9">
        <f>IFERROR(VLOOKUP($A1718,pivot!$A:$I,計算式2026!AL$1,FALSE),0)</f>
        <v>0</v>
      </c>
      <c r="AR1718" s="8"/>
      <c r="AS1718" s="8"/>
      <c r="AT1718" s="8"/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8"/>
      <c r="BG1718" s="8"/>
    </row>
    <row r="1719" spans="1:59" s="9" customFormat="1">
      <c r="A1719" s="8" t="s">
        <v>1054</v>
      </c>
      <c r="B1719" s="8" t="s">
        <v>1049</v>
      </c>
      <c r="C1719" s="9">
        <v>0</v>
      </c>
      <c r="D1719" s="9">
        <v>0</v>
      </c>
      <c r="E1719" s="9">
        <v>0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1</v>
      </c>
      <c r="AE1719" s="9">
        <f>IFERROR(VLOOKUP($A1719,pivot!$A:$G,計算式2026!AE$1,FALSE),0)</f>
        <v>0</v>
      </c>
      <c r="AF1719" s="9">
        <f>IFERROR(VLOOKUP($A1719,pivot!$A:$I,計算式2026!AF$1,FALSE),0)</f>
        <v>0</v>
      </c>
      <c r="AI1719" s="9">
        <f>IFERROR(VLOOKUP($A1719,pivot!$A:$I,計算式2026!AI$1,FALSE),0)</f>
        <v>0</v>
      </c>
      <c r="AJ1719" s="9">
        <f>IFERROR(VLOOKUP($A1719,pivot!$A:$I,計算式2026!AJ$1,FALSE),0)</f>
        <v>0</v>
      </c>
      <c r="AK1719" s="9">
        <f>IFERROR(VLOOKUP($A1719,pivot!$A:$I,計算式2026!AK$1,FALSE),0)</f>
        <v>0</v>
      </c>
      <c r="AL1719" s="9">
        <f>IFERROR(VLOOKUP($A1719,pivot!$A:$I,計算式2026!AL$1,FALSE),0)</f>
        <v>0</v>
      </c>
      <c r="AR1719" s="8"/>
      <c r="AS1719" s="8"/>
      <c r="AT1719" s="8"/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8"/>
      <c r="BG1719" s="8"/>
    </row>
    <row r="1720" spans="1:59" s="9" customFormat="1">
      <c r="A1720" s="8" t="s">
        <v>1055</v>
      </c>
      <c r="B1720" s="8" t="s">
        <v>1049</v>
      </c>
      <c r="C1720" s="9">
        <v>0</v>
      </c>
      <c r="D1720" s="9">
        <v>0</v>
      </c>
      <c r="E1720" s="9">
        <v>0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1</v>
      </c>
      <c r="AE1720" s="9">
        <f>IFERROR(VLOOKUP($A1720,pivot!$A:$G,計算式2026!AE$1,FALSE),0)</f>
        <v>0</v>
      </c>
      <c r="AF1720" s="9">
        <f>IFERROR(VLOOKUP($A1720,pivot!$A:$I,計算式2026!AF$1,FALSE),0)</f>
        <v>0</v>
      </c>
      <c r="AI1720" s="9">
        <f>IFERROR(VLOOKUP($A1720,pivot!$A:$I,計算式2026!AI$1,FALSE),0)</f>
        <v>0</v>
      </c>
      <c r="AJ1720" s="9">
        <f>IFERROR(VLOOKUP($A1720,pivot!$A:$I,計算式2026!AJ$1,FALSE),0)</f>
        <v>0</v>
      </c>
      <c r="AK1720" s="9">
        <f>IFERROR(VLOOKUP($A1720,pivot!$A:$I,計算式2026!AK$1,FALSE),0)</f>
        <v>0</v>
      </c>
      <c r="AL1720" s="9">
        <f>IFERROR(VLOOKUP($A1720,pivot!$A:$I,計算式2026!AL$1,FALSE),0)</f>
        <v>0</v>
      </c>
      <c r="AR1720" s="8"/>
      <c r="AS1720" s="8"/>
      <c r="AT1720" s="8"/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8"/>
      <c r="BG1720" s="8"/>
    </row>
    <row r="1721" spans="1:59" s="9" customFormat="1">
      <c r="A1721" s="8" t="s">
        <v>1056</v>
      </c>
      <c r="B1721" s="8" t="s">
        <v>1049</v>
      </c>
      <c r="C1721" s="9">
        <v>0</v>
      </c>
      <c r="D1721" s="9">
        <v>0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R1721" s="9">
        <v>0</v>
      </c>
      <c r="S1721" s="9">
        <v>1</v>
      </c>
      <c r="T1721" s="9">
        <v>0</v>
      </c>
      <c r="U1721" s="9">
        <v>0</v>
      </c>
      <c r="V1721" s="9">
        <v>1</v>
      </c>
      <c r="W1721" s="9">
        <v>0</v>
      </c>
      <c r="X1721" s="9">
        <v>1</v>
      </c>
      <c r="AE1721" s="9">
        <f>IFERROR(VLOOKUP($A1721,pivot!$A:$G,計算式2026!AE$1,FALSE),0)</f>
        <v>0</v>
      </c>
      <c r="AF1721" s="9">
        <f>IFERROR(VLOOKUP($A1721,pivot!$A:$I,計算式2026!AF$1,FALSE),0)</f>
        <v>0</v>
      </c>
      <c r="AI1721" s="9">
        <f>IFERROR(VLOOKUP($A1721,pivot!$A:$I,計算式2026!AI$1,FALSE),0)</f>
        <v>0</v>
      </c>
      <c r="AJ1721" s="9">
        <f>IFERROR(VLOOKUP($A1721,pivot!$A:$I,計算式2026!AJ$1,FALSE),0)</f>
        <v>0</v>
      </c>
      <c r="AK1721" s="9">
        <f>IFERROR(VLOOKUP($A1721,pivot!$A:$I,計算式2026!AK$1,FALSE),0)</f>
        <v>0</v>
      </c>
      <c r="AL1721" s="9">
        <f>IFERROR(VLOOKUP($A1721,pivot!$A:$I,計算式2026!AL$1,FALSE),0)</f>
        <v>0</v>
      </c>
      <c r="AR1721" s="8"/>
      <c r="AS1721" s="8"/>
      <c r="AT1721" s="8"/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8"/>
      <c r="BG1721" s="8"/>
    </row>
    <row r="1722" spans="1:59" s="9" customFormat="1">
      <c r="A1722" s="8" t="s">
        <v>1057</v>
      </c>
      <c r="B1722" s="8" t="s">
        <v>1049</v>
      </c>
      <c r="C1722" s="9">
        <v>1</v>
      </c>
      <c r="D1722" s="9">
        <v>0</v>
      </c>
      <c r="E1722" s="9">
        <v>0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R1722" s="9">
        <v>1</v>
      </c>
      <c r="S1722" s="9">
        <v>1</v>
      </c>
      <c r="T1722" s="9">
        <v>0</v>
      </c>
      <c r="U1722" s="9">
        <v>0</v>
      </c>
      <c r="V1722" s="9">
        <v>0</v>
      </c>
      <c r="W1722" s="9">
        <v>0</v>
      </c>
      <c r="X1722" s="9">
        <v>1</v>
      </c>
      <c r="AE1722" s="9">
        <f>IFERROR(VLOOKUP($A1722,pivot!$A:$G,計算式2026!AE$1,FALSE),0)</f>
        <v>0</v>
      </c>
      <c r="AF1722" s="9">
        <f>IFERROR(VLOOKUP($A1722,pivot!$A:$I,計算式2026!AF$1,FALSE),0)</f>
        <v>0</v>
      </c>
      <c r="AI1722" s="9">
        <f>IFERROR(VLOOKUP($A1722,pivot!$A:$I,計算式2026!AI$1,FALSE),0)</f>
        <v>0</v>
      </c>
      <c r="AJ1722" s="9">
        <f>IFERROR(VLOOKUP($A1722,pivot!$A:$I,計算式2026!AJ$1,FALSE),0)</f>
        <v>0</v>
      </c>
      <c r="AK1722" s="9">
        <f>IFERROR(VLOOKUP($A1722,pivot!$A:$I,計算式2026!AK$1,FALSE),0)</f>
        <v>0</v>
      </c>
      <c r="AL1722" s="9">
        <f>IFERROR(VLOOKUP($A1722,pivot!$A:$I,計算式2026!AL$1,FALSE),0)</f>
        <v>0</v>
      </c>
      <c r="AR1722" s="8"/>
      <c r="AS1722" s="8"/>
      <c r="AT1722" s="8"/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8"/>
      <c r="BG1722" s="8"/>
    </row>
    <row r="1723" spans="1:59" s="9" customFormat="1">
      <c r="A1723" s="8" t="s">
        <v>1058</v>
      </c>
      <c r="B1723" s="8" t="s">
        <v>1049</v>
      </c>
      <c r="C1723" s="9">
        <v>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R1723" s="9">
        <v>1</v>
      </c>
      <c r="S1723" s="9">
        <v>2</v>
      </c>
      <c r="T1723" s="9">
        <v>0</v>
      </c>
      <c r="U1723" s="9">
        <v>0</v>
      </c>
      <c r="V1723" s="9">
        <v>1</v>
      </c>
      <c r="W1723" s="9">
        <v>0</v>
      </c>
      <c r="X1723" s="9">
        <v>1</v>
      </c>
      <c r="AE1723" s="9">
        <f>IFERROR(VLOOKUP($A1723,pivot!$A:$G,計算式2026!AE$1,FALSE),0)</f>
        <v>0</v>
      </c>
      <c r="AF1723" s="9">
        <f>IFERROR(VLOOKUP($A1723,pivot!$A:$I,計算式2026!AF$1,FALSE),0)</f>
        <v>0</v>
      </c>
      <c r="AI1723" s="9">
        <f>IFERROR(VLOOKUP($A1723,pivot!$A:$I,計算式2026!AI$1,FALSE),0)</f>
        <v>0</v>
      </c>
      <c r="AJ1723" s="9">
        <f>IFERROR(VLOOKUP($A1723,pivot!$A:$I,計算式2026!AJ$1,FALSE),0)</f>
        <v>0</v>
      </c>
      <c r="AK1723" s="9">
        <f>IFERROR(VLOOKUP($A1723,pivot!$A:$I,計算式2026!AK$1,FALSE),0)</f>
        <v>0</v>
      </c>
      <c r="AL1723" s="9">
        <f>IFERROR(VLOOKUP($A1723,pivot!$A:$I,計算式2026!AL$1,FALSE),0)</f>
        <v>0</v>
      </c>
      <c r="AR1723" s="8"/>
      <c r="AS1723" s="8"/>
      <c r="AT1723" s="8"/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8"/>
      <c r="BG1723" s="8"/>
    </row>
    <row r="1724" spans="1:59" s="9" customFormat="1">
      <c r="A1724" s="8" t="s">
        <v>1059</v>
      </c>
      <c r="B1724" s="8" t="s">
        <v>1049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0</v>
      </c>
      <c r="R1724" s="9">
        <v>1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1</v>
      </c>
      <c r="AE1724" s="9">
        <f>IFERROR(VLOOKUP($A1724,pivot!$A:$G,計算式2026!AE$1,FALSE),0)</f>
        <v>0</v>
      </c>
      <c r="AF1724" s="9">
        <f>IFERROR(VLOOKUP($A1724,pivot!$A:$I,計算式2026!AF$1,FALSE),0)</f>
        <v>0</v>
      </c>
      <c r="AI1724" s="9">
        <f>IFERROR(VLOOKUP($A1724,pivot!$A:$I,計算式2026!AI$1,FALSE),0)</f>
        <v>0</v>
      </c>
      <c r="AJ1724" s="9">
        <f>IFERROR(VLOOKUP($A1724,pivot!$A:$I,計算式2026!AJ$1,FALSE),0)</f>
        <v>0</v>
      </c>
      <c r="AK1724" s="9">
        <f>IFERROR(VLOOKUP($A1724,pivot!$A:$I,計算式2026!AK$1,FALSE),0)</f>
        <v>0</v>
      </c>
      <c r="AL1724" s="9">
        <f>IFERROR(VLOOKUP($A1724,pivot!$A:$I,計算式2026!AL$1,FALSE),0)</f>
        <v>0</v>
      </c>
      <c r="AR1724" s="8"/>
      <c r="AS1724" s="8"/>
      <c r="AT1724" s="8"/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8"/>
      <c r="BG1724" s="8"/>
    </row>
    <row r="1725" spans="1:59" s="9" customFormat="1">
      <c r="A1725" s="8" t="s">
        <v>1060</v>
      </c>
      <c r="B1725" s="8" t="s">
        <v>1049</v>
      </c>
      <c r="C1725" s="9">
        <v>0</v>
      </c>
      <c r="D1725" s="9">
        <v>0</v>
      </c>
      <c r="E1725" s="9">
        <v>0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1</v>
      </c>
      <c r="AE1725" s="9">
        <f>IFERROR(VLOOKUP($A1725,pivot!$A:$G,計算式2026!AE$1,FALSE),0)</f>
        <v>0</v>
      </c>
      <c r="AF1725" s="9">
        <f>IFERROR(VLOOKUP($A1725,pivot!$A:$I,計算式2026!AF$1,FALSE),0)</f>
        <v>0</v>
      </c>
      <c r="AI1725" s="9">
        <f>IFERROR(VLOOKUP($A1725,pivot!$A:$I,計算式2026!AI$1,FALSE),0)</f>
        <v>0</v>
      </c>
      <c r="AJ1725" s="9">
        <f>IFERROR(VLOOKUP($A1725,pivot!$A:$I,計算式2026!AJ$1,FALSE),0)</f>
        <v>0</v>
      </c>
      <c r="AK1725" s="9">
        <f>IFERROR(VLOOKUP($A1725,pivot!$A:$I,計算式2026!AK$1,FALSE),0)</f>
        <v>0</v>
      </c>
      <c r="AL1725" s="9">
        <f>IFERROR(VLOOKUP($A1725,pivot!$A:$I,計算式2026!AL$1,FALSE),0)</f>
        <v>0</v>
      </c>
      <c r="AR1725" s="8"/>
      <c r="AS1725" s="8"/>
      <c r="AT1725" s="8"/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8"/>
      <c r="BG1725" s="8"/>
    </row>
    <row r="1726" spans="1:59" s="9" customFormat="1">
      <c r="A1726" s="8" t="s">
        <v>1061</v>
      </c>
      <c r="B1726" s="8" t="s">
        <v>1049</v>
      </c>
      <c r="C1726" s="9">
        <v>0</v>
      </c>
      <c r="D1726" s="9">
        <v>0</v>
      </c>
      <c r="E1726" s="9">
        <v>0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R1726" s="9">
        <v>1</v>
      </c>
      <c r="S1726" s="9">
        <v>1</v>
      </c>
      <c r="T1726" s="9">
        <v>0</v>
      </c>
      <c r="U1726" s="9">
        <v>0</v>
      </c>
      <c r="V1726" s="9">
        <v>1</v>
      </c>
      <c r="W1726" s="9">
        <v>0</v>
      </c>
      <c r="X1726" s="9">
        <v>1</v>
      </c>
      <c r="AE1726" s="9">
        <f>IFERROR(VLOOKUP($A1726,pivot!$A:$G,計算式2026!AE$1,FALSE),0)</f>
        <v>0</v>
      </c>
      <c r="AF1726" s="9">
        <f>IFERROR(VLOOKUP($A1726,pivot!$A:$I,計算式2026!AF$1,FALSE),0)</f>
        <v>0</v>
      </c>
      <c r="AI1726" s="9">
        <f>IFERROR(VLOOKUP($A1726,pivot!$A:$I,計算式2026!AI$1,FALSE),0)</f>
        <v>0</v>
      </c>
      <c r="AJ1726" s="9">
        <f>IFERROR(VLOOKUP($A1726,pivot!$A:$I,計算式2026!AJ$1,FALSE),0)</f>
        <v>0</v>
      </c>
      <c r="AK1726" s="9">
        <f>IFERROR(VLOOKUP($A1726,pivot!$A:$I,計算式2026!AK$1,FALSE),0)</f>
        <v>0</v>
      </c>
      <c r="AL1726" s="9">
        <f>IFERROR(VLOOKUP($A1726,pivot!$A:$I,計算式2026!AL$1,FALSE),0)</f>
        <v>0</v>
      </c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</row>
    <row r="1727" spans="1:59" s="9" customFormat="1">
      <c r="A1727" s="8" t="s">
        <v>1062</v>
      </c>
      <c r="B1727" s="8" t="s">
        <v>1049</v>
      </c>
      <c r="C1727" s="9">
        <v>1</v>
      </c>
      <c r="D1727" s="9">
        <v>0</v>
      </c>
      <c r="E1727" s="9">
        <v>0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  <c r="R1727" s="9">
        <v>1</v>
      </c>
      <c r="S1727" s="9">
        <v>1</v>
      </c>
      <c r="T1727" s="9">
        <v>0</v>
      </c>
      <c r="U1727" s="9">
        <v>0</v>
      </c>
      <c r="V1727" s="9">
        <v>1</v>
      </c>
      <c r="W1727" s="9">
        <v>0</v>
      </c>
      <c r="X1727" s="9">
        <v>1</v>
      </c>
      <c r="AE1727" s="9">
        <f>IFERROR(VLOOKUP($A1727,pivot!$A:$G,計算式2026!AE$1,FALSE),0)</f>
        <v>0</v>
      </c>
      <c r="AF1727" s="9">
        <f>IFERROR(VLOOKUP($A1727,pivot!$A:$I,計算式2026!AF$1,FALSE),0)</f>
        <v>0</v>
      </c>
      <c r="AI1727" s="9">
        <f>IFERROR(VLOOKUP($A1727,pivot!$A:$I,計算式2026!AI$1,FALSE),0)</f>
        <v>0</v>
      </c>
      <c r="AJ1727" s="9">
        <f>IFERROR(VLOOKUP($A1727,pivot!$A:$I,計算式2026!AJ$1,FALSE),0)</f>
        <v>0</v>
      </c>
      <c r="AK1727" s="9">
        <f>IFERROR(VLOOKUP($A1727,pivot!$A:$I,計算式2026!AK$1,FALSE),0)</f>
        <v>0</v>
      </c>
      <c r="AL1727" s="9">
        <f>IFERROR(VLOOKUP($A1727,pivot!$A:$I,計算式2026!AL$1,FALSE),0)</f>
        <v>0</v>
      </c>
      <c r="AR1727" s="8"/>
      <c r="AS1727" s="8"/>
      <c r="AT1727" s="8"/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8"/>
      <c r="BG1727" s="8"/>
    </row>
    <row r="1728" spans="1:59" s="9" customFormat="1">
      <c r="A1728" s="8" t="s">
        <v>1063</v>
      </c>
      <c r="B1728" s="8" t="s">
        <v>1064</v>
      </c>
      <c r="C1728" s="9">
        <v>0</v>
      </c>
      <c r="D1728" s="9">
        <v>0</v>
      </c>
      <c r="E1728" s="9">
        <v>0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R1728" s="9">
        <v>0</v>
      </c>
      <c r="S1728" s="9">
        <v>2</v>
      </c>
      <c r="T1728" s="9">
        <v>0</v>
      </c>
      <c r="U1728" s="9">
        <v>0</v>
      </c>
      <c r="V1728" s="9">
        <v>1</v>
      </c>
      <c r="W1728" s="9">
        <v>0</v>
      </c>
      <c r="X1728" s="9">
        <v>1</v>
      </c>
      <c r="AE1728" s="9">
        <f>IFERROR(VLOOKUP($A1728,pivot!$A:$G,計算式2026!AE$1,FALSE),0)</f>
        <v>0</v>
      </c>
      <c r="AF1728" s="9">
        <f>IFERROR(VLOOKUP($A1728,pivot!$A:$I,計算式2026!AF$1,FALSE),0)</f>
        <v>0</v>
      </c>
      <c r="AI1728" s="9">
        <f>IFERROR(VLOOKUP($A1728,pivot!$A:$I,計算式2026!AI$1,FALSE),0)</f>
        <v>0</v>
      </c>
      <c r="AJ1728" s="9">
        <f>IFERROR(VLOOKUP($A1728,pivot!$A:$I,計算式2026!AJ$1,FALSE),0)</f>
        <v>0</v>
      </c>
      <c r="AK1728" s="9">
        <f>IFERROR(VLOOKUP($A1728,pivot!$A:$I,計算式2026!AK$1,FALSE),0)</f>
        <v>0</v>
      </c>
      <c r="AL1728" s="9">
        <f>IFERROR(VLOOKUP($A1728,pivot!$A:$I,計算式2026!AL$1,FALSE),0)</f>
        <v>0</v>
      </c>
      <c r="AR1728" s="8"/>
      <c r="AS1728" s="8"/>
      <c r="AT1728" s="8"/>
      <c r="AU1728" s="8"/>
      <c r="AV1728" s="8"/>
      <c r="AW1728" s="8"/>
      <c r="AX1728" s="8"/>
      <c r="AY1728" s="8"/>
      <c r="AZ1728" s="8"/>
      <c r="BA1728" s="8"/>
      <c r="BB1728" s="8"/>
      <c r="BC1728" s="8"/>
      <c r="BD1728" s="8"/>
      <c r="BE1728" s="8"/>
      <c r="BF1728" s="8"/>
      <c r="BG1728" s="8"/>
    </row>
    <row r="1729" spans="1:59" s="9" customFormat="1">
      <c r="A1729" s="8" t="s">
        <v>1065</v>
      </c>
      <c r="B1729" s="8" t="s">
        <v>1064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1</v>
      </c>
      <c r="W1729" s="9">
        <v>0</v>
      </c>
      <c r="X1729" s="9">
        <v>1</v>
      </c>
      <c r="AE1729" s="9">
        <f>IFERROR(VLOOKUP($A1729,pivot!$A:$G,計算式2026!AE$1,FALSE),0)</f>
        <v>0</v>
      </c>
      <c r="AF1729" s="9">
        <f>IFERROR(VLOOKUP($A1729,pivot!$A:$I,計算式2026!AF$1,FALSE),0)</f>
        <v>0</v>
      </c>
      <c r="AI1729" s="9">
        <f>IFERROR(VLOOKUP($A1729,pivot!$A:$I,計算式2026!AI$1,FALSE),0)</f>
        <v>0</v>
      </c>
      <c r="AJ1729" s="9">
        <f>IFERROR(VLOOKUP($A1729,pivot!$A:$I,計算式2026!AJ$1,FALSE),0)</f>
        <v>0</v>
      </c>
      <c r="AK1729" s="9">
        <f>IFERROR(VLOOKUP($A1729,pivot!$A:$I,計算式2026!AK$1,FALSE),0)</f>
        <v>0</v>
      </c>
      <c r="AL1729" s="9">
        <f>IFERROR(VLOOKUP($A1729,pivot!$A:$I,計算式2026!AL$1,FALSE),0)</f>
        <v>0</v>
      </c>
      <c r="AR1729" s="8"/>
      <c r="AS1729" s="8"/>
      <c r="AT1729" s="8"/>
      <c r="AU1729" s="8"/>
      <c r="AV1729" s="8"/>
      <c r="AW1729" s="8"/>
      <c r="AX1729" s="8"/>
      <c r="AY1729" s="8"/>
      <c r="AZ1729" s="8"/>
      <c r="BA1729" s="8"/>
      <c r="BB1729" s="8"/>
      <c r="BC1729" s="8"/>
      <c r="BD1729" s="8"/>
      <c r="BE1729" s="8"/>
      <c r="BF1729" s="8"/>
      <c r="BG1729" s="8"/>
    </row>
    <row r="1730" spans="1:59" s="9" customFormat="1">
      <c r="A1730" s="8" t="s">
        <v>1066</v>
      </c>
      <c r="B1730" s="8" t="s">
        <v>1064</v>
      </c>
      <c r="C1730" s="9">
        <v>0</v>
      </c>
      <c r="D1730" s="9">
        <v>0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1</v>
      </c>
      <c r="W1730" s="9">
        <v>0</v>
      </c>
      <c r="X1730" s="9">
        <v>1</v>
      </c>
      <c r="AE1730" s="9">
        <f>IFERROR(VLOOKUP($A1730,pivot!$A:$G,計算式2026!AE$1,FALSE),0)</f>
        <v>0</v>
      </c>
      <c r="AF1730" s="9">
        <f>IFERROR(VLOOKUP($A1730,pivot!$A:$I,計算式2026!AF$1,FALSE),0)</f>
        <v>0</v>
      </c>
      <c r="AI1730" s="9">
        <f>IFERROR(VLOOKUP($A1730,pivot!$A:$I,計算式2026!AI$1,FALSE),0)</f>
        <v>0</v>
      </c>
      <c r="AJ1730" s="9">
        <f>IFERROR(VLOOKUP($A1730,pivot!$A:$I,計算式2026!AJ$1,FALSE),0)</f>
        <v>0</v>
      </c>
      <c r="AK1730" s="9">
        <f>IFERROR(VLOOKUP($A1730,pivot!$A:$I,計算式2026!AK$1,FALSE),0)</f>
        <v>0</v>
      </c>
      <c r="AL1730" s="9">
        <f>IFERROR(VLOOKUP($A1730,pivot!$A:$I,計算式2026!AL$1,FALSE),0)</f>
        <v>0</v>
      </c>
      <c r="AR1730" s="8"/>
      <c r="AS1730" s="8"/>
      <c r="AT1730" s="8"/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8"/>
      <c r="BG1730" s="8"/>
    </row>
    <row r="1731" spans="1:59" s="9" customFormat="1">
      <c r="A1731" s="8" t="s">
        <v>1067</v>
      </c>
      <c r="B1731" s="8" t="s">
        <v>1064</v>
      </c>
      <c r="C1731" s="9">
        <v>0</v>
      </c>
      <c r="D1731" s="9">
        <v>0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0</v>
      </c>
      <c r="R1731" s="9">
        <v>2</v>
      </c>
      <c r="S1731" s="9">
        <v>2</v>
      </c>
      <c r="T1731" s="9">
        <v>0</v>
      </c>
      <c r="U1731" s="9">
        <v>0</v>
      </c>
      <c r="V1731" s="9">
        <v>3</v>
      </c>
      <c r="W1731" s="9">
        <v>0</v>
      </c>
      <c r="X1731" s="9">
        <v>1</v>
      </c>
      <c r="AE1731" s="9">
        <f>IFERROR(VLOOKUP($A1731,pivot!$A:$G,計算式2026!AE$1,FALSE),0)</f>
        <v>0</v>
      </c>
      <c r="AF1731" s="9">
        <f>IFERROR(VLOOKUP($A1731,pivot!$A:$I,計算式2026!AF$1,FALSE),0)</f>
        <v>0</v>
      </c>
      <c r="AI1731" s="9">
        <f>IFERROR(VLOOKUP($A1731,pivot!$A:$I,計算式2026!AI$1,FALSE),0)</f>
        <v>0</v>
      </c>
      <c r="AJ1731" s="9">
        <f>IFERROR(VLOOKUP($A1731,pivot!$A:$I,計算式2026!AJ$1,FALSE),0)</f>
        <v>0</v>
      </c>
      <c r="AK1731" s="9">
        <f>IFERROR(VLOOKUP($A1731,pivot!$A:$I,計算式2026!AK$1,FALSE),0)</f>
        <v>0</v>
      </c>
      <c r="AL1731" s="9">
        <f>IFERROR(VLOOKUP($A1731,pivot!$A:$I,計算式2026!AL$1,FALSE),0)</f>
        <v>0</v>
      </c>
      <c r="AR1731" s="8"/>
      <c r="AS1731" s="8"/>
      <c r="AT1731" s="8"/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8"/>
      <c r="BG1731" s="8"/>
    </row>
    <row r="1732" spans="1:59" s="9" customFormat="1">
      <c r="A1732" s="8" t="s">
        <v>1068</v>
      </c>
      <c r="B1732" s="8" t="s">
        <v>1064</v>
      </c>
      <c r="C1732" s="9">
        <v>0</v>
      </c>
      <c r="D1732" s="9">
        <v>0</v>
      </c>
      <c r="E1732" s="9">
        <v>0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1</v>
      </c>
      <c r="W1732" s="9">
        <v>0</v>
      </c>
      <c r="X1732" s="9">
        <v>1</v>
      </c>
      <c r="AE1732" s="9">
        <f>IFERROR(VLOOKUP($A1732,pivot!$A:$G,計算式2026!AE$1,FALSE),0)</f>
        <v>0</v>
      </c>
      <c r="AF1732" s="9">
        <f>IFERROR(VLOOKUP($A1732,pivot!$A:$I,計算式2026!AF$1,FALSE),0)</f>
        <v>0</v>
      </c>
      <c r="AI1732" s="9">
        <f>IFERROR(VLOOKUP($A1732,pivot!$A:$I,計算式2026!AI$1,FALSE),0)</f>
        <v>0</v>
      </c>
      <c r="AJ1732" s="9">
        <f>IFERROR(VLOOKUP($A1732,pivot!$A:$I,計算式2026!AJ$1,FALSE),0)</f>
        <v>0</v>
      </c>
      <c r="AK1732" s="9">
        <f>IFERROR(VLOOKUP($A1732,pivot!$A:$I,計算式2026!AK$1,FALSE),0)</f>
        <v>0</v>
      </c>
      <c r="AL1732" s="9">
        <f>IFERROR(VLOOKUP($A1732,pivot!$A:$I,計算式2026!AL$1,FALSE),0)</f>
        <v>0</v>
      </c>
      <c r="AR1732" s="8"/>
      <c r="AS1732" s="8"/>
      <c r="AT1732" s="8"/>
      <c r="AU1732" s="8"/>
      <c r="AV1732" s="8"/>
      <c r="AW1732" s="8"/>
      <c r="AX1732" s="8"/>
      <c r="AY1732" s="8"/>
      <c r="AZ1732" s="8"/>
      <c r="BA1732" s="8"/>
      <c r="BB1732" s="8"/>
      <c r="BC1732" s="8"/>
      <c r="BD1732" s="8"/>
      <c r="BE1732" s="8"/>
      <c r="BF1732" s="8"/>
      <c r="BG1732" s="8"/>
    </row>
    <row r="1733" spans="1:59" s="9" customFormat="1">
      <c r="A1733" s="8" t="s">
        <v>1069</v>
      </c>
      <c r="B1733" s="8" t="s">
        <v>1064</v>
      </c>
      <c r="C1733" s="9">
        <v>0</v>
      </c>
      <c r="D1733" s="9">
        <v>0</v>
      </c>
      <c r="E1733" s="9">
        <v>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R1733" s="9">
        <v>0</v>
      </c>
      <c r="S1733" s="9">
        <v>1</v>
      </c>
      <c r="T1733" s="9">
        <v>0</v>
      </c>
      <c r="U1733" s="9">
        <v>0</v>
      </c>
      <c r="V1733" s="9">
        <v>2</v>
      </c>
      <c r="W1733" s="9">
        <v>0</v>
      </c>
      <c r="X1733" s="9">
        <v>1</v>
      </c>
      <c r="AE1733" s="9">
        <f>IFERROR(VLOOKUP($A1733,pivot!$A:$G,計算式2026!AE$1,FALSE),0)</f>
        <v>0</v>
      </c>
      <c r="AF1733" s="9">
        <f>IFERROR(VLOOKUP($A1733,pivot!$A:$I,計算式2026!AF$1,FALSE),0)</f>
        <v>0</v>
      </c>
      <c r="AI1733" s="9">
        <f>IFERROR(VLOOKUP($A1733,pivot!$A:$I,計算式2026!AI$1,FALSE),0)</f>
        <v>0</v>
      </c>
      <c r="AJ1733" s="9">
        <f>IFERROR(VLOOKUP($A1733,pivot!$A:$I,計算式2026!AJ$1,FALSE),0)</f>
        <v>0</v>
      </c>
      <c r="AK1733" s="9">
        <f>IFERROR(VLOOKUP($A1733,pivot!$A:$I,計算式2026!AK$1,FALSE),0)</f>
        <v>0</v>
      </c>
      <c r="AL1733" s="9">
        <f>IFERROR(VLOOKUP($A1733,pivot!$A:$I,計算式2026!AL$1,FALSE),0)</f>
        <v>0</v>
      </c>
      <c r="AR1733" s="8"/>
      <c r="AS1733" s="8"/>
      <c r="AT1733" s="8"/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8"/>
      <c r="BG1733" s="8"/>
    </row>
    <row r="1734" spans="1:59" s="9" customFormat="1">
      <c r="A1734" s="8" t="s">
        <v>1070</v>
      </c>
      <c r="B1734" s="8" t="s">
        <v>1071</v>
      </c>
      <c r="C1734" s="9">
        <v>0</v>
      </c>
      <c r="D1734" s="9">
        <v>0</v>
      </c>
      <c r="E1734" s="9">
        <v>0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1</v>
      </c>
      <c r="AE1734" s="9">
        <f>IFERROR(VLOOKUP($A1734,pivot!$A:$G,計算式2026!AE$1,FALSE),0)</f>
        <v>0</v>
      </c>
      <c r="AF1734" s="9">
        <f>IFERROR(VLOOKUP($A1734,pivot!$A:$I,計算式2026!AF$1,FALSE),0)</f>
        <v>0</v>
      </c>
      <c r="AI1734" s="9">
        <f>IFERROR(VLOOKUP($A1734,pivot!$A:$I,計算式2026!AI$1,FALSE),0)</f>
        <v>0</v>
      </c>
      <c r="AJ1734" s="9">
        <f>IFERROR(VLOOKUP($A1734,pivot!$A:$I,計算式2026!AJ$1,FALSE),0)</f>
        <v>0</v>
      </c>
      <c r="AK1734" s="9">
        <f>IFERROR(VLOOKUP($A1734,pivot!$A:$I,計算式2026!AK$1,FALSE),0)</f>
        <v>0</v>
      </c>
      <c r="AL1734" s="9">
        <f>IFERROR(VLOOKUP($A1734,pivot!$A:$I,計算式2026!AL$1,FALSE),0)</f>
        <v>0</v>
      </c>
      <c r="AR1734" s="8"/>
      <c r="AS1734" s="8"/>
      <c r="AT1734" s="8"/>
      <c r="AU1734" s="8"/>
      <c r="AV1734" s="8"/>
      <c r="AW1734" s="8"/>
      <c r="AX1734" s="8"/>
      <c r="AY1734" s="8"/>
      <c r="AZ1734" s="8"/>
      <c r="BA1734" s="8"/>
      <c r="BB1734" s="8"/>
      <c r="BC1734" s="8"/>
      <c r="BD1734" s="8"/>
      <c r="BE1734" s="8"/>
      <c r="BF1734" s="8"/>
      <c r="BG1734" s="8"/>
    </row>
    <row r="1735" spans="1:59" s="9" customFormat="1">
      <c r="A1735" s="8" t="s">
        <v>1072</v>
      </c>
      <c r="B1735" s="8" t="s">
        <v>1071</v>
      </c>
      <c r="C1735" s="9">
        <v>0</v>
      </c>
      <c r="D1735" s="9">
        <v>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1</v>
      </c>
      <c r="W1735" s="9">
        <v>0</v>
      </c>
      <c r="X1735" s="9">
        <v>1</v>
      </c>
      <c r="AE1735" s="9">
        <f>IFERROR(VLOOKUP($A1735,pivot!$A:$G,計算式2026!AE$1,FALSE),0)</f>
        <v>0</v>
      </c>
      <c r="AF1735" s="9">
        <f>IFERROR(VLOOKUP($A1735,pivot!$A:$I,計算式2026!AF$1,FALSE),0)</f>
        <v>0</v>
      </c>
      <c r="AI1735" s="9">
        <f>IFERROR(VLOOKUP($A1735,pivot!$A:$I,計算式2026!AI$1,FALSE),0)</f>
        <v>0</v>
      </c>
      <c r="AJ1735" s="9">
        <f>IFERROR(VLOOKUP($A1735,pivot!$A:$I,計算式2026!AJ$1,FALSE),0)</f>
        <v>0</v>
      </c>
      <c r="AK1735" s="9">
        <f>IFERROR(VLOOKUP($A1735,pivot!$A:$I,計算式2026!AK$1,FALSE),0)</f>
        <v>0</v>
      </c>
      <c r="AL1735" s="9">
        <f>IFERROR(VLOOKUP($A1735,pivot!$A:$I,計算式2026!AL$1,FALSE),0)</f>
        <v>0</v>
      </c>
      <c r="AR1735" s="8"/>
      <c r="AS1735" s="8"/>
      <c r="AT1735" s="8"/>
      <c r="AU1735" s="8"/>
      <c r="AV1735" s="8"/>
      <c r="AW1735" s="8"/>
      <c r="AX1735" s="8"/>
      <c r="AY1735" s="8"/>
      <c r="AZ1735" s="8"/>
      <c r="BA1735" s="8"/>
      <c r="BB1735" s="8"/>
      <c r="BC1735" s="8"/>
      <c r="BD1735" s="8"/>
      <c r="BE1735" s="8"/>
      <c r="BF1735" s="8"/>
      <c r="BG1735" s="8"/>
    </row>
    <row r="1736" spans="1:59" s="9" customFormat="1">
      <c r="A1736" s="8" t="s">
        <v>1073</v>
      </c>
      <c r="B1736" s="8" t="s">
        <v>1071</v>
      </c>
      <c r="C1736" s="9">
        <v>0</v>
      </c>
      <c r="D1736" s="9">
        <v>0</v>
      </c>
      <c r="E1736" s="9">
        <v>0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R1736" s="9">
        <v>0</v>
      </c>
      <c r="S1736" s="9">
        <v>0</v>
      </c>
      <c r="T1736" s="9">
        <v>1</v>
      </c>
      <c r="U1736" s="9">
        <v>0</v>
      </c>
      <c r="V1736" s="9">
        <v>0</v>
      </c>
      <c r="W1736" s="9">
        <v>0</v>
      </c>
      <c r="X1736" s="9">
        <v>1</v>
      </c>
      <c r="AE1736" s="9">
        <f>IFERROR(VLOOKUP($A1736,pivot!$A:$G,計算式2026!AE$1,FALSE),0)</f>
        <v>0</v>
      </c>
      <c r="AF1736" s="9">
        <f>IFERROR(VLOOKUP($A1736,pivot!$A:$I,計算式2026!AF$1,FALSE),0)</f>
        <v>0</v>
      </c>
      <c r="AI1736" s="9">
        <f>IFERROR(VLOOKUP($A1736,pivot!$A:$I,計算式2026!AI$1,FALSE),0)</f>
        <v>0</v>
      </c>
      <c r="AJ1736" s="9">
        <f>IFERROR(VLOOKUP($A1736,pivot!$A:$I,計算式2026!AJ$1,FALSE),0)</f>
        <v>0</v>
      </c>
      <c r="AK1736" s="9">
        <f>IFERROR(VLOOKUP($A1736,pivot!$A:$I,計算式2026!AK$1,FALSE),0)</f>
        <v>0</v>
      </c>
      <c r="AL1736" s="9">
        <f>IFERROR(VLOOKUP($A1736,pivot!$A:$I,計算式2026!AL$1,FALSE),0)</f>
        <v>0</v>
      </c>
      <c r="AR1736" s="8"/>
      <c r="AS1736" s="8"/>
      <c r="AT1736" s="8"/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8"/>
      <c r="BG1736" s="8"/>
    </row>
    <row r="1737" spans="1:59" s="9" customFormat="1">
      <c r="A1737" s="8" t="s">
        <v>1075</v>
      </c>
      <c r="B1737" s="8" t="s">
        <v>1074</v>
      </c>
      <c r="C1737" s="9">
        <v>0</v>
      </c>
      <c r="D1737" s="9">
        <v>0</v>
      </c>
      <c r="E1737" s="9">
        <v>0</v>
      </c>
      <c r="F1737" s="9">
        <v>0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R1737" s="9">
        <v>1</v>
      </c>
      <c r="S1737" s="9">
        <v>0</v>
      </c>
      <c r="T1737" s="9">
        <v>0</v>
      </c>
      <c r="U1737" s="9">
        <v>0</v>
      </c>
      <c r="V1737" s="9">
        <v>1</v>
      </c>
      <c r="W1737" s="9">
        <v>0</v>
      </c>
      <c r="X1737" s="9">
        <v>0</v>
      </c>
      <c r="AE1737" s="9">
        <f>IFERROR(VLOOKUP($A1737,pivot!$A:$G,計算式2026!AE$1,FALSE),0)</f>
        <v>0</v>
      </c>
      <c r="AF1737" s="9">
        <f>IFERROR(VLOOKUP($A1737,pivot!$A:$I,計算式2026!AF$1,FALSE),0)</f>
        <v>0</v>
      </c>
      <c r="AI1737" s="9">
        <f>IFERROR(VLOOKUP($A1737,pivot!$A:$I,計算式2026!AI$1,FALSE),0)</f>
        <v>0</v>
      </c>
      <c r="AJ1737" s="9">
        <f>IFERROR(VLOOKUP($A1737,pivot!$A:$I,計算式2026!AJ$1,FALSE),0)</f>
        <v>0</v>
      </c>
      <c r="AK1737" s="9">
        <f>IFERROR(VLOOKUP($A1737,pivot!$A:$I,計算式2026!AK$1,FALSE),0)</f>
        <v>0</v>
      </c>
      <c r="AL1737" s="9">
        <f>IFERROR(VLOOKUP($A1737,pivot!$A:$I,計算式2026!AL$1,FALSE),0)</f>
        <v>0</v>
      </c>
      <c r="AR1737" s="8"/>
      <c r="AS1737" s="8"/>
      <c r="AT1737" s="8"/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8"/>
      <c r="BG1737" s="8"/>
    </row>
    <row r="1738" spans="1:59" s="9" customFormat="1">
      <c r="A1738" s="8" t="s">
        <v>1076</v>
      </c>
      <c r="B1738" s="8" t="s">
        <v>1074</v>
      </c>
      <c r="C1738" s="9">
        <v>0</v>
      </c>
      <c r="D1738" s="9">
        <v>0</v>
      </c>
      <c r="E1738" s="9">
        <v>0</v>
      </c>
      <c r="F1738" s="9">
        <v>0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R1738" s="9">
        <v>0</v>
      </c>
      <c r="S1738" s="9">
        <v>0</v>
      </c>
      <c r="T1738" s="9">
        <v>1</v>
      </c>
      <c r="U1738" s="9">
        <v>0</v>
      </c>
      <c r="V1738" s="9">
        <v>0</v>
      </c>
      <c r="W1738" s="9">
        <v>0</v>
      </c>
      <c r="X1738" s="9">
        <v>0</v>
      </c>
      <c r="AE1738" s="9">
        <f>IFERROR(VLOOKUP($A1738,pivot!$A:$G,計算式2026!AE$1,FALSE),0)</f>
        <v>0</v>
      </c>
      <c r="AF1738" s="9">
        <f>IFERROR(VLOOKUP($A1738,pivot!$A:$I,計算式2026!AF$1,FALSE),0)</f>
        <v>0</v>
      </c>
      <c r="AI1738" s="9">
        <f>IFERROR(VLOOKUP($A1738,pivot!$A:$I,計算式2026!AI$1,FALSE),0)</f>
        <v>0</v>
      </c>
      <c r="AJ1738" s="9">
        <f>IFERROR(VLOOKUP($A1738,pivot!$A:$I,計算式2026!AJ$1,FALSE),0)</f>
        <v>0</v>
      </c>
      <c r="AK1738" s="9">
        <f>IFERROR(VLOOKUP($A1738,pivot!$A:$I,計算式2026!AK$1,FALSE),0)</f>
        <v>0</v>
      </c>
      <c r="AL1738" s="9">
        <f>IFERROR(VLOOKUP($A1738,pivot!$A:$I,計算式2026!AL$1,FALSE),0)</f>
        <v>0</v>
      </c>
      <c r="AR1738" s="8"/>
      <c r="AS1738" s="8"/>
      <c r="AT1738" s="8"/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8"/>
      <c r="BG1738" s="8"/>
    </row>
    <row r="1739" spans="1:59" s="9" customFormat="1">
      <c r="A1739" s="8" t="s">
        <v>1077</v>
      </c>
      <c r="B1739" s="8" t="s">
        <v>1074</v>
      </c>
      <c r="C1739" s="9">
        <v>0</v>
      </c>
      <c r="D1739" s="9">
        <v>0</v>
      </c>
      <c r="E1739" s="9">
        <v>0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2</v>
      </c>
      <c r="W1739" s="9">
        <v>0</v>
      </c>
      <c r="X1739" s="9">
        <v>0</v>
      </c>
      <c r="AE1739" s="9">
        <f>IFERROR(VLOOKUP($A1739,pivot!$A:$G,計算式2026!AE$1,FALSE),0)</f>
        <v>0</v>
      </c>
      <c r="AF1739" s="9">
        <f>IFERROR(VLOOKUP($A1739,pivot!$A:$I,計算式2026!AF$1,FALSE),0)</f>
        <v>0</v>
      </c>
      <c r="AI1739" s="9">
        <f>IFERROR(VLOOKUP($A1739,pivot!$A:$I,計算式2026!AI$1,FALSE),0)</f>
        <v>0</v>
      </c>
      <c r="AJ1739" s="9">
        <f>IFERROR(VLOOKUP($A1739,pivot!$A:$I,計算式2026!AJ$1,FALSE),0)</f>
        <v>0</v>
      </c>
      <c r="AK1739" s="9">
        <f>IFERROR(VLOOKUP($A1739,pivot!$A:$I,計算式2026!AK$1,FALSE),0)</f>
        <v>0</v>
      </c>
      <c r="AL1739" s="9">
        <f>IFERROR(VLOOKUP($A1739,pivot!$A:$I,計算式2026!AL$1,FALSE),0)</f>
        <v>0</v>
      </c>
      <c r="AR1739" s="8"/>
      <c r="AS1739" s="8"/>
      <c r="AT1739" s="8"/>
      <c r="AU1739" s="8"/>
      <c r="AV1739" s="8"/>
      <c r="AW1739" s="8"/>
      <c r="AX1739" s="8"/>
      <c r="AY1739" s="8"/>
      <c r="AZ1739" s="8"/>
      <c r="BA1739" s="8"/>
      <c r="BB1739" s="8"/>
      <c r="BC1739" s="8"/>
      <c r="BD1739" s="8"/>
      <c r="BE1739" s="8"/>
      <c r="BF1739" s="8"/>
      <c r="BG1739" s="8"/>
    </row>
    <row r="1740" spans="1:59" s="9" customFormat="1">
      <c r="A1740" s="8" t="s">
        <v>1078</v>
      </c>
      <c r="B1740" s="8" t="s">
        <v>1074</v>
      </c>
      <c r="C1740" s="9">
        <v>0</v>
      </c>
      <c r="D1740" s="9">
        <v>0</v>
      </c>
      <c r="E1740" s="9">
        <v>0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R1740" s="9">
        <v>0</v>
      </c>
      <c r="S1740" s="9">
        <v>1</v>
      </c>
      <c r="T1740" s="9">
        <v>0</v>
      </c>
      <c r="U1740" s="9">
        <v>0</v>
      </c>
      <c r="V1740" s="9">
        <v>1</v>
      </c>
      <c r="W1740" s="9">
        <v>0</v>
      </c>
      <c r="X1740" s="9">
        <v>0</v>
      </c>
      <c r="AE1740" s="9">
        <f>IFERROR(VLOOKUP($A1740,pivot!$A:$G,計算式2026!AE$1,FALSE),0)</f>
        <v>0</v>
      </c>
      <c r="AF1740" s="9">
        <f>IFERROR(VLOOKUP($A1740,pivot!$A:$I,計算式2026!AF$1,FALSE),0)</f>
        <v>0</v>
      </c>
      <c r="AI1740" s="9">
        <f>IFERROR(VLOOKUP($A1740,pivot!$A:$I,計算式2026!AI$1,FALSE),0)</f>
        <v>0</v>
      </c>
      <c r="AJ1740" s="9">
        <f>IFERROR(VLOOKUP($A1740,pivot!$A:$I,計算式2026!AJ$1,FALSE),0)</f>
        <v>0</v>
      </c>
      <c r="AK1740" s="9">
        <f>IFERROR(VLOOKUP($A1740,pivot!$A:$I,計算式2026!AK$1,FALSE),0)</f>
        <v>0</v>
      </c>
      <c r="AL1740" s="9">
        <f>IFERROR(VLOOKUP($A1740,pivot!$A:$I,計算式2026!AL$1,FALSE),0)</f>
        <v>0</v>
      </c>
      <c r="AR1740" s="8"/>
      <c r="AS1740" s="8"/>
      <c r="AT1740" s="8"/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8"/>
      <c r="BG1740" s="8"/>
    </row>
    <row r="1741" spans="1:59" s="9" customFormat="1">
      <c r="A1741" s="8" t="s">
        <v>1079</v>
      </c>
      <c r="B1741" s="8" t="s">
        <v>1074</v>
      </c>
      <c r="C1741" s="9">
        <v>0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R1741" s="9">
        <v>0</v>
      </c>
      <c r="S1741" s="9">
        <v>1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AE1741" s="9">
        <f>IFERROR(VLOOKUP($A1741,pivot!$A:$G,計算式2026!AE$1,FALSE),0)</f>
        <v>0</v>
      </c>
      <c r="AF1741" s="9">
        <f>IFERROR(VLOOKUP($A1741,pivot!$A:$I,計算式2026!AF$1,FALSE),0)</f>
        <v>0</v>
      </c>
      <c r="AI1741" s="9">
        <f>IFERROR(VLOOKUP($A1741,pivot!$A:$I,計算式2026!AI$1,FALSE),0)</f>
        <v>0</v>
      </c>
      <c r="AJ1741" s="9">
        <f>IFERROR(VLOOKUP($A1741,pivot!$A:$I,計算式2026!AJ$1,FALSE),0)</f>
        <v>0</v>
      </c>
      <c r="AK1741" s="9">
        <f>IFERROR(VLOOKUP($A1741,pivot!$A:$I,計算式2026!AK$1,FALSE),0)</f>
        <v>0</v>
      </c>
      <c r="AL1741" s="9">
        <f>IFERROR(VLOOKUP($A1741,pivot!$A:$I,計算式2026!AL$1,FALSE),0)</f>
        <v>0</v>
      </c>
      <c r="AR1741" s="8"/>
      <c r="AS1741" s="8"/>
      <c r="AT1741" s="8"/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8"/>
      <c r="BG1741" s="8"/>
    </row>
    <row r="1742" spans="1:59" s="9" customFormat="1">
      <c r="A1742" s="8" t="s">
        <v>1080</v>
      </c>
      <c r="B1742" s="8" t="s">
        <v>1074</v>
      </c>
      <c r="C1742" s="9">
        <v>0</v>
      </c>
      <c r="D1742" s="9">
        <v>0</v>
      </c>
      <c r="E1742" s="9">
        <v>0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1</v>
      </c>
      <c r="W1742" s="9">
        <v>0</v>
      </c>
      <c r="X1742" s="9">
        <v>0</v>
      </c>
      <c r="AE1742" s="9">
        <f>IFERROR(VLOOKUP($A1742,pivot!$A:$G,計算式2026!AE$1,FALSE),0)</f>
        <v>0</v>
      </c>
      <c r="AF1742" s="9">
        <f>IFERROR(VLOOKUP($A1742,pivot!$A:$I,計算式2026!AF$1,FALSE),0)</f>
        <v>0</v>
      </c>
      <c r="AI1742" s="9">
        <f>IFERROR(VLOOKUP($A1742,pivot!$A:$I,計算式2026!AI$1,FALSE),0)</f>
        <v>0</v>
      </c>
      <c r="AJ1742" s="9">
        <f>IFERROR(VLOOKUP($A1742,pivot!$A:$I,計算式2026!AJ$1,FALSE),0)</f>
        <v>0</v>
      </c>
      <c r="AK1742" s="9">
        <f>IFERROR(VLOOKUP($A1742,pivot!$A:$I,計算式2026!AK$1,FALSE),0)</f>
        <v>0</v>
      </c>
      <c r="AL1742" s="9">
        <f>IFERROR(VLOOKUP($A1742,pivot!$A:$I,計算式2026!AL$1,FALSE),0)</f>
        <v>0</v>
      </c>
      <c r="AR1742" s="8"/>
      <c r="AS1742" s="8"/>
      <c r="AT1742" s="8"/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8"/>
      <c r="BG1742" s="8"/>
    </row>
    <row r="1743" spans="1:59" s="9" customFormat="1">
      <c r="A1743" s="8" t="s">
        <v>1081</v>
      </c>
      <c r="B1743" s="8" t="s">
        <v>1074</v>
      </c>
      <c r="C1743" s="9">
        <v>0</v>
      </c>
      <c r="D1743" s="9">
        <v>0</v>
      </c>
      <c r="E1743" s="9">
        <v>0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R1743" s="9">
        <v>0</v>
      </c>
      <c r="S1743" s="9">
        <v>1</v>
      </c>
      <c r="T1743" s="9">
        <v>1</v>
      </c>
      <c r="U1743" s="9">
        <v>0</v>
      </c>
      <c r="V1743" s="9">
        <v>0</v>
      </c>
      <c r="W1743" s="9">
        <v>0</v>
      </c>
      <c r="X1743" s="9">
        <v>1</v>
      </c>
      <c r="AE1743" s="9">
        <f>IFERROR(VLOOKUP($A1743,pivot!$A:$G,計算式2026!AE$1,FALSE),0)</f>
        <v>0</v>
      </c>
      <c r="AF1743" s="9">
        <f>IFERROR(VLOOKUP($A1743,pivot!$A:$I,計算式2026!AF$1,FALSE),0)</f>
        <v>0</v>
      </c>
      <c r="AI1743" s="9">
        <f>IFERROR(VLOOKUP($A1743,pivot!$A:$I,計算式2026!AI$1,FALSE),0)</f>
        <v>0</v>
      </c>
      <c r="AJ1743" s="9">
        <f>IFERROR(VLOOKUP($A1743,pivot!$A:$I,計算式2026!AJ$1,FALSE),0)</f>
        <v>0</v>
      </c>
      <c r="AK1743" s="9">
        <f>IFERROR(VLOOKUP($A1743,pivot!$A:$I,計算式2026!AK$1,FALSE),0)</f>
        <v>0</v>
      </c>
      <c r="AL1743" s="9">
        <f>IFERROR(VLOOKUP($A1743,pivot!$A:$I,計算式2026!AL$1,FALSE),0)</f>
        <v>0</v>
      </c>
      <c r="AR1743" s="8"/>
      <c r="AS1743" s="8"/>
      <c r="AT1743" s="8"/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8"/>
      <c r="BG1743" s="8"/>
    </row>
    <row r="1744" spans="1:59" s="9" customFormat="1">
      <c r="A1744" s="8" t="s">
        <v>1082</v>
      </c>
      <c r="B1744" s="8" t="s">
        <v>1074</v>
      </c>
      <c r="C1744" s="9">
        <v>0</v>
      </c>
      <c r="D1744" s="9">
        <v>0</v>
      </c>
      <c r="E1744" s="9">
        <v>0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1</v>
      </c>
      <c r="W1744" s="9">
        <v>0</v>
      </c>
      <c r="X1744" s="9">
        <v>0</v>
      </c>
      <c r="AE1744" s="9">
        <f>IFERROR(VLOOKUP($A1744,pivot!$A:$G,計算式2026!AE$1,FALSE),0)</f>
        <v>0</v>
      </c>
      <c r="AF1744" s="9">
        <f>IFERROR(VLOOKUP($A1744,pivot!$A:$I,計算式2026!AF$1,FALSE),0)</f>
        <v>0</v>
      </c>
      <c r="AI1744" s="9">
        <f>IFERROR(VLOOKUP($A1744,pivot!$A:$I,計算式2026!AI$1,FALSE),0)</f>
        <v>0</v>
      </c>
      <c r="AJ1744" s="9">
        <f>IFERROR(VLOOKUP($A1744,pivot!$A:$I,計算式2026!AJ$1,FALSE),0)</f>
        <v>0</v>
      </c>
      <c r="AK1744" s="9">
        <f>IFERROR(VLOOKUP($A1744,pivot!$A:$I,計算式2026!AK$1,FALSE),0)</f>
        <v>0</v>
      </c>
      <c r="AL1744" s="9">
        <f>IFERROR(VLOOKUP($A1744,pivot!$A:$I,計算式2026!AL$1,FALSE),0)</f>
        <v>0</v>
      </c>
      <c r="AR1744" s="8"/>
      <c r="AS1744" s="8"/>
      <c r="AT1744" s="8"/>
      <c r="AU1744" s="8"/>
      <c r="AV1744" s="8"/>
      <c r="AW1744" s="8"/>
      <c r="AX1744" s="8"/>
      <c r="AY1744" s="8"/>
      <c r="AZ1744" s="8"/>
      <c r="BA1744" s="8"/>
      <c r="BB1744" s="8"/>
      <c r="BC1744" s="8"/>
      <c r="BD1744" s="8"/>
      <c r="BE1744" s="8"/>
      <c r="BF1744" s="8"/>
      <c r="BG1744" s="8"/>
    </row>
    <row r="1745" spans="1:59" s="9" customFormat="1">
      <c r="A1745" s="8" t="s">
        <v>1714</v>
      </c>
      <c r="B1745" s="8" t="s">
        <v>1074</v>
      </c>
      <c r="C1745" s="9">
        <v>0</v>
      </c>
      <c r="D1745" s="9">
        <v>0</v>
      </c>
      <c r="E1745" s="9">
        <v>0</v>
      </c>
      <c r="F1745" s="9">
        <v>0</v>
      </c>
      <c r="G1745" s="9">
        <v>0</v>
      </c>
      <c r="H1745" s="9">
        <v>0</v>
      </c>
      <c r="I1745" s="9">
        <v>0</v>
      </c>
      <c r="J1745" s="9">
        <v>0</v>
      </c>
      <c r="K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AE1745" s="9">
        <f>IFERROR(VLOOKUP($A1745,pivot!$A:$G,計算式2026!AE$1,FALSE),0)</f>
        <v>0</v>
      </c>
      <c r="AF1745" s="9">
        <f>IFERROR(VLOOKUP($A1745,pivot!$A:$I,計算式2026!AF$1,FALSE),0)</f>
        <v>0</v>
      </c>
      <c r="AI1745" s="9">
        <f>IFERROR(VLOOKUP($A1745,pivot!$A:$I,計算式2026!AI$1,FALSE),0)</f>
        <v>0</v>
      </c>
      <c r="AJ1745" s="9">
        <f>IFERROR(VLOOKUP($A1745,pivot!$A:$I,計算式2026!AJ$1,FALSE),0)</f>
        <v>0</v>
      </c>
      <c r="AK1745" s="9">
        <f>IFERROR(VLOOKUP($A1745,pivot!$A:$I,計算式2026!AK$1,FALSE),0)</f>
        <v>0</v>
      </c>
      <c r="AL1745" s="9">
        <f>IFERROR(VLOOKUP($A1745,pivot!$A:$I,計算式2026!AL$1,FALSE),0)</f>
        <v>0</v>
      </c>
      <c r="AR1745" s="8"/>
      <c r="AS1745" s="8"/>
      <c r="AT1745" s="8"/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8"/>
      <c r="BG1745" s="8"/>
    </row>
    <row r="1746" spans="1:59" s="9" customFormat="1">
      <c r="A1746" s="8" t="s">
        <v>1715</v>
      </c>
      <c r="B1746" s="8" t="s">
        <v>1074</v>
      </c>
      <c r="C1746" s="9">
        <v>0</v>
      </c>
      <c r="D1746" s="9">
        <v>0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R1746" s="9">
        <v>0</v>
      </c>
      <c r="S1746" s="9">
        <v>1</v>
      </c>
      <c r="T1746" s="9">
        <v>0</v>
      </c>
      <c r="U1746" s="9">
        <v>0</v>
      </c>
      <c r="V1746" s="9">
        <v>1</v>
      </c>
      <c r="W1746" s="9">
        <v>0</v>
      </c>
      <c r="X1746" s="9">
        <v>1</v>
      </c>
      <c r="AE1746" s="9">
        <f>IFERROR(VLOOKUP($A1746,pivot!$A:$G,計算式2026!AE$1,FALSE),0)</f>
        <v>0</v>
      </c>
      <c r="AF1746" s="9">
        <f>IFERROR(VLOOKUP($A1746,pivot!$A:$I,計算式2026!AF$1,FALSE),0)</f>
        <v>0</v>
      </c>
      <c r="AI1746" s="9">
        <f>IFERROR(VLOOKUP($A1746,pivot!$A:$I,計算式2026!AI$1,FALSE),0)</f>
        <v>0</v>
      </c>
      <c r="AJ1746" s="9">
        <f>IFERROR(VLOOKUP($A1746,pivot!$A:$I,計算式2026!AJ$1,FALSE),0)</f>
        <v>0</v>
      </c>
      <c r="AK1746" s="9">
        <f>IFERROR(VLOOKUP($A1746,pivot!$A:$I,計算式2026!AK$1,FALSE),0)</f>
        <v>0</v>
      </c>
      <c r="AL1746" s="9">
        <f>IFERROR(VLOOKUP($A1746,pivot!$A:$I,計算式2026!AL$1,FALSE),0)</f>
        <v>0</v>
      </c>
      <c r="AR1746" s="8"/>
      <c r="AS1746" s="8"/>
      <c r="AT1746" s="8"/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8"/>
      <c r="BG1746" s="8"/>
    </row>
    <row r="1747" spans="1:59" s="9" customFormat="1">
      <c r="A1747" s="8" t="s">
        <v>1716</v>
      </c>
      <c r="B1747" s="8" t="s">
        <v>1074</v>
      </c>
      <c r="C1747" s="9">
        <v>0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R1747" s="9">
        <v>0</v>
      </c>
      <c r="S1747" s="9">
        <v>1</v>
      </c>
      <c r="T1747" s="9">
        <v>0</v>
      </c>
      <c r="U1747" s="9">
        <v>0</v>
      </c>
      <c r="V1747" s="9">
        <v>1</v>
      </c>
      <c r="W1747" s="9">
        <v>0</v>
      </c>
      <c r="X1747" s="9">
        <v>1</v>
      </c>
      <c r="AE1747" s="9">
        <f>IFERROR(VLOOKUP($A1747,pivot!$A:$G,計算式2026!AE$1,FALSE),0)</f>
        <v>0</v>
      </c>
      <c r="AF1747" s="9">
        <f>IFERROR(VLOOKUP($A1747,pivot!$A:$I,計算式2026!AF$1,FALSE),0)</f>
        <v>0</v>
      </c>
      <c r="AI1747" s="9">
        <f>IFERROR(VLOOKUP($A1747,pivot!$A:$I,計算式2026!AI$1,FALSE),0)</f>
        <v>0</v>
      </c>
      <c r="AJ1747" s="9">
        <f>IFERROR(VLOOKUP($A1747,pivot!$A:$I,計算式2026!AJ$1,FALSE),0)</f>
        <v>0</v>
      </c>
      <c r="AK1747" s="9">
        <f>IFERROR(VLOOKUP($A1747,pivot!$A:$I,計算式2026!AK$1,FALSE),0)</f>
        <v>0</v>
      </c>
      <c r="AL1747" s="9">
        <f>IFERROR(VLOOKUP($A1747,pivot!$A:$I,計算式2026!AL$1,FALSE),0)</f>
        <v>0</v>
      </c>
      <c r="AR1747" s="8"/>
      <c r="AS1747" s="8"/>
      <c r="AT1747" s="8"/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8"/>
      <c r="BG1747" s="8"/>
    </row>
    <row r="1748" spans="1:59" s="9" customFormat="1">
      <c r="A1748" s="8" t="s">
        <v>1083</v>
      </c>
      <c r="B1748" s="8" t="s">
        <v>1074</v>
      </c>
      <c r="C1748" s="9">
        <v>0</v>
      </c>
      <c r="D1748" s="9">
        <v>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R1748" s="9">
        <v>0</v>
      </c>
      <c r="S1748" s="9">
        <v>1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AE1748" s="9">
        <f>IFERROR(VLOOKUP($A1748,pivot!$A:$G,計算式2026!AE$1,FALSE),0)</f>
        <v>0</v>
      </c>
      <c r="AF1748" s="9">
        <f>IFERROR(VLOOKUP($A1748,pivot!$A:$I,計算式2026!AF$1,FALSE),0)</f>
        <v>0</v>
      </c>
      <c r="AI1748" s="9">
        <f>IFERROR(VLOOKUP($A1748,pivot!$A:$I,計算式2026!AI$1,FALSE),0)</f>
        <v>0</v>
      </c>
      <c r="AJ1748" s="9">
        <f>IFERROR(VLOOKUP($A1748,pivot!$A:$I,計算式2026!AJ$1,FALSE),0)</f>
        <v>0</v>
      </c>
      <c r="AK1748" s="9">
        <f>IFERROR(VLOOKUP($A1748,pivot!$A:$I,計算式2026!AK$1,FALSE),0)</f>
        <v>0</v>
      </c>
      <c r="AL1748" s="9">
        <f>IFERROR(VLOOKUP($A1748,pivot!$A:$I,計算式2026!AL$1,FALSE),0)</f>
        <v>0</v>
      </c>
      <c r="AR1748" s="8"/>
      <c r="AS1748" s="8"/>
      <c r="AT1748" s="8"/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8"/>
      <c r="BG1748" s="8"/>
    </row>
    <row r="1749" spans="1:59" s="9" customFormat="1">
      <c r="A1749" s="8" t="s">
        <v>1084</v>
      </c>
      <c r="B1749" s="8" t="s">
        <v>1074</v>
      </c>
      <c r="C1749" s="9">
        <v>0</v>
      </c>
      <c r="D1749" s="9">
        <v>0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2</v>
      </c>
      <c r="W1749" s="9">
        <v>0</v>
      </c>
      <c r="X1749" s="9">
        <v>0</v>
      </c>
      <c r="AE1749" s="9">
        <f>IFERROR(VLOOKUP($A1749,pivot!$A:$G,計算式2026!AE$1,FALSE),0)</f>
        <v>0</v>
      </c>
      <c r="AF1749" s="9">
        <f>IFERROR(VLOOKUP($A1749,pivot!$A:$I,計算式2026!AF$1,FALSE),0)</f>
        <v>0</v>
      </c>
      <c r="AI1749" s="9">
        <f>IFERROR(VLOOKUP($A1749,pivot!$A:$I,計算式2026!AI$1,FALSE),0)</f>
        <v>0</v>
      </c>
      <c r="AJ1749" s="9">
        <f>IFERROR(VLOOKUP($A1749,pivot!$A:$I,計算式2026!AJ$1,FALSE),0)</f>
        <v>0</v>
      </c>
      <c r="AK1749" s="9">
        <f>IFERROR(VLOOKUP($A1749,pivot!$A:$I,計算式2026!AK$1,FALSE),0)</f>
        <v>0</v>
      </c>
      <c r="AL1749" s="9">
        <f>IFERROR(VLOOKUP($A1749,pivot!$A:$I,計算式2026!AL$1,FALSE),0)</f>
        <v>0</v>
      </c>
      <c r="AR1749" s="8"/>
      <c r="AS1749" s="8"/>
      <c r="AT1749" s="8"/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8"/>
      <c r="BG1749" s="8"/>
    </row>
    <row r="1750" spans="1:59" s="9" customFormat="1">
      <c r="A1750" s="8" t="s">
        <v>1085</v>
      </c>
      <c r="B1750" s="8" t="s">
        <v>1074</v>
      </c>
      <c r="C1750" s="9">
        <v>0</v>
      </c>
      <c r="D1750" s="9">
        <v>0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R1750" s="9">
        <v>0</v>
      </c>
      <c r="S1750" s="9">
        <v>2</v>
      </c>
      <c r="T1750" s="9">
        <v>1</v>
      </c>
      <c r="U1750" s="9">
        <v>0</v>
      </c>
      <c r="V1750" s="9">
        <v>2</v>
      </c>
      <c r="W1750" s="9">
        <v>0</v>
      </c>
      <c r="X1750" s="9">
        <v>1</v>
      </c>
      <c r="AE1750" s="9">
        <f>IFERROR(VLOOKUP($A1750,pivot!$A:$G,計算式2026!AE$1,FALSE),0)</f>
        <v>0</v>
      </c>
      <c r="AF1750" s="9">
        <f>IFERROR(VLOOKUP($A1750,pivot!$A:$I,計算式2026!AF$1,FALSE),0)</f>
        <v>0</v>
      </c>
      <c r="AI1750" s="9">
        <f>IFERROR(VLOOKUP($A1750,pivot!$A:$I,計算式2026!AI$1,FALSE),0)</f>
        <v>0</v>
      </c>
      <c r="AJ1750" s="9">
        <f>IFERROR(VLOOKUP($A1750,pivot!$A:$I,計算式2026!AJ$1,FALSE),0)</f>
        <v>0</v>
      </c>
      <c r="AK1750" s="9">
        <f>IFERROR(VLOOKUP($A1750,pivot!$A:$I,計算式2026!AK$1,FALSE),0)</f>
        <v>0</v>
      </c>
      <c r="AL1750" s="9">
        <f>IFERROR(VLOOKUP($A1750,pivot!$A:$I,計算式2026!AL$1,FALSE),0)</f>
        <v>0</v>
      </c>
      <c r="AR1750" s="8"/>
      <c r="AS1750" s="8"/>
      <c r="AT1750" s="8"/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8"/>
      <c r="BG1750" s="8"/>
    </row>
    <row r="1751" spans="1:59" s="9" customFormat="1">
      <c r="A1751" s="8" t="s">
        <v>1086</v>
      </c>
      <c r="B1751" s="8" t="s">
        <v>1074</v>
      </c>
      <c r="C1751" s="9">
        <v>0</v>
      </c>
      <c r="D1751" s="9">
        <v>0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R1751" s="9">
        <v>0</v>
      </c>
      <c r="S1751" s="9">
        <v>2</v>
      </c>
      <c r="T1751" s="9">
        <v>1</v>
      </c>
      <c r="U1751" s="9">
        <v>0</v>
      </c>
      <c r="V1751" s="9">
        <v>2</v>
      </c>
      <c r="W1751" s="9">
        <v>0</v>
      </c>
      <c r="X1751" s="9">
        <v>1</v>
      </c>
      <c r="AE1751" s="9">
        <f>IFERROR(VLOOKUP($A1751,pivot!$A:$G,計算式2026!AE$1,FALSE),0)</f>
        <v>0</v>
      </c>
      <c r="AF1751" s="9">
        <f>IFERROR(VLOOKUP($A1751,pivot!$A:$I,計算式2026!AF$1,FALSE),0)</f>
        <v>0</v>
      </c>
      <c r="AI1751" s="9">
        <f>IFERROR(VLOOKUP($A1751,pivot!$A:$I,計算式2026!AI$1,FALSE),0)</f>
        <v>0</v>
      </c>
      <c r="AJ1751" s="9">
        <f>IFERROR(VLOOKUP($A1751,pivot!$A:$I,計算式2026!AJ$1,FALSE),0)</f>
        <v>0</v>
      </c>
      <c r="AK1751" s="9">
        <f>IFERROR(VLOOKUP($A1751,pivot!$A:$I,計算式2026!AK$1,FALSE),0)</f>
        <v>0</v>
      </c>
      <c r="AL1751" s="9">
        <f>IFERROR(VLOOKUP($A1751,pivot!$A:$I,計算式2026!AL$1,FALSE),0)</f>
        <v>0</v>
      </c>
      <c r="AR1751" s="8"/>
      <c r="AS1751" s="8"/>
      <c r="AT1751" s="8"/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8"/>
      <c r="BG1751" s="8"/>
    </row>
    <row r="1752" spans="1:59" s="9" customFormat="1">
      <c r="A1752" s="8" t="s">
        <v>1770</v>
      </c>
      <c r="B1752" s="8" t="s">
        <v>1074</v>
      </c>
      <c r="C1752" s="9">
        <v>0</v>
      </c>
      <c r="D1752" s="9">
        <v>0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R1752" s="9">
        <v>1</v>
      </c>
      <c r="S1752" s="9">
        <v>0</v>
      </c>
      <c r="T1752" s="9">
        <v>0</v>
      </c>
      <c r="U1752" s="9">
        <v>0</v>
      </c>
      <c r="V1752" s="9">
        <v>1</v>
      </c>
      <c r="W1752" s="9">
        <v>0</v>
      </c>
      <c r="X1752" s="9">
        <v>0</v>
      </c>
      <c r="AE1752" s="9">
        <f>IFERROR(VLOOKUP($A1752,pivot!$A:$G,計算式2026!AE$1,FALSE),0)</f>
        <v>0</v>
      </c>
      <c r="AF1752" s="9">
        <f>IFERROR(VLOOKUP($A1752,pivot!$A:$I,計算式2026!AF$1,FALSE),0)</f>
        <v>0</v>
      </c>
      <c r="AI1752" s="9">
        <f>IFERROR(VLOOKUP($A1752,pivot!$A:$I,計算式2026!AI$1,FALSE),0)</f>
        <v>0</v>
      </c>
      <c r="AJ1752" s="9">
        <f>IFERROR(VLOOKUP($A1752,pivot!$A:$I,計算式2026!AJ$1,FALSE),0)</f>
        <v>0</v>
      </c>
      <c r="AK1752" s="9">
        <f>IFERROR(VLOOKUP($A1752,pivot!$A:$I,計算式2026!AK$1,FALSE),0)</f>
        <v>0</v>
      </c>
      <c r="AL1752" s="9">
        <f>IFERROR(VLOOKUP($A1752,pivot!$A:$I,計算式2026!AL$1,FALSE),0)</f>
        <v>0</v>
      </c>
      <c r="AR1752" s="8"/>
      <c r="AS1752" s="8"/>
      <c r="AT1752" s="8"/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8"/>
      <c r="BG1752" s="8"/>
    </row>
    <row r="1753" spans="1:59" s="9" customFormat="1">
      <c r="A1753" s="8" t="s">
        <v>1771</v>
      </c>
      <c r="B1753" s="8" t="s">
        <v>1074</v>
      </c>
      <c r="C1753" s="9">
        <v>0</v>
      </c>
      <c r="D1753" s="9">
        <v>0</v>
      </c>
      <c r="E1753" s="9">
        <v>0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1</v>
      </c>
      <c r="W1753" s="9">
        <v>0</v>
      </c>
      <c r="X1753" s="9">
        <v>1</v>
      </c>
      <c r="AE1753" s="9">
        <f>IFERROR(VLOOKUP($A1753,pivot!$A:$G,計算式2026!AE$1,FALSE),0)</f>
        <v>0</v>
      </c>
      <c r="AF1753" s="9">
        <f>IFERROR(VLOOKUP($A1753,pivot!$A:$I,計算式2026!AF$1,FALSE),0)</f>
        <v>0</v>
      </c>
      <c r="AI1753" s="9">
        <f>IFERROR(VLOOKUP($A1753,pivot!$A:$I,計算式2026!AI$1,FALSE),0)</f>
        <v>0</v>
      </c>
      <c r="AJ1753" s="9">
        <f>IFERROR(VLOOKUP($A1753,pivot!$A:$I,計算式2026!AJ$1,FALSE),0)</f>
        <v>0</v>
      </c>
      <c r="AK1753" s="9">
        <f>IFERROR(VLOOKUP($A1753,pivot!$A:$I,計算式2026!AK$1,FALSE),0)</f>
        <v>0</v>
      </c>
      <c r="AL1753" s="9">
        <f>IFERROR(VLOOKUP($A1753,pivot!$A:$I,計算式2026!AL$1,FALSE),0)</f>
        <v>0</v>
      </c>
      <c r="AR1753" s="8"/>
      <c r="AS1753" s="8"/>
      <c r="AT1753" s="8"/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8"/>
      <c r="BG1753" s="8"/>
    </row>
    <row r="1754" spans="1:59" s="9" customFormat="1">
      <c r="A1754" s="8">
        <v>8283324646</v>
      </c>
      <c r="B1754" s="8" t="s">
        <v>1087</v>
      </c>
      <c r="C1754" s="9">
        <v>0</v>
      </c>
      <c r="D1754" s="9">
        <v>0</v>
      </c>
      <c r="E1754" s="9">
        <v>0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R1754" s="9">
        <v>0</v>
      </c>
      <c r="S1754" s="9">
        <v>1</v>
      </c>
      <c r="T1754" s="9">
        <v>0</v>
      </c>
      <c r="U1754" s="9">
        <v>0</v>
      </c>
      <c r="V1754" s="9">
        <v>0</v>
      </c>
      <c r="W1754" s="9">
        <v>0</v>
      </c>
      <c r="X1754" s="9">
        <v>2</v>
      </c>
      <c r="AE1754" s="9">
        <f>IFERROR(VLOOKUP($A1754,pivot!$A:$G,計算式2026!AE$1,FALSE),0)</f>
        <v>0</v>
      </c>
      <c r="AF1754" s="9">
        <f>IFERROR(VLOOKUP($A1754,pivot!$A:$I,計算式2026!AF$1,FALSE),0)</f>
        <v>0</v>
      </c>
      <c r="AI1754" s="9">
        <f>IFERROR(VLOOKUP($A1754,pivot!$A:$I,計算式2026!AI$1,FALSE),0)</f>
        <v>0</v>
      </c>
      <c r="AJ1754" s="9">
        <f>IFERROR(VLOOKUP($A1754,pivot!$A:$I,計算式2026!AJ$1,FALSE),0)</f>
        <v>0</v>
      </c>
      <c r="AK1754" s="9">
        <f>IFERROR(VLOOKUP($A1754,pivot!$A:$I,計算式2026!AK$1,FALSE),0)</f>
        <v>0</v>
      </c>
      <c r="AL1754" s="9">
        <f>IFERROR(VLOOKUP($A1754,pivot!$A:$I,計算式2026!AL$1,FALSE),0)</f>
        <v>0</v>
      </c>
      <c r="AR1754" s="8"/>
      <c r="AS1754" s="8"/>
      <c r="AT1754" s="8"/>
      <c r="AU1754" s="8"/>
      <c r="AV1754" s="8"/>
      <c r="AW1754" s="8"/>
      <c r="AX1754" s="8"/>
      <c r="AY1754" s="8"/>
      <c r="AZ1754" s="8"/>
      <c r="BA1754" s="8"/>
      <c r="BB1754" s="8"/>
      <c r="BC1754" s="8"/>
      <c r="BD1754" s="8"/>
      <c r="BE1754" s="8"/>
      <c r="BF1754" s="8"/>
      <c r="BG1754" s="8"/>
    </row>
    <row r="1755" spans="1:59" s="9" customFormat="1">
      <c r="A1755" s="8">
        <v>8283324648</v>
      </c>
      <c r="B1755" s="8" t="s">
        <v>1087</v>
      </c>
      <c r="C1755" s="9">
        <v>0</v>
      </c>
      <c r="D1755" s="9">
        <v>0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R1755" s="9">
        <v>0</v>
      </c>
      <c r="S1755" s="9">
        <v>1</v>
      </c>
      <c r="T1755" s="9">
        <v>0</v>
      </c>
      <c r="U1755" s="9">
        <v>0</v>
      </c>
      <c r="V1755" s="9">
        <v>0</v>
      </c>
      <c r="W1755" s="9">
        <v>0</v>
      </c>
      <c r="X1755" s="9">
        <v>2</v>
      </c>
      <c r="AE1755" s="9">
        <f>IFERROR(VLOOKUP($A1755,pivot!$A:$G,計算式2026!AE$1,FALSE),0)</f>
        <v>0</v>
      </c>
      <c r="AF1755" s="9">
        <f>IFERROR(VLOOKUP($A1755,pivot!$A:$I,計算式2026!AF$1,FALSE),0)</f>
        <v>0</v>
      </c>
      <c r="AI1755" s="9">
        <f>IFERROR(VLOOKUP($A1755,pivot!$A:$I,計算式2026!AI$1,FALSE),0)</f>
        <v>0</v>
      </c>
      <c r="AJ1755" s="9">
        <f>IFERROR(VLOOKUP($A1755,pivot!$A:$I,計算式2026!AJ$1,FALSE),0)</f>
        <v>0</v>
      </c>
      <c r="AK1755" s="9">
        <f>IFERROR(VLOOKUP($A1755,pivot!$A:$I,計算式2026!AK$1,FALSE),0)</f>
        <v>0</v>
      </c>
      <c r="AL1755" s="9">
        <f>IFERROR(VLOOKUP($A1755,pivot!$A:$I,計算式2026!AL$1,FALSE),0)</f>
        <v>0</v>
      </c>
      <c r="AR1755" s="8"/>
      <c r="AS1755" s="8"/>
      <c r="AT1755" s="8"/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8"/>
      <c r="BG1755" s="8"/>
    </row>
    <row r="1756" spans="1:59" s="9" customFormat="1">
      <c r="A1756" s="8" t="s">
        <v>1088</v>
      </c>
      <c r="B1756" s="8" t="s">
        <v>1087</v>
      </c>
      <c r="C1756" s="9">
        <v>0</v>
      </c>
      <c r="D1756" s="9">
        <v>0</v>
      </c>
      <c r="E1756" s="9">
        <v>0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1</v>
      </c>
      <c r="AE1756" s="9">
        <f>IFERROR(VLOOKUP($A1756,pivot!$A:$G,計算式2026!AE$1,FALSE),0)</f>
        <v>0</v>
      </c>
      <c r="AF1756" s="9">
        <f>IFERROR(VLOOKUP($A1756,pivot!$A:$I,計算式2026!AF$1,FALSE),0)</f>
        <v>0</v>
      </c>
      <c r="AI1756" s="9">
        <f>IFERROR(VLOOKUP($A1756,pivot!$A:$I,計算式2026!AI$1,FALSE),0)</f>
        <v>0</v>
      </c>
      <c r="AJ1756" s="9">
        <f>IFERROR(VLOOKUP($A1756,pivot!$A:$I,計算式2026!AJ$1,FALSE),0)</f>
        <v>0</v>
      </c>
      <c r="AK1756" s="9">
        <f>IFERROR(VLOOKUP($A1756,pivot!$A:$I,計算式2026!AK$1,FALSE),0)</f>
        <v>0</v>
      </c>
      <c r="AL1756" s="9">
        <f>IFERROR(VLOOKUP($A1756,pivot!$A:$I,計算式2026!AL$1,FALSE),0)</f>
        <v>0</v>
      </c>
      <c r="AR1756" s="8"/>
      <c r="AS1756" s="8"/>
      <c r="AT1756" s="8"/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8"/>
      <c r="BG1756" s="8"/>
    </row>
    <row r="1757" spans="1:59" s="9" customFormat="1">
      <c r="A1757" s="8">
        <v>8283355048</v>
      </c>
      <c r="B1757" s="8" t="s">
        <v>1087</v>
      </c>
      <c r="C1757" s="9">
        <v>0</v>
      </c>
      <c r="D1757" s="9">
        <v>0</v>
      </c>
      <c r="E1757" s="9">
        <v>0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R1757" s="9">
        <v>0</v>
      </c>
      <c r="S1757" s="9">
        <v>1</v>
      </c>
      <c r="T1757" s="9">
        <v>0</v>
      </c>
      <c r="U1757" s="9">
        <v>0</v>
      </c>
      <c r="V1757" s="9">
        <v>1</v>
      </c>
      <c r="W1757" s="9">
        <v>0</v>
      </c>
      <c r="X1757" s="9">
        <v>2</v>
      </c>
      <c r="AE1757" s="9">
        <f>IFERROR(VLOOKUP($A1757,pivot!$A:$G,計算式2026!AE$1,FALSE),0)</f>
        <v>0</v>
      </c>
      <c r="AF1757" s="9">
        <f>IFERROR(VLOOKUP($A1757,pivot!$A:$I,計算式2026!AF$1,FALSE),0)</f>
        <v>0</v>
      </c>
      <c r="AI1757" s="9">
        <f>IFERROR(VLOOKUP($A1757,pivot!$A:$I,計算式2026!AI$1,FALSE),0)</f>
        <v>0</v>
      </c>
      <c r="AJ1757" s="9">
        <f>IFERROR(VLOOKUP($A1757,pivot!$A:$I,計算式2026!AJ$1,FALSE),0)</f>
        <v>0</v>
      </c>
      <c r="AK1757" s="9">
        <f>IFERROR(VLOOKUP($A1757,pivot!$A:$I,計算式2026!AK$1,FALSE),0)</f>
        <v>0</v>
      </c>
      <c r="AL1757" s="9">
        <f>IFERROR(VLOOKUP($A1757,pivot!$A:$I,計算式2026!AL$1,FALSE),0)</f>
        <v>0</v>
      </c>
      <c r="AR1757" s="8"/>
      <c r="AS1757" s="8"/>
      <c r="AT1757" s="8"/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8"/>
      <c r="BG1757" s="8"/>
    </row>
    <row r="1758" spans="1:59" s="9" customFormat="1">
      <c r="A1758" s="8">
        <v>8283355050</v>
      </c>
      <c r="B1758" s="8" t="s">
        <v>1087</v>
      </c>
      <c r="C1758" s="9">
        <v>0</v>
      </c>
      <c r="D1758" s="9">
        <v>0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2</v>
      </c>
      <c r="AE1758" s="9">
        <f>IFERROR(VLOOKUP($A1758,pivot!$A:$G,計算式2026!AE$1,FALSE),0)</f>
        <v>0</v>
      </c>
      <c r="AF1758" s="9">
        <f>IFERROR(VLOOKUP($A1758,pivot!$A:$I,計算式2026!AF$1,FALSE),0)</f>
        <v>0</v>
      </c>
      <c r="AI1758" s="9">
        <f>IFERROR(VLOOKUP($A1758,pivot!$A:$I,計算式2026!AI$1,FALSE),0)</f>
        <v>0</v>
      </c>
      <c r="AJ1758" s="9">
        <f>IFERROR(VLOOKUP($A1758,pivot!$A:$I,計算式2026!AJ$1,FALSE),0)</f>
        <v>0</v>
      </c>
      <c r="AK1758" s="9">
        <f>IFERROR(VLOOKUP($A1758,pivot!$A:$I,計算式2026!AK$1,FALSE),0)</f>
        <v>0</v>
      </c>
      <c r="AL1758" s="9">
        <f>IFERROR(VLOOKUP($A1758,pivot!$A:$I,計算式2026!AL$1,FALSE),0)</f>
        <v>0</v>
      </c>
      <c r="AR1758" s="8"/>
      <c r="AS1758" s="8"/>
      <c r="AT1758" s="8"/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8"/>
      <c r="BG1758" s="8"/>
    </row>
    <row r="1759" spans="1:59" s="9" customFormat="1">
      <c r="A1759" s="8" t="s">
        <v>2318</v>
      </c>
      <c r="B1759" s="8" t="s">
        <v>1089</v>
      </c>
      <c r="C1759" s="9">
        <v>0</v>
      </c>
      <c r="D1759" s="9">
        <v>0</v>
      </c>
      <c r="E1759" s="9">
        <v>0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R1759" s="9">
        <v>0</v>
      </c>
      <c r="S1759" s="9">
        <v>1</v>
      </c>
      <c r="T1759" s="9">
        <v>1</v>
      </c>
      <c r="U1759" s="9">
        <v>0</v>
      </c>
      <c r="V1759" s="9">
        <v>1</v>
      </c>
      <c r="W1759" s="9">
        <v>0</v>
      </c>
      <c r="X1759" s="9">
        <v>0</v>
      </c>
      <c r="AE1759" s="9">
        <f>IFERROR(VLOOKUP($A1759,pivot!$A:$G,計算式2026!AE$1,FALSE),0)</f>
        <v>0</v>
      </c>
      <c r="AF1759" s="9">
        <f>IFERROR(VLOOKUP($A1759,pivot!$A:$I,計算式2026!AF$1,FALSE),0)</f>
        <v>0</v>
      </c>
      <c r="AI1759" s="9">
        <f>IFERROR(VLOOKUP($A1759,pivot!$A:$I,計算式2026!AI$1,FALSE),0)</f>
        <v>0</v>
      </c>
      <c r="AJ1759" s="9">
        <f>IFERROR(VLOOKUP($A1759,pivot!$A:$I,計算式2026!AJ$1,FALSE),0)</f>
        <v>0</v>
      </c>
      <c r="AK1759" s="9">
        <f>IFERROR(VLOOKUP($A1759,pivot!$A:$I,計算式2026!AK$1,FALSE),0)</f>
        <v>0</v>
      </c>
      <c r="AL1759" s="9">
        <f>IFERROR(VLOOKUP($A1759,pivot!$A:$I,計算式2026!AL$1,FALSE),0)</f>
        <v>0</v>
      </c>
      <c r="AR1759" s="8"/>
      <c r="AS1759" s="8"/>
      <c r="AT1759" s="8"/>
      <c r="AU1759" s="8"/>
      <c r="AV1759" s="8"/>
      <c r="AW1759" s="8"/>
      <c r="AX1759" s="8"/>
      <c r="AY1759" s="8"/>
      <c r="AZ1759" s="8"/>
      <c r="BA1759" s="8"/>
      <c r="BB1759" s="8"/>
      <c r="BC1759" s="8"/>
      <c r="BD1759" s="8"/>
      <c r="BE1759" s="8"/>
      <c r="BF1759" s="8"/>
      <c r="BG1759" s="8"/>
    </row>
    <row r="1760" spans="1:59" s="9" customFormat="1">
      <c r="A1760" s="8" t="s">
        <v>2319</v>
      </c>
      <c r="B1760" s="8" t="s">
        <v>1089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R1760" s="9">
        <v>0</v>
      </c>
      <c r="S1760" s="9">
        <v>1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AE1760" s="9">
        <f>IFERROR(VLOOKUP($A1760,pivot!$A:$G,計算式2026!AE$1,FALSE),0)</f>
        <v>0</v>
      </c>
      <c r="AF1760" s="9">
        <f>IFERROR(VLOOKUP($A1760,pivot!$A:$I,計算式2026!AF$1,FALSE),0)</f>
        <v>0</v>
      </c>
      <c r="AI1760" s="9">
        <f>IFERROR(VLOOKUP($A1760,pivot!$A:$I,計算式2026!AI$1,FALSE),0)</f>
        <v>0</v>
      </c>
      <c r="AJ1760" s="9">
        <f>IFERROR(VLOOKUP($A1760,pivot!$A:$I,計算式2026!AJ$1,FALSE),0)</f>
        <v>0</v>
      </c>
      <c r="AK1760" s="9">
        <f>IFERROR(VLOOKUP($A1760,pivot!$A:$I,計算式2026!AK$1,FALSE),0)</f>
        <v>0</v>
      </c>
      <c r="AL1760" s="9">
        <f>IFERROR(VLOOKUP($A1760,pivot!$A:$I,計算式2026!AL$1,FALSE),0)</f>
        <v>0</v>
      </c>
      <c r="AR1760" s="8"/>
      <c r="AS1760" s="8"/>
      <c r="AT1760" s="8"/>
      <c r="AU1760" s="8"/>
      <c r="AV1760" s="8"/>
      <c r="AW1760" s="8"/>
      <c r="AX1760" s="8"/>
      <c r="AY1760" s="8"/>
      <c r="AZ1760" s="8"/>
      <c r="BA1760" s="8"/>
      <c r="BB1760" s="8"/>
      <c r="BC1760" s="8"/>
      <c r="BD1760" s="8"/>
      <c r="BE1760" s="8"/>
      <c r="BF1760" s="8"/>
      <c r="BG1760" s="8"/>
    </row>
    <row r="1761" spans="1:59" s="9" customFormat="1">
      <c r="A1761" s="8" t="s">
        <v>2320</v>
      </c>
      <c r="B1761" s="8" t="s">
        <v>1089</v>
      </c>
      <c r="C1761" s="9">
        <v>0</v>
      </c>
      <c r="D1761" s="9">
        <v>0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AE1761" s="9">
        <f>IFERROR(VLOOKUP($A1761,pivot!$A:$G,計算式2026!AE$1,FALSE),0)</f>
        <v>0</v>
      </c>
      <c r="AF1761" s="9">
        <f>IFERROR(VLOOKUP($A1761,pivot!$A:$I,計算式2026!AF$1,FALSE),0)</f>
        <v>0</v>
      </c>
      <c r="AI1761" s="9">
        <f>IFERROR(VLOOKUP($A1761,pivot!$A:$I,計算式2026!AI$1,FALSE),0)</f>
        <v>0</v>
      </c>
      <c r="AJ1761" s="9">
        <f>IFERROR(VLOOKUP($A1761,pivot!$A:$I,計算式2026!AJ$1,FALSE),0)</f>
        <v>0</v>
      </c>
      <c r="AK1761" s="9">
        <f>IFERROR(VLOOKUP($A1761,pivot!$A:$I,計算式2026!AK$1,FALSE),0)</f>
        <v>0</v>
      </c>
      <c r="AL1761" s="9">
        <f>IFERROR(VLOOKUP($A1761,pivot!$A:$I,計算式2026!AL$1,FALSE),0)</f>
        <v>0</v>
      </c>
      <c r="AR1761" s="8"/>
      <c r="AS1761" s="8"/>
      <c r="AT1761" s="8"/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8"/>
      <c r="BG1761" s="8"/>
    </row>
    <row r="1762" spans="1:59" s="9" customFormat="1">
      <c r="A1762" s="8" t="s">
        <v>2321</v>
      </c>
      <c r="B1762" s="8" t="s">
        <v>1089</v>
      </c>
      <c r="C1762" s="9">
        <v>0</v>
      </c>
      <c r="D1762" s="9">
        <v>0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R1762" s="9">
        <v>0</v>
      </c>
      <c r="S1762" s="9">
        <v>1</v>
      </c>
      <c r="T1762" s="9">
        <v>1</v>
      </c>
      <c r="U1762" s="9">
        <v>0</v>
      </c>
      <c r="V1762" s="9">
        <v>0</v>
      </c>
      <c r="W1762" s="9">
        <v>0</v>
      </c>
      <c r="X1762" s="9">
        <v>1</v>
      </c>
      <c r="AE1762" s="9">
        <f>IFERROR(VLOOKUP($A1762,pivot!$A:$G,計算式2026!AE$1,FALSE),0)</f>
        <v>0</v>
      </c>
      <c r="AF1762" s="9">
        <f>IFERROR(VLOOKUP($A1762,pivot!$A:$I,計算式2026!AF$1,FALSE),0)</f>
        <v>0</v>
      </c>
      <c r="AI1762" s="9">
        <f>IFERROR(VLOOKUP($A1762,pivot!$A:$I,計算式2026!AI$1,FALSE),0)</f>
        <v>0</v>
      </c>
      <c r="AJ1762" s="9">
        <f>IFERROR(VLOOKUP($A1762,pivot!$A:$I,計算式2026!AJ$1,FALSE),0)</f>
        <v>0</v>
      </c>
      <c r="AK1762" s="9">
        <f>IFERROR(VLOOKUP($A1762,pivot!$A:$I,計算式2026!AK$1,FALSE),0)</f>
        <v>0</v>
      </c>
      <c r="AL1762" s="9">
        <f>IFERROR(VLOOKUP($A1762,pivot!$A:$I,計算式2026!AL$1,FALSE),0)</f>
        <v>0</v>
      </c>
      <c r="AR1762" s="8"/>
      <c r="AS1762" s="8"/>
      <c r="AT1762" s="8"/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8"/>
      <c r="BG1762" s="8"/>
    </row>
    <row r="1763" spans="1:59" s="9" customFormat="1">
      <c r="A1763" s="8" t="s">
        <v>2322</v>
      </c>
      <c r="B1763" s="8" t="s">
        <v>1089</v>
      </c>
      <c r="C1763" s="9">
        <v>0</v>
      </c>
      <c r="D1763" s="9">
        <v>0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R1763" s="9">
        <v>0</v>
      </c>
      <c r="S1763" s="9">
        <v>1</v>
      </c>
      <c r="T1763" s="9">
        <v>1</v>
      </c>
      <c r="U1763" s="9">
        <v>0</v>
      </c>
      <c r="V1763" s="9">
        <v>2</v>
      </c>
      <c r="W1763" s="9">
        <v>0</v>
      </c>
      <c r="X1763" s="9">
        <v>1</v>
      </c>
      <c r="AE1763" s="9">
        <f>IFERROR(VLOOKUP($A1763,pivot!$A:$G,計算式2026!AE$1,FALSE),0)</f>
        <v>0</v>
      </c>
      <c r="AF1763" s="9">
        <f>IFERROR(VLOOKUP($A1763,pivot!$A:$I,計算式2026!AF$1,FALSE),0)</f>
        <v>0</v>
      </c>
      <c r="AI1763" s="9">
        <f>IFERROR(VLOOKUP($A1763,pivot!$A:$I,計算式2026!AI$1,FALSE),0)</f>
        <v>0</v>
      </c>
      <c r="AJ1763" s="9">
        <f>IFERROR(VLOOKUP($A1763,pivot!$A:$I,計算式2026!AJ$1,FALSE),0)</f>
        <v>0</v>
      </c>
      <c r="AK1763" s="9">
        <f>IFERROR(VLOOKUP($A1763,pivot!$A:$I,計算式2026!AK$1,FALSE),0)</f>
        <v>0</v>
      </c>
      <c r="AL1763" s="9">
        <f>IFERROR(VLOOKUP($A1763,pivot!$A:$I,計算式2026!AL$1,FALSE),0)</f>
        <v>0</v>
      </c>
      <c r="AR1763" s="8"/>
      <c r="AS1763" s="8"/>
      <c r="AT1763" s="8"/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8"/>
      <c r="BG1763" s="8"/>
    </row>
    <row r="1764" spans="1:59" s="9" customFormat="1">
      <c r="A1764" s="8" t="s">
        <v>2323</v>
      </c>
      <c r="B1764" s="8" t="s">
        <v>1089</v>
      </c>
      <c r="C1764" s="9">
        <v>0</v>
      </c>
      <c r="D1764" s="9">
        <v>0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1</v>
      </c>
      <c r="W1764" s="9">
        <v>0</v>
      </c>
      <c r="X1764" s="9">
        <v>0</v>
      </c>
      <c r="AE1764" s="9">
        <f>IFERROR(VLOOKUP($A1764,pivot!$A:$G,計算式2026!AE$1,FALSE),0)</f>
        <v>0</v>
      </c>
      <c r="AF1764" s="9">
        <f>IFERROR(VLOOKUP($A1764,pivot!$A:$I,計算式2026!AF$1,FALSE),0)</f>
        <v>0</v>
      </c>
      <c r="AI1764" s="9">
        <f>IFERROR(VLOOKUP($A1764,pivot!$A:$I,計算式2026!AI$1,FALSE),0)</f>
        <v>0</v>
      </c>
      <c r="AJ1764" s="9">
        <f>IFERROR(VLOOKUP($A1764,pivot!$A:$I,計算式2026!AJ$1,FALSE),0)</f>
        <v>0</v>
      </c>
      <c r="AK1764" s="9">
        <f>IFERROR(VLOOKUP($A1764,pivot!$A:$I,計算式2026!AK$1,FALSE),0)</f>
        <v>0</v>
      </c>
      <c r="AL1764" s="9">
        <f>IFERROR(VLOOKUP($A1764,pivot!$A:$I,計算式2026!AL$1,FALSE),0)</f>
        <v>0</v>
      </c>
      <c r="AR1764" s="8"/>
      <c r="AS1764" s="8"/>
      <c r="AT1764" s="8"/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8"/>
      <c r="BG1764" s="8"/>
    </row>
    <row r="1765" spans="1:59" s="9" customFormat="1">
      <c r="A1765" s="8" t="s">
        <v>1090</v>
      </c>
      <c r="B1765" s="8" t="s">
        <v>1089</v>
      </c>
      <c r="C1765" s="9">
        <v>0</v>
      </c>
      <c r="D1765" s="9">
        <v>0</v>
      </c>
      <c r="E1765" s="9">
        <v>0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AE1765" s="9">
        <f>IFERROR(VLOOKUP($A1765,pivot!$A:$G,計算式2026!AE$1,FALSE),0)</f>
        <v>0</v>
      </c>
      <c r="AF1765" s="9">
        <f>IFERROR(VLOOKUP($A1765,pivot!$A:$I,計算式2026!AF$1,FALSE),0)</f>
        <v>0</v>
      </c>
      <c r="AI1765" s="9">
        <f>IFERROR(VLOOKUP($A1765,pivot!$A:$I,計算式2026!AI$1,FALSE),0)</f>
        <v>0</v>
      </c>
      <c r="AJ1765" s="9">
        <f>IFERROR(VLOOKUP($A1765,pivot!$A:$I,計算式2026!AJ$1,FALSE),0)</f>
        <v>0</v>
      </c>
      <c r="AK1765" s="9">
        <f>IFERROR(VLOOKUP($A1765,pivot!$A:$I,計算式2026!AK$1,FALSE),0)</f>
        <v>0</v>
      </c>
      <c r="AL1765" s="9">
        <f>IFERROR(VLOOKUP($A1765,pivot!$A:$I,計算式2026!AL$1,FALSE),0)</f>
        <v>0</v>
      </c>
      <c r="AR1765" s="8"/>
      <c r="AS1765" s="8"/>
      <c r="AT1765" s="8"/>
      <c r="AU1765" s="8"/>
      <c r="AV1765" s="8"/>
      <c r="AW1765" s="8"/>
      <c r="AX1765" s="8"/>
      <c r="AY1765" s="8"/>
      <c r="AZ1765" s="8"/>
      <c r="BA1765" s="8"/>
      <c r="BB1765" s="8"/>
      <c r="BC1765" s="8"/>
      <c r="BD1765" s="8"/>
      <c r="BE1765" s="8"/>
      <c r="BF1765" s="8"/>
      <c r="BG1765" s="8"/>
    </row>
    <row r="1766" spans="1:59" s="9" customFormat="1">
      <c r="A1766" s="8" t="s">
        <v>1092</v>
      </c>
      <c r="B1766" s="8" t="s">
        <v>1091</v>
      </c>
      <c r="C1766" s="9">
        <v>0</v>
      </c>
      <c r="D1766" s="9">
        <v>0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R1766" s="9">
        <v>0</v>
      </c>
      <c r="S1766" s="9">
        <v>1</v>
      </c>
      <c r="T1766" s="9">
        <v>0</v>
      </c>
      <c r="U1766" s="9">
        <v>0</v>
      </c>
      <c r="V1766" s="9">
        <v>1</v>
      </c>
      <c r="W1766" s="9">
        <v>0</v>
      </c>
      <c r="X1766" s="9">
        <v>0</v>
      </c>
      <c r="AE1766" s="9">
        <f>IFERROR(VLOOKUP($A1766,pivot!$A:$G,計算式2026!AE$1,FALSE),0)</f>
        <v>0</v>
      </c>
      <c r="AF1766" s="9">
        <f>IFERROR(VLOOKUP($A1766,pivot!$A:$I,計算式2026!AF$1,FALSE),0)</f>
        <v>0</v>
      </c>
      <c r="AI1766" s="9">
        <f>IFERROR(VLOOKUP($A1766,pivot!$A:$I,計算式2026!AI$1,FALSE),0)</f>
        <v>0</v>
      </c>
      <c r="AJ1766" s="9">
        <f>IFERROR(VLOOKUP($A1766,pivot!$A:$I,計算式2026!AJ$1,FALSE),0)</f>
        <v>0</v>
      </c>
      <c r="AK1766" s="9">
        <f>IFERROR(VLOOKUP($A1766,pivot!$A:$I,計算式2026!AK$1,FALSE),0)</f>
        <v>0</v>
      </c>
      <c r="AL1766" s="9">
        <f>IFERROR(VLOOKUP($A1766,pivot!$A:$I,計算式2026!AL$1,FALSE),0)</f>
        <v>0</v>
      </c>
      <c r="AR1766" s="8"/>
      <c r="AS1766" s="8"/>
      <c r="AT1766" s="8"/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8"/>
      <c r="BG1766" s="8"/>
    </row>
    <row r="1767" spans="1:59" s="9" customFormat="1">
      <c r="A1767" s="8" t="s">
        <v>1093</v>
      </c>
      <c r="B1767" s="8" t="s">
        <v>1091</v>
      </c>
      <c r="C1767" s="9">
        <v>1</v>
      </c>
      <c r="D1767" s="9">
        <v>0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R1767" s="9">
        <v>0</v>
      </c>
      <c r="S1767" s="9">
        <v>1</v>
      </c>
      <c r="T1767" s="9">
        <v>0</v>
      </c>
      <c r="U1767" s="9">
        <v>0</v>
      </c>
      <c r="V1767" s="9">
        <v>2</v>
      </c>
      <c r="W1767" s="9">
        <v>0</v>
      </c>
      <c r="X1767" s="9">
        <v>0</v>
      </c>
      <c r="AE1767" s="9">
        <f>IFERROR(VLOOKUP($A1767,pivot!$A:$G,計算式2026!AE$1,FALSE),0)</f>
        <v>0</v>
      </c>
      <c r="AF1767" s="9">
        <f>IFERROR(VLOOKUP($A1767,pivot!$A:$I,計算式2026!AF$1,FALSE),0)</f>
        <v>0</v>
      </c>
      <c r="AI1767" s="9">
        <f>IFERROR(VLOOKUP($A1767,pivot!$A:$I,計算式2026!AI$1,FALSE),0)</f>
        <v>0</v>
      </c>
      <c r="AJ1767" s="9">
        <f>IFERROR(VLOOKUP($A1767,pivot!$A:$I,計算式2026!AJ$1,FALSE),0)</f>
        <v>0</v>
      </c>
      <c r="AK1767" s="9">
        <f>IFERROR(VLOOKUP($A1767,pivot!$A:$I,計算式2026!AK$1,FALSE),0)</f>
        <v>0</v>
      </c>
      <c r="AL1767" s="9">
        <f>IFERROR(VLOOKUP($A1767,pivot!$A:$I,計算式2026!AL$1,FALSE),0)</f>
        <v>0</v>
      </c>
      <c r="AR1767" s="8"/>
      <c r="AS1767" s="8"/>
      <c r="AT1767" s="8"/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8"/>
      <c r="BG1767" s="8"/>
    </row>
    <row r="1768" spans="1:59" s="9" customFormat="1">
      <c r="A1768" s="8" t="s">
        <v>1094</v>
      </c>
      <c r="B1768" s="8" t="s">
        <v>1091</v>
      </c>
      <c r="C1768" s="9">
        <v>0</v>
      </c>
      <c r="D1768" s="9">
        <v>0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R1768" s="9">
        <v>0</v>
      </c>
      <c r="S1768" s="9">
        <v>1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AE1768" s="9">
        <f>IFERROR(VLOOKUP($A1768,pivot!$A:$G,計算式2026!AE$1,FALSE),0)</f>
        <v>0</v>
      </c>
      <c r="AF1768" s="9">
        <f>IFERROR(VLOOKUP($A1768,pivot!$A:$I,計算式2026!AF$1,FALSE),0)</f>
        <v>0</v>
      </c>
      <c r="AI1768" s="9">
        <f>IFERROR(VLOOKUP($A1768,pivot!$A:$I,計算式2026!AI$1,FALSE),0)</f>
        <v>0</v>
      </c>
      <c r="AJ1768" s="9">
        <f>IFERROR(VLOOKUP($A1768,pivot!$A:$I,計算式2026!AJ$1,FALSE),0)</f>
        <v>0</v>
      </c>
      <c r="AK1768" s="9">
        <f>IFERROR(VLOOKUP($A1768,pivot!$A:$I,計算式2026!AK$1,FALSE),0)</f>
        <v>0</v>
      </c>
      <c r="AL1768" s="9">
        <f>IFERROR(VLOOKUP($A1768,pivot!$A:$I,計算式2026!AL$1,FALSE),0)</f>
        <v>0</v>
      </c>
      <c r="AR1768" s="8"/>
      <c r="AS1768" s="8"/>
      <c r="AT1768" s="8"/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8"/>
      <c r="BG1768" s="8"/>
    </row>
    <row r="1769" spans="1:59" s="9" customFormat="1">
      <c r="A1769" s="8" t="s">
        <v>1095</v>
      </c>
      <c r="B1769" s="8" t="s">
        <v>1091</v>
      </c>
      <c r="C1769" s="9">
        <v>0</v>
      </c>
      <c r="D1769" s="9">
        <v>0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0</v>
      </c>
      <c r="R1769" s="9">
        <v>0</v>
      </c>
      <c r="S1769" s="9">
        <v>1</v>
      </c>
      <c r="T1769" s="9">
        <v>0</v>
      </c>
      <c r="U1769" s="9">
        <v>0</v>
      </c>
      <c r="V1769" s="9">
        <v>2</v>
      </c>
      <c r="W1769" s="9">
        <v>0</v>
      </c>
      <c r="X1769" s="9">
        <v>0</v>
      </c>
      <c r="AE1769" s="9">
        <f>IFERROR(VLOOKUP($A1769,pivot!$A:$G,計算式2026!AE$1,FALSE),0)</f>
        <v>0</v>
      </c>
      <c r="AF1769" s="9">
        <f>IFERROR(VLOOKUP($A1769,pivot!$A:$I,計算式2026!AF$1,FALSE),0)</f>
        <v>0</v>
      </c>
      <c r="AI1769" s="9">
        <f>IFERROR(VLOOKUP($A1769,pivot!$A:$I,計算式2026!AI$1,FALSE),0)</f>
        <v>0</v>
      </c>
      <c r="AJ1769" s="9">
        <f>IFERROR(VLOOKUP($A1769,pivot!$A:$I,計算式2026!AJ$1,FALSE),0)</f>
        <v>0</v>
      </c>
      <c r="AK1769" s="9">
        <f>IFERROR(VLOOKUP($A1769,pivot!$A:$I,計算式2026!AK$1,FALSE),0)</f>
        <v>0</v>
      </c>
      <c r="AL1769" s="9">
        <f>IFERROR(VLOOKUP($A1769,pivot!$A:$I,計算式2026!AL$1,FALSE),0)</f>
        <v>0</v>
      </c>
      <c r="AR1769" s="8"/>
      <c r="AS1769" s="8"/>
      <c r="AT1769" s="8"/>
      <c r="AU1769" s="8"/>
      <c r="AV1769" s="8"/>
      <c r="AW1769" s="8"/>
      <c r="AX1769" s="8"/>
      <c r="AY1769" s="8"/>
      <c r="AZ1769" s="8"/>
      <c r="BA1769" s="8"/>
      <c r="BB1769" s="8"/>
      <c r="BC1769" s="8"/>
      <c r="BD1769" s="8"/>
      <c r="BE1769" s="8"/>
      <c r="BF1769" s="8"/>
      <c r="BG1769" s="8"/>
    </row>
    <row r="1770" spans="1:59" s="9" customFormat="1">
      <c r="A1770" s="8" t="s">
        <v>1096</v>
      </c>
      <c r="B1770" s="8" t="s">
        <v>1091</v>
      </c>
      <c r="C1770" s="9">
        <v>1</v>
      </c>
      <c r="D1770" s="9">
        <v>0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0</v>
      </c>
      <c r="R1770" s="9">
        <v>0</v>
      </c>
      <c r="S1770" s="9">
        <v>1</v>
      </c>
      <c r="T1770" s="9">
        <v>0</v>
      </c>
      <c r="U1770" s="9">
        <v>0</v>
      </c>
      <c r="V1770" s="9">
        <v>3</v>
      </c>
      <c r="W1770" s="9">
        <v>0</v>
      </c>
      <c r="X1770" s="9">
        <v>0</v>
      </c>
      <c r="AE1770" s="9">
        <f>IFERROR(VLOOKUP($A1770,pivot!$A:$G,計算式2026!AE$1,FALSE),0)</f>
        <v>0</v>
      </c>
      <c r="AF1770" s="9">
        <f>IFERROR(VLOOKUP($A1770,pivot!$A:$I,計算式2026!AF$1,FALSE),0)</f>
        <v>0</v>
      </c>
      <c r="AI1770" s="9">
        <f>IFERROR(VLOOKUP($A1770,pivot!$A:$I,計算式2026!AI$1,FALSE),0)</f>
        <v>0</v>
      </c>
      <c r="AJ1770" s="9">
        <f>IFERROR(VLOOKUP($A1770,pivot!$A:$I,計算式2026!AJ$1,FALSE),0)</f>
        <v>0</v>
      </c>
      <c r="AK1770" s="9">
        <f>IFERROR(VLOOKUP($A1770,pivot!$A:$I,計算式2026!AK$1,FALSE),0)</f>
        <v>0</v>
      </c>
      <c r="AL1770" s="9">
        <f>IFERROR(VLOOKUP($A1770,pivot!$A:$I,計算式2026!AL$1,FALSE),0)</f>
        <v>0</v>
      </c>
      <c r="AR1770" s="8"/>
      <c r="AS1770" s="8"/>
      <c r="AT1770" s="8"/>
      <c r="AU1770" s="8"/>
      <c r="AV1770" s="8"/>
      <c r="AW1770" s="8"/>
      <c r="AX1770" s="8"/>
      <c r="AY1770" s="8"/>
      <c r="AZ1770" s="8"/>
      <c r="BA1770" s="8"/>
      <c r="BB1770" s="8"/>
      <c r="BC1770" s="8"/>
      <c r="BD1770" s="8"/>
      <c r="BE1770" s="8"/>
      <c r="BF1770" s="8"/>
      <c r="BG1770" s="8"/>
    </row>
    <row r="1771" spans="1:59" s="9" customFormat="1">
      <c r="A1771" s="8" t="s">
        <v>1097</v>
      </c>
      <c r="B1771" s="8" t="s">
        <v>1091</v>
      </c>
      <c r="C1771" s="9">
        <v>0</v>
      </c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1</v>
      </c>
      <c r="W1771" s="9">
        <v>0</v>
      </c>
      <c r="X1771" s="9">
        <v>0</v>
      </c>
      <c r="AE1771" s="9">
        <f>IFERROR(VLOOKUP($A1771,pivot!$A:$G,計算式2026!AE$1,FALSE),0)</f>
        <v>0</v>
      </c>
      <c r="AF1771" s="9">
        <f>IFERROR(VLOOKUP($A1771,pivot!$A:$I,計算式2026!AF$1,FALSE),0)</f>
        <v>0</v>
      </c>
      <c r="AI1771" s="9">
        <f>IFERROR(VLOOKUP($A1771,pivot!$A:$I,計算式2026!AI$1,FALSE),0)</f>
        <v>0</v>
      </c>
      <c r="AJ1771" s="9">
        <f>IFERROR(VLOOKUP($A1771,pivot!$A:$I,計算式2026!AJ$1,FALSE),0)</f>
        <v>0</v>
      </c>
      <c r="AK1771" s="9">
        <f>IFERROR(VLOOKUP($A1771,pivot!$A:$I,計算式2026!AK$1,FALSE),0)</f>
        <v>0</v>
      </c>
      <c r="AL1771" s="9">
        <f>IFERROR(VLOOKUP($A1771,pivot!$A:$I,計算式2026!AL$1,FALSE),0)</f>
        <v>0</v>
      </c>
      <c r="AR1771" s="8"/>
      <c r="AS1771" s="8"/>
      <c r="AT1771" s="8"/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8"/>
      <c r="BG1771" s="8"/>
    </row>
    <row r="1772" spans="1:59" s="9" customFormat="1">
      <c r="A1772" s="8">
        <v>8289402146</v>
      </c>
      <c r="B1772" s="8" t="s">
        <v>2324</v>
      </c>
      <c r="C1772" s="9">
        <v>6</v>
      </c>
      <c r="D1772" s="9">
        <v>2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R1772" s="9">
        <v>0</v>
      </c>
      <c r="S1772" s="9">
        <v>0</v>
      </c>
      <c r="T1772" s="9">
        <v>1</v>
      </c>
      <c r="U1772" s="9">
        <v>0</v>
      </c>
      <c r="V1772" s="9">
        <v>0</v>
      </c>
      <c r="W1772" s="9">
        <v>0</v>
      </c>
      <c r="X1772" s="9">
        <v>1</v>
      </c>
      <c r="AE1772" s="9">
        <f>IFERROR(VLOOKUP($A1772,pivot!$A:$G,計算式2026!AE$1,FALSE),0)</f>
        <v>0</v>
      </c>
      <c r="AF1772" s="9">
        <f>IFERROR(VLOOKUP($A1772,pivot!$A:$I,計算式2026!AF$1,FALSE),0)</f>
        <v>0</v>
      </c>
      <c r="AI1772" s="9">
        <f>IFERROR(VLOOKUP($A1772,pivot!$A:$I,計算式2026!AI$1,FALSE),0)</f>
        <v>0</v>
      </c>
      <c r="AJ1772" s="9">
        <f>IFERROR(VLOOKUP($A1772,pivot!$A:$I,計算式2026!AJ$1,FALSE),0)</f>
        <v>0</v>
      </c>
      <c r="AK1772" s="9">
        <f>IFERROR(VLOOKUP($A1772,pivot!$A:$I,計算式2026!AK$1,FALSE),0)</f>
        <v>0</v>
      </c>
      <c r="AL1772" s="9">
        <f>IFERROR(VLOOKUP($A1772,pivot!$A:$I,計算式2026!AL$1,FALSE),0)</f>
        <v>0</v>
      </c>
      <c r="AR1772" s="8"/>
      <c r="AS1772" s="8"/>
      <c r="AT1772" s="8"/>
      <c r="AU1772" s="8"/>
      <c r="AV1772" s="8"/>
      <c r="AW1772" s="8"/>
      <c r="AX1772" s="8"/>
      <c r="AY1772" s="8"/>
      <c r="AZ1772" s="8"/>
      <c r="BA1772" s="8"/>
      <c r="BB1772" s="8"/>
      <c r="BC1772" s="8"/>
      <c r="BD1772" s="8"/>
      <c r="BE1772" s="8"/>
      <c r="BF1772" s="8"/>
      <c r="BG1772" s="8"/>
    </row>
    <row r="1773" spans="1:59" s="9" customFormat="1">
      <c r="A1773" s="8">
        <v>8289402148</v>
      </c>
      <c r="B1773" s="8" t="s">
        <v>2324</v>
      </c>
      <c r="C1773" s="9">
        <v>6</v>
      </c>
      <c r="D1773" s="9">
        <v>7</v>
      </c>
      <c r="E1773" s="9">
        <v>0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R1773" s="9">
        <v>0</v>
      </c>
      <c r="S1773" s="9">
        <v>0</v>
      </c>
      <c r="T1773" s="9">
        <v>1</v>
      </c>
      <c r="U1773" s="9">
        <v>0</v>
      </c>
      <c r="V1773" s="9">
        <v>0</v>
      </c>
      <c r="W1773" s="9">
        <v>0</v>
      </c>
      <c r="X1773" s="9">
        <v>1</v>
      </c>
      <c r="AE1773" s="9">
        <f>IFERROR(VLOOKUP($A1773,pivot!$A:$G,計算式2026!AE$1,FALSE),0)</f>
        <v>0</v>
      </c>
      <c r="AF1773" s="9">
        <f>IFERROR(VLOOKUP($A1773,pivot!$A:$I,計算式2026!AF$1,FALSE),0)</f>
        <v>0</v>
      </c>
      <c r="AI1773" s="9">
        <f>IFERROR(VLOOKUP($A1773,pivot!$A:$I,計算式2026!AI$1,FALSE),0)</f>
        <v>0</v>
      </c>
      <c r="AJ1773" s="9">
        <f>IFERROR(VLOOKUP($A1773,pivot!$A:$I,計算式2026!AJ$1,FALSE),0)</f>
        <v>0</v>
      </c>
      <c r="AK1773" s="9">
        <f>IFERROR(VLOOKUP($A1773,pivot!$A:$I,計算式2026!AK$1,FALSE),0)</f>
        <v>0</v>
      </c>
      <c r="AL1773" s="9">
        <f>IFERROR(VLOOKUP($A1773,pivot!$A:$I,計算式2026!AL$1,FALSE),0)</f>
        <v>0</v>
      </c>
      <c r="AR1773" s="8"/>
      <c r="AS1773" s="8"/>
      <c r="AT1773" s="8"/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8"/>
      <c r="BG1773" s="8"/>
    </row>
    <row r="1774" spans="1:59" s="9" customFormat="1">
      <c r="A1774" s="8">
        <v>8289402150</v>
      </c>
      <c r="B1774" s="8" t="s">
        <v>2324</v>
      </c>
      <c r="C1774" s="9">
        <v>0</v>
      </c>
      <c r="D1774" s="9">
        <v>0</v>
      </c>
      <c r="E1774" s="9">
        <v>0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1</v>
      </c>
      <c r="AE1774" s="9">
        <f>IFERROR(VLOOKUP($A1774,pivot!$A:$G,計算式2026!AE$1,FALSE),0)</f>
        <v>0</v>
      </c>
      <c r="AF1774" s="9">
        <f>IFERROR(VLOOKUP($A1774,pivot!$A:$I,計算式2026!AF$1,FALSE),0)</f>
        <v>0</v>
      </c>
      <c r="AI1774" s="9">
        <f>IFERROR(VLOOKUP($A1774,pivot!$A:$I,計算式2026!AI$1,FALSE),0)</f>
        <v>0</v>
      </c>
      <c r="AJ1774" s="9">
        <f>IFERROR(VLOOKUP($A1774,pivot!$A:$I,計算式2026!AJ$1,FALSE),0)</f>
        <v>0</v>
      </c>
      <c r="AK1774" s="9">
        <f>IFERROR(VLOOKUP($A1774,pivot!$A:$I,計算式2026!AK$1,FALSE),0)</f>
        <v>0</v>
      </c>
      <c r="AL1774" s="9">
        <f>IFERROR(VLOOKUP($A1774,pivot!$A:$I,計算式2026!AL$1,FALSE),0)</f>
        <v>0</v>
      </c>
      <c r="AR1774" s="8"/>
      <c r="AS1774" s="8"/>
      <c r="AT1774" s="8"/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8"/>
      <c r="BG1774" s="8"/>
    </row>
    <row r="1775" spans="1:59" s="9" customFormat="1">
      <c r="A1775" s="8">
        <v>8289456046</v>
      </c>
      <c r="B1775" s="8" t="s">
        <v>2324</v>
      </c>
      <c r="C1775" s="9">
        <v>6</v>
      </c>
      <c r="D1775" s="9">
        <v>3</v>
      </c>
      <c r="E1775" s="9">
        <v>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R1775" s="9">
        <v>0</v>
      </c>
      <c r="S1775" s="9">
        <v>0</v>
      </c>
      <c r="T1775" s="9">
        <v>1</v>
      </c>
      <c r="U1775" s="9">
        <v>0</v>
      </c>
      <c r="V1775" s="9">
        <v>0</v>
      </c>
      <c r="W1775" s="9">
        <v>0</v>
      </c>
      <c r="X1775" s="9">
        <v>1</v>
      </c>
      <c r="AE1775" s="9">
        <f>IFERROR(VLOOKUP($A1775,pivot!$A:$G,計算式2026!AE$1,FALSE),0)</f>
        <v>0</v>
      </c>
      <c r="AF1775" s="9">
        <f>IFERROR(VLOOKUP($A1775,pivot!$A:$I,計算式2026!AF$1,FALSE),0)</f>
        <v>0</v>
      </c>
      <c r="AI1775" s="9">
        <f>IFERROR(VLOOKUP($A1775,pivot!$A:$I,計算式2026!AI$1,FALSE),0)</f>
        <v>0</v>
      </c>
      <c r="AJ1775" s="9">
        <f>IFERROR(VLOOKUP($A1775,pivot!$A:$I,計算式2026!AJ$1,FALSE),0)</f>
        <v>0</v>
      </c>
      <c r="AK1775" s="9">
        <f>IFERROR(VLOOKUP($A1775,pivot!$A:$I,計算式2026!AK$1,FALSE),0)</f>
        <v>0</v>
      </c>
      <c r="AL1775" s="9">
        <f>IFERROR(VLOOKUP($A1775,pivot!$A:$I,計算式2026!AL$1,FALSE),0)</f>
        <v>0</v>
      </c>
      <c r="AR1775" s="8"/>
      <c r="AS1775" s="8"/>
      <c r="AT1775" s="8"/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8"/>
      <c r="BG1775" s="8"/>
    </row>
    <row r="1776" spans="1:59" s="9" customFormat="1">
      <c r="A1776" s="8">
        <v>8289456048</v>
      </c>
      <c r="B1776" s="8" t="s">
        <v>2324</v>
      </c>
      <c r="C1776" s="9">
        <v>5</v>
      </c>
      <c r="D1776" s="9">
        <v>6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R1776" s="9">
        <v>0</v>
      </c>
      <c r="S1776" s="9">
        <v>0</v>
      </c>
      <c r="T1776" s="9">
        <v>1</v>
      </c>
      <c r="U1776" s="9">
        <v>0</v>
      </c>
      <c r="V1776" s="9">
        <v>0</v>
      </c>
      <c r="W1776" s="9">
        <v>0</v>
      </c>
      <c r="X1776" s="9">
        <v>1</v>
      </c>
      <c r="AE1776" s="9">
        <f>IFERROR(VLOOKUP($A1776,pivot!$A:$G,計算式2026!AE$1,FALSE),0)</f>
        <v>0</v>
      </c>
      <c r="AF1776" s="9">
        <f>IFERROR(VLOOKUP($A1776,pivot!$A:$I,計算式2026!AF$1,FALSE),0)</f>
        <v>0</v>
      </c>
      <c r="AI1776" s="9">
        <f>IFERROR(VLOOKUP($A1776,pivot!$A:$I,計算式2026!AI$1,FALSE),0)</f>
        <v>0</v>
      </c>
      <c r="AJ1776" s="9">
        <f>IFERROR(VLOOKUP($A1776,pivot!$A:$I,計算式2026!AJ$1,FALSE),0)</f>
        <v>0</v>
      </c>
      <c r="AK1776" s="9">
        <f>IFERROR(VLOOKUP($A1776,pivot!$A:$I,計算式2026!AK$1,FALSE),0)</f>
        <v>0</v>
      </c>
      <c r="AL1776" s="9">
        <f>IFERROR(VLOOKUP($A1776,pivot!$A:$I,計算式2026!AL$1,FALSE),0)</f>
        <v>0</v>
      </c>
      <c r="AR1776" s="8"/>
      <c r="AS1776" s="8"/>
      <c r="AT1776" s="8"/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8"/>
      <c r="BG1776" s="8"/>
    </row>
    <row r="1777" spans="1:59" s="9" customFormat="1">
      <c r="A1777" s="8">
        <v>8289456050</v>
      </c>
      <c r="B1777" s="8" t="s">
        <v>2324</v>
      </c>
      <c r="C1777" s="9">
        <v>0</v>
      </c>
      <c r="D1777" s="9">
        <v>0</v>
      </c>
      <c r="E1777" s="9">
        <v>0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1</v>
      </c>
      <c r="AE1777" s="9">
        <f>IFERROR(VLOOKUP($A1777,pivot!$A:$G,計算式2026!AE$1,FALSE),0)</f>
        <v>0</v>
      </c>
      <c r="AF1777" s="9">
        <f>IFERROR(VLOOKUP($A1777,pivot!$A:$I,計算式2026!AF$1,FALSE),0)</f>
        <v>0</v>
      </c>
      <c r="AI1777" s="9">
        <f>IFERROR(VLOOKUP($A1777,pivot!$A:$I,計算式2026!AI$1,FALSE),0)</f>
        <v>0</v>
      </c>
      <c r="AJ1777" s="9">
        <f>IFERROR(VLOOKUP($A1777,pivot!$A:$I,計算式2026!AJ$1,FALSE),0)</f>
        <v>0</v>
      </c>
      <c r="AK1777" s="9">
        <f>IFERROR(VLOOKUP($A1777,pivot!$A:$I,計算式2026!AK$1,FALSE),0)</f>
        <v>0</v>
      </c>
      <c r="AL1777" s="9">
        <f>IFERROR(VLOOKUP($A1777,pivot!$A:$I,計算式2026!AL$1,FALSE),0)</f>
        <v>0</v>
      </c>
      <c r="AR1777" s="8"/>
      <c r="AS1777" s="8"/>
      <c r="AT1777" s="8"/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8"/>
      <c r="BG1777" s="8"/>
    </row>
    <row r="1778" spans="1:59" s="9" customFormat="1">
      <c r="A1778" s="8" t="s">
        <v>2834</v>
      </c>
      <c r="B1778" s="8" t="s">
        <v>2835</v>
      </c>
      <c r="C1778" s="9">
        <v>0</v>
      </c>
      <c r="D1778" s="9">
        <v>2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R1778" s="9">
        <v>1</v>
      </c>
      <c r="S1778" s="9">
        <v>1</v>
      </c>
      <c r="T1778" s="9">
        <v>1</v>
      </c>
      <c r="U1778" s="9">
        <v>0</v>
      </c>
      <c r="V1778" s="9">
        <v>1</v>
      </c>
      <c r="W1778" s="9">
        <v>0</v>
      </c>
      <c r="X1778" s="9">
        <v>1</v>
      </c>
      <c r="AE1778" s="9">
        <f>IFERROR(VLOOKUP($A1778,pivot!$A:$G,計算式2026!AE$1,FALSE),0)</f>
        <v>0</v>
      </c>
      <c r="AF1778" s="9">
        <f>IFERROR(VLOOKUP($A1778,pivot!$A:$I,計算式2026!AF$1,FALSE),0)</f>
        <v>0</v>
      </c>
      <c r="AI1778" s="9">
        <f>IFERROR(VLOOKUP($A1778,pivot!$A:$I,計算式2026!AI$1,FALSE),0)</f>
        <v>0</v>
      </c>
      <c r="AJ1778" s="9">
        <f>IFERROR(VLOOKUP($A1778,pivot!$A:$I,計算式2026!AJ$1,FALSE),0)</f>
        <v>0</v>
      </c>
      <c r="AK1778" s="9">
        <f>IFERROR(VLOOKUP($A1778,pivot!$A:$I,計算式2026!AK$1,FALSE),0)</f>
        <v>0</v>
      </c>
      <c r="AL1778" s="9">
        <f>IFERROR(VLOOKUP($A1778,pivot!$A:$I,計算式2026!AL$1,FALSE),0)</f>
        <v>0</v>
      </c>
      <c r="AR1778" s="8"/>
      <c r="AS1778" s="8"/>
      <c r="AT1778" s="8"/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8"/>
      <c r="BG1778" s="8"/>
    </row>
    <row r="1779" spans="1:59" s="9" customFormat="1">
      <c r="A1779" s="8" t="s">
        <v>2836</v>
      </c>
      <c r="B1779" s="8" t="s">
        <v>2835</v>
      </c>
      <c r="C1779" s="9">
        <v>0</v>
      </c>
      <c r="D1779" s="9">
        <v>1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R1779" s="9">
        <v>1</v>
      </c>
      <c r="S1779" s="9">
        <v>1</v>
      </c>
      <c r="T1779" s="9">
        <v>1</v>
      </c>
      <c r="U1779" s="9">
        <v>0</v>
      </c>
      <c r="V1779" s="9">
        <v>1</v>
      </c>
      <c r="W1779" s="9">
        <v>0</v>
      </c>
      <c r="X1779" s="9">
        <v>1</v>
      </c>
      <c r="AE1779" s="9">
        <f>IFERROR(VLOOKUP($A1779,pivot!$A:$G,計算式2026!AE$1,FALSE),0)</f>
        <v>0</v>
      </c>
      <c r="AF1779" s="9">
        <f>IFERROR(VLOOKUP($A1779,pivot!$A:$I,計算式2026!AF$1,FALSE),0)</f>
        <v>0</v>
      </c>
      <c r="AI1779" s="9">
        <f>IFERROR(VLOOKUP($A1779,pivot!$A:$I,計算式2026!AI$1,FALSE),0)</f>
        <v>0</v>
      </c>
      <c r="AJ1779" s="9">
        <f>IFERROR(VLOOKUP($A1779,pivot!$A:$I,計算式2026!AJ$1,FALSE),0)</f>
        <v>0</v>
      </c>
      <c r="AK1779" s="9">
        <f>IFERROR(VLOOKUP($A1779,pivot!$A:$I,計算式2026!AK$1,FALSE),0)</f>
        <v>0</v>
      </c>
      <c r="AL1779" s="9">
        <f>IFERROR(VLOOKUP($A1779,pivot!$A:$I,計算式2026!AL$1,FALSE),0)</f>
        <v>0</v>
      </c>
      <c r="AR1779" s="8"/>
      <c r="AS1779" s="8"/>
      <c r="AT1779" s="8"/>
      <c r="AU1779" s="8"/>
      <c r="AV1779" s="8"/>
      <c r="AW1779" s="8"/>
      <c r="AX1779" s="8"/>
      <c r="AY1779" s="8"/>
      <c r="AZ1779" s="8"/>
      <c r="BA1779" s="8"/>
      <c r="BB1779" s="8"/>
      <c r="BC1779" s="8"/>
      <c r="BD1779" s="8"/>
      <c r="BE1779" s="8"/>
      <c r="BF1779" s="8"/>
      <c r="BG1779" s="8"/>
    </row>
    <row r="1780" spans="1:59" s="9" customFormat="1">
      <c r="A1780" s="8" t="s">
        <v>2837</v>
      </c>
      <c r="B1780" s="8" t="s">
        <v>2835</v>
      </c>
      <c r="C1780" s="9">
        <v>0</v>
      </c>
      <c r="D1780" s="9">
        <v>0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R1780" s="9">
        <v>0</v>
      </c>
      <c r="S1780" s="9">
        <v>1</v>
      </c>
      <c r="T1780" s="9">
        <v>0</v>
      </c>
      <c r="U1780" s="9">
        <v>0</v>
      </c>
      <c r="V1780" s="9">
        <v>1</v>
      </c>
      <c r="W1780" s="9">
        <v>0</v>
      </c>
      <c r="X1780" s="9">
        <v>1</v>
      </c>
      <c r="AE1780" s="9">
        <f>IFERROR(VLOOKUP($A1780,pivot!$A:$G,計算式2026!AE$1,FALSE),0)</f>
        <v>0</v>
      </c>
      <c r="AF1780" s="9">
        <f>IFERROR(VLOOKUP($A1780,pivot!$A:$I,計算式2026!AF$1,FALSE),0)</f>
        <v>0</v>
      </c>
      <c r="AI1780" s="9">
        <f>IFERROR(VLOOKUP($A1780,pivot!$A:$I,計算式2026!AI$1,FALSE),0)</f>
        <v>0</v>
      </c>
      <c r="AJ1780" s="9">
        <f>IFERROR(VLOOKUP($A1780,pivot!$A:$I,計算式2026!AJ$1,FALSE),0)</f>
        <v>0</v>
      </c>
      <c r="AK1780" s="9">
        <f>IFERROR(VLOOKUP($A1780,pivot!$A:$I,計算式2026!AK$1,FALSE),0)</f>
        <v>0</v>
      </c>
      <c r="AL1780" s="9">
        <f>IFERROR(VLOOKUP($A1780,pivot!$A:$I,計算式2026!AL$1,FALSE),0)</f>
        <v>0</v>
      </c>
      <c r="AR1780" s="8"/>
      <c r="AS1780" s="8"/>
      <c r="AT1780" s="8"/>
      <c r="AU1780" s="8"/>
      <c r="AV1780" s="8"/>
      <c r="AW1780" s="8"/>
      <c r="AX1780" s="8"/>
      <c r="AY1780" s="8"/>
      <c r="AZ1780" s="8"/>
      <c r="BA1780" s="8"/>
      <c r="BB1780" s="8"/>
      <c r="BC1780" s="8"/>
      <c r="BD1780" s="8"/>
      <c r="BE1780" s="8"/>
      <c r="BF1780" s="8"/>
      <c r="BG1780" s="8"/>
    </row>
    <row r="1781" spans="1:59" s="9" customFormat="1">
      <c r="A1781" s="8" t="s">
        <v>2838</v>
      </c>
      <c r="B1781" s="8" t="s">
        <v>2835</v>
      </c>
      <c r="C1781" s="9">
        <v>0</v>
      </c>
      <c r="D1781" s="9">
        <v>0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R1781" s="9">
        <v>0</v>
      </c>
      <c r="S1781" s="9">
        <v>1</v>
      </c>
      <c r="T1781" s="9">
        <v>1</v>
      </c>
      <c r="U1781" s="9">
        <v>0</v>
      </c>
      <c r="V1781" s="9">
        <v>0</v>
      </c>
      <c r="W1781" s="9">
        <v>0</v>
      </c>
      <c r="X1781" s="9">
        <v>1</v>
      </c>
      <c r="AE1781" s="9">
        <f>IFERROR(VLOOKUP($A1781,pivot!$A:$G,計算式2026!AE$1,FALSE),0)</f>
        <v>0</v>
      </c>
      <c r="AF1781" s="9">
        <f>IFERROR(VLOOKUP($A1781,pivot!$A:$I,計算式2026!AF$1,FALSE),0)</f>
        <v>0</v>
      </c>
      <c r="AI1781" s="9">
        <f>IFERROR(VLOOKUP($A1781,pivot!$A:$I,計算式2026!AI$1,FALSE),0)</f>
        <v>0</v>
      </c>
      <c r="AJ1781" s="9">
        <f>IFERROR(VLOOKUP($A1781,pivot!$A:$I,計算式2026!AJ$1,FALSE),0)</f>
        <v>0</v>
      </c>
      <c r="AK1781" s="9">
        <f>IFERROR(VLOOKUP($A1781,pivot!$A:$I,計算式2026!AK$1,FALSE),0)</f>
        <v>0</v>
      </c>
      <c r="AL1781" s="9">
        <f>IFERROR(VLOOKUP($A1781,pivot!$A:$I,計算式2026!AL$1,FALSE),0)</f>
        <v>0</v>
      </c>
      <c r="AR1781" s="8"/>
      <c r="AS1781" s="8"/>
      <c r="AT1781" s="8"/>
      <c r="AU1781" s="8"/>
      <c r="AV1781" s="8"/>
      <c r="AW1781" s="8"/>
      <c r="AX1781" s="8"/>
      <c r="AY1781" s="8"/>
      <c r="AZ1781" s="8"/>
      <c r="BA1781" s="8"/>
      <c r="BB1781" s="8"/>
      <c r="BC1781" s="8"/>
      <c r="BD1781" s="8"/>
      <c r="BE1781" s="8"/>
      <c r="BF1781" s="8"/>
      <c r="BG1781" s="8"/>
    </row>
    <row r="1782" spans="1:59" s="9" customFormat="1">
      <c r="A1782" s="8" t="s">
        <v>2839</v>
      </c>
      <c r="B1782" s="8" t="s">
        <v>2835</v>
      </c>
      <c r="C1782" s="9">
        <v>0</v>
      </c>
      <c r="D1782" s="9">
        <v>0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R1782" s="9">
        <v>0</v>
      </c>
      <c r="S1782" s="9">
        <v>1</v>
      </c>
      <c r="T1782" s="9">
        <v>1</v>
      </c>
      <c r="U1782" s="9">
        <v>0</v>
      </c>
      <c r="V1782" s="9">
        <v>1</v>
      </c>
      <c r="W1782" s="9">
        <v>0</v>
      </c>
      <c r="X1782" s="9">
        <v>1</v>
      </c>
      <c r="AE1782" s="9">
        <f>IFERROR(VLOOKUP($A1782,pivot!$A:$G,計算式2026!AE$1,FALSE),0)</f>
        <v>0</v>
      </c>
      <c r="AF1782" s="9">
        <f>IFERROR(VLOOKUP($A1782,pivot!$A:$I,計算式2026!AF$1,FALSE),0)</f>
        <v>0</v>
      </c>
      <c r="AI1782" s="9">
        <f>IFERROR(VLOOKUP($A1782,pivot!$A:$I,計算式2026!AI$1,FALSE),0)</f>
        <v>0</v>
      </c>
      <c r="AJ1782" s="9">
        <f>IFERROR(VLOOKUP($A1782,pivot!$A:$I,計算式2026!AJ$1,FALSE),0)</f>
        <v>0</v>
      </c>
      <c r="AK1782" s="9">
        <f>IFERROR(VLOOKUP($A1782,pivot!$A:$I,計算式2026!AK$1,FALSE),0)</f>
        <v>0</v>
      </c>
      <c r="AL1782" s="9">
        <f>IFERROR(VLOOKUP($A1782,pivot!$A:$I,計算式2026!AL$1,FALSE),0)</f>
        <v>0</v>
      </c>
      <c r="AR1782" s="8"/>
      <c r="AS1782" s="8"/>
      <c r="AT1782" s="8"/>
      <c r="AU1782" s="8"/>
      <c r="AV1782" s="8"/>
      <c r="AW1782" s="8"/>
      <c r="AX1782" s="8"/>
      <c r="AY1782" s="8"/>
      <c r="AZ1782" s="8"/>
      <c r="BA1782" s="8"/>
      <c r="BB1782" s="8"/>
      <c r="BC1782" s="8"/>
      <c r="BD1782" s="8"/>
      <c r="BE1782" s="8"/>
      <c r="BF1782" s="8"/>
      <c r="BG1782" s="8"/>
    </row>
    <row r="1783" spans="1:59" s="9" customFormat="1">
      <c r="A1783" s="8" t="s">
        <v>2840</v>
      </c>
      <c r="B1783" s="8" t="s">
        <v>2835</v>
      </c>
      <c r="C1783" s="9">
        <v>0</v>
      </c>
      <c r="D1783" s="9">
        <v>0</v>
      </c>
      <c r="E1783" s="9">
        <v>0</v>
      </c>
      <c r="F1783" s="9">
        <v>0</v>
      </c>
      <c r="G1783" s="9">
        <v>0</v>
      </c>
      <c r="H1783" s="9">
        <v>0</v>
      </c>
      <c r="I1783" s="9">
        <v>0</v>
      </c>
      <c r="J1783" s="9">
        <v>0</v>
      </c>
      <c r="K1783" s="9">
        <v>0</v>
      </c>
      <c r="R1783" s="9">
        <v>0</v>
      </c>
      <c r="S1783" s="9">
        <v>1</v>
      </c>
      <c r="T1783" s="9">
        <v>0</v>
      </c>
      <c r="U1783" s="9">
        <v>0</v>
      </c>
      <c r="V1783" s="9">
        <v>1</v>
      </c>
      <c r="W1783" s="9">
        <v>0</v>
      </c>
      <c r="X1783" s="9">
        <v>1</v>
      </c>
      <c r="AE1783" s="9">
        <f>IFERROR(VLOOKUP($A1783,pivot!$A:$G,計算式2026!AE$1,FALSE),0)</f>
        <v>0</v>
      </c>
      <c r="AF1783" s="9">
        <f>IFERROR(VLOOKUP($A1783,pivot!$A:$I,計算式2026!AF$1,FALSE),0)</f>
        <v>0</v>
      </c>
      <c r="AI1783" s="9">
        <f>IFERROR(VLOOKUP($A1783,pivot!$A:$I,計算式2026!AI$1,FALSE),0)</f>
        <v>0</v>
      </c>
      <c r="AJ1783" s="9">
        <f>IFERROR(VLOOKUP($A1783,pivot!$A:$I,計算式2026!AJ$1,FALSE),0)</f>
        <v>0</v>
      </c>
      <c r="AK1783" s="9">
        <f>IFERROR(VLOOKUP($A1783,pivot!$A:$I,計算式2026!AK$1,FALSE),0)</f>
        <v>0</v>
      </c>
      <c r="AL1783" s="9">
        <f>IFERROR(VLOOKUP($A1783,pivot!$A:$I,計算式2026!AL$1,FALSE),0)</f>
        <v>0</v>
      </c>
      <c r="AR1783" s="8"/>
      <c r="AS1783" s="8"/>
      <c r="AT1783" s="8"/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8"/>
      <c r="BG1783" s="8"/>
    </row>
    <row r="1784" spans="1:59" s="9" customFormat="1">
      <c r="A1784" s="8" t="s">
        <v>2841</v>
      </c>
      <c r="B1784" s="8" t="s">
        <v>2842</v>
      </c>
      <c r="C1784" s="9">
        <v>0</v>
      </c>
      <c r="D1784" s="9">
        <v>0</v>
      </c>
      <c r="E1784" s="9">
        <v>0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1</v>
      </c>
      <c r="W1784" s="9">
        <v>0</v>
      </c>
      <c r="X1784" s="9">
        <v>1</v>
      </c>
      <c r="AE1784" s="9">
        <f>IFERROR(VLOOKUP($A1784,pivot!$A:$G,計算式2026!AE$1,FALSE),0)</f>
        <v>0</v>
      </c>
      <c r="AF1784" s="9">
        <f>IFERROR(VLOOKUP($A1784,pivot!$A:$I,計算式2026!AF$1,FALSE),0)</f>
        <v>0</v>
      </c>
      <c r="AI1784" s="9">
        <f>IFERROR(VLOOKUP($A1784,pivot!$A:$I,計算式2026!AI$1,FALSE),0)</f>
        <v>0</v>
      </c>
      <c r="AJ1784" s="9">
        <f>IFERROR(VLOOKUP($A1784,pivot!$A:$I,計算式2026!AJ$1,FALSE),0)</f>
        <v>0</v>
      </c>
      <c r="AK1784" s="9">
        <f>IFERROR(VLOOKUP($A1784,pivot!$A:$I,計算式2026!AK$1,FALSE),0)</f>
        <v>0</v>
      </c>
      <c r="AL1784" s="9">
        <f>IFERROR(VLOOKUP($A1784,pivot!$A:$I,計算式2026!AL$1,FALSE),0)</f>
        <v>0</v>
      </c>
      <c r="AR1784" s="8"/>
      <c r="AS1784" s="8"/>
      <c r="AT1784" s="8"/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8"/>
      <c r="BG1784" s="8"/>
    </row>
    <row r="1785" spans="1:59" s="9" customFormat="1">
      <c r="A1785" s="8" t="s">
        <v>2843</v>
      </c>
      <c r="B1785" s="8" t="s">
        <v>2842</v>
      </c>
      <c r="C1785" s="9">
        <v>0</v>
      </c>
      <c r="D1785" s="9">
        <v>1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R1785" s="9">
        <v>1</v>
      </c>
      <c r="S1785" s="9">
        <v>1</v>
      </c>
      <c r="T1785" s="9">
        <v>1</v>
      </c>
      <c r="U1785" s="9">
        <v>0</v>
      </c>
      <c r="V1785" s="9">
        <v>1</v>
      </c>
      <c r="W1785" s="9">
        <v>0</v>
      </c>
      <c r="X1785" s="9">
        <v>1</v>
      </c>
      <c r="AE1785" s="9">
        <f>IFERROR(VLOOKUP($A1785,pivot!$A:$G,計算式2026!AE$1,FALSE),0)</f>
        <v>0</v>
      </c>
      <c r="AF1785" s="9">
        <f>IFERROR(VLOOKUP($A1785,pivot!$A:$I,計算式2026!AF$1,FALSE),0)</f>
        <v>0</v>
      </c>
      <c r="AI1785" s="9">
        <f>IFERROR(VLOOKUP($A1785,pivot!$A:$I,計算式2026!AI$1,FALSE),0)</f>
        <v>0</v>
      </c>
      <c r="AJ1785" s="9">
        <f>IFERROR(VLOOKUP($A1785,pivot!$A:$I,計算式2026!AJ$1,FALSE),0)</f>
        <v>0</v>
      </c>
      <c r="AK1785" s="9">
        <f>IFERROR(VLOOKUP($A1785,pivot!$A:$I,計算式2026!AK$1,FALSE),0)</f>
        <v>0</v>
      </c>
      <c r="AL1785" s="9">
        <f>IFERROR(VLOOKUP($A1785,pivot!$A:$I,計算式2026!AL$1,FALSE),0)</f>
        <v>0</v>
      </c>
      <c r="AR1785" s="8"/>
      <c r="AS1785" s="8"/>
      <c r="AT1785" s="8"/>
      <c r="AU1785" s="8"/>
      <c r="AV1785" s="8"/>
      <c r="AW1785" s="8"/>
      <c r="AX1785" s="8"/>
      <c r="AY1785" s="8"/>
      <c r="AZ1785" s="8"/>
      <c r="BA1785" s="8"/>
      <c r="BB1785" s="8"/>
      <c r="BC1785" s="8"/>
      <c r="BD1785" s="8"/>
      <c r="BE1785" s="8"/>
      <c r="BF1785" s="8"/>
      <c r="BG1785" s="8"/>
    </row>
    <row r="1786" spans="1:59" s="9" customFormat="1">
      <c r="A1786" s="8" t="s">
        <v>2669</v>
      </c>
      <c r="B1786" s="8" t="s">
        <v>2842</v>
      </c>
      <c r="C1786" s="9">
        <v>0</v>
      </c>
      <c r="D1786" s="9">
        <v>0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R1786" s="9">
        <v>1</v>
      </c>
      <c r="S1786" s="9">
        <v>2</v>
      </c>
      <c r="T1786" s="9">
        <v>1</v>
      </c>
      <c r="U1786" s="9">
        <v>0</v>
      </c>
      <c r="V1786" s="9">
        <v>2</v>
      </c>
      <c r="W1786" s="9">
        <v>0</v>
      </c>
      <c r="X1786" s="9">
        <v>1</v>
      </c>
      <c r="AE1786" s="9">
        <f>IFERROR(VLOOKUP($A1786,pivot!$A:$G,計算式2026!AE$1,FALSE),0)</f>
        <v>0</v>
      </c>
      <c r="AF1786" s="9">
        <f>IFERROR(VLOOKUP($A1786,pivot!$A:$I,計算式2026!AF$1,FALSE),0)</f>
        <v>0</v>
      </c>
      <c r="AI1786" s="9">
        <f>IFERROR(VLOOKUP($A1786,pivot!$A:$I,計算式2026!AI$1,FALSE),0)</f>
        <v>0</v>
      </c>
      <c r="AJ1786" s="9">
        <f>IFERROR(VLOOKUP($A1786,pivot!$A:$I,計算式2026!AJ$1,FALSE),0)</f>
        <v>0</v>
      </c>
      <c r="AK1786" s="9">
        <f>IFERROR(VLOOKUP($A1786,pivot!$A:$I,計算式2026!AK$1,FALSE),0)</f>
        <v>0</v>
      </c>
      <c r="AL1786" s="9">
        <f>IFERROR(VLOOKUP($A1786,pivot!$A:$I,計算式2026!AL$1,FALSE),0)</f>
        <v>0</v>
      </c>
      <c r="AR1786" s="8"/>
      <c r="AS1786" s="8"/>
      <c r="AT1786" s="8"/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8"/>
      <c r="BG1786" s="8"/>
    </row>
    <row r="1787" spans="1:59" s="9" customFormat="1">
      <c r="A1787" s="8" t="s">
        <v>2844</v>
      </c>
      <c r="B1787" s="8" t="s">
        <v>2842</v>
      </c>
      <c r="C1787" s="9">
        <v>0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R1787" s="9">
        <v>0</v>
      </c>
      <c r="S1787" s="9">
        <v>1</v>
      </c>
      <c r="T1787" s="9">
        <v>0</v>
      </c>
      <c r="U1787" s="9">
        <v>0</v>
      </c>
      <c r="V1787" s="9">
        <v>1</v>
      </c>
      <c r="W1787" s="9">
        <v>0</v>
      </c>
      <c r="X1787" s="9">
        <v>1</v>
      </c>
      <c r="AE1787" s="9">
        <f>IFERROR(VLOOKUP($A1787,pivot!$A:$G,計算式2026!AE$1,FALSE),0)</f>
        <v>0</v>
      </c>
      <c r="AF1787" s="9">
        <f>IFERROR(VLOOKUP($A1787,pivot!$A:$I,計算式2026!AF$1,FALSE),0)</f>
        <v>0</v>
      </c>
      <c r="AI1787" s="9">
        <f>IFERROR(VLOOKUP($A1787,pivot!$A:$I,計算式2026!AI$1,FALSE),0)</f>
        <v>0</v>
      </c>
      <c r="AJ1787" s="9">
        <f>IFERROR(VLOOKUP($A1787,pivot!$A:$I,計算式2026!AJ$1,FALSE),0)</f>
        <v>0</v>
      </c>
      <c r="AK1787" s="9">
        <f>IFERROR(VLOOKUP($A1787,pivot!$A:$I,計算式2026!AK$1,FALSE),0)</f>
        <v>0</v>
      </c>
      <c r="AL1787" s="9">
        <f>IFERROR(VLOOKUP($A1787,pivot!$A:$I,計算式2026!AL$1,FALSE),0)</f>
        <v>0</v>
      </c>
      <c r="AR1787" s="8"/>
      <c r="AS1787" s="8"/>
      <c r="AT1787" s="8"/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8"/>
      <c r="BG1787" s="8"/>
    </row>
    <row r="1788" spans="1:59" s="9" customFormat="1">
      <c r="A1788" s="8" t="s">
        <v>2845</v>
      </c>
      <c r="B1788" s="8" t="s">
        <v>2842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1</v>
      </c>
      <c r="W1788" s="9">
        <v>0</v>
      </c>
      <c r="X1788" s="9">
        <v>1</v>
      </c>
      <c r="AE1788" s="9">
        <f>IFERROR(VLOOKUP($A1788,pivot!$A:$G,計算式2026!AE$1,FALSE),0)</f>
        <v>0</v>
      </c>
      <c r="AF1788" s="9">
        <f>IFERROR(VLOOKUP($A1788,pivot!$A:$I,計算式2026!AF$1,FALSE),0)</f>
        <v>0</v>
      </c>
      <c r="AI1788" s="9">
        <f>IFERROR(VLOOKUP($A1788,pivot!$A:$I,計算式2026!AI$1,FALSE),0)</f>
        <v>0</v>
      </c>
      <c r="AJ1788" s="9">
        <f>IFERROR(VLOOKUP($A1788,pivot!$A:$I,計算式2026!AJ$1,FALSE),0)</f>
        <v>0</v>
      </c>
      <c r="AK1788" s="9">
        <f>IFERROR(VLOOKUP($A1788,pivot!$A:$I,計算式2026!AK$1,FALSE),0)</f>
        <v>0</v>
      </c>
      <c r="AL1788" s="9">
        <f>IFERROR(VLOOKUP($A1788,pivot!$A:$I,計算式2026!AL$1,FALSE),0)</f>
        <v>0</v>
      </c>
      <c r="AR1788" s="8"/>
      <c r="AS1788" s="8"/>
      <c r="AT1788" s="8"/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8"/>
      <c r="BG1788" s="8"/>
    </row>
    <row r="1789" spans="1:59" s="9" customFormat="1">
      <c r="A1789" s="8" t="s">
        <v>2846</v>
      </c>
      <c r="B1789" s="8" t="s">
        <v>2842</v>
      </c>
      <c r="C1789" s="9">
        <v>1</v>
      </c>
      <c r="D1789" s="9">
        <v>0</v>
      </c>
      <c r="E1789" s="9">
        <v>0</v>
      </c>
      <c r="F1789" s="9">
        <v>0</v>
      </c>
      <c r="G1789" s="9">
        <v>0</v>
      </c>
      <c r="H1789" s="9">
        <v>0</v>
      </c>
      <c r="I1789" s="9">
        <v>0</v>
      </c>
      <c r="J1789" s="9">
        <v>0</v>
      </c>
      <c r="K1789" s="9">
        <v>0</v>
      </c>
      <c r="R1789" s="9">
        <v>1</v>
      </c>
      <c r="S1789" s="9">
        <v>1</v>
      </c>
      <c r="T1789" s="9">
        <v>1</v>
      </c>
      <c r="U1789" s="9">
        <v>0</v>
      </c>
      <c r="V1789" s="9">
        <v>1</v>
      </c>
      <c r="W1789" s="9">
        <v>0</v>
      </c>
      <c r="X1789" s="9">
        <v>1</v>
      </c>
      <c r="AE1789" s="9">
        <f>IFERROR(VLOOKUP($A1789,pivot!$A:$G,計算式2026!AE$1,FALSE),0)</f>
        <v>0</v>
      </c>
      <c r="AF1789" s="9">
        <f>IFERROR(VLOOKUP($A1789,pivot!$A:$I,計算式2026!AF$1,FALSE),0)</f>
        <v>0</v>
      </c>
      <c r="AI1789" s="9">
        <f>IFERROR(VLOOKUP($A1789,pivot!$A:$I,計算式2026!AI$1,FALSE),0)</f>
        <v>0</v>
      </c>
      <c r="AJ1789" s="9">
        <f>IFERROR(VLOOKUP($A1789,pivot!$A:$I,計算式2026!AJ$1,FALSE),0)</f>
        <v>0</v>
      </c>
      <c r="AK1789" s="9">
        <f>IFERROR(VLOOKUP($A1789,pivot!$A:$I,計算式2026!AK$1,FALSE),0)</f>
        <v>0</v>
      </c>
      <c r="AL1789" s="9">
        <f>IFERROR(VLOOKUP($A1789,pivot!$A:$I,計算式2026!AL$1,FALSE),0)</f>
        <v>0</v>
      </c>
      <c r="AR1789" s="8"/>
      <c r="AS1789" s="8"/>
      <c r="AT1789" s="8"/>
      <c r="AU1789" s="8"/>
      <c r="AV1789" s="8"/>
      <c r="AW1789" s="8"/>
      <c r="AX1789" s="8"/>
      <c r="AY1789" s="8"/>
      <c r="AZ1789" s="8"/>
      <c r="BA1789" s="8"/>
      <c r="BB1789" s="8"/>
      <c r="BC1789" s="8"/>
      <c r="BD1789" s="8"/>
      <c r="BE1789" s="8"/>
      <c r="BF1789" s="8"/>
      <c r="BG1789" s="8"/>
    </row>
    <row r="1790" spans="1:59" s="9" customFormat="1">
      <c r="A1790" s="8" t="s">
        <v>2673</v>
      </c>
      <c r="B1790" s="8" t="s">
        <v>2842</v>
      </c>
      <c r="C1790" s="9">
        <v>0</v>
      </c>
      <c r="D1790" s="9">
        <v>2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R1790" s="9">
        <v>1</v>
      </c>
      <c r="S1790" s="9">
        <v>1</v>
      </c>
      <c r="T1790" s="9">
        <v>1</v>
      </c>
      <c r="U1790" s="9">
        <v>0</v>
      </c>
      <c r="V1790" s="9">
        <v>2</v>
      </c>
      <c r="W1790" s="9">
        <v>0</v>
      </c>
      <c r="X1790" s="9">
        <v>1</v>
      </c>
      <c r="AE1790" s="9">
        <f>IFERROR(VLOOKUP($A1790,pivot!$A:$G,計算式2026!AE$1,FALSE),0)</f>
        <v>0</v>
      </c>
      <c r="AF1790" s="9">
        <f>IFERROR(VLOOKUP($A1790,pivot!$A:$I,計算式2026!AF$1,FALSE),0)</f>
        <v>0</v>
      </c>
      <c r="AI1790" s="9">
        <f>IFERROR(VLOOKUP($A1790,pivot!$A:$I,計算式2026!AI$1,FALSE),0)</f>
        <v>0</v>
      </c>
      <c r="AJ1790" s="9">
        <f>IFERROR(VLOOKUP($A1790,pivot!$A:$I,計算式2026!AJ$1,FALSE),0)</f>
        <v>0</v>
      </c>
      <c r="AK1790" s="9">
        <f>IFERROR(VLOOKUP($A1790,pivot!$A:$I,計算式2026!AK$1,FALSE),0)</f>
        <v>0</v>
      </c>
      <c r="AL1790" s="9">
        <f>IFERROR(VLOOKUP($A1790,pivot!$A:$I,計算式2026!AL$1,FALSE),0)</f>
        <v>0</v>
      </c>
      <c r="AR1790" s="8"/>
      <c r="AS1790" s="8"/>
      <c r="AT1790" s="8"/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8"/>
      <c r="BG1790" s="8"/>
    </row>
    <row r="1791" spans="1:59" s="9" customFormat="1">
      <c r="A1791" s="8" t="s">
        <v>2847</v>
      </c>
      <c r="B1791" s="8" t="s">
        <v>2842</v>
      </c>
      <c r="C1791" s="9">
        <v>0</v>
      </c>
      <c r="D1791" s="9">
        <v>3</v>
      </c>
      <c r="E1791" s="9">
        <v>0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R1791" s="9">
        <v>0</v>
      </c>
      <c r="S1791" s="9">
        <v>1</v>
      </c>
      <c r="T1791" s="9">
        <v>0</v>
      </c>
      <c r="U1791" s="9">
        <v>0</v>
      </c>
      <c r="V1791" s="9">
        <v>1</v>
      </c>
      <c r="W1791" s="9">
        <v>0</v>
      </c>
      <c r="X1791" s="9">
        <v>1</v>
      </c>
      <c r="AE1791" s="9">
        <f>IFERROR(VLOOKUP($A1791,pivot!$A:$G,計算式2026!AE$1,FALSE),0)</f>
        <v>0</v>
      </c>
      <c r="AF1791" s="9">
        <f>IFERROR(VLOOKUP($A1791,pivot!$A:$I,計算式2026!AF$1,FALSE),0)</f>
        <v>0</v>
      </c>
      <c r="AI1791" s="9">
        <f>IFERROR(VLOOKUP($A1791,pivot!$A:$I,計算式2026!AI$1,FALSE),0)</f>
        <v>0</v>
      </c>
      <c r="AJ1791" s="9">
        <f>IFERROR(VLOOKUP($A1791,pivot!$A:$I,計算式2026!AJ$1,FALSE),0)</f>
        <v>0</v>
      </c>
      <c r="AK1791" s="9">
        <f>IFERROR(VLOOKUP($A1791,pivot!$A:$I,計算式2026!AK$1,FALSE),0)</f>
        <v>0</v>
      </c>
      <c r="AL1791" s="9">
        <f>IFERROR(VLOOKUP($A1791,pivot!$A:$I,計算式2026!AL$1,FALSE),0)</f>
        <v>0</v>
      </c>
      <c r="AR1791" s="8"/>
      <c r="AS1791" s="8"/>
      <c r="AT1791" s="8"/>
      <c r="AU1791" s="8"/>
      <c r="AV1791" s="8"/>
      <c r="AW1791" s="8"/>
      <c r="AX1791" s="8"/>
      <c r="AY1791" s="8"/>
      <c r="AZ1791" s="8"/>
      <c r="BA1791" s="8"/>
      <c r="BB1791" s="8"/>
      <c r="BC1791" s="8"/>
      <c r="BD1791" s="8"/>
      <c r="BE1791" s="8"/>
      <c r="BF1791" s="8"/>
      <c r="BG1791" s="8"/>
    </row>
    <row r="1792" spans="1:59" s="9" customFormat="1">
      <c r="A1792" s="8" t="s">
        <v>2848</v>
      </c>
      <c r="B1792" s="8" t="s">
        <v>2849</v>
      </c>
      <c r="C1792" s="9">
        <v>0</v>
      </c>
      <c r="D1792" s="9">
        <v>0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R1792" s="9">
        <v>0</v>
      </c>
      <c r="S1792" s="9">
        <v>2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AE1792" s="9">
        <f>IFERROR(VLOOKUP($A1792,pivot!$A:$G,計算式2026!AE$1,FALSE),0)</f>
        <v>0</v>
      </c>
      <c r="AF1792" s="9">
        <f>IFERROR(VLOOKUP($A1792,pivot!$A:$I,計算式2026!AF$1,FALSE),0)</f>
        <v>0</v>
      </c>
      <c r="AI1792" s="9">
        <f>IFERROR(VLOOKUP($A1792,pivot!$A:$I,計算式2026!AI$1,FALSE),0)</f>
        <v>0</v>
      </c>
      <c r="AJ1792" s="9">
        <f>IFERROR(VLOOKUP($A1792,pivot!$A:$I,計算式2026!AJ$1,FALSE),0)</f>
        <v>0</v>
      </c>
      <c r="AK1792" s="9">
        <f>IFERROR(VLOOKUP($A1792,pivot!$A:$I,計算式2026!AK$1,FALSE),0)</f>
        <v>0</v>
      </c>
      <c r="AL1792" s="9">
        <f>IFERROR(VLOOKUP($A1792,pivot!$A:$I,計算式2026!AL$1,FALSE),0)</f>
        <v>0</v>
      </c>
      <c r="AR1792" s="8"/>
      <c r="AS1792" s="8"/>
      <c r="AT1792" s="8"/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8"/>
      <c r="BG1792" s="8"/>
    </row>
    <row r="1793" spans="1:59" s="9" customFormat="1">
      <c r="A1793" s="8" t="s">
        <v>2850</v>
      </c>
      <c r="B1793" s="8" t="s">
        <v>2849</v>
      </c>
      <c r="C1793" s="9">
        <v>0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R1793" s="9">
        <v>0</v>
      </c>
      <c r="S1793" s="9">
        <v>1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AE1793" s="9">
        <f>IFERROR(VLOOKUP($A1793,pivot!$A:$G,計算式2026!AE$1,FALSE),0)</f>
        <v>0</v>
      </c>
      <c r="AF1793" s="9">
        <f>IFERROR(VLOOKUP($A1793,pivot!$A:$I,計算式2026!AF$1,FALSE),0)</f>
        <v>0</v>
      </c>
      <c r="AI1793" s="9">
        <f>IFERROR(VLOOKUP($A1793,pivot!$A:$I,計算式2026!AI$1,FALSE),0)</f>
        <v>0</v>
      </c>
      <c r="AJ1793" s="9">
        <f>IFERROR(VLOOKUP($A1793,pivot!$A:$I,計算式2026!AJ$1,FALSE),0)</f>
        <v>0</v>
      </c>
      <c r="AK1793" s="9">
        <f>IFERROR(VLOOKUP($A1793,pivot!$A:$I,計算式2026!AK$1,FALSE),0)</f>
        <v>0</v>
      </c>
      <c r="AL1793" s="9">
        <f>IFERROR(VLOOKUP($A1793,pivot!$A:$I,計算式2026!AL$1,FALSE),0)</f>
        <v>0</v>
      </c>
      <c r="AR1793" s="8"/>
      <c r="AS1793" s="8"/>
      <c r="AT1793" s="8"/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8"/>
      <c r="BG1793" s="8"/>
    </row>
    <row r="1794" spans="1:59" s="9" customFormat="1">
      <c r="A1794" s="8" t="s">
        <v>2851</v>
      </c>
      <c r="B1794" s="8" t="s">
        <v>2849</v>
      </c>
      <c r="C1794" s="9">
        <v>0</v>
      </c>
      <c r="D1794" s="9">
        <v>4</v>
      </c>
      <c r="E1794" s="9">
        <v>0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R1794" s="9">
        <v>0</v>
      </c>
      <c r="S1794" s="9">
        <v>2</v>
      </c>
      <c r="T1794" s="9">
        <v>1</v>
      </c>
      <c r="U1794" s="9">
        <v>0</v>
      </c>
      <c r="V1794" s="9">
        <v>2</v>
      </c>
      <c r="W1794" s="9">
        <v>0</v>
      </c>
      <c r="X1794" s="9">
        <v>2</v>
      </c>
      <c r="AE1794" s="9">
        <f>IFERROR(VLOOKUP($A1794,pivot!$A:$G,計算式2026!AE$1,FALSE),0)</f>
        <v>0</v>
      </c>
      <c r="AF1794" s="9">
        <f>IFERROR(VLOOKUP($A1794,pivot!$A:$I,計算式2026!AF$1,FALSE),0)</f>
        <v>0</v>
      </c>
      <c r="AI1794" s="9">
        <f>IFERROR(VLOOKUP($A1794,pivot!$A:$I,計算式2026!AI$1,FALSE),0)</f>
        <v>0</v>
      </c>
      <c r="AJ1794" s="9">
        <f>IFERROR(VLOOKUP($A1794,pivot!$A:$I,計算式2026!AJ$1,FALSE),0)</f>
        <v>0</v>
      </c>
      <c r="AK1794" s="9">
        <f>IFERROR(VLOOKUP($A1794,pivot!$A:$I,計算式2026!AK$1,FALSE),0)</f>
        <v>0</v>
      </c>
      <c r="AL1794" s="9">
        <f>IFERROR(VLOOKUP($A1794,pivot!$A:$I,計算式2026!AL$1,FALSE),0)</f>
        <v>0</v>
      </c>
      <c r="AR1794" s="8"/>
      <c r="AS1794" s="8"/>
      <c r="AT1794" s="8"/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8"/>
      <c r="BG1794" s="8"/>
    </row>
    <row r="1795" spans="1:59" s="9" customFormat="1">
      <c r="A1795" s="8" t="s">
        <v>2852</v>
      </c>
      <c r="B1795" s="8" t="s">
        <v>2849</v>
      </c>
      <c r="C1795" s="9">
        <v>0</v>
      </c>
      <c r="D1795" s="9">
        <v>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R1795" s="9">
        <v>0</v>
      </c>
      <c r="S1795" s="9">
        <v>2</v>
      </c>
      <c r="T1795" s="9">
        <v>1</v>
      </c>
      <c r="U1795" s="9">
        <v>0</v>
      </c>
      <c r="V1795" s="9">
        <v>2</v>
      </c>
      <c r="W1795" s="9">
        <v>0</v>
      </c>
      <c r="X1795" s="9">
        <v>2</v>
      </c>
      <c r="AE1795" s="9">
        <f>IFERROR(VLOOKUP($A1795,pivot!$A:$G,計算式2026!AE$1,FALSE),0)</f>
        <v>0</v>
      </c>
      <c r="AF1795" s="9">
        <f>IFERROR(VLOOKUP($A1795,pivot!$A:$I,計算式2026!AF$1,FALSE),0)</f>
        <v>0</v>
      </c>
      <c r="AI1795" s="9">
        <f>IFERROR(VLOOKUP($A1795,pivot!$A:$I,計算式2026!AI$1,FALSE),0)</f>
        <v>0</v>
      </c>
      <c r="AJ1795" s="9">
        <f>IFERROR(VLOOKUP($A1795,pivot!$A:$I,計算式2026!AJ$1,FALSE),0)</f>
        <v>0</v>
      </c>
      <c r="AK1795" s="9">
        <f>IFERROR(VLOOKUP($A1795,pivot!$A:$I,計算式2026!AK$1,FALSE),0)</f>
        <v>0</v>
      </c>
      <c r="AL1795" s="9">
        <f>IFERROR(VLOOKUP($A1795,pivot!$A:$I,計算式2026!AL$1,FALSE),0)</f>
        <v>0</v>
      </c>
      <c r="AR1795" s="8"/>
      <c r="AS1795" s="8"/>
      <c r="AT1795" s="8"/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8"/>
      <c r="BG1795" s="8"/>
    </row>
    <row r="1796" spans="1:59" s="9" customFormat="1">
      <c r="A1796" s="8" t="s">
        <v>2853</v>
      </c>
      <c r="B1796" s="8" t="s">
        <v>2854</v>
      </c>
      <c r="C1796" s="9">
        <v>0</v>
      </c>
      <c r="D1796" s="9">
        <v>3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R1796" s="9">
        <v>0</v>
      </c>
      <c r="S1796" s="9">
        <v>2</v>
      </c>
      <c r="T1796" s="9">
        <v>1</v>
      </c>
      <c r="U1796" s="9">
        <v>0</v>
      </c>
      <c r="V1796" s="9">
        <v>2</v>
      </c>
      <c r="W1796" s="9">
        <v>0</v>
      </c>
      <c r="X1796" s="9">
        <v>2</v>
      </c>
      <c r="AE1796" s="9">
        <f>IFERROR(VLOOKUP($A1796,pivot!$A:$G,計算式2026!AE$1,FALSE),0)</f>
        <v>0</v>
      </c>
      <c r="AF1796" s="9">
        <f>IFERROR(VLOOKUP($A1796,pivot!$A:$I,計算式2026!AF$1,FALSE),0)</f>
        <v>0</v>
      </c>
      <c r="AI1796" s="9">
        <f>IFERROR(VLOOKUP($A1796,pivot!$A:$I,計算式2026!AI$1,FALSE),0)</f>
        <v>0</v>
      </c>
      <c r="AJ1796" s="9">
        <f>IFERROR(VLOOKUP($A1796,pivot!$A:$I,計算式2026!AJ$1,FALSE),0)</f>
        <v>0</v>
      </c>
      <c r="AK1796" s="9">
        <f>IFERROR(VLOOKUP($A1796,pivot!$A:$I,計算式2026!AK$1,FALSE),0)</f>
        <v>0</v>
      </c>
      <c r="AL1796" s="9">
        <f>IFERROR(VLOOKUP($A1796,pivot!$A:$I,計算式2026!AL$1,FALSE),0)</f>
        <v>0</v>
      </c>
      <c r="AR1796" s="8"/>
      <c r="AS1796" s="8"/>
      <c r="AT1796" s="8"/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8"/>
      <c r="BG1796" s="8"/>
    </row>
    <row r="1797" spans="1:59" s="9" customFormat="1">
      <c r="A1797" s="8" t="s">
        <v>2855</v>
      </c>
      <c r="B1797" s="8" t="s">
        <v>2854</v>
      </c>
      <c r="C1797" s="9">
        <v>0</v>
      </c>
      <c r="D1797" s="9">
        <v>0</v>
      </c>
      <c r="E1797" s="9">
        <v>0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R1797" s="9">
        <v>0</v>
      </c>
      <c r="S1797" s="9">
        <v>1</v>
      </c>
      <c r="T1797" s="9">
        <v>1</v>
      </c>
      <c r="U1797" s="9">
        <v>0</v>
      </c>
      <c r="V1797" s="9">
        <v>2</v>
      </c>
      <c r="W1797" s="9">
        <v>0</v>
      </c>
      <c r="X1797" s="9">
        <v>2</v>
      </c>
      <c r="AE1797" s="9">
        <f>IFERROR(VLOOKUP($A1797,pivot!$A:$G,計算式2026!AE$1,FALSE),0)</f>
        <v>0</v>
      </c>
      <c r="AF1797" s="9">
        <f>IFERROR(VLOOKUP($A1797,pivot!$A:$I,計算式2026!AF$1,FALSE),0)</f>
        <v>0</v>
      </c>
      <c r="AI1797" s="9">
        <f>IFERROR(VLOOKUP($A1797,pivot!$A:$I,計算式2026!AI$1,FALSE),0)</f>
        <v>0</v>
      </c>
      <c r="AJ1797" s="9">
        <f>IFERROR(VLOOKUP($A1797,pivot!$A:$I,計算式2026!AJ$1,FALSE),0)</f>
        <v>0</v>
      </c>
      <c r="AK1797" s="9">
        <f>IFERROR(VLOOKUP($A1797,pivot!$A:$I,計算式2026!AK$1,FALSE),0)</f>
        <v>0</v>
      </c>
      <c r="AL1797" s="9">
        <f>IFERROR(VLOOKUP($A1797,pivot!$A:$I,計算式2026!AL$1,FALSE),0)</f>
        <v>0</v>
      </c>
      <c r="AR1797" s="8"/>
      <c r="AS1797" s="8"/>
      <c r="AT1797" s="8"/>
      <c r="AU1797" s="8"/>
      <c r="AV1797" s="8"/>
      <c r="AW1797" s="8"/>
      <c r="AX1797" s="8"/>
      <c r="AY1797" s="8"/>
      <c r="AZ1797" s="8"/>
      <c r="BA1797" s="8"/>
      <c r="BB1797" s="8"/>
      <c r="BC1797" s="8"/>
      <c r="BD1797" s="8"/>
      <c r="BE1797" s="8"/>
      <c r="BF1797" s="8"/>
      <c r="BG1797" s="8"/>
    </row>
    <row r="1798" spans="1:59" s="9" customFormat="1">
      <c r="A1798" s="8" t="s">
        <v>2856</v>
      </c>
      <c r="B1798" s="8" t="s">
        <v>2622</v>
      </c>
      <c r="C1798" s="9">
        <v>0</v>
      </c>
      <c r="D1798" s="9">
        <v>2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R1798" s="9">
        <v>0</v>
      </c>
      <c r="S1798" s="9">
        <v>2</v>
      </c>
      <c r="T1798" s="9">
        <v>1</v>
      </c>
      <c r="U1798" s="9">
        <v>1</v>
      </c>
      <c r="V1798" s="9">
        <v>2</v>
      </c>
      <c r="W1798" s="9">
        <v>0</v>
      </c>
      <c r="X1798" s="9">
        <v>2</v>
      </c>
      <c r="AE1798" s="9">
        <f>IFERROR(VLOOKUP($A1798,pivot!$A:$G,計算式2026!AE$1,FALSE),0)</f>
        <v>0</v>
      </c>
      <c r="AF1798" s="9">
        <f>IFERROR(VLOOKUP($A1798,pivot!$A:$I,計算式2026!AF$1,FALSE),0)</f>
        <v>0</v>
      </c>
      <c r="AI1798" s="9">
        <f>IFERROR(VLOOKUP($A1798,pivot!$A:$I,計算式2026!AI$1,FALSE),0)</f>
        <v>0</v>
      </c>
      <c r="AJ1798" s="9">
        <f>IFERROR(VLOOKUP($A1798,pivot!$A:$I,計算式2026!AJ$1,FALSE),0)</f>
        <v>0</v>
      </c>
      <c r="AK1798" s="9">
        <f>IFERROR(VLOOKUP($A1798,pivot!$A:$I,計算式2026!AK$1,FALSE),0)</f>
        <v>0</v>
      </c>
      <c r="AL1798" s="9">
        <f>IFERROR(VLOOKUP($A1798,pivot!$A:$I,計算式2026!AL$1,FALSE),0)</f>
        <v>0</v>
      </c>
      <c r="AR1798" s="8"/>
      <c r="AS1798" s="8"/>
      <c r="AT1798" s="8"/>
      <c r="AU1798" s="8"/>
      <c r="AV1798" s="8"/>
      <c r="AW1798" s="8"/>
      <c r="AX1798" s="8"/>
      <c r="AY1798" s="8"/>
      <c r="AZ1798" s="8"/>
      <c r="BA1798" s="8"/>
      <c r="BB1798" s="8"/>
      <c r="BC1798" s="8"/>
      <c r="BD1798" s="8"/>
      <c r="BE1798" s="8"/>
      <c r="BF1798" s="8"/>
      <c r="BG1798" s="8"/>
    </row>
    <row r="1799" spans="1:59" s="9" customFormat="1">
      <c r="A1799" s="8" t="s">
        <v>2680</v>
      </c>
      <c r="B1799" s="8" t="s">
        <v>2622</v>
      </c>
      <c r="C1799" s="9">
        <v>0</v>
      </c>
      <c r="D1799" s="9">
        <v>0</v>
      </c>
      <c r="E1799" s="9">
        <v>0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R1799" s="9">
        <v>0</v>
      </c>
      <c r="S1799" s="9">
        <v>1</v>
      </c>
      <c r="T1799" s="9">
        <v>1</v>
      </c>
      <c r="U1799" s="9">
        <v>1</v>
      </c>
      <c r="V1799" s="9">
        <v>1</v>
      </c>
      <c r="W1799" s="9">
        <v>0</v>
      </c>
      <c r="X1799" s="9">
        <v>2</v>
      </c>
      <c r="AE1799" s="9">
        <f>IFERROR(VLOOKUP($A1799,pivot!$A:$G,計算式2026!AE$1,FALSE),0)</f>
        <v>0</v>
      </c>
      <c r="AF1799" s="9">
        <f>IFERROR(VLOOKUP($A1799,pivot!$A:$I,計算式2026!AF$1,FALSE),0)</f>
        <v>0</v>
      </c>
      <c r="AI1799" s="9">
        <f>IFERROR(VLOOKUP($A1799,pivot!$A:$I,計算式2026!AI$1,FALSE),0)</f>
        <v>0</v>
      </c>
      <c r="AJ1799" s="9">
        <f>IFERROR(VLOOKUP($A1799,pivot!$A:$I,計算式2026!AJ$1,FALSE),0)</f>
        <v>0</v>
      </c>
      <c r="AK1799" s="9">
        <f>IFERROR(VLOOKUP($A1799,pivot!$A:$I,計算式2026!AK$1,FALSE),0)</f>
        <v>0</v>
      </c>
      <c r="AL1799" s="9">
        <f>IFERROR(VLOOKUP($A1799,pivot!$A:$I,計算式2026!AL$1,FALSE),0)</f>
        <v>0</v>
      </c>
      <c r="AR1799" s="8"/>
      <c r="AS1799" s="8"/>
      <c r="AT1799" s="8"/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8"/>
      <c r="BG1799" s="8"/>
    </row>
    <row r="1800" spans="1:59" s="9" customFormat="1">
      <c r="A1800" s="8" t="s">
        <v>2325</v>
      </c>
      <c r="B1800" s="8" t="s">
        <v>2326</v>
      </c>
      <c r="C1800" s="9">
        <v>1</v>
      </c>
      <c r="D1800" s="9">
        <v>0</v>
      </c>
      <c r="E1800" s="9">
        <v>0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AE1800" s="9">
        <f>IFERROR(VLOOKUP($A1800,pivot!$A:$G,計算式2026!AE$1,FALSE),0)</f>
        <v>0</v>
      </c>
      <c r="AF1800" s="9">
        <f>IFERROR(VLOOKUP($A1800,pivot!$A:$I,計算式2026!AF$1,FALSE),0)</f>
        <v>0</v>
      </c>
      <c r="AI1800" s="9">
        <f>IFERROR(VLOOKUP($A1800,pivot!$A:$I,計算式2026!AI$1,FALSE),0)</f>
        <v>0</v>
      </c>
      <c r="AJ1800" s="9">
        <f>IFERROR(VLOOKUP($A1800,pivot!$A:$I,計算式2026!AJ$1,FALSE),0)</f>
        <v>0</v>
      </c>
      <c r="AK1800" s="9">
        <f>IFERROR(VLOOKUP($A1800,pivot!$A:$I,計算式2026!AK$1,FALSE),0)</f>
        <v>0</v>
      </c>
      <c r="AL1800" s="9">
        <f>IFERROR(VLOOKUP($A1800,pivot!$A:$I,計算式2026!AL$1,FALSE),0)</f>
        <v>0</v>
      </c>
      <c r="AR1800" s="8"/>
      <c r="AS1800" s="8"/>
      <c r="AT1800" s="8"/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8"/>
      <c r="BG1800" s="8"/>
    </row>
    <row r="1801" spans="1:59" s="9" customFormat="1">
      <c r="A1801" s="8" t="s">
        <v>2327</v>
      </c>
      <c r="B1801" s="8" t="s">
        <v>2326</v>
      </c>
      <c r="C1801" s="9">
        <v>0</v>
      </c>
      <c r="D1801" s="9">
        <v>0</v>
      </c>
      <c r="E1801" s="9">
        <v>0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R1801" s="9">
        <v>0</v>
      </c>
      <c r="S1801" s="9">
        <v>0</v>
      </c>
      <c r="T1801" s="9">
        <v>1</v>
      </c>
      <c r="U1801" s="9">
        <v>0</v>
      </c>
      <c r="V1801" s="9">
        <v>0</v>
      </c>
      <c r="W1801" s="9">
        <v>0</v>
      </c>
      <c r="X1801" s="9">
        <v>1</v>
      </c>
      <c r="AE1801" s="9">
        <f>IFERROR(VLOOKUP($A1801,pivot!$A:$G,計算式2026!AE$1,FALSE),0)</f>
        <v>0</v>
      </c>
      <c r="AF1801" s="9">
        <f>IFERROR(VLOOKUP($A1801,pivot!$A:$I,計算式2026!AF$1,FALSE),0)</f>
        <v>0</v>
      </c>
      <c r="AI1801" s="9">
        <f>IFERROR(VLOOKUP($A1801,pivot!$A:$I,計算式2026!AI$1,FALSE),0)</f>
        <v>0</v>
      </c>
      <c r="AJ1801" s="9">
        <f>IFERROR(VLOOKUP($A1801,pivot!$A:$I,計算式2026!AJ$1,FALSE),0)</f>
        <v>0</v>
      </c>
      <c r="AK1801" s="9">
        <f>IFERROR(VLOOKUP($A1801,pivot!$A:$I,計算式2026!AK$1,FALSE),0)</f>
        <v>0</v>
      </c>
      <c r="AL1801" s="9">
        <f>IFERROR(VLOOKUP($A1801,pivot!$A:$I,計算式2026!AL$1,FALSE),0)</f>
        <v>0</v>
      </c>
      <c r="AR1801" s="8"/>
      <c r="AS1801" s="8"/>
      <c r="AT1801" s="8"/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8"/>
      <c r="BG1801" s="8"/>
    </row>
    <row r="1802" spans="1:59" s="9" customFormat="1">
      <c r="A1802" s="8" t="s">
        <v>2328</v>
      </c>
      <c r="B1802" s="8" t="s">
        <v>2326</v>
      </c>
      <c r="C1802" s="9">
        <v>0</v>
      </c>
      <c r="D1802" s="9">
        <v>9</v>
      </c>
      <c r="E1802" s="9">
        <v>0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R1802" s="9">
        <v>0</v>
      </c>
      <c r="S1802" s="9">
        <v>2</v>
      </c>
      <c r="T1802" s="9">
        <v>0</v>
      </c>
      <c r="U1802" s="9">
        <v>1</v>
      </c>
      <c r="V1802" s="9">
        <v>2</v>
      </c>
      <c r="W1802" s="9">
        <v>0</v>
      </c>
      <c r="X1802" s="9">
        <v>1</v>
      </c>
      <c r="AE1802" s="9">
        <f>IFERROR(VLOOKUP($A1802,pivot!$A:$G,計算式2026!AE$1,FALSE),0)</f>
        <v>0</v>
      </c>
      <c r="AF1802" s="9">
        <f>IFERROR(VLOOKUP($A1802,pivot!$A:$I,計算式2026!AF$1,FALSE),0)</f>
        <v>0</v>
      </c>
      <c r="AI1802" s="9">
        <f>IFERROR(VLOOKUP($A1802,pivot!$A:$I,計算式2026!AI$1,FALSE),0)</f>
        <v>0</v>
      </c>
      <c r="AJ1802" s="9">
        <f>IFERROR(VLOOKUP($A1802,pivot!$A:$I,計算式2026!AJ$1,FALSE),0)</f>
        <v>0</v>
      </c>
      <c r="AK1802" s="9">
        <f>IFERROR(VLOOKUP($A1802,pivot!$A:$I,計算式2026!AK$1,FALSE),0)</f>
        <v>0</v>
      </c>
      <c r="AL1802" s="9">
        <f>IFERROR(VLOOKUP($A1802,pivot!$A:$I,計算式2026!AL$1,FALSE),0)</f>
        <v>0</v>
      </c>
      <c r="AR1802" s="8"/>
      <c r="AS1802" s="8"/>
      <c r="AT1802" s="8"/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8"/>
      <c r="BG1802" s="8"/>
    </row>
    <row r="1803" spans="1:59" s="9" customFormat="1">
      <c r="A1803" s="8" t="s">
        <v>2329</v>
      </c>
      <c r="B1803" s="8" t="s">
        <v>2326</v>
      </c>
      <c r="C1803" s="9">
        <v>0</v>
      </c>
      <c r="D1803" s="9">
        <v>6</v>
      </c>
      <c r="E1803" s="9">
        <v>0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R1803" s="9">
        <v>0</v>
      </c>
      <c r="S1803" s="9">
        <v>2</v>
      </c>
      <c r="T1803" s="9">
        <v>0</v>
      </c>
      <c r="U1803" s="9">
        <v>1</v>
      </c>
      <c r="V1803" s="9">
        <v>2</v>
      </c>
      <c r="W1803" s="9">
        <v>0</v>
      </c>
      <c r="X1803" s="9">
        <v>2</v>
      </c>
      <c r="AE1803" s="9">
        <f>IFERROR(VLOOKUP($A1803,pivot!$A:$G,計算式2026!AE$1,FALSE),0)</f>
        <v>0</v>
      </c>
      <c r="AF1803" s="9">
        <f>IFERROR(VLOOKUP($A1803,pivot!$A:$I,計算式2026!AF$1,FALSE),0)</f>
        <v>0</v>
      </c>
      <c r="AI1803" s="9">
        <f>IFERROR(VLOOKUP($A1803,pivot!$A:$I,計算式2026!AI$1,FALSE),0)</f>
        <v>0</v>
      </c>
      <c r="AJ1803" s="9">
        <f>IFERROR(VLOOKUP($A1803,pivot!$A:$I,計算式2026!AJ$1,FALSE),0)</f>
        <v>0</v>
      </c>
      <c r="AK1803" s="9">
        <f>IFERROR(VLOOKUP($A1803,pivot!$A:$I,計算式2026!AK$1,FALSE),0)</f>
        <v>0</v>
      </c>
      <c r="AL1803" s="9">
        <f>IFERROR(VLOOKUP($A1803,pivot!$A:$I,計算式2026!AL$1,FALSE),0)</f>
        <v>0</v>
      </c>
      <c r="AR1803" s="8"/>
      <c r="AS1803" s="8"/>
      <c r="AT1803" s="8"/>
      <c r="AU1803" s="8"/>
      <c r="AV1803" s="8"/>
      <c r="AW1803" s="8"/>
      <c r="AX1803" s="8"/>
      <c r="AY1803" s="8"/>
      <c r="AZ1803" s="8"/>
      <c r="BA1803" s="8"/>
      <c r="BB1803" s="8"/>
      <c r="BC1803" s="8"/>
      <c r="BD1803" s="8"/>
      <c r="BE1803" s="8"/>
      <c r="BF1803" s="8"/>
      <c r="BG1803" s="8"/>
    </row>
    <row r="1804" spans="1:59" s="9" customFormat="1">
      <c r="A1804" s="8" t="s">
        <v>2330</v>
      </c>
      <c r="B1804" s="8" t="s">
        <v>2331</v>
      </c>
      <c r="C1804" s="9">
        <v>0</v>
      </c>
      <c r="D1804" s="9">
        <v>0</v>
      </c>
      <c r="E1804" s="9">
        <v>0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1</v>
      </c>
      <c r="W1804" s="9">
        <v>0</v>
      </c>
      <c r="X1804" s="9">
        <v>1</v>
      </c>
      <c r="AE1804" s="9">
        <f>IFERROR(VLOOKUP($A1804,pivot!$A:$G,計算式2026!AE$1,FALSE),0)</f>
        <v>0</v>
      </c>
      <c r="AF1804" s="9">
        <f>IFERROR(VLOOKUP($A1804,pivot!$A:$I,計算式2026!AF$1,FALSE),0)</f>
        <v>0</v>
      </c>
      <c r="AI1804" s="9">
        <f>IFERROR(VLOOKUP($A1804,pivot!$A:$I,計算式2026!AI$1,FALSE),0)</f>
        <v>0</v>
      </c>
      <c r="AJ1804" s="9">
        <f>IFERROR(VLOOKUP($A1804,pivot!$A:$I,計算式2026!AJ$1,FALSE),0)</f>
        <v>0</v>
      </c>
      <c r="AK1804" s="9">
        <f>IFERROR(VLOOKUP($A1804,pivot!$A:$I,計算式2026!AK$1,FALSE),0)</f>
        <v>0</v>
      </c>
      <c r="AL1804" s="9">
        <f>IFERROR(VLOOKUP($A1804,pivot!$A:$I,計算式2026!AL$1,FALSE),0)</f>
        <v>0</v>
      </c>
      <c r="AR1804" s="8"/>
      <c r="AS1804" s="8"/>
      <c r="AT1804" s="8"/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8"/>
      <c r="BG1804" s="8"/>
    </row>
    <row r="1805" spans="1:59" s="9" customFormat="1">
      <c r="A1805" s="8" t="s">
        <v>2332</v>
      </c>
      <c r="B1805" s="8" t="s">
        <v>2331</v>
      </c>
      <c r="C1805" s="9">
        <v>0</v>
      </c>
      <c r="D1805" s="9">
        <v>7</v>
      </c>
      <c r="E1805" s="9">
        <v>0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R1805" s="9">
        <v>0</v>
      </c>
      <c r="S1805" s="9">
        <v>2</v>
      </c>
      <c r="T1805" s="9">
        <v>1</v>
      </c>
      <c r="U1805" s="9">
        <v>1</v>
      </c>
      <c r="V1805" s="9">
        <v>2</v>
      </c>
      <c r="W1805" s="9">
        <v>0</v>
      </c>
      <c r="X1805" s="9">
        <v>1</v>
      </c>
      <c r="AE1805" s="9">
        <f>IFERROR(VLOOKUP($A1805,pivot!$A:$G,計算式2026!AE$1,FALSE),0)</f>
        <v>0</v>
      </c>
      <c r="AF1805" s="9">
        <f>IFERROR(VLOOKUP($A1805,pivot!$A:$I,計算式2026!AF$1,FALSE),0)</f>
        <v>0</v>
      </c>
      <c r="AI1805" s="9">
        <f>IFERROR(VLOOKUP($A1805,pivot!$A:$I,計算式2026!AI$1,FALSE),0)</f>
        <v>0</v>
      </c>
      <c r="AJ1805" s="9">
        <f>IFERROR(VLOOKUP($A1805,pivot!$A:$I,計算式2026!AJ$1,FALSE),0)</f>
        <v>0</v>
      </c>
      <c r="AK1805" s="9">
        <f>IFERROR(VLOOKUP($A1805,pivot!$A:$I,計算式2026!AK$1,FALSE),0)</f>
        <v>0</v>
      </c>
      <c r="AL1805" s="9">
        <f>IFERROR(VLOOKUP($A1805,pivot!$A:$I,計算式2026!AL$1,FALSE),0)</f>
        <v>0</v>
      </c>
      <c r="AR1805" s="8"/>
      <c r="AS1805" s="8"/>
      <c r="AT1805" s="8"/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8"/>
      <c r="BG1805" s="8"/>
    </row>
    <row r="1806" spans="1:59" s="9" customFormat="1">
      <c r="A1806" s="8" t="s">
        <v>2333</v>
      </c>
      <c r="B1806" s="8" t="s">
        <v>2331</v>
      </c>
      <c r="C1806" s="9">
        <v>0</v>
      </c>
      <c r="D1806" s="9">
        <v>4</v>
      </c>
      <c r="E1806" s="9">
        <v>0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R1806" s="9">
        <v>0</v>
      </c>
      <c r="S1806" s="9">
        <v>2</v>
      </c>
      <c r="T1806" s="9">
        <v>1</v>
      </c>
      <c r="U1806" s="9">
        <v>1</v>
      </c>
      <c r="V1806" s="9">
        <v>2</v>
      </c>
      <c r="W1806" s="9">
        <v>0</v>
      </c>
      <c r="X1806" s="9">
        <v>1</v>
      </c>
      <c r="AE1806" s="9">
        <f>IFERROR(VLOOKUP($A1806,pivot!$A:$G,計算式2026!AE$1,FALSE),0)</f>
        <v>0</v>
      </c>
      <c r="AF1806" s="9">
        <f>IFERROR(VLOOKUP($A1806,pivot!$A:$I,計算式2026!AF$1,FALSE),0)</f>
        <v>0</v>
      </c>
      <c r="AI1806" s="9">
        <f>IFERROR(VLOOKUP($A1806,pivot!$A:$I,計算式2026!AI$1,FALSE),0)</f>
        <v>0</v>
      </c>
      <c r="AJ1806" s="9">
        <f>IFERROR(VLOOKUP($A1806,pivot!$A:$I,計算式2026!AJ$1,FALSE),0)</f>
        <v>0</v>
      </c>
      <c r="AK1806" s="9">
        <f>IFERROR(VLOOKUP($A1806,pivot!$A:$I,計算式2026!AK$1,FALSE),0)</f>
        <v>0</v>
      </c>
      <c r="AL1806" s="9">
        <f>IFERROR(VLOOKUP($A1806,pivot!$A:$I,計算式2026!AL$1,FALSE),0)</f>
        <v>0</v>
      </c>
      <c r="AR1806" s="8"/>
      <c r="AS1806" s="8"/>
      <c r="AT1806" s="8"/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8"/>
      <c r="BG1806" s="8"/>
    </row>
    <row r="1807" spans="1:59" s="9" customFormat="1">
      <c r="A1807" s="8" t="s">
        <v>2334</v>
      </c>
      <c r="B1807" s="8" t="s">
        <v>2331</v>
      </c>
      <c r="C1807" s="9">
        <v>0</v>
      </c>
      <c r="D1807" s="9">
        <v>0</v>
      </c>
      <c r="E1807" s="9">
        <v>0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R1807" s="9">
        <v>0</v>
      </c>
      <c r="S1807" s="9">
        <v>1</v>
      </c>
      <c r="T1807" s="9">
        <v>0</v>
      </c>
      <c r="U1807" s="9">
        <v>0</v>
      </c>
      <c r="V1807" s="9">
        <v>1</v>
      </c>
      <c r="W1807" s="9">
        <v>0</v>
      </c>
      <c r="X1807" s="9">
        <v>1</v>
      </c>
      <c r="AE1807" s="9">
        <f>IFERROR(VLOOKUP($A1807,pivot!$A:$G,計算式2026!AE$1,FALSE),0)</f>
        <v>0</v>
      </c>
      <c r="AF1807" s="9">
        <f>IFERROR(VLOOKUP($A1807,pivot!$A:$I,計算式2026!AF$1,FALSE),0)</f>
        <v>0</v>
      </c>
      <c r="AI1807" s="9">
        <f>IFERROR(VLOOKUP($A1807,pivot!$A:$I,計算式2026!AI$1,FALSE),0)</f>
        <v>0</v>
      </c>
      <c r="AJ1807" s="9">
        <f>IFERROR(VLOOKUP($A1807,pivot!$A:$I,計算式2026!AJ$1,FALSE),0)</f>
        <v>0</v>
      </c>
      <c r="AK1807" s="9">
        <f>IFERROR(VLOOKUP($A1807,pivot!$A:$I,計算式2026!AK$1,FALSE),0)</f>
        <v>0</v>
      </c>
      <c r="AL1807" s="9">
        <f>IFERROR(VLOOKUP($A1807,pivot!$A:$I,計算式2026!AL$1,FALSE),0)</f>
        <v>0</v>
      </c>
      <c r="AR1807" s="8"/>
      <c r="AS1807" s="8"/>
      <c r="AT1807" s="8"/>
      <c r="AU1807" s="8"/>
      <c r="AV1807" s="8"/>
      <c r="AW1807" s="8"/>
      <c r="AX1807" s="8"/>
      <c r="AY1807" s="8"/>
      <c r="AZ1807" s="8"/>
      <c r="BA1807" s="8"/>
      <c r="BB1807" s="8"/>
      <c r="BC1807" s="8"/>
      <c r="BD1807" s="8"/>
      <c r="BE1807" s="8"/>
      <c r="BF1807" s="8"/>
      <c r="BG1807" s="8"/>
    </row>
    <row r="1808" spans="1:59" s="9" customFormat="1">
      <c r="A1808" s="8" t="s">
        <v>2335</v>
      </c>
      <c r="B1808" s="8" t="s">
        <v>2331</v>
      </c>
      <c r="C1808" s="9">
        <v>0</v>
      </c>
      <c r="D1808" s="9">
        <v>0</v>
      </c>
      <c r="E1808" s="9">
        <v>0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1</v>
      </c>
      <c r="W1808" s="9">
        <v>0</v>
      </c>
      <c r="X1808" s="9">
        <v>1</v>
      </c>
      <c r="AE1808" s="9">
        <f>IFERROR(VLOOKUP($A1808,pivot!$A:$G,計算式2026!AE$1,FALSE),0)</f>
        <v>0</v>
      </c>
      <c r="AF1808" s="9">
        <f>IFERROR(VLOOKUP($A1808,pivot!$A:$I,計算式2026!AF$1,FALSE),0)</f>
        <v>0</v>
      </c>
      <c r="AI1808" s="9">
        <f>IFERROR(VLOOKUP($A1808,pivot!$A:$I,計算式2026!AI$1,FALSE),0)</f>
        <v>0</v>
      </c>
      <c r="AJ1808" s="9">
        <f>IFERROR(VLOOKUP($A1808,pivot!$A:$I,計算式2026!AJ$1,FALSE),0)</f>
        <v>0</v>
      </c>
      <c r="AK1808" s="9">
        <f>IFERROR(VLOOKUP($A1808,pivot!$A:$I,計算式2026!AK$1,FALSE),0)</f>
        <v>0</v>
      </c>
      <c r="AL1808" s="9">
        <f>IFERROR(VLOOKUP($A1808,pivot!$A:$I,計算式2026!AL$1,FALSE),0)</f>
        <v>0</v>
      </c>
      <c r="AR1808" s="8"/>
      <c r="AS1808" s="8"/>
      <c r="AT1808" s="8"/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8"/>
      <c r="BG1808" s="8"/>
    </row>
    <row r="1809" spans="1:59" s="9" customFormat="1">
      <c r="A1809" s="8" t="s">
        <v>2336</v>
      </c>
      <c r="B1809" s="8" t="s">
        <v>2331</v>
      </c>
      <c r="C1809" s="9">
        <v>0</v>
      </c>
      <c r="D1809" s="9">
        <v>0</v>
      </c>
      <c r="E1809" s="9">
        <v>0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R1809" s="9">
        <v>0</v>
      </c>
      <c r="S1809" s="9">
        <v>3</v>
      </c>
      <c r="T1809" s="9">
        <v>1</v>
      </c>
      <c r="U1809" s="9">
        <v>0</v>
      </c>
      <c r="V1809" s="9">
        <v>3</v>
      </c>
      <c r="W1809" s="9">
        <v>0</v>
      </c>
      <c r="X1809" s="9">
        <v>1</v>
      </c>
      <c r="AE1809" s="9">
        <f>IFERROR(VLOOKUP($A1809,pivot!$A:$G,計算式2026!AE$1,FALSE),0)</f>
        <v>0</v>
      </c>
      <c r="AF1809" s="9">
        <f>IFERROR(VLOOKUP($A1809,pivot!$A:$I,計算式2026!AF$1,FALSE),0)</f>
        <v>0</v>
      </c>
      <c r="AI1809" s="9">
        <f>IFERROR(VLOOKUP($A1809,pivot!$A:$I,計算式2026!AI$1,FALSE),0)</f>
        <v>0</v>
      </c>
      <c r="AJ1809" s="9">
        <f>IFERROR(VLOOKUP($A1809,pivot!$A:$I,計算式2026!AJ$1,FALSE),0)</f>
        <v>0</v>
      </c>
      <c r="AK1809" s="9">
        <f>IFERROR(VLOOKUP($A1809,pivot!$A:$I,計算式2026!AK$1,FALSE),0)</f>
        <v>0</v>
      </c>
      <c r="AL1809" s="9">
        <f>IFERROR(VLOOKUP($A1809,pivot!$A:$I,計算式2026!AL$1,FALSE),0)</f>
        <v>0</v>
      </c>
      <c r="AR1809" s="8"/>
      <c r="AS1809" s="8"/>
      <c r="AT1809" s="8"/>
      <c r="AU1809" s="8"/>
      <c r="AV1809" s="8"/>
      <c r="AW1809" s="8"/>
      <c r="AX1809" s="8"/>
      <c r="AY1809" s="8"/>
      <c r="AZ1809" s="8"/>
      <c r="BA1809" s="8"/>
      <c r="BB1809" s="8"/>
      <c r="BC1809" s="8"/>
      <c r="BD1809" s="8"/>
      <c r="BE1809" s="8"/>
      <c r="BF1809" s="8"/>
      <c r="BG1809" s="8"/>
    </row>
    <row r="1810" spans="1:59" s="9" customFormat="1">
      <c r="A1810" s="8" t="s">
        <v>2337</v>
      </c>
      <c r="B1810" s="8" t="s">
        <v>2331</v>
      </c>
      <c r="C1810" s="9">
        <v>0</v>
      </c>
      <c r="D1810" s="9">
        <v>0</v>
      </c>
      <c r="E1810" s="9">
        <v>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R1810" s="9">
        <v>0</v>
      </c>
      <c r="S1810" s="9">
        <v>2</v>
      </c>
      <c r="T1810" s="9">
        <v>1</v>
      </c>
      <c r="U1810" s="9">
        <v>0</v>
      </c>
      <c r="V1810" s="9">
        <v>2</v>
      </c>
      <c r="W1810" s="9">
        <v>0</v>
      </c>
      <c r="X1810" s="9">
        <v>1</v>
      </c>
      <c r="AE1810" s="9">
        <f>IFERROR(VLOOKUP($A1810,pivot!$A:$G,計算式2026!AE$1,FALSE),0)</f>
        <v>0</v>
      </c>
      <c r="AF1810" s="9">
        <f>IFERROR(VLOOKUP($A1810,pivot!$A:$I,計算式2026!AF$1,FALSE),0)</f>
        <v>0</v>
      </c>
      <c r="AI1810" s="9">
        <f>IFERROR(VLOOKUP($A1810,pivot!$A:$I,計算式2026!AI$1,FALSE),0)</f>
        <v>0</v>
      </c>
      <c r="AJ1810" s="9">
        <f>IFERROR(VLOOKUP($A1810,pivot!$A:$I,計算式2026!AJ$1,FALSE),0)</f>
        <v>0</v>
      </c>
      <c r="AK1810" s="9">
        <f>IFERROR(VLOOKUP($A1810,pivot!$A:$I,計算式2026!AK$1,FALSE),0)</f>
        <v>0</v>
      </c>
      <c r="AL1810" s="9">
        <f>IFERROR(VLOOKUP($A1810,pivot!$A:$I,計算式2026!AL$1,FALSE),0)</f>
        <v>0</v>
      </c>
      <c r="AR1810" s="8"/>
      <c r="AS1810" s="8"/>
      <c r="AT1810" s="8"/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8"/>
      <c r="BG1810" s="8"/>
    </row>
    <row r="1811" spans="1:59" s="9" customFormat="1">
      <c r="A1811" s="8" t="s">
        <v>2338</v>
      </c>
      <c r="B1811" s="8" t="s">
        <v>2331</v>
      </c>
      <c r="C1811" s="9">
        <v>0</v>
      </c>
      <c r="D1811" s="9">
        <v>0</v>
      </c>
      <c r="E1811" s="9">
        <v>0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R1811" s="9">
        <v>0</v>
      </c>
      <c r="S1811" s="9">
        <v>1</v>
      </c>
      <c r="T1811" s="9">
        <v>0</v>
      </c>
      <c r="U1811" s="9">
        <v>0</v>
      </c>
      <c r="V1811" s="9">
        <v>1</v>
      </c>
      <c r="W1811" s="9">
        <v>0</v>
      </c>
      <c r="X1811" s="9">
        <v>1</v>
      </c>
      <c r="AE1811" s="9">
        <f>IFERROR(VLOOKUP($A1811,pivot!$A:$G,計算式2026!AE$1,FALSE),0)</f>
        <v>0</v>
      </c>
      <c r="AF1811" s="9">
        <f>IFERROR(VLOOKUP($A1811,pivot!$A:$I,計算式2026!AF$1,FALSE),0)</f>
        <v>0</v>
      </c>
      <c r="AI1811" s="9">
        <f>IFERROR(VLOOKUP($A1811,pivot!$A:$I,計算式2026!AI$1,FALSE),0)</f>
        <v>0</v>
      </c>
      <c r="AJ1811" s="9">
        <f>IFERROR(VLOOKUP($A1811,pivot!$A:$I,計算式2026!AJ$1,FALSE),0)</f>
        <v>0</v>
      </c>
      <c r="AK1811" s="9">
        <f>IFERROR(VLOOKUP($A1811,pivot!$A:$I,計算式2026!AK$1,FALSE),0)</f>
        <v>0</v>
      </c>
      <c r="AL1811" s="9">
        <f>IFERROR(VLOOKUP($A1811,pivot!$A:$I,計算式2026!AL$1,FALSE),0)</f>
        <v>0</v>
      </c>
      <c r="AR1811" s="8"/>
      <c r="AS1811" s="8"/>
      <c r="AT1811" s="8"/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8"/>
      <c r="BG1811" s="8"/>
    </row>
    <row r="1812" spans="1:59" s="9" customFormat="1">
      <c r="A1812" s="8" t="s">
        <v>2339</v>
      </c>
      <c r="B1812" s="8" t="s">
        <v>2340</v>
      </c>
      <c r="C1812" s="9">
        <v>0</v>
      </c>
      <c r="D1812" s="9">
        <v>0</v>
      </c>
      <c r="E1812" s="9">
        <v>0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1</v>
      </c>
      <c r="W1812" s="9">
        <v>0</v>
      </c>
      <c r="X1812" s="9">
        <v>0</v>
      </c>
      <c r="AE1812" s="9">
        <f>IFERROR(VLOOKUP($A1812,pivot!$A:$G,計算式2026!AE$1,FALSE),0)</f>
        <v>0</v>
      </c>
      <c r="AF1812" s="9">
        <f>IFERROR(VLOOKUP($A1812,pivot!$A:$I,計算式2026!AF$1,FALSE),0)</f>
        <v>0</v>
      </c>
      <c r="AI1812" s="9">
        <f>IFERROR(VLOOKUP($A1812,pivot!$A:$I,計算式2026!AI$1,FALSE),0)</f>
        <v>0</v>
      </c>
      <c r="AJ1812" s="9">
        <f>IFERROR(VLOOKUP($A1812,pivot!$A:$I,計算式2026!AJ$1,FALSE),0)</f>
        <v>0</v>
      </c>
      <c r="AK1812" s="9">
        <f>IFERROR(VLOOKUP($A1812,pivot!$A:$I,計算式2026!AK$1,FALSE),0)</f>
        <v>0</v>
      </c>
      <c r="AL1812" s="9">
        <f>IFERROR(VLOOKUP($A1812,pivot!$A:$I,計算式2026!AL$1,FALSE),0)</f>
        <v>0</v>
      </c>
      <c r="AR1812" s="8"/>
      <c r="AS1812" s="8"/>
      <c r="AT1812" s="8"/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8"/>
      <c r="BG1812" s="8"/>
    </row>
    <row r="1813" spans="1:59" s="9" customFormat="1">
      <c r="A1813" s="8" t="s">
        <v>2341</v>
      </c>
      <c r="B1813" s="8" t="s">
        <v>2340</v>
      </c>
      <c r="C1813" s="9">
        <v>0</v>
      </c>
      <c r="D1813" s="9">
        <v>0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R1813" s="9">
        <v>1</v>
      </c>
      <c r="S1813" s="9">
        <v>1</v>
      </c>
      <c r="T1813" s="9">
        <v>1</v>
      </c>
      <c r="U1813" s="9">
        <v>0</v>
      </c>
      <c r="V1813" s="9">
        <v>2</v>
      </c>
      <c r="W1813" s="9">
        <v>0</v>
      </c>
      <c r="X1813" s="9">
        <v>0</v>
      </c>
      <c r="AE1813" s="9">
        <f>IFERROR(VLOOKUP($A1813,pivot!$A:$G,計算式2026!AE$1,FALSE),0)</f>
        <v>0</v>
      </c>
      <c r="AF1813" s="9">
        <f>IFERROR(VLOOKUP($A1813,pivot!$A:$I,計算式2026!AF$1,FALSE),0)</f>
        <v>0</v>
      </c>
      <c r="AI1813" s="9">
        <f>IFERROR(VLOOKUP($A1813,pivot!$A:$I,計算式2026!AI$1,FALSE),0)</f>
        <v>0</v>
      </c>
      <c r="AJ1813" s="9">
        <f>IFERROR(VLOOKUP($A1813,pivot!$A:$I,計算式2026!AJ$1,FALSE),0)</f>
        <v>0</v>
      </c>
      <c r="AK1813" s="9">
        <f>IFERROR(VLOOKUP($A1813,pivot!$A:$I,計算式2026!AK$1,FALSE),0)</f>
        <v>0</v>
      </c>
      <c r="AL1813" s="9">
        <f>IFERROR(VLOOKUP($A1813,pivot!$A:$I,計算式2026!AL$1,FALSE),0)</f>
        <v>0</v>
      </c>
      <c r="AR1813" s="8"/>
      <c r="AS1813" s="8"/>
      <c r="AT1813" s="8"/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8"/>
      <c r="BG1813" s="8"/>
    </row>
    <row r="1814" spans="1:59" s="9" customFormat="1">
      <c r="A1814" s="8" t="s">
        <v>2342</v>
      </c>
      <c r="B1814" s="8" t="s">
        <v>2340</v>
      </c>
      <c r="C1814" s="9">
        <v>1</v>
      </c>
      <c r="D1814" s="9">
        <v>0</v>
      </c>
      <c r="E1814" s="9">
        <v>0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R1814" s="9">
        <v>1</v>
      </c>
      <c r="S1814" s="9">
        <v>1</v>
      </c>
      <c r="T1814" s="9">
        <v>1</v>
      </c>
      <c r="U1814" s="9">
        <v>0</v>
      </c>
      <c r="V1814" s="9">
        <v>2</v>
      </c>
      <c r="W1814" s="9">
        <v>0</v>
      </c>
      <c r="X1814" s="9">
        <v>1</v>
      </c>
      <c r="AE1814" s="9">
        <f>IFERROR(VLOOKUP($A1814,pivot!$A:$G,計算式2026!AE$1,FALSE),0)</f>
        <v>0</v>
      </c>
      <c r="AF1814" s="9">
        <f>IFERROR(VLOOKUP($A1814,pivot!$A:$I,計算式2026!AF$1,FALSE),0)</f>
        <v>0</v>
      </c>
      <c r="AI1814" s="9">
        <f>IFERROR(VLOOKUP($A1814,pivot!$A:$I,計算式2026!AI$1,FALSE),0)</f>
        <v>0</v>
      </c>
      <c r="AJ1814" s="9">
        <f>IFERROR(VLOOKUP($A1814,pivot!$A:$I,計算式2026!AJ$1,FALSE),0)</f>
        <v>0</v>
      </c>
      <c r="AK1814" s="9">
        <f>IFERROR(VLOOKUP($A1814,pivot!$A:$I,計算式2026!AK$1,FALSE),0)</f>
        <v>0</v>
      </c>
      <c r="AL1814" s="9">
        <f>IFERROR(VLOOKUP($A1814,pivot!$A:$I,計算式2026!AL$1,FALSE),0)</f>
        <v>0</v>
      </c>
      <c r="AR1814" s="8"/>
      <c r="AS1814" s="8"/>
      <c r="AT1814" s="8"/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8"/>
      <c r="BG1814" s="8"/>
    </row>
    <row r="1815" spans="1:59" s="9" customFormat="1">
      <c r="A1815" s="8" t="s">
        <v>2343</v>
      </c>
      <c r="B1815" s="8" t="s">
        <v>2340</v>
      </c>
      <c r="C1815" s="9">
        <v>0</v>
      </c>
      <c r="D1815" s="9">
        <v>0</v>
      </c>
      <c r="E1815" s="9">
        <v>0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1</v>
      </c>
      <c r="W1815" s="9">
        <v>0</v>
      </c>
      <c r="X1815" s="9">
        <v>0</v>
      </c>
      <c r="AE1815" s="9">
        <f>IFERROR(VLOOKUP($A1815,pivot!$A:$G,計算式2026!AE$1,FALSE),0)</f>
        <v>0</v>
      </c>
      <c r="AF1815" s="9">
        <f>IFERROR(VLOOKUP($A1815,pivot!$A:$I,計算式2026!AF$1,FALSE),0)</f>
        <v>0</v>
      </c>
      <c r="AI1815" s="9">
        <f>IFERROR(VLOOKUP($A1815,pivot!$A:$I,計算式2026!AI$1,FALSE),0)</f>
        <v>0</v>
      </c>
      <c r="AJ1815" s="9">
        <f>IFERROR(VLOOKUP($A1815,pivot!$A:$I,計算式2026!AJ$1,FALSE),0)</f>
        <v>0</v>
      </c>
      <c r="AK1815" s="9">
        <f>IFERROR(VLOOKUP($A1815,pivot!$A:$I,計算式2026!AK$1,FALSE),0)</f>
        <v>0</v>
      </c>
      <c r="AL1815" s="9">
        <f>IFERROR(VLOOKUP($A1815,pivot!$A:$I,計算式2026!AL$1,FALSE),0)</f>
        <v>0</v>
      </c>
      <c r="AR1815" s="8"/>
      <c r="AS1815" s="8"/>
      <c r="AT1815" s="8"/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8"/>
      <c r="BG1815" s="8"/>
    </row>
    <row r="1816" spans="1:59" s="9" customFormat="1">
      <c r="A1816" s="8" t="s">
        <v>2344</v>
      </c>
      <c r="B1816" s="8" t="s">
        <v>2340</v>
      </c>
      <c r="C1816" s="9">
        <v>0</v>
      </c>
      <c r="D1816" s="9">
        <v>0</v>
      </c>
      <c r="E1816" s="9">
        <v>0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R1816" s="9">
        <v>0</v>
      </c>
      <c r="S1816" s="9">
        <v>2</v>
      </c>
      <c r="T1816" s="9">
        <v>1</v>
      </c>
      <c r="U1816" s="9">
        <v>0</v>
      </c>
      <c r="V1816" s="9">
        <v>2</v>
      </c>
      <c r="W1816" s="9">
        <v>0</v>
      </c>
      <c r="X1816" s="9">
        <v>1</v>
      </c>
      <c r="AE1816" s="9">
        <f>IFERROR(VLOOKUP($A1816,pivot!$A:$G,計算式2026!AE$1,FALSE),0)</f>
        <v>0</v>
      </c>
      <c r="AF1816" s="9">
        <f>IFERROR(VLOOKUP($A1816,pivot!$A:$I,計算式2026!AF$1,FALSE),0)</f>
        <v>0</v>
      </c>
      <c r="AI1816" s="9">
        <f>IFERROR(VLOOKUP($A1816,pivot!$A:$I,計算式2026!AI$1,FALSE),0)</f>
        <v>0</v>
      </c>
      <c r="AJ1816" s="9">
        <f>IFERROR(VLOOKUP($A1816,pivot!$A:$I,計算式2026!AJ$1,FALSE),0)</f>
        <v>0</v>
      </c>
      <c r="AK1816" s="9">
        <f>IFERROR(VLOOKUP($A1816,pivot!$A:$I,計算式2026!AK$1,FALSE),0)</f>
        <v>0</v>
      </c>
      <c r="AL1816" s="9">
        <f>IFERROR(VLOOKUP($A1816,pivot!$A:$I,計算式2026!AL$1,FALSE),0)</f>
        <v>0</v>
      </c>
      <c r="AR1816" s="8"/>
      <c r="AS1816" s="8"/>
      <c r="AT1816" s="8"/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8"/>
      <c r="BG1816" s="8"/>
    </row>
    <row r="1817" spans="1:59" s="9" customFormat="1">
      <c r="A1817" s="8" t="s">
        <v>2345</v>
      </c>
      <c r="B1817" s="8" t="s">
        <v>2340</v>
      </c>
      <c r="C1817" s="9">
        <v>0</v>
      </c>
      <c r="D1817" s="9">
        <v>0</v>
      </c>
      <c r="E1817" s="9">
        <v>0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R1817" s="9">
        <v>0</v>
      </c>
      <c r="S1817" s="9">
        <v>1</v>
      </c>
      <c r="T1817" s="9">
        <v>1</v>
      </c>
      <c r="U1817" s="9">
        <v>0</v>
      </c>
      <c r="V1817" s="9">
        <v>2</v>
      </c>
      <c r="W1817" s="9">
        <v>0</v>
      </c>
      <c r="X1817" s="9">
        <v>1</v>
      </c>
      <c r="AE1817" s="9">
        <f>IFERROR(VLOOKUP($A1817,pivot!$A:$G,計算式2026!AE$1,FALSE),0)</f>
        <v>0</v>
      </c>
      <c r="AF1817" s="9">
        <f>IFERROR(VLOOKUP($A1817,pivot!$A:$I,計算式2026!AF$1,FALSE),0)</f>
        <v>0</v>
      </c>
      <c r="AI1817" s="9">
        <f>IFERROR(VLOOKUP($A1817,pivot!$A:$I,計算式2026!AI$1,FALSE),0)</f>
        <v>0</v>
      </c>
      <c r="AJ1817" s="9">
        <f>IFERROR(VLOOKUP($A1817,pivot!$A:$I,計算式2026!AJ$1,FALSE),0)</f>
        <v>0</v>
      </c>
      <c r="AK1817" s="9">
        <f>IFERROR(VLOOKUP($A1817,pivot!$A:$I,計算式2026!AK$1,FALSE),0)</f>
        <v>0</v>
      </c>
      <c r="AL1817" s="9">
        <f>IFERROR(VLOOKUP($A1817,pivot!$A:$I,計算式2026!AL$1,FALSE),0)</f>
        <v>0</v>
      </c>
      <c r="AR1817" s="8"/>
      <c r="AS1817" s="8"/>
      <c r="AT1817" s="8"/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8"/>
      <c r="BG1817" s="8"/>
    </row>
    <row r="1818" spans="1:59" s="9" customFormat="1">
      <c r="A1818" s="8" t="s">
        <v>2346</v>
      </c>
      <c r="B1818" s="8" t="s">
        <v>2347</v>
      </c>
      <c r="C1818" s="9">
        <v>0</v>
      </c>
      <c r="D1818" s="9">
        <v>0</v>
      </c>
      <c r="E1818" s="9">
        <v>0</v>
      </c>
      <c r="F1818" s="9">
        <v>0</v>
      </c>
      <c r="G1818" s="9">
        <v>0</v>
      </c>
      <c r="H1818" s="9">
        <v>0</v>
      </c>
      <c r="I1818" s="9">
        <v>0</v>
      </c>
      <c r="J1818" s="9">
        <v>0</v>
      </c>
      <c r="K1818" s="9">
        <v>0</v>
      </c>
      <c r="R1818" s="9">
        <v>0</v>
      </c>
      <c r="S1818" s="9">
        <v>1</v>
      </c>
      <c r="T1818" s="9">
        <v>0</v>
      </c>
      <c r="U1818" s="9">
        <v>0</v>
      </c>
      <c r="V1818" s="9">
        <v>1</v>
      </c>
      <c r="W1818" s="9">
        <v>0</v>
      </c>
      <c r="X1818" s="9">
        <v>1</v>
      </c>
      <c r="AE1818" s="9">
        <f>IFERROR(VLOOKUP($A1818,pivot!$A:$G,計算式2026!AE$1,FALSE),0)</f>
        <v>0</v>
      </c>
      <c r="AF1818" s="9">
        <f>IFERROR(VLOOKUP($A1818,pivot!$A:$I,計算式2026!AF$1,FALSE),0)</f>
        <v>0</v>
      </c>
      <c r="AI1818" s="9">
        <f>IFERROR(VLOOKUP($A1818,pivot!$A:$I,計算式2026!AI$1,FALSE),0)</f>
        <v>0</v>
      </c>
      <c r="AJ1818" s="9">
        <f>IFERROR(VLOOKUP($A1818,pivot!$A:$I,計算式2026!AJ$1,FALSE),0)</f>
        <v>0</v>
      </c>
      <c r="AK1818" s="9">
        <f>IFERROR(VLOOKUP($A1818,pivot!$A:$I,計算式2026!AK$1,FALSE),0)</f>
        <v>0</v>
      </c>
      <c r="AL1818" s="9">
        <f>IFERROR(VLOOKUP($A1818,pivot!$A:$I,計算式2026!AL$1,FALSE),0)</f>
        <v>0</v>
      </c>
      <c r="AR1818" s="8"/>
      <c r="AS1818" s="8"/>
      <c r="AT1818" s="8"/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8"/>
      <c r="BG1818" s="8"/>
    </row>
    <row r="1819" spans="1:59" s="9" customFormat="1">
      <c r="A1819" s="8" t="s">
        <v>2348</v>
      </c>
      <c r="B1819" s="8" t="s">
        <v>2347</v>
      </c>
      <c r="C1819" s="9">
        <v>0</v>
      </c>
      <c r="D1819" s="9">
        <v>0</v>
      </c>
      <c r="E1819" s="9">
        <v>0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R1819" s="9">
        <v>0</v>
      </c>
      <c r="S1819" s="9">
        <v>2</v>
      </c>
      <c r="T1819" s="9">
        <v>1</v>
      </c>
      <c r="U1819" s="9">
        <v>0</v>
      </c>
      <c r="V1819" s="9">
        <v>2</v>
      </c>
      <c r="W1819" s="9">
        <v>0</v>
      </c>
      <c r="X1819" s="9">
        <v>1</v>
      </c>
      <c r="AE1819" s="9">
        <f>IFERROR(VLOOKUP($A1819,pivot!$A:$G,計算式2026!AE$1,FALSE),0)</f>
        <v>0</v>
      </c>
      <c r="AF1819" s="9">
        <f>IFERROR(VLOOKUP($A1819,pivot!$A:$I,計算式2026!AF$1,FALSE),0)</f>
        <v>0</v>
      </c>
      <c r="AI1819" s="9">
        <f>IFERROR(VLOOKUP($A1819,pivot!$A:$I,計算式2026!AI$1,FALSE),0)</f>
        <v>0</v>
      </c>
      <c r="AJ1819" s="9">
        <f>IFERROR(VLOOKUP($A1819,pivot!$A:$I,計算式2026!AJ$1,FALSE),0)</f>
        <v>0</v>
      </c>
      <c r="AK1819" s="9">
        <f>IFERROR(VLOOKUP($A1819,pivot!$A:$I,計算式2026!AK$1,FALSE),0)</f>
        <v>0</v>
      </c>
      <c r="AL1819" s="9">
        <f>IFERROR(VLOOKUP($A1819,pivot!$A:$I,計算式2026!AL$1,FALSE),0)</f>
        <v>0</v>
      </c>
      <c r="AR1819" s="8"/>
      <c r="AS1819" s="8"/>
      <c r="AT1819" s="8"/>
      <c r="AU1819" s="8"/>
      <c r="AV1819" s="8"/>
      <c r="AW1819" s="8"/>
      <c r="AX1819" s="8"/>
      <c r="AY1819" s="8"/>
      <c r="AZ1819" s="8"/>
      <c r="BA1819" s="8"/>
      <c r="BB1819" s="8"/>
      <c r="BC1819" s="8"/>
      <c r="BD1819" s="8"/>
      <c r="BE1819" s="8"/>
      <c r="BF1819" s="8"/>
      <c r="BG1819" s="8"/>
    </row>
    <row r="1820" spans="1:59" s="9" customFormat="1">
      <c r="A1820" s="8" t="s">
        <v>2349</v>
      </c>
      <c r="B1820" s="8" t="s">
        <v>2347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R1820" s="9">
        <v>0</v>
      </c>
      <c r="S1820" s="9">
        <v>2</v>
      </c>
      <c r="T1820" s="9">
        <v>1</v>
      </c>
      <c r="U1820" s="9">
        <v>0</v>
      </c>
      <c r="V1820" s="9">
        <v>2</v>
      </c>
      <c r="W1820" s="9">
        <v>0</v>
      </c>
      <c r="X1820" s="9">
        <v>1</v>
      </c>
      <c r="AE1820" s="9">
        <f>IFERROR(VLOOKUP($A1820,pivot!$A:$G,計算式2026!AE$1,FALSE),0)</f>
        <v>0</v>
      </c>
      <c r="AF1820" s="9">
        <f>IFERROR(VLOOKUP($A1820,pivot!$A:$I,計算式2026!AF$1,FALSE),0)</f>
        <v>0</v>
      </c>
      <c r="AI1820" s="9">
        <f>IFERROR(VLOOKUP($A1820,pivot!$A:$I,計算式2026!AI$1,FALSE),0)</f>
        <v>0</v>
      </c>
      <c r="AJ1820" s="9">
        <f>IFERROR(VLOOKUP($A1820,pivot!$A:$I,計算式2026!AJ$1,FALSE),0)</f>
        <v>0</v>
      </c>
      <c r="AK1820" s="9">
        <f>IFERROR(VLOOKUP($A1820,pivot!$A:$I,計算式2026!AK$1,FALSE),0)</f>
        <v>0</v>
      </c>
      <c r="AL1820" s="9">
        <f>IFERROR(VLOOKUP($A1820,pivot!$A:$I,計算式2026!AL$1,FALSE),0)</f>
        <v>0</v>
      </c>
      <c r="AR1820" s="8"/>
      <c r="AS1820" s="8"/>
      <c r="AT1820" s="8"/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8"/>
      <c r="BG1820" s="8"/>
    </row>
    <row r="1821" spans="1:59" s="9" customFormat="1">
      <c r="A1821" s="8" t="s">
        <v>2350</v>
      </c>
      <c r="B1821" s="8" t="s">
        <v>2347</v>
      </c>
      <c r="C1821" s="9">
        <v>1</v>
      </c>
      <c r="D1821" s="9">
        <v>0</v>
      </c>
      <c r="E1821" s="9">
        <v>0</v>
      </c>
      <c r="F1821" s="9">
        <v>0</v>
      </c>
      <c r="G1821" s="9">
        <v>0</v>
      </c>
      <c r="H1821" s="9">
        <v>0</v>
      </c>
      <c r="I1821" s="9">
        <v>0</v>
      </c>
      <c r="J1821" s="9">
        <v>0</v>
      </c>
      <c r="K1821" s="9">
        <v>0</v>
      </c>
      <c r="R1821" s="9">
        <v>0</v>
      </c>
      <c r="S1821" s="9">
        <v>1</v>
      </c>
      <c r="T1821" s="9">
        <v>0</v>
      </c>
      <c r="U1821" s="9">
        <v>0</v>
      </c>
      <c r="V1821" s="9">
        <v>1</v>
      </c>
      <c r="W1821" s="9">
        <v>0</v>
      </c>
      <c r="X1821" s="9">
        <v>1</v>
      </c>
      <c r="AE1821" s="9">
        <f>IFERROR(VLOOKUP($A1821,pivot!$A:$G,計算式2026!AE$1,FALSE),0)</f>
        <v>0</v>
      </c>
      <c r="AF1821" s="9">
        <f>IFERROR(VLOOKUP($A1821,pivot!$A:$I,計算式2026!AF$1,FALSE),0)</f>
        <v>0</v>
      </c>
      <c r="AI1821" s="9">
        <f>IFERROR(VLOOKUP($A1821,pivot!$A:$I,計算式2026!AI$1,FALSE),0)</f>
        <v>0</v>
      </c>
      <c r="AJ1821" s="9">
        <f>IFERROR(VLOOKUP($A1821,pivot!$A:$I,計算式2026!AJ$1,FALSE),0)</f>
        <v>0</v>
      </c>
      <c r="AK1821" s="9">
        <f>IFERROR(VLOOKUP($A1821,pivot!$A:$I,計算式2026!AK$1,FALSE),0)</f>
        <v>0</v>
      </c>
      <c r="AL1821" s="9">
        <f>IFERROR(VLOOKUP($A1821,pivot!$A:$I,計算式2026!AL$1,FALSE),0)</f>
        <v>0</v>
      </c>
      <c r="AR1821" s="8"/>
      <c r="AS1821" s="8"/>
      <c r="AT1821" s="8"/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8"/>
      <c r="BG1821" s="8"/>
    </row>
    <row r="1822" spans="1:59" s="9" customFormat="1">
      <c r="A1822" s="8" t="s">
        <v>2351</v>
      </c>
      <c r="B1822" s="8" t="s">
        <v>2347</v>
      </c>
      <c r="C1822" s="9">
        <v>3</v>
      </c>
      <c r="D1822" s="9">
        <v>0</v>
      </c>
      <c r="E1822" s="9">
        <v>0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R1822" s="9">
        <v>0</v>
      </c>
      <c r="S1822" s="9">
        <v>2</v>
      </c>
      <c r="T1822" s="9">
        <v>1</v>
      </c>
      <c r="U1822" s="9">
        <v>0</v>
      </c>
      <c r="V1822" s="9">
        <v>3</v>
      </c>
      <c r="W1822" s="9">
        <v>0</v>
      </c>
      <c r="X1822" s="9">
        <v>1</v>
      </c>
      <c r="AE1822" s="9">
        <f>IFERROR(VLOOKUP($A1822,pivot!$A:$G,計算式2026!AE$1,FALSE),0)</f>
        <v>0</v>
      </c>
      <c r="AF1822" s="9">
        <f>IFERROR(VLOOKUP($A1822,pivot!$A:$I,計算式2026!AF$1,FALSE),0)</f>
        <v>0</v>
      </c>
      <c r="AI1822" s="9">
        <f>IFERROR(VLOOKUP($A1822,pivot!$A:$I,計算式2026!AI$1,FALSE),0)</f>
        <v>0</v>
      </c>
      <c r="AJ1822" s="9">
        <f>IFERROR(VLOOKUP($A1822,pivot!$A:$I,計算式2026!AJ$1,FALSE),0)</f>
        <v>0</v>
      </c>
      <c r="AK1822" s="9">
        <f>IFERROR(VLOOKUP($A1822,pivot!$A:$I,計算式2026!AK$1,FALSE),0)</f>
        <v>0</v>
      </c>
      <c r="AL1822" s="9">
        <f>IFERROR(VLOOKUP($A1822,pivot!$A:$I,計算式2026!AL$1,FALSE),0)</f>
        <v>0</v>
      </c>
      <c r="AR1822" s="8"/>
      <c r="AS1822" s="8"/>
      <c r="AT1822" s="8"/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8"/>
      <c r="BG1822" s="8"/>
    </row>
    <row r="1823" spans="1:59" s="9" customFormat="1">
      <c r="A1823" s="8" t="s">
        <v>2352</v>
      </c>
      <c r="B1823" s="8" t="s">
        <v>2347</v>
      </c>
      <c r="C1823" s="9">
        <v>0</v>
      </c>
      <c r="D1823" s="9">
        <v>0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R1823" s="9">
        <v>0</v>
      </c>
      <c r="S1823" s="9">
        <v>2</v>
      </c>
      <c r="T1823" s="9">
        <v>1</v>
      </c>
      <c r="U1823" s="9">
        <v>0</v>
      </c>
      <c r="V1823" s="9">
        <v>3</v>
      </c>
      <c r="W1823" s="9">
        <v>0</v>
      </c>
      <c r="X1823" s="9">
        <v>1</v>
      </c>
      <c r="AE1823" s="9">
        <f>IFERROR(VLOOKUP($A1823,pivot!$A:$G,計算式2026!AE$1,FALSE),0)</f>
        <v>0</v>
      </c>
      <c r="AF1823" s="9">
        <f>IFERROR(VLOOKUP($A1823,pivot!$A:$I,計算式2026!AF$1,FALSE),0)</f>
        <v>0</v>
      </c>
      <c r="AI1823" s="9">
        <f>IFERROR(VLOOKUP($A1823,pivot!$A:$I,計算式2026!AI$1,FALSE),0)</f>
        <v>0</v>
      </c>
      <c r="AJ1823" s="9">
        <f>IFERROR(VLOOKUP($A1823,pivot!$A:$I,計算式2026!AJ$1,FALSE),0)</f>
        <v>0</v>
      </c>
      <c r="AK1823" s="9">
        <f>IFERROR(VLOOKUP($A1823,pivot!$A:$I,計算式2026!AK$1,FALSE),0)</f>
        <v>0</v>
      </c>
      <c r="AL1823" s="9">
        <f>IFERROR(VLOOKUP($A1823,pivot!$A:$I,計算式2026!AL$1,FALSE),0)</f>
        <v>0</v>
      </c>
      <c r="AR1823" s="8"/>
      <c r="AS1823" s="8"/>
      <c r="AT1823" s="8"/>
      <c r="AU1823" s="8"/>
      <c r="AV1823" s="8"/>
      <c r="AW1823" s="8"/>
      <c r="AX1823" s="8"/>
      <c r="AY1823" s="8"/>
      <c r="AZ1823" s="8"/>
      <c r="BA1823" s="8"/>
      <c r="BB1823" s="8"/>
      <c r="BC1823" s="8"/>
      <c r="BD1823" s="8"/>
      <c r="BE1823" s="8"/>
      <c r="BF1823" s="8"/>
      <c r="BG1823" s="8"/>
    </row>
    <row r="1824" spans="1:59" s="9" customFormat="1">
      <c r="A1824" s="8" t="s">
        <v>1098</v>
      </c>
      <c r="B1824" s="8" t="s">
        <v>1099</v>
      </c>
      <c r="C1824" s="9">
        <v>0</v>
      </c>
      <c r="D1824" s="9">
        <v>0</v>
      </c>
      <c r="E1824" s="9">
        <v>0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R1824" s="9">
        <v>0</v>
      </c>
      <c r="S1824" s="9">
        <v>1</v>
      </c>
      <c r="T1824" s="9">
        <v>0</v>
      </c>
      <c r="U1824" s="9">
        <v>0</v>
      </c>
      <c r="V1824" s="9">
        <v>1</v>
      </c>
      <c r="W1824" s="9">
        <v>0</v>
      </c>
      <c r="X1824" s="9">
        <v>1</v>
      </c>
      <c r="AE1824" s="9">
        <f>IFERROR(VLOOKUP($A1824,pivot!$A:$G,計算式2026!AE$1,FALSE),0)</f>
        <v>0</v>
      </c>
      <c r="AF1824" s="9">
        <f>IFERROR(VLOOKUP($A1824,pivot!$A:$I,計算式2026!AF$1,FALSE),0)</f>
        <v>0</v>
      </c>
      <c r="AI1824" s="9">
        <f>IFERROR(VLOOKUP($A1824,pivot!$A:$I,計算式2026!AI$1,FALSE),0)</f>
        <v>0</v>
      </c>
      <c r="AJ1824" s="9">
        <f>IFERROR(VLOOKUP($A1824,pivot!$A:$I,計算式2026!AJ$1,FALSE),0)</f>
        <v>0</v>
      </c>
      <c r="AK1824" s="9">
        <f>IFERROR(VLOOKUP($A1824,pivot!$A:$I,計算式2026!AK$1,FALSE),0)</f>
        <v>0</v>
      </c>
      <c r="AL1824" s="9">
        <f>IFERROR(VLOOKUP($A1824,pivot!$A:$I,計算式2026!AL$1,FALSE),0)</f>
        <v>0</v>
      </c>
      <c r="AR1824" s="8"/>
      <c r="AS1824" s="8"/>
      <c r="AT1824" s="8"/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8"/>
      <c r="BG1824" s="8"/>
    </row>
    <row r="1825" spans="1:59" s="9" customFormat="1">
      <c r="A1825" s="8" t="s">
        <v>1100</v>
      </c>
      <c r="B1825" s="8" t="s">
        <v>1099</v>
      </c>
      <c r="C1825" s="9">
        <v>0</v>
      </c>
      <c r="D1825" s="9">
        <v>0</v>
      </c>
      <c r="E1825" s="9">
        <v>0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1</v>
      </c>
      <c r="AE1825" s="9">
        <f>IFERROR(VLOOKUP($A1825,pivot!$A:$G,計算式2026!AE$1,FALSE),0)</f>
        <v>0</v>
      </c>
      <c r="AF1825" s="9">
        <f>IFERROR(VLOOKUP($A1825,pivot!$A:$I,計算式2026!AF$1,FALSE),0)</f>
        <v>0</v>
      </c>
      <c r="AI1825" s="9">
        <f>IFERROR(VLOOKUP($A1825,pivot!$A:$I,計算式2026!AI$1,FALSE),0)</f>
        <v>0</v>
      </c>
      <c r="AJ1825" s="9">
        <f>IFERROR(VLOOKUP($A1825,pivot!$A:$I,計算式2026!AJ$1,FALSE),0)</f>
        <v>0</v>
      </c>
      <c r="AK1825" s="9">
        <f>IFERROR(VLOOKUP($A1825,pivot!$A:$I,計算式2026!AK$1,FALSE),0)</f>
        <v>0</v>
      </c>
      <c r="AL1825" s="9">
        <f>IFERROR(VLOOKUP($A1825,pivot!$A:$I,計算式2026!AL$1,FALSE),0)</f>
        <v>0</v>
      </c>
      <c r="AR1825" s="8"/>
      <c r="AS1825" s="8"/>
      <c r="AT1825" s="8"/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8"/>
      <c r="BG1825" s="8"/>
    </row>
    <row r="1826" spans="1:59" s="9" customFormat="1">
      <c r="A1826" s="8" t="s">
        <v>1101</v>
      </c>
      <c r="B1826" s="8" t="s">
        <v>1099</v>
      </c>
      <c r="C1826" s="9">
        <v>0</v>
      </c>
      <c r="D1826" s="9">
        <v>0</v>
      </c>
      <c r="E1826" s="9">
        <v>0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R1826" s="9">
        <v>0</v>
      </c>
      <c r="S1826" s="9">
        <v>1</v>
      </c>
      <c r="T1826" s="9">
        <v>0</v>
      </c>
      <c r="U1826" s="9">
        <v>0</v>
      </c>
      <c r="V1826" s="9">
        <v>0</v>
      </c>
      <c r="W1826" s="9">
        <v>0</v>
      </c>
      <c r="X1826" s="9">
        <v>1</v>
      </c>
      <c r="AE1826" s="9">
        <f>IFERROR(VLOOKUP($A1826,pivot!$A:$G,計算式2026!AE$1,FALSE),0)</f>
        <v>0</v>
      </c>
      <c r="AF1826" s="9">
        <f>IFERROR(VLOOKUP($A1826,pivot!$A:$I,計算式2026!AF$1,FALSE),0)</f>
        <v>0</v>
      </c>
      <c r="AI1826" s="9">
        <f>IFERROR(VLOOKUP($A1826,pivot!$A:$I,計算式2026!AI$1,FALSE),0)</f>
        <v>0</v>
      </c>
      <c r="AJ1826" s="9">
        <f>IFERROR(VLOOKUP($A1826,pivot!$A:$I,計算式2026!AJ$1,FALSE),0)</f>
        <v>0</v>
      </c>
      <c r="AK1826" s="9">
        <f>IFERROR(VLOOKUP($A1826,pivot!$A:$I,計算式2026!AK$1,FALSE),0)</f>
        <v>0</v>
      </c>
      <c r="AL1826" s="9">
        <f>IFERROR(VLOOKUP($A1826,pivot!$A:$I,計算式2026!AL$1,FALSE),0)</f>
        <v>0</v>
      </c>
      <c r="AR1826" s="8"/>
      <c r="AS1826" s="8"/>
      <c r="AT1826" s="8"/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8"/>
      <c r="BG1826" s="8"/>
    </row>
    <row r="1827" spans="1:59" s="9" customFormat="1">
      <c r="A1827" s="8" t="s">
        <v>1102</v>
      </c>
      <c r="B1827" s="8" t="s">
        <v>1099</v>
      </c>
      <c r="C1827" s="9">
        <v>0</v>
      </c>
      <c r="D1827" s="9">
        <v>0</v>
      </c>
      <c r="E1827" s="9">
        <v>0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1</v>
      </c>
      <c r="W1827" s="9">
        <v>0</v>
      </c>
      <c r="X1827" s="9">
        <v>1</v>
      </c>
      <c r="AE1827" s="9">
        <f>IFERROR(VLOOKUP($A1827,pivot!$A:$G,計算式2026!AE$1,FALSE),0)</f>
        <v>0</v>
      </c>
      <c r="AF1827" s="9">
        <f>IFERROR(VLOOKUP($A1827,pivot!$A:$I,計算式2026!AF$1,FALSE),0)</f>
        <v>0</v>
      </c>
      <c r="AI1827" s="9">
        <f>IFERROR(VLOOKUP($A1827,pivot!$A:$I,計算式2026!AI$1,FALSE),0)</f>
        <v>0</v>
      </c>
      <c r="AJ1827" s="9">
        <f>IFERROR(VLOOKUP($A1827,pivot!$A:$I,計算式2026!AJ$1,FALSE),0)</f>
        <v>0</v>
      </c>
      <c r="AK1827" s="9">
        <f>IFERROR(VLOOKUP($A1827,pivot!$A:$I,計算式2026!AK$1,FALSE),0)</f>
        <v>0</v>
      </c>
      <c r="AL1827" s="9">
        <f>IFERROR(VLOOKUP($A1827,pivot!$A:$I,計算式2026!AL$1,FALSE),0)</f>
        <v>0</v>
      </c>
      <c r="AR1827" s="8"/>
      <c r="AS1827" s="8"/>
      <c r="AT1827" s="8"/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8"/>
      <c r="BG1827" s="8"/>
    </row>
    <row r="1828" spans="1:59" s="9" customFormat="1">
      <c r="A1828" s="8" t="s">
        <v>1103</v>
      </c>
      <c r="B1828" s="8" t="s">
        <v>1099</v>
      </c>
      <c r="C1828" s="9">
        <v>0</v>
      </c>
      <c r="D1828" s="9">
        <v>0</v>
      </c>
      <c r="E1828" s="9">
        <v>0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1</v>
      </c>
      <c r="W1828" s="9">
        <v>0</v>
      </c>
      <c r="X1828" s="9">
        <v>1</v>
      </c>
      <c r="AE1828" s="9">
        <f>IFERROR(VLOOKUP($A1828,pivot!$A:$G,計算式2026!AE$1,FALSE),0)</f>
        <v>0</v>
      </c>
      <c r="AF1828" s="9">
        <f>IFERROR(VLOOKUP($A1828,pivot!$A:$I,計算式2026!AF$1,FALSE),0)</f>
        <v>0</v>
      </c>
      <c r="AI1828" s="9">
        <f>IFERROR(VLOOKUP($A1828,pivot!$A:$I,計算式2026!AI$1,FALSE),0)</f>
        <v>0</v>
      </c>
      <c r="AJ1828" s="9">
        <f>IFERROR(VLOOKUP($A1828,pivot!$A:$I,計算式2026!AJ$1,FALSE),0)</f>
        <v>0</v>
      </c>
      <c r="AK1828" s="9">
        <f>IFERROR(VLOOKUP($A1828,pivot!$A:$I,計算式2026!AK$1,FALSE),0)</f>
        <v>0</v>
      </c>
      <c r="AL1828" s="9">
        <f>IFERROR(VLOOKUP($A1828,pivot!$A:$I,計算式2026!AL$1,FALSE),0)</f>
        <v>0</v>
      </c>
      <c r="AR1828" s="8"/>
      <c r="AS1828" s="8"/>
      <c r="AT1828" s="8"/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8"/>
      <c r="BG1828" s="8"/>
    </row>
    <row r="1829" spans="1:59" s="9" customFormat="1">
      <c r="A1829" s="8" t="s">
        <v>1104</v>
      </c>
      <c r="B1829" s="8" t="s">
        <v>1099</v>
      </c>
      <c r="C1829" s="9">
        <v>0</v>
      </c>
      <c r="D1829" s="9">
        <v>0</v>
      </c>
      <c r="E1829" s="9">
        <v>0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0</v>
      </c>
      <c r="R1829" s="9">
        <v>0</v>
      </c>
      <c r="S1829" s="9">
        <v>0</v>
      </c>
      <c r="T1829" s="9">
        <v>1</v>
      </c>
      <c r="U1829" s="9">
        <v>0</v>
      </c>
      <c r="V1829" s="9">
        <v>0</v>
      </c>
      <c r="W1829" s="9">
        <v>0</v>
      </c>
      <c r="X1829" s="9">
        <v>1</v>
      </c>
      <c r="AE1829" s="9">
        <f>IFERROR(VLOOKUP($A1829,pivot!$A:$G,計算式2026!AE$1,FALSE),0)</f>
        <v>0</v>
      </c>
      <c r="AF1829" s="9">
        <f>IFERROR(VLOOKUP($A1829,pivot!$A:$I,計算式2026!AF$1,FALSE),0)</f>
        <v>0</v>
      </c>
      <c r="AI1829" s="9">
        <f>IFERROR(VLOOKUP($A1829,pivot!$A:$I,計算式2026!AI$1,FALSE),0)</f>
        <v>0</v>
      </c>
      <c r="AJ1829" s="9">
        <f>IFERROR(VLOOKUP($A1829,pivot!$A:$I,計算式2026!AJ$1,FALSE),0)</f>
        <v>0</v>
      </c>
      <c r="AK1829" s="9">
        <f>IFERROR(VLOOKUP($A1829,pivot!$A:$I,計算式2026!AK$1,FALSE),0)</f>
        <v>0</v>
      </c>
      <c r="AL1829" s="9">
        <f>IFERROR(VLOOKUP($A1829,pivot!$A:$I,計算式2026!AL$1,FALSE),0)</f>
        <v>0</v>
      </c>
      <c r="AR1829" s="8"/>
      <c r="AS1829" s="8"/>
      <c r="AT1829" s="8"/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8"/>
      <c r="BG1829" s="8"/>
    </row>
    <row r="1830" spans="1:59" s="9" customFormat="1">
      <c r="A1830" s="8" t="s">
        <v>1105</v>
      </c>
      <c r="B1830" s="8" t="s">
        <v>1099</v>
      </c>
      <c r="C1830" s="9">
        <v>0</v>
      </c>
      <c r="D1830" s="9">
        <v>0</v>
      </c>
      <c r="E1830" s="9">
        <v>0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R1830" s="9">
        <v>0</v>
      </c>
      <c r="S1830" s="9">
        <v>0</v>
      </c>
      <c r="T1830" s="9">
        <v>1</v>
      </c>
      <c r="U1830" s="9">
        <v>0</v>
      </c>
      <c r="V1830" s="9">
        <v>1</v>
      </c>
      <c r="W1830" s="9">
        <v>0</v>
      </c>
      <c r="X1830" s="9">
        <v>1</v>
      </c>
      <c r="AE1830" s="9">
        <f>IFERROR(VLOOKUP($A1830,pivot!$A:$G,計算式2026!AE$1,FALSE),0)</f>
        <v>0</v>
      </c>
      <c r="AF1830" s="9">
        <f>IFERROR(VLOOKUP($A1830,pivot!$A:$I,計算式2026!AF$1,FALSE),0)</f>
        <v>0</v>
      </c>
      <c r="AI1830" s="9">
        <f>IFERROR(VLOOKUP($A1830,pivot!$A:$I,計算式2026!AI$1,FALSE),0)</f>
        <v>0</v>
      </c>
      <c r="AJ1830" s="9">
        <f>IFERROR(VLOOKUP($A1830,pivot!$A:$I,計算式2026!AJ$1,FALSE),0)</f>
        <v>0</v>
      </c>
      <c r="AK1830" s="9">
        <f>IFERROR(VLOOKUP($A1830,pivot!$A:$I,計算式2026!AK$1,FALSE),0)</f>
        <v>0</v>
      </c>
      <c r="AL1830" s="9">
        <f>IFERROR(VLOOKUP($A1830,pivot!$A:$I,計算式2026!AL$1,FALSE),0)</f>
        <v>0</v>
      </c>
      <c r="AR1830" s="8"/>
      <c r="AS1830" s="8"/>
      <c r="AT1830" s="8"/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8"/>
      <c r="BG1830" s="8"/>
    </row>
    <row r="1831" spans="1:59" s="9" customFormat="1">
      <c r="A1831" s="8" t="s">
        <v>1106</v>
      </c>
      <c r="B1831" s="8" t="s">
        <v>1099</v>
      </c>
      <c r="C1831" s="9">
        <v>0</v>
      </c>
      <c r="D1831" s="9">
        <v>0</v>
      </c>
      <c r="E1831" s="9">
        <v>0</v>
      </c>
      <c r="F1831" s="9">
        <v>0</v>
      </c>
      <c r="G1831" s="9">
        <v>0</v>
      </c>
      <c r="H1831" s="9">
        <v>0</v>
      </c>
      <c r="I1831" s="9">
        <v>0</v>
      </c>
      <c r="J1831" s="9">
        <v>0</v>
      </c>
      <c r="K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1</v>
      </c>
      <c r="W1831" s="9">
        <v>0</v>
      </c>
      <c r="X1831" s="9">
        <v>1</v>
      </c>
      <c r="AE1831" s="9">
        <f>IFERROR(VLOOKUP($A1831,pivot!$A:$G,計算式2026!AE$1,FALSE),0)</f>
        <v>0</v>
      </c>
      <c r="AF1831" s="9">
        <f>IFERROR(VLOOKUP($A1831,pivot!$A:$I,計算式2026!AF$1,FALSE),0)</f>
        <v>0</v>
      </c>
      <c r="AI1831" s="9">
        <f>IFERROR(VLOOKUP($A1831,pivot!$A:$I,計算式2026!AI$1,FALSE),0)</f>
        <v>0</v>
      </c>
      <c r="AJ1831" s="9">
        <f>IFERROR(VLOOKUP($A1831,pivot!$A:$I,計算式2026!AJ$1,FALSE),0)</f>
        <v>0</v>
      </c>
      <c r="AK1831" s="9">
        <f>IFERROR(VLOOKUP($A1831,pivot!$A:$I,計算式2026!AK$1,FALSE),0)</f>
        <v>0</v>
      </c>
      <c r="AL1831" s="9">
        <f>IFERROR(VLOOKUP($A1831,pivot!$A:$I,計算式2026!AL$1,FALSE),0)</f>
        <v>0</v>
      </c>
      <c r="AR1831" s="8"/>
      <c r="AS1831" s="8"/>
      <c r="AT1831" s="8"/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8"/>
      <c r="BG1831" s="8"/>
    </row>
    <row r="1832" spans="1:59" s="9" customFormat="1">
      <c r="A1832" s="8" t="s">
        <v>1107</v>
      </c>
      <c r="B1832" s="8" t="s">
        <v>1099</v>
      </c>
      <c r="C1832" s="9">
        <v>0</v>
      </c>
      <c r="D1832" s="9">
        <v>0</v>
      </c>
      <c r="E1832" s="9">
        <v>0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0</v>
      </c>
      <c r="R1832" s="9">
        <v>0</v>
      </c>
      <c r="S1832" s="9">
        <v>0</v>
      </c>
      <c r="T1832" s="9">
        <v>1</v>
      </c>
      <c r="U1832" s="9">
        <v>0</v>
      </c>
      <c r="V1832" s="9">
        <v>1</v>
      </c>
      <c r="W1832" s="9">
        <v>0</v>
      </c>
      <c r="X1832" s="9">
        <v>1</v>
      </c>
      <c r="AE1832" s="9">
        <f>IFERROR(VLOOKUP($A1832,pivot!$A:$G,計算式2026!AE$1,FALSE),0)</f>
        <v>0</v>
      </c>
      <c r="AF1832" s="9">
        <f>IFERROR(VLOOKUP($A1832,pivot!$A:$I,計算式2026!AF$1,FALSE),0)</f>
        <v>0</v>
      </c>
      <c r="AI1832" s="9">
        <f>IFERROR(VLOOKUP($A1832,pivot!$A:$I,計算式2026!AI$1,FALSE),0)</f>
        <v>0</v>
      </c>
      <c r="AJ1832" s="9">
        <f>IFERROR(VLOOKUP($A1832,pivot!$A:$I,計算式2026!AJ$1,FALSE),0)</f>
        <v>0</v>
      </c>
      <c r="AK1832" s="9">
        <f>IFERROR(VLOOKUP($A1832,pivot!$A:$I,計算式2026!AK$1,FALSE),0)</f>
        <v>0</v>
      </c>
      <c r="AL1832" s="9">
        <f>IFERROR(VLOOKUP($A1832,pivot!$A:$I,計算式2026!AL$1,FALSE),0)</f>
        <v>0</v>
      </c>
      <c r="AR1832" s="8"/>
      <c r="AS1832" s="8"/>
      <c r="AT1832" s="8"/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8"/>
      <c r="BG1832" s="8"/>
    </row>
    <row r="1833" spans="1:59" s="9" customFormat="1">
      <c r="A1833" s="8" t="s">
        <v>1108</v>
      </c>
      <c r="B1833" s="8" t="s">
        <v>1099</v>
      </c>
      <c r="C1833" s="9">
        <v>0</v>
      </c>
      <c r="D1833" s="9">
        <v>0</v>
      </c>
      <c r="E1833" s="9">
        <v>0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0</v>
      </c>
      <c r="R1833" s="9">
        <v>0</v>
      </c>
      <c r="S1833" s="9">
        <v>1</v>
      </c>
      <c r="T1833" s="9">
        <v>0</v>
      </c>
      <c r="U1833" s="9">
        <v>0</v>
      </c>
      <c r="V1833" s="9">
        <v>0</v>
      </c>
      <c r="W1833" s="9">
        <v>0</v>
      </c>
      <c r="X1833" s="9">
        <v>1</v>
      </c>
      <c r="AE1833" s="9">
        <f>IFERROR(VLOOKUP($A1833,pivot!$A:$G,計算式2026!AE$1,FALSE),0)</f>
        <v>0</v>
      </c>
      <c r="AF1833" s="9">
        <f>IFERROR(VLOOKUP($A1833,pivot!$A:$I,計算式2026!AF$1,FALSE),0)</f>
        <v>0</v>
      </c>
      <c r="AI1833" s="9">
        <f>IFERROR(VLOOKUP($A1833,pivot!$A:$I,計算式2026!AI$1,FALSE),0)</f>
        <v>0</v>
      </c>
      <c r="AJ1833" s="9">
        <f>IFERROR(VLOOKUP($A1833,pivot!$A:$I,計算式2026!AJ$1,FALSE),0)</f>
        <v>0</v>
      </c>
      <c r="AK1833" s="9">
        <f>IFERROR(VLOOKUP($A1833,pivot!$A:$I,計算式2026!AK$1,FALSE),0)</f>
        <v>0</v>
      </c>
      <c r="AL1833" s="9">
        <f>IFERROR(VLOOKUP($A1833,pivot!$A:$I,計算式2026!AL$1,FALSE),0)</f>
        <v>0</v>
      </c>
      <c r="AR1833" s="8"/>
      <c r="AS1833" s="8"/>
      <c r="AT1833" s="8"/>
      <c r="AU1833" s="8"/>
      <c r="AV1833" s="8"/>
      <c r="AW1833" s="8"/>
      <c r="AX1833" s="8"/>
      <c r="AY1833" s="8"/>
      <c r="AZ1833" s="8"/>
      <c r="BA1833" s="8"/>
      <c r="BB1833" s="8"/>
      <c r="BC1833" s="8"/>
      <c r="BD1833" s="8"/>
      <c r="BE1833" s="8"/>
      <c r="BF1833" s="8"/>
      <c r="BG1833" s="8"/>
    </row>
    <row r="1834" spans="1:59" s="9" customFormat="1">
      <c r="A1834" s="8" t="s">
        <v>1109</v>
      </c>
      <c r="B1834" s="8" t="s">
        <v>1099</v>
      </c>
      <c r="C1834" s="9">
        <v>0</v>
      </c>
      <c r="D1834" s="9">
        <v>0</v>
      </c>
      <c r="E1834" s="9">
        <v>0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1</v>
      </c>
      <c r="AE1834" s="9">
        <f>IFERROR(VLOOKUP($A1834,pivot!$A:$G,計算式2026!AE$1,FALSE),0)</f>
        <v>0</v>
      </c>
      <c r="AF1834" s="9">
        <f>IFERROR(VLOOKUP($A1834,pivot!$A:$I,計算式2026!AF$1,FALSE),0)</f>
        <v>0</v>
      </c>
      <c r="AI1834" s="9">
        <f>IFERROR(VLOOKUP($A1834,pivot!$A:$I,計算式2026!AI$1,FALSE),0)</f>
        <v>0</v>
      </c>
      <c r="AJ1834" s="9">
        <f>IFERROR(VLOOKUP($A1834,pivot!$A:$I,計算式2026!AJ$1,FALSE),0)</f>
        <v>0</v>
      </c>
      <c r="AK1834" s="9">
        <f>IFERROR(VLOOKUP($A1834,pivot!$A:$I,計算式2026!AK$1,FALSE),0)</f>
        <v>0</v>
      </c>
      <c r="AL1834" s="9">
        <f>IFERROR(VLOOKUP($A1834,pivot!$A:$I,計算式2026!AL$1,FALSE),0)</f>
        <v>0</v>
      </c>
      <c r="AR1834" s="8"/>
      <c r="AS1834" s="8"/>
      <c r="AT1834" s="8"/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8"/>
      <c r="BG1834" s="8"/>
    </row>
    <row r="1835" spans="1:59" s="9" customFormat="1">
      <c r="A1835" s="8" t="s">
        <v>1110</v>
      </c>
      <c r="B1835" s="8" t="s">
        <v>1099</v>
      </c>
      <c r="C1835" s="9">
        <v>0</v>
      </c>
      <c r="D1835" s="9">
        <v>0</v>
      </c>
      <c r="E1835" s="9">
        <v>0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1</v>
      </c>
      <c r="W1835" s="9">
        <v>0</v>
      </c>
      <c r="X1835" s="9">
        <v>1</v>
      </c>
      <c r="AE1835" s="9">
        <f>IFERROR(VLOOKUP($A1835,pivot!$A:$G,計算式2026!AE$1,FALSE),0)</f>
        <v>0</v>
      </c>
      <c r="AF1835" s="9">
        <f>IFERROR(VLOOKUP($A1835,pivot!$A:$I,計算式2026!AF$1,FALSE),0)</f>
        <v>0</v>
      </c>
      <c r="AI1835" s="9">
        <f>IFERROR(VLOOKUP($A1835,pivot!$A:$I,計算式2026!AI$1,FALSE),0)</f>
        <v>0</v>
      </c>
      <c r="AJ1835" s="9">
        <f>IFERROR(VLOOKUP($A1835,pivot!$A:$I,計算式2026!AJ$1,FALSE),0)</f>
        <v>0</v>
      </c>
      <c r="AK1835" s="9">
        <f>IFERROR(VLOOKUP($A1835,pivot!$A:$I,計算式2026!AK$1,FALSE),0)</f>
        <v>0</v>
      </c>
      <c r="AL1835" s="9">
        <f>IFERROR(VLOOKUP($A1835,pivot!$A:$I,計算式2026!AL$1,FALSE),0)</f>
        <v>0</v>
      </c>
      <c r="AR1835" s="8"/>
      <c r="AS1835" s="8"/>
      <c r="AT1835" s="8"/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8"/>
      <c r="BG1835" s="8"/>
    </row>
    <row r="1836" spans="1:59" s="9" customFormat="1">
      <c r="A1836" s="8" t="s">
        <v>1111</v>
      </c>
      <c r="B1836" s="8" t="s">
        <v>1099</v>
      </c>
      <c r="C1836" s="9">
        <v>0</v>
      </c>
      <c r="D1836" s="9">
        <v>0</v>
      </c>
      <c r="E1836" s="9">
        <v>0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R1836" s="9">
        <v>0</v>
      </c>
      <c r="S1836" s="9">
        <v>0</v>
      </c>
      <c r="T1836" s="9">
        <v>1</v>
      </c>
      <c r="U1836" s="9">
        <v>0</v>
      </c>
      <c r="V1836" s="9">
        <v>0</v>
      </c>
      <c r="W1836" s="9">
        <v>0</v>
      </c>
      <c r="X1836" s="9">
        <v>0</v>
      </c>
      <c r="AE1836" s="9">
        <f>IFERROR(VLOOKUP($A1836,pivot!$A:$G,計算式2026!AE$1,FALSE),0)</f>
        <v>0</v>
      </c>
      <c r="AF1836" s="9">
        <f>IFERROR(VLOOKUP($A1836,pivot!$A:$I,計算式2026!AF$1,FALSE),0)</f>
        <v>0</v>
      </c>
      <c r="AI1836" s="9">
        <f>IFERROR(VLOOKUP($A1836,pivot!$A:$I,計算式2026!AI$1,FALSE),0)</f>
        <v>0</v>
      </c>
      <c r="AJ1836" s="9">
        <f>IFERROR(VLOOKUP($A1836,pivot!$A:$I,計算式2026!AJ$1,FALSE),0)</f>
        <v>0</v>
      </c>
      <c r="AK1836" s="9">
        <f>IFERROR(VLOOKUP($A1836,pivot!$A:$I,計算式2026!AK$1,FALSE),0)</f>
        <v>0</v>
      </c>
      <c r="AL1836" s="9">
        <f>IFERROR(VLOOKUP($A1836,pivot!$A:$I,計算式2026!AL$1,FALSE),0)</f>
        <v>0</v>
      </c>
      <c r="AR1836" s="8"/>
      <c r="AS1836" s="8"/>
      <c r="AT1836" s="8"/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8"/>
      <c r="BG1836" s="8"/>
    </row>
    <row r="1837" spans="1:59" s="9" customFormat="1">
      <c r="A1837" s="8" t="s">
        <v>1112</v>
      </c>
      <c r="B1837" s="8" t="s">
        <v>1099</v>
      </c>
      <c r="C1837" s="9">
        <v>0</v>
      </c>
      <c r="D1837" s="9">
        <v>0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1</v>
      </c>
      <c r="AE1837" s="9">
        <f>IFERROR(VLOOKUP($A1837,pivot!$A:$G,計算式2026!AE$1,FALSE),0)</f>
        <v>0</v>
      </c>
      <c r="AF1837" s="9">
        <f>IFERROR(VLOOKUP($A1837,pivot!$A:$I,計算式2026!AF$1,FALSE),0)</f>
        <v>0</v>
      </c>
      <c r="AI1837" s="9">
        <f>IFERROR(VLOOKUP($A1837,pivot!$A:$I,計算式2026!AI$1,FALSE),0)</f>
        <v>0</v>
      </c>
      <c r="AJ1837" s="9">
        <f>IFERROR(VLOOKUP($A1837,pivot!$A:$I,計算式2026!AJ$1,FALSE),0)</f>
        <v>0</v>
      </c>
      <c r="AK1837" s="9">
        <f>IFERROR(VLOOKUP($A1837,pivot!$A:$I,計算式2026!AK$1,FALSE),0)</f>
        <v>0</v>
      </c>
      <c r="AL1837" s="9">
        <f>IFERROR(VLOOKUP($A1837,pivot!$A:$I,計算式2026!AL$1,FALSE),0)</f>
        <v>0</v>
      </c>
      <c r="AR1837" s="8"/>
      <c r="AS1837" s="8"/>
      <c r="AT1837" s="8"/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8"/>
      <c r="BG1837" s="8"/>
    </row>
    <row r="1838" spans="1:59" s="9" customFormat="1">
      <c r="A1838" s="8" t="s">
        <v>1113</v>
      </c>
      <c r="B1838" s="8" t="s">
        <v>1099</v>
      </c>
      <c r="C1838" s="9">
        <v>0</v>
      </c>
      <c r="D1838" s="9">
        <v>0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1</v>
      </c>
      <c r="W1838" s="9">
        <v>0</v>
      </c>
      <c r="X1838" s="9">
        <v>0</v>
      </c>
      <c r="AE1838" s="9">
        <f>IFERROR(VLOOKUP($A1838,pivot!$A:$G,計算式2026!AE$1,FALSE),0)</f>
        <v>0</v>
      </c>
      <c r="AF1838" s="9">
        <f>IFERROR(VLOOKUP($A1838,pivot!$A:$I,計算式2026!AF$1,FALSE),0)</f>
        <v>0</v>
      </c>
      <c r="AI1838" s="9">
        <f>IFERROR(VLOOKUP($A1838,pivot!$A:$I,計算式2026!AI$1,FALSE),0)</f>
        <v>0</v>
      </c>
      <c r="AJ1838" s="9">
        <f>IFERROR(VLOOKUP($A1838,pivot!$A:$I,計算式2026!AJ$1,FALSE),0)</f>
        <v>0</v>
      </c>
      <c r="AK1838" s="9">
        <f>IFERROR(VLOOKUP($A1838,pivot!$A:$I,計算式2026!AK$1,FALSE),0)</f>
        <v>0</v>
      </c>
      <c r="AL1838" s="9">
        <f>IFERROR(VLOOKUP($A1838,pivot!$A:$I,計算式2026!AL$1,FALSE),0)</f>
        <v>0</v>
      </c>
      <c r="AR1838" s="8"/>
      <c r="AS1838" s="8"/>
      <c r="AT1838" s="8"/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8"/>
      <c r="BG1838" s="8"/>
    </row>
    <row r="1839" spans="1:59" s="9" customFormat="1">
      <c r="A1839" s="8" t="s">
        <v>1114</v>
      </c>
      <c r="B1839" s="8" t="s">
        <v>1099</v>
      </c>
      <c r="C1839" s="9">
        <v>0</v>
      </c>
      <c r="D1839" s="9">
        <v>0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1</v>
      </c>
      <c r="W1839" s="9">
        <v>0</v>
      </c>
      <c r="X1839" s="9">
        <v>1</v>
      </c>
      <c r="AE1839" s="9">
        <f>IFERROR(VLOOKUP($A1839,pivot!$A:$G,計算式2026!AE$1,FALSE),0)</f>
        <v>0</v>
      </c>
      <c r="AF1839" s="9">
        <f>IFERROR(VLOOKUP($A1839,pivot!$A:$I,計算式2026!AF$1,FALSE),0)</f>
        <v>0</v>
      </c>
      <c r="AI1839" s="9">
        <f>IFERROR(VLOOKUP($A1839,pivot!$A:$I,計算式2026!AI$1,FALSE),0)</f>
        <v>0</v>
      </c>
      <c r="AJ1839" s="9">
        <f>IFERROR(VLOOKUP($A1839,pivot!$A:$I,計算式2026!AJ$1,FALSE),0)</f>
        <v>0</v>
      </c>
      <c r="AK1839" s="9">
        <f>IFERROR(VLOOKUP($A1839,pivot!$A:$I,計算式2026!AK$1,FALSE),0)</f>
        <v>0</v>
      </c>
      <c r="AL1839" s="9">
        <f>IFERROR(VLOOKUP($A1839,pivot!$A:$I,計算式2026!AL$1,FALSE),0)</f>
        <v>0</v>
      </c>
      <c r="AR1839" s="8"/>
      <c r="AS1839" s="8"/>
      <c r="AT1839" s="8"/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8"/>
      <c r="BG1839" s="8"/>
    </row>
    <row r="1840" spans="1:59" s="9" customFormat="1">
      <c r="A1840" s="8" t="s">
        <v>1115</v>
      </c>
      <c r="B1840" s="8" t="s">
        <v>1116</v>
      </c>
      <c r="C1840" s="9">
        <v>0</v>
      </c>
      <c r="D1840" s="9">
        <v>0</v>
      </c>
      <c r="E1840" s="9">
        <v>0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R1840" s="9">
        <v>0</v>
      </c>
      <c r="S1840" s="9">
        <v>0</v>
      </c>
      <c r="T1840" s="9">
        <v>1</v>
      </c>
      <c r="U1840" s="9">
        <v>0</v>
      </c>
      <c r="V1840" s="9">
        <v>1</v>
      </c>
      <c r="W1840" s="9">
        <v>0</v>
      </c>
      <c r="X1840" s="9">
        <v>0</v>
      </c>
      <c r="AE1840" s="9">
        <f>IFERROR(VLOOKUP($A1840,pivot!$A:$G,計算式2026!AE$1,FALSE),0)</f>
        <v>0</v>
      </c>
      <c r="AF1840" s="9">
        <f>IFERROR(VLOOKUP($A1840,pivot!$A:$I,計算式2026!AF$1,FALSE),0)</f>
        <v>0</v>
      </c>
      <c r="AI1840" s="9">
        <f>IFERROR(VLOOKUP($A1840,pivot!$A:$I,計算式2026!AI$1,FALSE),0)</f>
        <v>0</v>
      </c>
      <c r="AJ1840" s="9">
        <f>IFERROR(VLOOKUP($A1840,pivot!$A:$I,計算式2026!AJ$1,FALSE),0)</f>
        <v>0</v>
      </c>
      <c r="AK1840" s="9">
        <f>IFERROR(VLOOKUP($A1840,pivot!$A:$I,計算式2026!AK$1,FALSE),0)</f>
        <v>0</v>
      </c>
      <c r="AL1840" s="9">
        <f>IFERROR(VLOOKUP($A1840,pivot!$A:$I,計算式2026!AL$1,FALSE),0)</f>
        <v>0</v>
      </c>
      <c r="AR1840" s="8"/>
      <c r="AS1840" s="8"/>
      <c r="AT1840" s="8"/>
      <c r="AU1840" s="8"/>
      <c r="AV1840" s="8"/>
      <c r="AW1840" s="8"/>
      <c r="AX1840" s="8"/>
      <c r="AY1840" s="8"/>
      <c r="AZ1840" s="8"/>
      <c r="BA1840" s="8"/>
      <c r="BB1840" s="8"/>
      <c r="BC1840" s="8"/>
      <c r="BD1840" s="8"/>
      <c r="BE1840" s="8"/>
      <c r="BF1840" s="8"/>
      <c r="BG1840" s="8"/>
    </row>
    <row r="1841" spans="1:59" s="9" customFormat="1">
      <c r="A1841" s="8" t="s">
        <v>1117</v>
      </c>
      <c r="B1841" s="8" t="s">
        <v>1116</v>
      </c>
      <c r="C1841" s="9">
        <v>0</v>
      </c>
      <c r="D1841" s="9">
        <v>0</v>
      </c>
      <c r="E1841" s="9">
        <v>0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R1841" s="9">
        <v>0</v>
      </c>
      <c r="S1841" s="9">
        <v>0</v>
      </c>
      <c r="T1841" s="9">
        <v>1</v>
      </c>
      <c r="U1841" s="9">
        <v>0</v>
      </c>
      <c r="V1841" s="9">
        <v>1</v>
      </c>
      <c r="W1841" s="9">
        <v>0</v>
      </c>
      <c r="X1841" s="9">
        <v>1</v>
      </c>
      <c r="AE1841" s="9">
        <f>IFERROR(VLOOKUP($A1841,pivot!$A:$G,計算式2026!AE$1,FALSE),0)</f>
        <v>0</v>
      </c>
      <c r="AF1841" s="9">
        <f>IFERROR(VLOOKUP($A1841,pivot!$A:$I,計算式2026!AF$1,FALSE),0)</f>
        <v>0</v>
      </c>
      <c r="AI1841" s="9">
        <f>IFERROR(VLOOKUP($A1841,pivot!$A:$I,計算式2026!AI$1,FALSE),0)</f>
        <v>0</v>
      </c>
      <c r="AJ1841" s="9">
        <f>IFERROR(VLOOKUP($A1841,pivot!$A:$I,計算式2026!AJ$1,FALSE),0)</f>
        <v>0</v>
      </c>
      <c r="AK1841" s="9">
        <f>IFERROR(VLOOKUP($A1841,pivot!$A:$I,計算式2026!AK$1,FALSE),0)</f>
        <v>0</v>
      </c>
      <c r="AL1841" s="9">
        <f>IFERROR(VLOOKUP($A1841,pivot!$A:$I,計算式2026!AL$1,FALSE),0)</f>
        <v>0</v>
      </c>
      <c r="AR1841" s="8"/>
      <c r="AS1841" s="8"/>
      <c r="AT1841" s="8"/>
      <c r="AU1841" s="8"/>
      <c r="AV1841" s="8"/>
      <c r="AW1841" s="8"/>
      <c r="AX1841" s="8"/>
      <c r="AY1841" s="8"/>
      <c r="AZ1841" s="8"/>
      <c r="BA1841" s="8"/>
      <c r="BB1841" s="8"/>
      <c r="BC1841" s="8"/>
      <c r="BD1841" s="8"/>
      <c r="BE1841" s="8"/>
      <c r="BF1841" s="8"/>
      <c r="BG1841" s="8"/>
    </row>
    <row r="1842" spans="1:59" s="9" customFormat="1">
      <c r="A1842" s="8" t="s">
        <v>1485</v>
      </c>
      <c r="B1842" s="8" t="s">
        <v>1116</v>
      </c>
      <c r="C1842" s="9">
        <v>0</v>
      </c>
      <c r="D1842" s="9">
        <v>0</v>
      </c>
      <c r="E1842" s="9">
        <v>0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0</v>
      </c>
      <c r="R1842" s="9">
        <v>0</v>
      </c>
      <c r="S1842" s="9">
        <v>2</v>
      </c>
      <c r="T1842" s="9">
        <v>2</v>
      </c>
      <c r="U1842" s="9">
        <v>1</v>
      </c>
      <c r="V1842" s="9">
        <v>0</v>
      </c>
      <c r="W1842" s="9">
        <v>0</v>
      </c>
      <c r="X1842" s="9">
        <v>1</v>
      </c>
      <c r="AE1842" s="9">
        <f>IFERROR(VLOOKUP($A1842,pivot!$A:$G,計算式2026!AE$1,FALSE),0)</f>
        <v>0</v>
      </c>
      <c r="AF1842" s="9">
        <f>IFERROR(VLOOKUP($A1842,pivot!$A:$I,計算式2026!AF$1,FALSE),0)</f>
        <v>0</v>
      </c>
      <c r="AI1842" s="9">
        <f>IFERROR(VLOOKUP($A1842,pivot!$A:$I,計算式2026!AI$1,FALSE),0)</f>
        <v>0</v>
      </c>
      <c r="AJ1842" s="9">
        <f>IFERROR(VLOOKUP($A1842,pivot!$A:$I,計算式2026!AJ$1,FALSE),0)</f>
        <v>0</v>
      </c>
      <c r="AK1842" s="9">
        <f>IFERROR(VLOOKUP($A1842,pivot!$A:$I,計算式2026!AK$1,FALSE),0)</f>
        <v>0</v>
      </c>
      <c r="AL1842" s="9">
        <f>IFERROR(VLOOKUP($A1842,pivot!$A:$I,計算式2026!AL$1,FALSE),0)</f>
        <v>0</v>
      </c>
      <c r="AR1842" s="8"/>
      <c r="AS1842" s="8"/>
      <c r="AT1842" s="8"/>
      <c r="AU1842" s="8"/>
      <c r="AV1842" s="8"/>
      <c r="AW1842" s="8"/>
      <c r="AX1842" s="8"/>
      <c r="AY1842" s="8"/>
      <c r="AZ1842" s="8"/>
      <c r="BA1842" s="8"/>
      <c r="BB1842" s="8"/>
      <c r="BC1842" s="8"/>
      <c r="BD1842" s="8"/>
      <c r="BE1842" s="8"/>
      <c r="BF1842" s="8"/>
      <c r="BG1842" s="8"/>
    </row>
    <row r="1843" spans="1:59" s="9" customFormat="1">
      <c r="A1843" s="8" t="s">
        <v>2353</v>
      </c>
      <c r="B1843" s="8" t="s">
        <v>1116</v>
      </c>
      <c r="C1843" s="9">
        <v>0</v>
      </c>
      <c r="D1843" s="9">
        <v>0</v>
      </c>
      <c r="E1843" s="9">
        <v>0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1</v>
      </c>
      <c r="AE1843" s="9">
        <f>IFERROR(VLOOKUP($A1843,pivot!$A:$G,計算式2026!AE$1,FALSE),0)</f>
        <v>0</v>
      </c>
      <c r="AF1843" s="9">
        <f>IFERROR(VLOOKUP($A1843,pivot!$A:$I,計算式2026!AF$1,FALSE),0)</f>
        <v>0</v>
      </c>
      <c r="AI1843" s="9">
        <f>IFERROR(VLOOKUP($A1843,pivot!$A:$I,計算式2026!AI$1,FALSE),0)</f>
        <v>0</v>
      </c>
      <c r="AJ1843" s="9">
        <f>IFERROR(VLOOKUP($A1843,pivot!$A:$I,計算式2026!AJ$1,FALSE),0)</f>
        <v>0</v>
      </c>
      <c r="AK1843" s="9">
        <f>IFERROR(VLOOKUP($A1843,pivot!$A:$I,計算式2026!AK$1,FALSE),0)</f>
        <v>0</v>
      </c>
      <c r="AL1843" s="9">
        <f>IFERROR(VLOOKUP($A1843,pivot!$A:$I,計算式2026!AL$1,FALSE),0)</f>
        <v>0</v>
      </c>
      <c r="AR1843" s="8"/>
      <c r="AS1843" s="8"/>
      <c r="AT1843" s="8"/>
      <c r="AU1843" s="8"/>
      <c r="AV1843" s="8"/>
      <c r="AW1843" s="8"/>
      <c r="AX1843" s="8"/>
      <c r="AY1843" s="8"/>
      <c r="AZ1843" s="8"/>
      <c r="BA1843" s="8"/>
      <c r="BB1843" s="8"/>
      <c r="BC1843" s="8"/>
      <c r="BD1843" s="8"/>
      <c r="BE1843" s="8"/>
      <c r="BF1843" s="8"/>
      <c r="BG1843" s="8"/>
    </row>
    <row r="1844" spans="1:59" s="9" customFormat="1">
      <c r="A1844" s="8" t="s">
        <v>1717</v>
      </c>
      <c r="B1844" s="8" t="s">
        <v>2354</v>
      </c>
      <c r="C1844" s="9">
        <v>0</v>
      </c>
      <c r="D1844" s="9">
        <v>0</v>
      </c>
      <c r="E1844" s="9">
        <v>0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1</v>
      </c>
      <c r="AE1844" s="9">
        <f>IFERROR(VLOOKUP($A1844,pivot!$A:$G,計算式2026!AE$1,FALSE),0)</f>
        <v>0</v>
      </c>
      <c r="AF1844" s="9">
        <f>IFERROR(VLOOKUP($A1844,pivot!$A:$I,計算式2026!AF$1,FALSE),0)</f>
        <v>0</v>
      </c>
      <c r="AI1844" s="9">
        <f>IFERROR(VLOOKUP($A1844,pivot!$A:$I,計算式2026!AI$1,FALSE),0)</f>
        <v>0</v>
      </c>
      <c r="AJ1844" s="9">
        <f>IFERROR(VLOOKUP($A1844,pivot!$A:$I,計算式2026!AJ$1,FALSE),0)</f>
        <v>0</v>
      </c>
      <c r="AK1844" s="9">
        <f>IFERROR(VLOOKUP($A1844,pivot!$A:$I,計算式2026!AK$1,FALSE),0)</f>
        <v>0</v>
      </c>
      <c r="AL1844" s="9">
        <f>IFERROR(VLOOKUP($A1844,pivot!$A:$I,計算式2026!AL$1,FALSE),0)</f>
        <v>0</v>
      </c>
      <c r="AR1844" s="8"/>
      <c r="AS1844" s="8"/>
      <c r="AT1844" s="8"/>
      <c r="AU1844" s="8"/>
      <c r="AV1844" s="8"/>
      <c r="AW1844" s="8"/>
      <c r="AX1844" s="8"/>
      <c r="AY1844" s="8"/>
      <c r="AZ1844" s="8"/>
      <c r="BA1844" s="8"/>
      <c r="BB1844" s="8"/>
      <c r="BC1844" s="8"/>
      <c r="BD1844" s="8"/>
      <c r="BE1844" s="8"/>
      <c r="BF1844" s="8"/>
      <c r="BG1844" s="8"/>
    </row>
    <row r="1845" spans="1:59" s="9" customFormat="1">
      <c r="A1845" s="8" t="s">
        <v>1718</v>
      </c>
      <c r="B1845" s="8" t="s">
        <v>2354</v>
      </c>
      <c r="C1845" s="9">
        <v>0</v>
      </c>
      <c r="D1845" s="9">
        <v>0</v>
      </c>
      <c r="E1845" s="9">
        <v>0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1</v>
      </c>
      <c r="AE1845" s="9">
        <f>IFERROR(VLOOKUP($A1845,pivot!$A:$G,計算式2026!AE$1,FALSE),0)</f>
        <v>0</v>
      </c>
      <c r="AF1845" s="9">
        <f>IFERROR(VLOOKUP($A1845,pivot!$A:$I,計算式2026!AF$1,FALSE),0)</f>
        <v>0</v>
      </c>
      <c r="AI1845" s="9">
        <f>IFERROR(VLOOKUP($A1845,pivot!$A:$I,計算式2026!AI$1,FALSE),0)</f>
        <v>0</v>
      </c>
      <c r="AJ1845" s="9">
        <f>IFERROR(VLOOKUP($A1845,pivot!$A:$I,計算式2026!AJ$1,FALSE),0)</f>
        <v>0</v>
      </c>
      <c r="AK1845" s="9">
        <f>IFERROR(VLOOKUP($A1845,pivot!$A:$I,計算式2026!AK$1,FALSE),0)</f>
        <v>0</v>
      </c>
      <c r="AL1845" s="9">
        <f>IFERROR(VLOOKUP($A1845,pivot!$A:$I,計算式2026!AL$1,FALSE),0)</f>
        <v>0</v>
      </c>
      <c r="AR1845" s="8"/>
      <c r="AS1845" s="8"/>
      <c r="AT1845" s="8"/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/>
      <c r="BF1845" s="8"/>
      <c r="BG1845" s="8"/>
    </row>
    <row r="1846" spans="1:59" s="9" customFormat="1">
      <c r="A1846" s="8" t="s">
        <v>1118</v>
      </c>
      <c r="B1846" s="8" t="s">
        <v>1119</v>
      </c>
      <c r="C1846" s="9">
        <v>0</v>
      </c>
      <c r="D1846" s="9">
        <v>0</v>
      </c>
      <c r="E1846" s="9">
        <v>0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R1846" s="9">
        <v>0</v>
      </c>
      <c r="S1846" s="9">
        <v>0</v>
      </c>
      <c r="T1846" s="9">
        <v>1</v>
      </c>
      <c r="U1846" s="9">
        <v>0</v>
      </c>
      <c r="V1846" s="9">
        <v>1</v>
      </c>
      <c r="W1846" s="9">
        <v>0</v>
      </c>
      <c r="X1846" s="9">
        <v>1</v>
      </c>
      <c r="AE1846" s="9">
        <f>IFERROR(VLOOKUP($A1846,pivot!$A:$G,計算式2026!AE$1,FALSE),0)</f>
        <v>0</v>
      </c>
      <c r="AF1846" s="9">
        <f>IFERROR(VLOOKUP($A1846,pivot!$A:$I,計算式2026!AF$1,FALSE),0)</f>
        <v>0</v>
      </c>
      <c r="AI1846" s="9">
        <f>IFERROR(VLOOKUP($A1846,pivot!$A:$I,計算式2026!AI$1,FALSE),0)</f>
        <v>0</v>
      </c>
      <c r="AJ1846" s="9">
        <f>IFERROR(VLOOKUP($A1846,pivot!$A:$I,計算式2026!AJ$1,FALSE),0)</f>
        <v>0</v>
      </c>
      <c r="AK1846" s="9">
        <f>IFERROR(VLOOKUP($A1846,pivot!$A:$I,計算式2026!AK$1,FALSE),0)</f>
        <v>0</v>
      </c>
      <c r="AL1846" s="9">
        <f>IFERROR(VLOOKUP($A1846,pivot!$A:$I,計算式2026!AL$1,FALSE),0)</f>
        <v>0</v>
      </c>
      <c r="AR1846" s="8"/>
      <c r="AS1846" s="8"/>
      <c r="AT1846" s="8"/>
      <c r="AU1846" s="8"/>
      <c r="AV1846" s="8"/>
      <c r="AW1846" s="8"/>
      <c r="AX1846" s="8"/>
      <c r="AY1846" s="8"/>
      <c r="AZ1846" s="8"/>
      <c r="BA1846" s="8"/>
      <c r="BB1846" s="8"/>
      <c r="BC1846" s="8"/>
      <c r="BD1846" s="8"/>
      <c r="BE1846" s="8"/>
      <c r="BF1846" s="8"/>
      <c r="BG1846" s="8"/>
    </row>
    <row r="1847" spans="1:59" s="9" customFormat="1">
      <c r="A1847" s="8" t="s">
        <v>1120</v>
      </c>
      <c r="B1847" s="8" t="s">
        <v>1119</v>
      </c>
      <c r="C1847" s="9">
        <v>2</v>
      </c>
      <c r="D1847" s="9">
        <v>0</v>
      </c>
      <c r="E1847" s="9">
        <v>0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R1847" s="9">
        <v>0</v>
      </c>
      <c r="S1847" s="9">
        <v>3</v>
      </c>
      <c r="T1847" s="9">
        <v>1</v>
      </c>
      <c r="U1847" s="9">
        <v>0</v>
      </c>
      <c r="V1847" s="9">
        <v>2</v>
      </c>
      <c r="W1847" s="9">
        <v>0</v>
      </c>
      <c r="X1847" s="9">
        <v>1</v>
      </c>
      <c r="AE1847" s="9">
        <f>IFERROR(VLOOKUP($A1847,pivot!$A:$G,計算式2026!AE$1,FALSE),0)</f>
        <v>0</v>
      </c>
      <c r="AF1847" s="9">
        <f>IFERROR(VLOOKUP($A1847,pivot!$A:$I,計算式2026!AF$1,FALSE),0)</f>
        <v>0</v>
      </c>
      <c r="AI1847" s="9">
        <f>IFERROR(VLOOKUP($A1847,pivot!$A:$I,計算式2026!AI$1,FALSE),0)</f>
        <v>0</v>
      </c>
      <c r="AJ1847" s="9">
        <f>IFERROR(VLOOKUP($A1847,pivot!$A:$I,計算式2026!AJ$1,FALSE),0)</f>
        <v>0</v>
      </c>
      <c r="AK1847" s="9">
        <f>IFERROR(VLOOKUP($A1847,pivot!$A:$I,計算式2026!AK$1,FALSE),0)</f>
        <v>0</v>
      </c>
      <c r="AL1847" s="9">
        <f>IFERROR(VLOOKUP($A1847,pivot!$A:$I,計算式2026!AL$1,FALSE),0)</f>
        <v>0</v>
      </c>
      <c r="AR1847" s="8"/>
      <c r="AS1847" s="8"/>
      <c r="AT1847" s="8"/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8"/>
      <c r="BG1847" s="8"/>
    </row>
    <row r="1848" spans="1:59" s="9" customFormat="1">
      <c r="A1848" s="8" t="s">
        <v>1121</v>
      </c>
      <c r="B1848" s="8" t="s">
        <v>1119</v>
      </c>
      <c r="C1848" s="9">
        <v>0</v>
      </c>
      <c r="D1848" s="9">
        <v>0</v>
      </c>
      <c r="E1848" s="9">
        <v>0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R1848" s="9">
        <v>0</v>
      </c>
      <c r="S1848" s="9">
        <v>1</v>
      </c>
      <c r="T1848" s="9">
        <v>1</v>
      </c>
      <c r="U1848" s="9">
        <v>0</v>
      </c>
      <c r="V1848" s="9">
        <v>1</v>
      </c>
      <c r="W1848" s="9">
        <v>0</v>
      </c>
      <c r="X1848" s="9">
        <v>1</v>
      </c>
      <c r="AE1848" s="9">
        <f>IFERROR(VLOOKUP($A1848,pivot!$A:$G,計算式2026!AE$1,FALSE),0)</f>
        <v>0</v>
      </c>
      <c r="AF1848" s="9">
        <f>IFERROR(VLOOKUP($A1848,pivot!$A:$I,計算式2026!AF$1,FALSE),0)</f>
        <v>0</v>
      </c>
      <c r="AI1848" s="9">
        <f>IFERROR(VLOOKUP($A1848,pivot!$A:$I,計算式2026!AI$1,FALSE),0)</f>
        <v>0</v>
      </c>
      <c r="AJ1848" s="9">
        <f>IFERROR(VLOOKUP($A1848,pivot!$A:$I,計算式2026!AJ$1,FALSE),0)</f>
        <v>0</v>
      </c>
      <c r="AK1848" s="9">
        <f>IFERROR(VLOOKUP($A1848,pivot!$A:$I,計算式2026!AK$1,FALSE),0)</f>
        <v>0</v>
      </c>
      <c r="AL1848" s="9">
        <f>IFERROR(VLOOKUP($A1848,pivot!$A:$I,計算式2026!AL$1,FALSE),0)</f>
        <v>0</v>
      </c>
      <c r="AR1848" s="8"/>
      <c r="AS1848" s="8"/>
      <c r="AT1848" s="8"/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8"/>
      <c r="BG1848" s="8"/>
    </row>
    <row r="1849" spans="1:59" s="9" customFormat="1">
      <c r="A1849" s="8" t="s">
        <v>2355</v>
      </c>
      <c r="B1849" s="8" t="s">
        <v>1119</v>
      </c>
      <c r="C1849" s="9">
        <v>0</v>
      </c>
      <c r="D1849" s="9">
        <v>0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1</v>
      </c>
      <c r="W1849" s="9">
        <v>0</v>
      </c>
      <c r="X1849" s="9">
        <v>1</v>
      </c>
      <c r="AE1849" s="9">
        <f>IFERROR(VLOOKUP($A1849,pivot!$A:$G,計算式2026!AE$1,FALSE),0)</f>
        <v>0</v>
      </c>
      <c r="AF1849" s="9">
        <f>IFERROR(VLOOKUP($A1849,pivot!$A:$I,計算式2026!AF$1,FALSE),0)</f>
        <v>0</v>
      </c>
      <c r="AI1849" s="9">
        <f>IFERROR(VLOOKUP($A1849,pivot!$A:$I,計算式2026!AI$1,FALSE),0)</f>
        <v>0</v>
      </c>
      <c r="AJ1849" s="9">
        <f>IFERROR(VLOOKUP($A1849,pivot!$A:$I,計算式2026!AJ$1,FALSE),0)</f>
        <v>0</v>
      </c>
      <c r="AK1849" s="9">
        <f>IFERROR(VLOOKUP($A1849,pivot!$A:$I,計算式2026!AK$1,FALSE),0)</f>
        <v>0</v>
      </c>
      <c r="AL1849" s="9">
        <f>IFERROR(VLOOKUP($A1849,pivot!$A:$I,計算式2026!AL$1,FALSE),0)</f>
        <v>0</v>
      </c>
      <c r="AR1849" s="8"/>
      <c r="AS1849" s="8"/>
      <c r="AT1849" s="8"/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8"/>
      <c r="BG1849" s="8"/>
    </row>
    <row r="1850" spans="1:59" s="9" customFormat="1">
      <c r="A1850" s="8" t="s">
        <v>2356</v>
      </c>
      <c r="B1850" s="8" t="s">
        <v>1119</v>
      </c>
      <c r="C1850" s="9">
        <v>3</v>
      </c>
      <c r="D1850" s="9">
        <v>5</v>
      </c>
      <c r="E1850" s="9">
        <v>0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R1850" s="9">
        <v>1</v>
      </c>
      <c r="S1850" s="9">
        <v>1</v>
      </c>
      <c r="T1850" s="9">
        <v>1</v>
      </c>
      <c r="U1850" s="9">
        <v>0</v>
      </c>
      <c r="V1850" s="9">
        <v>2</v>
      </c>
      <c r="W1850" s="9">
        <v>0</v>
      </c>
      <c r="X1850" s="9">
        <v>1</v>
      </c>
      <c r="AE1850" s="9">
        <f>IFERROR(VLOOKUP($A1850,pivot!$A:$G,計算式2026!AE$1,FALSE),0)</f>
        <v>0</v>
      </c>
      <c r="AF1850" s="9">
        <f>IFERROR(VLOOKUP($A1850,pivot!$A:$I,計算式2026!AF$1,FALSE),0)</f>
        <v>0</v>
      </c>
      <c r="AI1850" s="9">
        <f>IFERROR(VLOOKUP($A1850,pivot!$A:$I,計算式2026!AI$1,FALSE),0)</f>
        <v>0</v>
      </c>
      <c r="AJ1850" s="9">
        <f>IFERROR(VLOOKUP($A1850,pivot!$A:$I,計算式2026!AJ$1,FALSE),0)</f>
        <v>0</v>
      </c>
      <c r="AK1850" s="9">
        <f>IFERROR(VLOOKUP($A1850,pivot!$A:$I,計算式2026!AK$1,FALSE),0)</f>
        <v>0</v>
      </c>
      <c r="AL1850" s="9">
        <f>IFERROR(VLOOKUP($A1850,pivot!$A:$I,計算式2026!AL$1,FALSE),0)</f>
        <v>0</v>
      </c>
      <c r="AR1850" s="8"/>
      <c r="AS1850" s="8"/>
      <c r="AT1850" s="8"/>
      <c r="AU1850" s="8"/>
      <c r="AV1850" s="8"/>
      <c r="AW1850" s="8"/>
      <c r="AX1850" s="8"/>
      <c r="AY1850" s="8"/>
      <c r="AZ1850" s="8"/>
      <c r="BA1850" s="8"/>
      <c r="BB1850" s="8"/>
      <c r="BC1850" s="8"/>
      <c r="BD1850" s="8"/>
      <c r="BE1850" s="8"/>
      <c r="BF1850" s="8"/>
      <c r="BG1850" s="8"/>
    </row>
    <row r="1851" spans="1:59" s="9" customFormat="1">
      <c r="A1851" s="8" t="s">
        <v>2357</v>
      </c>
      <c r="B1851" s="8" t="s">
        <v>1119</v>
      </c>
      <c r="C1851" s="9">
        <v>1</v>
      </c>
      <c r="D1851" s="9">
        <v>4</v>
      </c>
      <c r="E1851" s="9">
        <v>0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R1851" s="9">
        <v>1</v>
      </c>
      <c r="S1851" s="9">
        <v>2</v>
      </c>
      <c r="T1851" s="9">
        <v>1</v>
      </c>
      <c r="U1851" s="9">
        <v>0</v>
      </c>
      <c r="V1851" s="9">
        <v>1</v>
      </c>
      <c r="W1851" s="9">
        <v>0</v>
      </c>
      <c r="X1851" s="9">
        <v>1</v>
      </c>
      <c r="AE1851" s="9">
        <f>IFERROR(VLOOKUP($A1851,pivot!$A:$G,計算式2026!AE$1,FALSE),0)</f>
        <v>0</v>
      </c>
      <c r="AF1851" s="9">
        <f>IFERROR(VLOOKUP($A1851,pivot!$A:$I,計算式2026!AF$1,FALSE),0)</f>
        <v>0</v>
      </c>
      <c r="AI1851" s="9">
        <f>IFERROR(VLOOKUP($A1851,pivot!$A:$I,計算式2026!AI$1,FALSE),0)</f>
        <v>0</v>
      </c>
      <c r="AJ1851" s="9">
        <f>IFERROR(VLOOKUP($A1851,pivot!$A:$I,計算式2026!AJ$1,FALSE),0)</f>
        <v>0</v>
      </c>
      <c r="AK1851" s="9">
        <f>IFERROR(VLOOKUP($A1851,pivot!$A:$I,計算式2026!AK$1,FALSE),0)</f>
        <v>0</v>
      </c>
      <c r="AL1851" s="9">
        <f>IFERROR(VLOOKUP($A1851,pivot!$A:$I,計算式2026!AL$1,FALSE),0)</f>
        <v>0</v>
      </c>
      <c r="AR1851" s="8"/>
      <c r="AS1851" s="8"/>
      <c r="AT1851" s="8"/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8"/>
      <c r="BG1851" s="8"/>
    </row>
    <row r="1852" spans="1:59" s="9" customFormat="1">
      <c r="A1852" s="8" t="s">
        <v>2358</v>
      </c>
      <c r="B1852" s="8" t="s">
        <v>1119</v>
      </c>
      <c r="C1852" s="9">
        <v>0</v>
      </c>
      <c r="D1852" s="9">
        <v>0</v>
      </c>
      <c r="E1852" s="9">
        <v>0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1</v>
      </c>
      <c r="AE1852" s="9">
        <f>IFERROR(VLOOKUP($A1852,pivot!$A:$G,計算式2026!AE$1,FALSE),0)</f>
        <v>0</v>
      </c>
      <c r="AF1852" s="9">
        <f>IFERROR(VLOOKUP($A1852,pivot!$A:$I,計算式2026!AF$1,FALSE),0)</f>
        <v>0</v>
      </c>
      <c r="AI1852" s="9">
        <f>IFERROR(VLOOKUP($A1852,pivot!$A:$I,計算式2026!AI$1,FALSE),0)</f>
        <v>0</v>
      </c>
      <c r="AJ1852" s="9">
        <f>IFERROR(VLOOKUP($A1852,pivot!$A:$I,計算式2026!AJ$1,FALSE),0)</f>
        <v>0</v>
      </c>
      <c r="AK1852" s="9">
        <f>IFERROR(VLOOKUP($A1852,pivot!$A:$I,計算式2026!AK$1,FALSE),0)</f>
        <v>0</v>
      </c>
      <c r="AL1852" s="9">
        <f>IFERROR(VLOOKUP($A1852,pivot!$A:$I,計算式2026!AL$1,FALSE),0)</f>
        <v>0</v>
      </c>
      <c r="AR1852" s="8"/>
      <c r="AS1852" s="8"/>
      <c r="AT1852" s="8"/>
      <c r="AU1852" s="8"/>
      <c r="AV1852" s="8"/>
      <c r="AW1852" s="8"/>
      <c r="AX1852" s="8"/>
      <c r="AY1852" s="8"/>
      <c r="AZ1852" s="8"/>
      <c r="BA1852" s="8"/>
      <c r="BB1852" s="8"/>
      <c r="BC1852" s="8"/>
      <c r="BD1852" s="8"/>
      <c r="BE1852" s="8"/>
      <c r="BF1852" s="8"/>
      <c r="BG1852" s="8"/>
    </row>
    <row r="1853" spans="1:59" s="9" customFormat="1">
      <c r="A1853" s="8" t="s">
        <v>1122</v>
      </c>
      <c r="B1853" s="8" t="s">
        <v>1123</v>
      </c>
      <c r="C1853" s="9">
        <v>0</v>
      </c>
      <c r="D1853" s="9">
        <v>0</v>
      </c>
      <c r="E1853" s="9">
        <v>0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R1853" s="9">
        <v>0</v>
      </c>
      <c r="S1853" s="9">
        <v>1</v>
      </c>
      <c r="T1853" s="9">
        <v>0</v>
      </c>
      <c r="U1853" s="9">
        <v>0</v>
      </c>
      <c r="V1853" s="9">
        <v>1</v>
      </c>
      <c r="W1853" s="9">
        <v>0</v>
      </c>
      <c r="X1853" s="9">
        <v>1</v>
      </c>
      <c r="AE1853" s="9">
        <f>IFERROR(VLOOKUP($A1853,pivot!$A:$G,計算式2026!AE$1,FALSE),0)</f>
        <v>0</v>
      </c>
      <c r="AF1853" s="9">
        <f>IFERROR(VLOOKUP($A1853,pivot!$A:$I,計算式2026!AF$1,FALSE),0)</f>
        <v>0</v>
      </c>
      <c r="AI1853" s="9">
        <f>IFERROR(VLOOKUP($A1853,pivot!$A:$I,計算式2026!AI$1,FALSE),0)</f>
        <v>0</v>
      </c>
      <c r="AJ1853" s="9">
        <f>IFERROR(VLOOKUP($A1853,pivot!$A:$I,計算式2026!AJ$1,FALSE),0)</f>
        <v>0</v>
      </c>
      <c r="AK1853" s="9">
        <f>IFERROR(VLOOKUP($A1853,pivot!$A:$I,計算式2026!AK$1,FALSE),0)</f>
        <v>0</v>
      </c>
      <c r="AL1853" s="9">
        <f>IFERROR(VLOOKUP($A1853,pivot!$A:$I,計算式2026!AL$1,FALSE),0)</f>
        <v>0</v>
      </c>
      <c r="AR1853" s="8"/>
      <c r="AS1853" s="8"/>
      <c r="AT1853" s="8"/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8"/>
      <c r="BG1853" s="8"/>
    </row>
    <row r="1854" spans="1:59" s="9" customFormat="1">
      <c r="A1854" s="8" t="s">
        <v>1124</v>
      </c>
      <c r="B1854" s="8" t="s">
        <v>1123</v>
      </c>
      <c r="C1854" s="9">
        <v>5</v>
      </c>
      <c r="D1854" s="9">
        <v>0</v>
      </c>
      <c r="E1854" s="9">
        <v>0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R1854" s="9">
        <v>0</v>
      </c>
      <c r="S1854" s="9">
        <v>1</v>
      </c>
      <c r="T1854" s="9">
        <v>1</v>
      </c>
      <c r="U1854" s="9">
        <v>0</v>
      </c>
      <c r="V1854" s="9">
        <v>2</v>
      </c>
      <c r="W1854" s="9">
        <v>0</v>
      </c>
      <c r="X1854" s="9">
        <v>1</v>
      </c>
      <c r="AE1854" s="9">
        <f>IFERROR(VLOOKUP($A1854,pivot!$A:$G,計算式2026!AE$1,FALSE),0)</f>
        <v>0</v>
      </c>
      <c r="AF1854" s="9">
        <f>IFERROR(VLOOKUP($A1854,pivot!$A:$I,計算式2026!AF$1,FALSE),0)</f>
        <v>0</v>
      </c>
      <c r="AI1854" s="9">
        <f>IFERROR(VLOOKUP($A1854,pivot!$A:$I,計算式2026!AI$1,FALSE),0)</f>
        <v>0</v>
      </c>
      <c r="AJ1854" s="9">
        <f>IFERROR(VLOOKUP($A1854,pivot!$A:$I,計算式2026!AJ$1,FALSE),0)</f>
        <v>0</v>
      </c>
      <c r="AK1854" s="9">
        <f>IFERROR(VLOOKUP($A1854,pivot!$A:$I,計算式2026!AK$1,FALSE),0)</f>
        <v>0</v>
      </c>
      <c r="AL1854" s="9">
        <f>IFERROR(VLOOKUP($A1854,pivot!$A:$I,計算式2026!AL$1,FALSE),0)</f>
        <v>0</v>
      </c>
      <c r="AR1854" s="8"/>
      <c r="AS1854" s="8"/>
      <c r="AT1854" s="8"/>
      <c r="AU1854" s="8"/>
      <c r="AV1854" s="8"/>
      <c r="AW1854" s="8"/>
      <c r="AX1854" s="8"/>
      <c r="AY1854" s="8"/>
      <c r="AZ1854" s="8"/>
      <c r="BA1854" s="8"/>
      <c r="BB1854" s="8"/>
      <c r="BC1854" s="8"/>
      <c r="BD1854" s="8"/>
      <c r="BE1854" s="8"/>
      <c r="BF1854" s="8"/>
      <c r="BG1854" s="8"/>
    </row>
    <row r="1855" spans="1:59" s="9" customFormat="1">
      <c r="A1855" s="8" t="s">
        <v>1125</v>
      </c>
      <c r="B1855" s="8" t="s">
        <v>1123</v>
      </c>
      <c r="C1855" s="9">
        <v>0</v>
      </c>
      <c r="D1855" s="9">
        <v>0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R1855" s="9">
        <v>0</v>
      </c>
      <c r="S1855" s="9">
        <v>0</v>
      </c>
      <c r="T1855" s="9">
        <v>1</v>
      </c>
      <c r="U1855" s="9">
        <v>0</v>
      </c>
      <c r="V1855" s="9">
        <v>1</v>
      </c>
      <c r="W1855" s="9">
        <v>0</v>
      </c>
      <c r="X1855" s="9">
        <v>1</v>
      </c>
      <c r="AE1855" s="9">
        <f>IFERROR(VLOOKUP($A1855,pivot!$A:$G,計算式2026!AE$1,FALSE),0)</f>
        <v>0</v>
      </c>
      <c r="AF1855" s="9">
        <f>IFERROR(VLOOKUP($A1855,pivot!$A:$I,計算式2026!AF$1,FALSE),0)</f>
        <v>0</v>
      </c>
      <c r="AI1855" s="9">
        <f>IFERROR(VLOOKUP($A1855,pivot!$A:$I,計算式2026!AI$1,FALSE),0)</f>
        <v>0</v>
      </c>
      <c r="AJ1855" s="9">
        <f>IFERROR(VLOOKUP($A1855,pivot!$A:$I,計算式2026!AJ$1,FALSE),0)</f>
        <v>0</v>
      </c>
      <c r="AK1855" s="9">
        <f>IFERROR(VLOOKUP($A1855,pivot!$A:$I,計算式2026!AK$1,FALSE),0)</f>
        <v>0</v>
      </c>
      <c r="AL1855" s="9">
        <f>IFERROR(VLOOKUP($A1855,pivot!$A:$I,計算式2026!AL$1,FALSE),0)</f>
        <v>0</v>
      </c>
      <c r="AR1855" s="8"/>
      <c r="AS1855" s="8"/>
      <c r="AT1855" s="8"/>
      <c r="AU1855" s="8"/>
      <c r="AV1855" s="8"/>
      <c r="AW1855" s="8"/>
      <c r="AX1855" s="8"/>
      <c r="AY1855" s="8"/>
      <c r="AZ1855" s="8"/>
      <c r="BA1855" s="8"/>
      <c r="BB1855" s="8"/>
      <c r="BC1855" s="8"/>
      <c r="BD1855" s="8"/>
      <c r="BE1855" s="8"/>
      <c r="BF1855" s="8"/>
      <c r="BG1855" s="8"/>
    </row>
    <row r="1856" spans="1:59" s="9" customFormat="1">
      <c r="A1856" s="8">
        <v>8398657046</v>
      </c>
      <c r="B1856" s="8" t="s">
        <v>2359</v>
      </c>
      <c r="C1856" s="9">
        <v>1</v>
      </c>
      <c r="D1856" s="9">
        <v>1</v>
      </c>
      <c r="E1856" s="9">
        <v>0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R1856" s="9">
        <v>0</v>
      </c>
      <c r="S1856" s="9">
        <v>1</v>
      </c>
      <c r="T1856" s="9">
        <v>0</v>
      </c>
      <c r="U1856" s="9">
        <v>0</v>
      </c>
      <c r="V1856" s="9">
        <v>2</v>
      </c>
      <c r="W1856" s="9">
        <v>0</v>
      </c>
      <c r="X1856" s="9">
        <v>1</v>
      </c>
      <c r="AE1856" s="9">
        <f>IFERROR(VLOOKUP($A1856,pivot!$A:$G,計算式2026!AE$1,FALSE),0)</f>
        <v>0</v>
      </c>
      <c r="AF1856" s="9">
        <f>IFERROR(VLOOKUP($A1856,pivot!$A:$I,計算式2026!AF$1,FALSE),0)</f>
        <v>0</v>
      </c>
      <c r="AI1856" s="9">
        <f>IFERROR(VLOOKUP($A1856,pivot!$A:$I,計算式2026!AI$1,FALSE),0)</f>
        <v>0</v>
      </c>
      <c r="AJ1856" s="9">
        <f>IFERROR(VLOOKUP($A1856,pivot!$A:$I,計算式2026!AJ$1,FALSE),0)</f>
        <v>0</v>
      </c>
      <c r="AK1856" s="9">
        <f>IFERROR(VLOOKUP($A1856,pivot!$A:$I,計算式2026!AK$1,FALSE),0)</f>
        <v>0</v>
      </c>
      <c r="AL1856" s="9">
        <f>IFERROR(VLOOKUP($A1856,pivot!$A:$I,計算式2026!AL$1,FALSE),0)</f>
        <v>0</v>
      </c>
      <c r="AR1856" s="8"/>
      <c r="AS1856" s="8"/>
      <c r="AT1856" s="8"/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8"/>
      <c r="BG1856" s="8"/>
    </row>
    <row r="1857" spans="1:59" s="9" customFormat="1">
      <c r="A1857" s="8">
        <v>8398657048</v>
      </c>
      <c r="B1857" s="8" t="s">
        <v>2359</v>
      </c>
      <c r="C1857" s="9">
        <v>1</v>
      </c>
      <c r="D1857" s="9">
        <v>1</v>
      </c>
      <c r="E1857" s="9">
        <v>0</v>
      </c>
      <c r="F1857" s="9">
        <v>0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R1857" s="9">
        <v>0</v>
      </c>
      <c r="S1857" s="9">
        <v>1</v>
      </c>
      <c r="T1857" s="9">
        <v>0</v>
      </c>
      <c r="U1857" s="9">
        <v>0</v>
      </c>
      <c r="V1857" s="9">
        <v>2</v>
      </c>
      <c r="W1857" s="9">
        <v>0</v>
      </c>
      <c r="X1857" s="9">
        <v>1</v>
      </c>
      <c r="AE1857" s="9">
        <f>IFERROR(VLOOKUP($A1857,pivot!$A:$G,計算式2026!AE$1,FALSE),0)</f>
        <v>0</v>
      </c>
      <c r="AF1857" s="9">
        <f>IFERROR(VLOOKUP($A1857,pivot!$A:$I,計算式2026!AF$1,FALSE),0)</f>
        <v>0</v>
      </c>
      <c r="AI1857" s="9">
        <f>IFERROR(VLOOKUP($A1857,pivot!$A:$I,計算式2026!AI$1,FALSE),0)</f>
        <v>0</v>
      </c>
      <c r="AJ1857" s="9">
        <f>IFERROR(VLOOKUP($A1857,pivot!$A:$I,計算式2026!AJ$1,FALSE),0)</f>
        <v>0</v>
      </c>
      <c r="AK1857" s="9">
        <f>IFERROR(VLOOKUP($A1857,pivot!$A:$I,計算式2026!AK$1,FALSE),0)</f>
        <v>0</v>
      </c>
      <c r="AL1857" s="9">
        <f>IFERROR(VLOOKUP($A1857,pivot!$A:$I,計算式2026!AL$1,FALSE),0)</f>
        <v>0</v>
      </c>
      <c r="AR1857" s="8"/>
      <c r="AS1857" s="8"/>
      <c r="AT1857" s="8"/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8"/>
      <c r="BG1857" s="8"/>
    </row>
    <row r="1858" spans="1:59" s="9" customFormat="1">
      <c r="A1858" s="8">
        <v>8398657050</v>
      </c>
      <c r="B1858" s="8" t="s">
        <v>2359</v>
      </c>
      <c r="C1858" s="9">
        <v>0</v>
      </c>
      <c r="D1858" s="9">
        <v>0</v>
      </c>
      <c r="E1858" s="9">
        <v>0</v>
      </c>
      <c r="F1858" s="9">
        <v>0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1</v>
      </c>
      <c r="W1858" s="9">
        <v>0</v>
      </c>
      <c r="X1858" s="9">
        <v>1</v>
      </c>
      <c r="AE1858" s="9">
        <f>IFERROR(VLOOKUP($A1858,pivot!$A:$G,計算式2026!AE$1,FALSE),0)</f>
        <v>0</v>
      </c>
      <c r="AF1858" s="9">
        <f>IFERROR(VLOOKUP($A1858,pivot!$A:$I,計算式2026!AF$1,FALSE),0)</f>
        <v>0</v>
      </c>
      <c r="AI1858" s="9">
        <f>IFERROR(VLOOKUP($A1858,pivot!$A:$I,計算式2026!AI$1,FALSE),0)</f>
        <v>0</v>
      </c>
      <c r="AJ1858" s="9">
        <f>IFERROR(VLOOKUP($A1858,pivot!$A:$I,計算式2026!AJ$1,FALSE),0)</f>
        <v>0</v>
      </c>
      <c r="AK1858" s="9">
        <f>IFERROR(VLOOKUP($A1858,pivot!$A:$I,計算式2026!AK$1,FALSE),0)</f>
        <v>0</v>
      </c>
      <c r="AL1858" s="9">
        <f>IFERROR(VLOOKUP($A1858,pivot!$A:$I,計算式2026!AL$1,FALSE),0)</f>
        <v>0</v>
      </c>
      <c r="AR1858" s="8"/>
      <c r="AS1858" s="8"/>
      <c r="AT1858" s="8"/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8"/>
      <c r="BG1858" s="8"/>
    </row>
    <row r="1859" spans="1:59" s="9" customFormat="1">
      <c r="A1859" s="8">
        <v>8398657052</v>
      </c>
      <c r="B1859" s="8" t="s">
        <v>2359</v>
      </c>
      <c r="C1859" s="9">
        <v>0</v>
      </c>
      <c r="D1859" s="9">
        <v>0</v>
      </c>
      <c r="E1859" s="9">
        <v>0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1</v>
      </c>
      <c r="W1859" s="9">
        <v>0</v>
      </c>
      <c r="X1859" s="9">
        <v>1</v>
      </c>
      <c r="AE1859" s="9">
        <f>IFERROR(VLOOKUP($A1859,pivot!$A:$G,計算式2026!AE$1,FALSE),0)</f>
        <v>0</v>
      </c>
      <c r="AF1859" s="9">
        <f>IFERROR(VLOOKUP($A1859,pivot!$A:$I,計算式2026!AF$1,FALSE),0)</f>
        <v>0</v>
      </c>
      <c r="AI1859" s="9">
        <f>IFERROR(VLOOKUP($A1859,pivot!$A:$I,計算式2026!AI$1,FALSE),0)</f>
        <v>0</v>
      </c>
      <c r="AJ1859" s="9">
        <f>IFERROR(VLOOKUP($A1859,pivot!$A:$I,計算式2026!AJ$1,FALSE),0)</f>
        <v>0</v>
      </c>
      <c r="AK1859" s="9">
        <f>IFERROR(VLOOKUP($A1859,pivot!$A:$I,計算式2026!AK$1,FALSE),0)</f>
        <v>0</v>
      </c>
      <c r="AL1859" s="9">
        <f>IFERROR(VLOOKUP($A1859,pivot!$A:$I,計算式2026!AL$1,FALSE),0)</f>
        <v>0</v>
      </c>
      <c r="AR1859" s="8"/>
      <c r="AS1859" s="8"/>
      <c r="AT1859" s="8"/>
      <c r="AU1859" s="8"/>
      <c r="AV1859" s="8"/>
      <c r="AW1859" s="8"/>
      <c r="AX1859" s="8"/>
      <c r="AY1859" s="8"/>
      <c r="AZ1859" s="8"/>
      <c r="BA1859" s="8"/>
      <c r="BB1859" s="8"/>
      <c r="BC1859" s="8"/>
      <c r="BD1859" s="8"/>
      <c r="BE1859" s="8"/>
      <c r="BF1859" s="8"/>
      <c r="BG1859" s="8"/>
    </row>
    <row r="1860" spans="1:59" s="9" customFormat="1">
      <c r="A1860" s="8" t="s">
        <v>2360</v>
      </c>
      <c r="B1860" s="8" t="s">
        <v>2361</v>
      </c>
      <c r="C1860" s="9">
        <v>0</v>
      </c>
      <c r="D1860" s="9">
        <v>0</v>
      </c>
      <c r="E1860" s="9">
        <v>0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R1860" s="9">
        <v>0</v>
      </c>
      <c r="S1860" s="9">
        <v>1</v>
      </c>
      <c r="T1860" s="9">
        <v>0</v>
      </c>
      <c r="U1860" s="9">
        <v>0</v>
      </c>
      <c r="V1860" s="9">
        <v>1</v>
      </c>
      <c r="W1860" s="9">
        <v>0</v>
      </c>
      <c r="X1860" s="9">
        <v>1</v>
      </c>
      <c r="AE1860" s="9">
        <f>IFERROR(VLOOKUP($A1860,pivot!$A:$G,計算式2026!AE$1,FALSE),0)</f>
        <v>0</v>
      </c>
      <c r="AF1860" s="9">
        <f>IFERROR(VLOOKUP($A1860,pivot!$A:$I,計算式2026!AF$1,FALSE),0)</f>
        <v>0</v>
      </c>
      <c r="AI1860" s="9">
        <f>IFERROR(VLOOKUP($A1860,pivot!$A:$I,計算式2026!AI$1,FALSE),0)</f>
        <v>0</v>
      </c>
      <c r="AJ1860" s="9">
        <f>IFERROR(VLOOKUP($A1860,pivot!$A:$I,計算式2026!AJ$1,FALSE),0)</f>
        <v>0</v>
      </c>
      <c r="AK1860" s="9">
        <f>IFERROR(VLOOKUP($A1860,pivot!$A:$I,計算式2026!AK$1,FALSE),0)</f>
        <v>0</v>
      </c>
      <c r="AL1860" s="9">
        <f>IFERROR(VLOOKUP($A1860,pivot!$A:$I,計算式2026!AL$1,FALSE),0)</f>
        <v>0</v>
      </c>
      <c r="AR1860" s="8"/>
      <c r="AS1860" s="8"/>
      <c r="AT1860" s="8"/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/>
      <c r="BF1860" s="8"/>
      <c r="BG1860" s="8"/>
    </row>
    <row r="1861" spans="1:59" s="9" customFormat="1">
      <c r="A1861" s="8" t="s">
        <v>2362</v>
      </c>
      <c r="B1861" s="8" t="s">
        <v>2361</v>
      </c>
      <c r="C1861" s="9">
        <v>0</v>
      </c>
      <c r="D1861" s="9">
        <v>0</v>
      </c>
      <c r="E1861" s="9">
        <v>0</v>
      </c>
      <c r="F1861" s="9">
        <v>0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1</v>
      </c>
      <c r="W1861" s="9">
        <v>0</v>
      </c>
      <c r="X1861" s="9">
        <v>0</v>
      </c>
      <c r="AE1861" s="9">
        <f>IFERROR(VLOOKUP($A1861,pivot!$A:$G,計算式2026!AE$1,FALSE),0)</f>
        <v>0</v>
      </c>
      <c r="AF1861" s="9">
        <f>IFERROR(VLOOKUP($A1861,pivot!$A:$I,計算式2026!AF$1,FALSE),0)</f>
        <v>0</v>
      </c>
      <c r="AI1861" s="9">
        <f>IFERROR(VLOOKUP($A1861,pivot!$A:$I,計算式2026!AI$1,FALSE),0)</f>
        <v>0</v>
      </c>
      <c r="AJ1861" s="9">
        <f>IFERROR(VLOOKUP($A1861,pivot!$A:$I,計算式2026!AJ$1,FALSE),0)</f>
        <v>0</v>
      </c>
      <c r="AK1861" s="9">
        <f>IFERROR(VLOOKUP($A1861,pivot!$A:$I,計算式2026!AK$1,FALSE),0)</f>
        <v>0</v>
      </c>
      <c r="AL1861" s="9">
        <f>IFERROR(VLOOKUP($A1861,pivot!$A:$I,計算式2026!AL$1,FALSE),0)</f>
        <v>0</v>
      </c>
      <c r="AR1861" s="8"/>
      <c r="AS1861" s="8"/>
      <c r="AT1861" s="8"/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8"/>
      <c r="BG1861" s="8"/>
    </row>
    <row r="1862" spans="1:59" s="9" customFormat="1">
      <c r="A1862" s="8" t="s">
        <v>2363</v>
      </c>
      <c r="B1862" s="8" t="s">
        <v>2364</v>
      </c>
      <c r="C1862" s="9">
        <v>0</v>
      </c>
      <c r="D1862" s="9">
        <v>0</v>
      </c>
      <c r="E1862" s="9">
        <v>0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R1862" s="9">
        <v>0</v>
      </c>
      <c r="S1862" s="9">
        <v>1</v>
      </c>
      <c r="T1862" s="9">
        <v>0</v>
      </c>
      <c r="U1862" s="9">
        <v>0</v>
      </c>
      <c r="V1862" s="9">
        <v>2</v>
      </c>
      <c r="W1862" s="9">
        <v>0</v>
      </c>
      <c r="X1862" s="9">
        <v>1</v>
      </c>
      <c r="AE1862" s="9">
        <f>IFERROR(VLOOKUP($A1862,pivot!$A:$G,計算式2026!AE$1,FALSE),0)</f>
        <v>0</v>
      </c>
      <c r="AF1862" s="9">
        <f>IFERROR(VLOOKUP($A1862,pivot!$A:$I,計算式2026!AF$1,FALSE),0)</f>
        <v>0</v>
      </c>
      <c r="AI1862" s="9">
        <f>IFERROR(VLOOKUP($A1862,pivot!$A:$I,計算式2026!AI$1,FALSE),0)</f>
        <v>0</v>
      </c>
      <c r="AJ1862" s="9">
        <f>IFERROR(VLOOKUP($A1862,pivot!$A:$I,計算式2026!AJ$1,FALSE),0)</f>
        <v>0</v>
      </c>
      <c r="AK1862" s="9">
        <f>IFERROR(VLOOKUP($A1862,pivot!$A:$I,計算式2026!AK$1,FALSE),0)</f>
        <v>0</v>
      </c>
      <c r="AL1862" s="9">
        <f>IFERROR(VLOOKUP($A1862,pivot!$A:$I,計算式2026!AL$1,FALSE),0)</f>
        <v>0</v>
      </c>
      <c r="AR1862" s="8"/>
      <c r="AS1862" s="8"/>
      <c r="AT1862" s="8"/>
      <c r="AU1862" s="8"/>
      <c r="AV1862" s="8"/>
      <c r="AW1862" s="8"/>
      <c r="AX1862" s="8"/>
      <c r="AY1862" s="8"/>
      <c r="AZ1862" s="8"/>
      <c r="BA1862" s="8"/>
      <c r="BB1862" s="8"/>
      <c r="BC1862" s="8"/>
      <c r="BD1862" s="8"/>
      <c r="BE1862" s="8"/>
      <c r="BF1862" s="8"/>
      <c r="BG1862" s="8"/>
    </row>
    <row r="1863" spans="1:59" s="9" customFormat="1">
      <c r="A1863" s="8" t="s">
        <v>2365</v>
      </c>
      <c r="B1863" s="8" t="s">
        <v>2364</v>
      </c>
      <c r="C1863" s="9">
        <v>0</v>
      </c>
      <c r="D1863" s="9">
        <v>0</v>
      </c>
      <c r="E1863" s="9">
        <v>0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R1863" s="9">
        <v>0</v>
      </c>
      <c r="S1863" s="9">
        <v>1</v>
      </c>
      <c r="T1863" s="9">
        <v>0</v>
      </c>
      <c r="U1863" s="9">
        <v>0</v>
      </c>
      <c r="V1863" s="9">
        <v>2</v>
      </c>
      <c r="W1863" s="9">
        <v>0</v>
      </c>
      <c r="X1863" s="9">
        <v>1</v>
      </c>
      <c r="AE1863" s="9">
        <f>IFERROR(VLOOKUP($A1863,pivot!$A:$G,計算式2026!AE$1,FALSE),0)</f>
        <v>0</v>
      </c>
      <c r="AF1863" s="9">
        <f>IFERROR(VLOOKUP($A1863,pivot!$A:$I,計算式2026!AF$1,FALSE),0)</f>
        <v>0</v>
      </c>
      <c r="AI1863" s="9">
        <f>IFERROR(VLOOKUP($A1863,pivot!$A:$I,計算式2026!AI$1,FALSE),0)</f>
        <v>0</v>
      </c>
      <c r="AJ1863" s="9">
        <f>IFERROR(VLOOKUP($A1863,pivot!$A:$I,計算式2026!AJ$1,FALSE),0)</f>
        <v>0</v>
      </c>
      <c r="AK1863" s="9">
        <f>IFERROR(VLOOKUP($A1863,pivot!$A:$I,計算式2026!AK$1,FALSE),0)</f>
        <v>0</v>
      </c>
      <c r="AL1863" s="9">
        <f>IFERROR(VLOOKUP($A1863,pivot!$A:$I,計算式2026!AL$1,FALSE),0)</f>
        <v>0</v>
      </c>
      <c r="AR1863" s="8"/>
      <c r="AS1863" s="8"/>
      <c r="AT1863" s="8"/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/>
      <c r="BF1863" s="8"/>
      <c r="BG1863" s="8"/>
    </row>
    <row r="1864" spans="1:59" s="9" customFormat="1">
      <c r="A1864" s="8" t="s">
        <v>1772</v>
      </c>
      <c r="B1864" s="8" t="s">
        <v>1126</v>
      </c>
      <c r="C1864" s="9">
        <v>0</v>
      </c>
      <c r="D1864" s="9">
        <v>0</v>
      </c>
      <c r="E1864" s="9">
        <v>0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1</v>
      </c>
      <c r="AE1864" s="9">
        <f>IFERROR(VLOOKUP($A1864,pivot!$A:$G,計算式2026!AE$1,FALSE),0)</f>
        <v>0</v>
      </c>
      <c r="AF1864" s="9">
        <f>IFERROR(VLOOKUP($A1864,pivot!$A:$I,計算式2026!AF$1,FALSE),0)</f>
        <v>0</v>
      </c>
      <c r="AI1864" s="9">
        <f>IFERROR(VLOOKUP($A1864,pivot!$A:$I,計算式2026!AI$1,FALSE),0)</f>
        <v>0</v>
      </c>
      <c r="AJ1864" s="9">
        <f>IFERROR(VLOOKUP($A1864,pivot!$A:$I,計算式2026!AJ$1,FALSE),0)</f>
        <v>0</v>
      </c>
      <c r="AK1864" s="9">
        <f>IFERROR(VLOOKUP($A1864,pivot!$A:$I,計算式2026!AK$1,FALSE),0)</f>
        <v>0</v>
      </c>
      <c r="AL1864" s="9">
        <f>IFERROR(VLOOKUP($A1864,pivot!$A:$I,計算式2026!AL$1,FALSE),0)</f>
        <v>0</v>
      </c>
      <c r="AR1864" s="8"/>
      <c r="AS1864" s="8"/>
      <c r="AT1864" s="8"/>
      <c r="AU1864" s="8"/>
      <c r="AV1864" s="8"/>
      <c r="AW1864" s="8"/>
      <c r="AX1864" s="8"/>
      <c r="AY1864" s="8"/>
      <c r="AZ1864" s="8"/>
      <c r="BA1864" s="8"/>
      <c r="BB1864" s="8"/>
      <c r="BC1864" s="8"/>
      <c r="BD1864" s="8"/>
      <c r="BE1864" s="8"/>
      <c r="BF1864" s="8"/>
      <c r="BG1864" s="8"/>
    </row>
    <row r="1865" spans="1:59" s="9" customFormat="1">
      <c r="A1865" s="8" t="s">
        <v>1773</v>
      </c>
      <c r="B1865" s="8" t="s">
        <v>1126</v>
      </c>
      <c r="C1865" s="9">
        <v>0</v>
      </c>
      <c r="D1865" s="9">
        <v>0</v>
      </c>
      <c r="E1865" s="9">
        <v>0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1</v>
      </c>
      <c r="AE1865" s="9">
        <f>IFERROR(VLOOKUP($A1865,pivot!$A:$G,計算式2026!AE$1,FALSE),0)</f>
        <v>0</v>
      </c>
      <c r="AF1865" s="9">
        <f>IFERROR(VLOOKUP($A1865,pivot!$A:$I,計算式2026!AF$1,FALSE),0)</f>
        <v>0</v>
      </c>
      <c r="AI1865" s="9">
        <f>IFERROR(VLOOKUP($A1865,pivot!$A:$I,計算式2026!AI$1,FALSE),0)</f>
        <v>0</v>
      </c>
      <c r="AJ1865" s="9">
        <f>IFERROR(VLOOKUP($A1865,pivot!$A:$I,計算式2026!AJ$1,FALSE),0)</f>
        <v>0</v>
      </c>
      <c r="AK1865" s="9">
        <f>IFERROR(VLOOKUP($A1865,pivot!$A:$I,計算式2026!AK$1,FALSE),0)</f>
        <v>0</v>
      </c>
      <c r="AL1865" s="9">
        <f>IFERROR(VLOOKUP($A1865,pivot!$A:$I,計算式2026!AL$1,FALSE),0)</f>
        <v>0</v>
      </c>
      <c r="AR1865" s="8"/>
      <c r="AS1865" s="8"/>
      <c r="AT1865" s="8"/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8"/>
      <c r="BG1865" s="8"/>
    </row>
    <row r="1866" spans="1:59" s="9" customFormat="1">
      <c r="A1866" s="8" t="s">
        <v>1774</v>
      </c>
      <c r="B1866" s="8" t="s">
        <v>1126</v>
      </c>
      <c r="C1866" s="9">
        <v>0</v>
      </c>
      <c r="D1866" s="9">
        <v>0</v>
      </c>
      <c r="E1866" s="9">
        <v>0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1</v>
      </c>
      <c r="AE1866" s="9">
        <f>IFERROR(VLOOKUP($A1866,pivot!$A:$G,計算式2026!AE$1,FALSE),0)</f>
        <v>0</v>
      </c>
      <c r="AF1866" s="9">
        <f>IFERROR(VLOOKUP($A1866,pivot!$A:$I,計算式2026!AF$1,FALSE),0)</f>
        <v>0</v>
      </c>
      <c r="AI1866" s="9">
        <f>IFERROR(VLOOKUP($A1866,pivot!$A:$I,計算式2026!AI$1,FALSE),0)</f>
        <v>0</v>
      </c>
      <c r="AJ1866" s="9">
        <f>IFERROR(VLOOKUP($A1866,pivot!$A:$I,計算式2026!AJ$1,FALSE),0)</f>
        <v>0</v>
      </c>
      <c r="AK1866" s="9">
        <f>IFERROR(VLOOKUP($A1866,pivot!$A:$I,計算式2026!AK$1,FALSE),0)</f>
        <v>0</v>
      </c>
      <c r="AL1866" s="9">
        <f>IFERROR(VLOOKUP($A1866,pivot!$A:$I,計算式2026!AL$1,FALSE),0)</f>
        <v>0</v>
      </c>
      <c r="AR1866" s="8"/>
      <c r="AS1866" s="8"/>
      <c r="AT1866" s="8"/>
      <c r="AU1866" s="8"/>
      <c r="AV1866" s="8"/>
      <c r="AW1866" s="8"/>
      <c r="AX1866" s="8"/>
      <c r="AY1866" s="8"/>
      <c r="AZ1866" s="8"/>
      <c r="BA1866" s="8"/>
      <c r="BB1866" s="8"/>
      <c r="BC1866" s="8"/>
      <c r="BD1866" s="8"/>
      <c r="BE1866" s="8"/>
      <c r="BF1866" s="8"/>
      <c r="BG1866" s="8"/>
    </row>
    <row r="1867" spans="1:59" s="9" customFormat="1">
      <c r="A1867" s="8" t="s">
        <v>1775</v>
      </c>
      <c r="B1867" s="8" t="s">
        <v>1126</v>
      </c>
      <c r="C1867" s="9">
        <v>0</v>
      </c>
      <c r="D1867" s="9">
        <v>0</v>
      </c>
      <c r="E1867" s="9">
        <v>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1</v>
      </c>
      <c r="AE1867" s="9">
        <f>IFERROR(VLOOKUP($A1867,pivot!$A:$G,計算式2026!AE$1,FALSE),0)</f>
        <v>0</v>
      </c>
      <c r="AF1867" s="9">
        <f>IFERROR(VLOOKUP($A1867,pivot!$A:$I,計算式2026!AF$1,FALSE),0)</f>
        <v>0</v>
      </c>
      <c r="AI1867" s="9">
        <f>IFERROR(VLOOKUP($A1867,pivot!$A:$I,計算式2026!AI$1,FALSE),0)</f>
        <v>0</v>
      </c>
      <c r="AJ1867" s="9">
        <f>IFERROR(VLOOKUP($A1867,pivot!$A:$I,計算式2026!AJ$1,FALSE),0)</f>
        <v>0</v>
      </c>
      <c r="AK1867" s="9">
        <f>IFERROR(VLOOKUP($A1867,pivot!$A:$I,計算式2026!AK$1,FALSE),0)</f>
        <v>0</v>
      </c>
      <c r="AL1867" s="9">
        <f>IFERROR(VLOOKUP($A1867,pivot!$A:$I,計算式2026!AL$1,FALSE),0)</f>
        <v>0</v>
      </c>
      <c r="AR1867" s="8"/>
      <c r="AS1867" s="8"/>
      <c r="AT1867" s="8"/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8"/>
      <c r="BG1867" s="8"/>
    </row>
    <row r="1868" spans="1:59" s="9" customFormat="1">
      <c r="A1868" s="8" t="s">
        <v>1127</v>
      </c>
      <c r="B1868" s="8" t="s">
        <v>1126</v>
      </c>
      <c r="C1868" s="9">
        <v>0</v>
      </c>
      <c r="D1868" s="9">
        <v>0</v>
      </c>
      <c r="E1868" s="9">
        <v>0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R1868" s="9">
        <v>0</v>
      </c>
      <c r="S1868" s="9">
        <v>0</v>
      </c>
      <c r="T1868" s="9">
        <v>1</v>
      </c>
      <c r="U1868" s="9">
        <v>0</v>
      </c>
      <c r="V1868" s="9">
        <v>0</v>
      </c>
      <c r="W1868" s="9">
        <v>0</v>
      </c>
      <c r="X1868" s="9">
        <v>1</v>
      </c>
      <c r="AE1868" s="9">
        <f>IFERROR(VLOOKUP($A1868,pivot!$A:$G,計算式2026!AE$1,FALSE),0)</f>
        <v>0</v>
      </c>
      <c r="AF1868" s="9">
        <f>IFERROR(VLOOKUP($A1868,pivot!$A:$I,計算式2026!AF$1,FALSE),0)</f>
        <v>0</v>
      </c>
      <c r="AI1868" s="9">
        <f>IFERROR(VLOOKUP($A1868,pivot!$A:$I,計算式2026!AI$1,FALSE),0)</f>
        <v>0</v>
      </c>
      <c r="AJ1868" s="9">
        <f>IFERROR(VLOOKUP($A1868,pivot!$A:$I,計算式2026!AJ$1,FALSE),0)</f>
        <v>0</v>
      </c>
      <c r="AK1868" s="9">
        <f>IFERROR(VLOOKUP($A1868,pivot!$A:$I,計算式2026!AK$1,FALSE),0)</f>
        <v>0</v>
      </c>
      <c r="AL1868" s="9">
        <f>IFERROR(VLOOKUP($A1868,pivot!$A:$I,計算式2026!AL$1,FALSE),0)</f>
        <v>0</v>
      </c>
      <c r="AR1868" s="8"/>
      <c r="AS1868" s="8"/>
      <c r="AT1868" s="8"/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8"/>
      <c r="BG1868" s="8"/>
    </row>
    <row r="1869" spans="1:59" s="9" customFormat="1">
      <c r="A1869" s="8" t="s">
        <v>1128</v>
      </c>
      <c r="B1869" s="8" t="s">
        <v>1126</v>
      </c>
      <c r="C1869" s="9">
        <v>1</v>
      </c>
      <c r="D1869" s="9">
        <v>0</v>
      </c>
      <c r="E1869" s="9">
        <v>0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R1869" s="9">
        <v>0</v>
      </c>
      <c r="S1869" s="9">
        <v>0</v>
      </c>
      <c r="T1869" s="9">
        <v>1</v>
      </c>
      <c r="U1869" s="9">
        <v>0</v>
      </c>
      <c r="V1869" s="9">
        <v>1</v>
      </c>
      <c r="W1869" s="9">
        <v>0</v>
      </c>
      <c r="X1869" s="9">
        <v>1</v>
      </c>
      <c r="AE1869" s="9">
        <f>IFERROR(VLOOKUP($A1869,pivot!$A:$G,計算式2026!AE$1,FALSE),0)</f>
        <v>0</v>
      </c>
      <c r="AF1869" s="9">
        <f>IFERROR(VLOOKUP($A1869,pivot!$A:$I,計算式2026!AF$1,FALSE),0)</f>
        <v>0</v>
      </c>
      <c r="AI1869" s="9">
        <f>IFERROR(VLOOKUP($A1869,pivot!$A:$I,計算式2026!AI$1,FALSE),0)</f>
        <v>0</v>
      </c>
      <c r="AJ1869" s="9">
        <f>IFERROR(VLOOKUP($A1869,pivot!$A:$I,計算式2026!AJ$1,FALSE),0)</f>
        <v>0</v>
      </c>
      <c r="AK1869" s="9">
        <f>IFERROR(VLOOKUP($A1869,pivot!$A:$I,計算式2026!AK$1,FALSE),0)</f>
        <v>0</v>
      </c>
      <c r="AL1869" s="9">
        <f>IFERROR(VLOOKUP($A1869,pivot!$A:$I,計算式2026!AL$1,FALSE),0)</f>
        <v>0</v>
      </c>
      <c r="AR1869" s="8"/>
      <c r="AS1869" s="8"/>
      <c r="AT1869" s="8"/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8"/>
      <c r="BG1869" s="8"/>
    </row>
    <row r="1870" spans="1:59" s="9" customFormat="1">
      <c r="A1870" s="8" t="s">
        <v>1129</v>
      </c>
      <c r="B1870" s="8" t="s">
        <v>1126</v>
      </c>
      <c r="C1870" s="9">
        <v>0</v>
      </c>
      <c r="D1870" s="9">
        <v>0</v>
      </c>
      <c r="E1870" s="9">
        <v>0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R1870" s="9">
        <v>0</v>
      </c>
      <c r="S1870" s="9">
        <v>0</v>
      </c>
      <c r="T1870" s="9">
        <v>1</v>
      </c>
      <c r="U1870" s="9">
        <v>0</v>
      </c>
      <c r="V1870" s="9">
        <v>0</v>
      </c>
      <c r="W1870" s="9">
        <v>0</v>
      </c>
      <c r="X1870" s="9">
        <v>1</v>
      </c>
      <c r="AE1870" s="9">
        <f>IFERROR(VLOOKUP($A1870,pivot!$A:$G,計算式2026!AE$1,FALSE),0)</f>
        <v>0</v>
      </c>
      <c r="AF1870" s="9">
        <f>IFERROR(VLOOKUP($A1870,pivot!$A:$I,計算式2026!AF$1,FALSE),0)</f>
        <v>0</v>
      </c>
      <c r="AI1870" s="9">
        <f>IFERROR(VLOOKUP($A1870,pivot!$A:$I,計算式2026!AI$1,FALSE),0)</f>
        <v>0</v>
      </c>
      <c r="AJ1870" s="9">
        <f>IFERROR(VLOOKUP($A1870,pivot!$A:$I,計算式2026!AJ$1,FALSE),0)</f>
        <v>0</v>
      </c>
      <c r="AK1870" s="9">
        <f>IFERROR(VLOOKUP($A1870,pivot!$A:$I,計算式2026!AK$1,FALSE),0)</f>
        <v>0</v>
      </c>
      <c r="AL1870" s="9">
        <f>IFERROR(VLOOKUP($A1870,pivot!$A:$I,計算式2026!AL$1,FALSE),0)</f>
        <v>0</v>
      </c>
      <c r="AR1870" s="8"/>
      <c r="AS1870" s="8"/>
      <c r="AT1870" s="8"/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8"/>
      <c r="BG1870" s="8"/>
    </row>
    <row r="1871" spans="1:59" s="9" customFormat="1">
      <c r="A1871" s="8" t="s">
        <v>1130</v>
      </c>
      <c r="B1871" s="8" t="s">
        <v>1126</v>
      </c>
      <c r="C1871" s="9">
        <v>1</v>
      </c>
      <c r="D1871" s="9">
        <v>0</v>
      </c>
      <c r="E1871" s="9">
        <v>0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R1871" s="9">
        <v>0</v>
      </c>
      <c r="S1871" s="9">
        <v>0</v>
      </c>
      <c r="T1871" s="9">
        <v>1</v>
      </c>
      <c r="U1871" s="9">
        <v>0</v>
      </c>
      <c r="V1871" s="9">
        <v>0</v>
      </c>
      <c r="W1871" s="9">
        <v>0</v>
      </c>
      <c r="X1871" s="9">
        <v>1</v>
      </c>
      <c r="AE1871" s="9">
        <f>IFERROR(VLOOKUP($A1871,pivot!$A:$G,計算式2026!AE$1,FALSE),0)</f>
        <v>0</v>
      </c>
      <c r="AF1871" s="9">
        <f>IFERROR(VLOOKUP($A1871,pivot!$A:$I,計算式2026!AF$1,FALSE),0)</f>
        <v>0</v>
      </c>
      <c r="AI1871" s="9">
        <f>IFERROR(VLOOKUP($A1871,pivot!$A:$I,計算式2026!AI$1,FALSE),0)</f>
        <v>0</v>
      </c>
      <c r="AJ1871" s="9">
        <f>IFERROR(VLOOKUP($A1871,pivot!$A:$I,計算式2026!AJ$1,FALSE),0)</f>
        <v>0</v>
      </c>
      <c r="AK1871" s="9">
        <f>IFERROR(VLOOKUP($A1871,pivot!$A:$I,計算式2026!AK$1,FALSE),0)</f>
        <v>0</v>
      </c>
      <c r="AL1871" s="9">
        <f>IFERROR(VLOOKUP($A1871,pivot!$A:$I,計算式2026!AL$1,FALSE),0)</f>
        <v>0</v>
      </c>
      <c r="AR1871" s="8"/>
      <c r="AS1871" s="8"/>
      <c r="AT1871" s="8"/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8"/>
      <c r="BG1871" s="8"/>
    </row>
    <row r="1872" spans="1:59" s="9" customFormat="1">
      <c r="A1872" s="8" t="s">
        <v>1131</v>
      </c>
      <c r="B1872" s="8" t="s">
        <v>1126</v>
      </c>
      <c r="C1872" s="9">
        <v>0</v>
      </c>
      <c r="D1872" s="9">
        <v>0</v>
      </c>
      <c r="E1872" s="9">
        <v>0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R1872" s="9">
        <v>0</v>
      </c>
      <c r="S1872" s="9">
        <v>0</v>
      </c>
      <c r="T1872" s="9">
        <v>1</v>
      </c>
      <c r="U1872" s="9">
        <v>0</v>
      </c>
      <c r="V1872" s="9">
        <v>0</v>
      </c>
      <c r="W1872" s="9">
        <v>0</v>
      </c>
      <c r="X1872" s="9">
        <v>2</v>
      </c>
      <c r="AE1872" s="9">
        <f>IFERROR(VLOOKUP($A1872,pivot!$A:$G,計算式2026!AE$1,FALSE),0)</f>
        <v>0</v>
      </c>
      <c r="AF1872" s="9">
        <f>IFERROR(VLOOKUP($A1872,pivot!$A:$I,計算式2026!AF$1,FALSE),0)</f>
        <v>0</v>
      </c>
      <c r="AI1872" s="9">
        <f>IFERROR(VLOOKUP($A1872,pivot!$A:$I,計算式2026!AI$1,FALSE),0)</f>
        <v>0</v>
      </c>
      <c r="AJ1872" s="9">
        <f>IFERROR(VLOOKUP($A1872,pivot!$A:$I,計算式2026!AJ$1,FALSE),0)</f>
        <v>0</v>
      </c>
      <c r="AK1872" s="9">
        <f>IFERROR(VLOOKUP($A1872,pivot!$A:$I,計算式2026!AK$1,FALSE),0)</f>
        <v>0</v>
      </c>
      <c r="AL1872" s="9">
        <f>IFERROR(VLOOKUP($A1872,pivot!$A:$I,計算式2026!AL$1,FALSE),0)</f>
        <v>0</v>
      </c>
      <c r="AR1872" s="8"/>
      <c r="AS1872" s="8"/>
      <c r="AT1872" s="8"/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/>
      <c r="BF1872" s="8"/>
      <c r="BG1872" s="8"/>
    </row>
    <row r="1873" spans="1:59" s="9" customFormat="1">
      <c r="A1873" s="8" t="s">
        <v>1132</v>
      </c>
      <c r="B1873" s="8" t="s">
        <v>1126</v>
      </c>
      <c r="C1873" s="9">
        <v>0</v>
      </c>
      <c r="D1873" s="9">
        <v>0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R1873" s="9">
        <v>0</v>
      </c>
      <c r="S1873" s="9">
        <v>0</v>
      </c>
      <c r="T1873" s="9">
        <v>1</v>
      </c>
      <c r="U1873" s="9">
        <v>0</v>
      </c>
      <c r="V1873" s="9">
        <v>0</v>
      </c>
      <c r="W1873" s="9">
        <v>0</v>
      </c>
      <c r="X1873" s="9">
        <v>1</v>
      </c>
      <c r="AE1873" s="9">
        <f>IFERROR(VLOOKUP($A1873,pivot!$A:$G,計算式2026!AE$1,FALSE),0)</f>
        <v>0</v>
      </c>
      <c r="AF1873" s="9">
        <f>IFERROR(VLOOKUP($A1873,pivot!$A:$I,計算式2026!AF$1,FALSE),0)</f>
        <v>0</v>
      </c>
      <c r="AI1873" s="9">
        <f>IFERROR(VLOOKUP($A1873,pivot!$A:$I,計算式2026!AI$1,FALSE),0)</f>
        <v>0</v>
      </c>
      <c r="AJ1873" s="9">
        <f>IFERROR(VLOOKUP($A1873,pivot!$A:$I,計算式2026!AJ$1,FALSE),0)</f>
        <v>0</v>
      </c>
      <c r="AK1873" s="9">
        <f>IFERROR(VLOOKUP($A1873,pivot!$A:$I,計算式2026!AK$1,FALSE),0)</f>
        <v>0</v>
      </c>
      <c r="AL1873" s="9">
        <f>IFERROR(VLOOKUP($A1873,pivot!$A:$I,計算式2026!AL$1,FALSE),0)</f>
        <v>0</v>
      </c>
      <c r="AR1873" s="8"/>
      <c r="AS1873" s="8"/>
      <c r="AT1873" s="8"/>
      <c r="AU1873" s="8"/>
      <c r="AV1873" s="8"/>
      <c r="AW1873" s="8"/>
      <c r="AX1873" s="8"/>
      <c r="AY1873" s="8"/>
      <c r="AZ1873" s="8"/>
      <c r="BA1873" s="8"/>
      <c r="BB1873" s="8"/>
      <c r="BC1873" s="8"/>
      <c r="BD1873" s="8"/>
      <c r="BE1873" s="8"/>
      <c r="BF1873" s="8"/>
      <c r="BG1873" s="8"/>
    </row>
    <row r="1874" spans="1:59" s="9" customFormat="1">
      <c r="A1874" s="8" t="s">
        <v>2366</v>
      </c>
      <c r="B1874" s="8" t="s">
        <v>1126</v>
      </c>
      <c r="C1874" s="9">
        <v>1</v>
      </c>
      <c r="D1874" s="9">
        <v>0</v>
      </c>
      <c r="E1874" s="9">
        <v>0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R1874" s="9">
        <v>0</v>
      </c>
      <c r="S1874" s="9">
        <v>0</v>
      </c>
      <c r="T1874" s="9">
        <v>1</v>
      </c>
      <c r="U1874" s="9">
        <v>0</v>
      </c>
      <c r="V1874" s="9">
        <v>1</v>
      </c>
      <c r="W1874" s="9">
        <v>0</v>
      </c>
      <c r="X1874" s="9">
        <v>1</v>
      </c>
      <c r="AE1874" s="9">
        <f>IFERROR(VLOOKUP($A1874,pivot!$A:$G,計算式2026!AE$1,FALSE),0)</f>
        <v>0</v>
      </c>
      <c r="AF1874" s="9">
        <f>IFERROR(VLOOKUP($A1874,pivot!$A:$I,計算式2026!AF$1,FALSE),0)</f>
        <v>0</v>
      </c>
      <c r="AI1874" s="9">
        <f>IFERROR(VLOOKUP($A1874,pivot!$A:$I,計算式2026!AI$1,FALSE),0)</f>
        <v>0</v>
      </c>
      <c r="AJ1874" s="9">
        <f>IFERROR(VLOOKUP($A1874,pivot!$A:$I,計算式2026!AJ$1,FALSE),0)</f>
        <v>0</v>
      </c>
      <c r="AK1874" s="9">
        <f>IFERROR(VLOOKUP($A1874,pivot!$A:$I,計算式2026!AK$1,FALSE),0)</f>
        <v>0</v>
      </c>
      <c r="AL1874" s="9">
        <f>IFERROR(VLOOKUP($A1874,pivot!$A:$I,計算式2026!AL$1,FALSE),0)</f>
        <v>0</v>
      </c>
      <c r="AR1874" s="8"/>
      <c r="AS1874" s="8"/>
      <c r="AT1874" s="8"/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/>
      <c r="BF1874" s="8"/>
      <c r="BG1874" s="8"/>
    </row>
    <row r="1875" spans="1:59" s="9" customFormat="1">
      <c r="A1875" s="8" t="s">
        <v>2367</v>
      </c>
      <c r="B1875" s="8" t="s">
        <v>1126</v>
      </c>
      <c r="C1875" s="9">
        <v>0</v>
      </c>
      <c r="D1875" s="9">
        <v>0</v>
      </c>
      <c r="E1875" s="9">
        <v>0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R1875" s="9">
        <v>0</v>
      </c>
      <c r="S1875" s="9">
        <v>0</v>
      </c>
      <c r="T1875" s="9">
        <v>1</v>
      </c>
      <c r="U1875" s="9">
        <v>0</v>
      </c>
      <c r="V1875" s="9">
        <v>1</v>
      </c>
      <c r="W1875" s="9">
        <v>0</v>
      </c>
      <c r="X1875" s="9">
        <v>1</v>
      </c>
      <c r="AE1875" s="9">
        <f>IFERROR(VLOOKUP($A1875,pivot!$A:$G,計算式2026!AE$1,FALSE),0)</f>
        <v>0</v>
      </c>
      <c r="AF1875" s="9">
        <f>IFERROR(VLOOKUP($A1875,pivot!$A:$I,計算式2026!AF$1,FALSE),0)</f>
        <v>0</v>
      </c>
      <c r="AI1875" s="9">
        <f>IFERROR(VLOOKUP($A1875,pivot!$A:$I,計算式2026!AI$1,FALSE),0)</f>
        <v>0</v>
      </c>
      <c r="AJ1875" s="9">
        <f>IFERROR(VLOOKUP($A1875,pivot!$A:$I,計算式2026!AJ$1,FALSE),0)</f>
        <v>0</v>
      </c>
      <c r="AK1875" s="9">
        <f>IFERROR(VLOOKUP($A1875,pivot!$A:$I,計算式2026!AK$1,FALSE),0)</f>
        <v>0</v>
      </c>
      <c r="AL1875" s="9">
        <f>IFERROR(VLOOKUP($A1875,pivot!$A:$I,計算式2026!AL$1,FALSE),0)</f>
        <v>0</v>
      </c>
      <c r="AR1875" s="8"/>
      <c r="AS1875" s="8"/>
      <c r="AT1875" s="8"/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8"/>
      <c r="BG1875" s="8"/>
    </row>
    <row r="1876" spans="1:59" s="9" customFormat="1">
      <c r="A1876" s="8" t="s">
        <v>2368</v>
      </c>
      <c r="B1876" s="8" t="s">
        <v>2369</v>
      </c>
      <c r="C1876" s="9">
        <v>2</v>
      </c>
      <c r="D1876" s="9">
        <v>0</v>
      </c>
      <c r="E1876" s="9">
        <v>0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1</v>
      </c>
      <c r="AE1876" s="9">
        <f>IFERROR(VLOOKUP($A1876,pivot!$A:$G,計算式2026!AE$1,FALSE),0)</f>
        <v>0</v>
      </c>
      <c r="AF1876" s="9">
        <f>IFERROR(VLOOKUP($A1876,pivot!$A:$I,計算式2026!AF$1,FALSE),0)</f>
        <v>0</v>
      </c>
      <c r="AI1876" s="9">
        <f>IFERROR(VLOOKUP($A1876,pivot!$A:$I,計算式2026!AI$1,FALSE),0)</f>
        <v>0</v>
      </c>
      <c r="AJ1876" s="9">
        <f>IFERROR(VLOOKUP($A1876,pivot!$A:$I,計算式2026!AJ$1,FALSE),0)</f>
        <v>0</v>
      </c>
      <c r="AK1876" s="9">
        <f>IFERROR(VLOOKUP($A1876,pivot!$A:$I,計算式2026!AK$1,FALSE),0)</f>
        <v>0</v>
      </c>
      <c r="AL1876" s="9">
        <f>IFERROR(VLOOKUP($A1876,pivot!$A:$I,計算式2026!AL$1,FALSE),0)</f>
        <v>0</v>
      </c>
      <c r="AR1876" s="8"/>
      <c r="AS1876" s="8"/>
      <c r="AT1876" s="8"/>
      <c r="AU1876" s="8"/>
      <c r="AV1876" s="8"/>
      <c r="AW1876" s="8"/>
      <c r="AX1876" s="8"/>
      <c r="AY1876" s="8"/>
      <c r="AZ1876" s="8"/>
      <c r="BA1876" s="8"/>
      <c r="BB1876" s="8"/>
      <c r="BC1876" s="8"/>
      <c r="BD1876" s="8"/>
      <c r="BE1876" s="8"/>
      <c r="BF1876" s="8"/>
      <c r="BG1876" s="8"/>
    </row>
    <row r="1877" spans="1:59" s="9" customFormat="1">
      <c r="A1877" s="8" t="s">
        <v>2370</v>
      </c>
      <c r="B1877" s="8" t="s">
        <v>2369</v>
      </c>
      <c r="C1877" s="9">
        <v>2</v>
      </c>
      <c r="D1877" s="9">
        <v>0</v>
      </c>
      <c r="E1877" s="9">
        <v>0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1</v>
      </c>
      <c r="AE1877" s="9">
        <f>IFERROR(VLOOKUP($A1877,pivot!$A:$G,計算式2026!AE$1,FALSE),0)</f>
        <v>0</v>
      </c>
      <c r="AF1877" s="9">
        <f>IFERROR(VLOOKUP($A1877,pivot!$A:$I,計算式2026!AF$1,FALSE),0)</f>
        <v>0</v>
      </c>
      <c r="AI1877" s="9">
        <f>IFERROR(VLOOKUP($A1877,pivot!$A:$I,計算式2026!AI$1,FALSE),0)</f>
        <v>0</v>
      </c>
      <c r="AJ1877" s="9">
        <f>IFERROR(VLOOKUP($A1877,pivot!$A:$I,計算式2026!AJ$1,FALSE),0)</f>
        <v>0</v>
      </c>
      <c r="AK1877" s="9">
        <f>IFERROR(VLOOKUP($A1877,pivot!$A:$I,計算式2026!AK$1,FALSE),0)</f>
        <v>0</v>
      </c>
      <c r="AL1877" s="9">
        <f>IFERROR(VLOOKUP($A1877,pivot!$A:$I,計算式2026!AL$1,FALSE),0)</f>
        <v>0</v>
      </c>
      <c r="AR1877" s="8"/>
      <c r="AS1877" s="8"/>
      <c r="AT1877" s="8"/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8"/>
      <c r="BG1877" s="8"/>
    </row>
    <row r="1878" spans="1:59" s="9" customFormat="1">
      <c r="A1878" s="8" t="s">
        <v>2371</v>
      </c>
      <c r="B1878" s="8" t="s">
        <v>2369</v>
      </c>
      <c r="C1878" s="9">
        <v>0</v>
      </c>
      <c r="D1878" s="9">
        <v>0</v>
      </c>
      <c r="E1878" s="9">
        <v>0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1</v>
      </c>
      <c r="AE1878" s="9">
        <f>IFERROR(VLOOKUP($A1878,pivot!$A:$G,計算式2026!AE$1,FALSE),0)</f>
        <v>0</v>
      </c>
      <c r="AF1878" s="9">
        <f>IFERROR(VLOOKUP($A1878,pivot!$A:$I,計算式2026!AF$1,FALSE),0)</f>
        <v>0</v>
      </c>
      <c r="AI1878" s="9">
        <f>IFERROR(VLOOKUP($A1878,pivot!$A:$I,計算式2026!AI$1,FALSE),0)</f>
        <v>0</v>
      </c>
      <c r="AJ1878" s="9">
        <f>IFERROR(VLOOKUP($A1878,pivot!$A:$I,計算式2026!AJ$1,FALSE),0)</f>
        <v>0</v>
      </c>
      <c r="AK1878" s="9">
        <f>IFERROR(VLOOKUP($A1878,pivot!$A:$I,計算式2026!AK$1,FALSE),0)</f>
        <v>0</v>
      </c>
      <c r="AL1878" s="9">
        <f>IFERROR(VLOOKUP($A1878,pivot!$A:$I,計算式2026!AL$1,FALSE),0)</f>
        <v>0</v>
      </c>
      <c r="AR1878" s="8"/>
      <c r="AS1878" s="8"/>
      <c r="AT1878" s="8"/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8"/>
      <c r="BG1878" s="8"/>
    </row>
    <row r="1879" spans="1:59" s="9" customFormat="1">
      <c r="A1879" s="8" t="s">
        <v>2372</v>
      </c>
      <c r="B1879" s="8" t="s">
        <v>2369</v>
      </c>
      <c r="C1879" s="9">
        <v>1</v>
      </c>
      <c r="D1879" s="9">
        <v>0</v>
      </c>
      <c r="E1879" s="9">
        <v>0</v>
      </c>
      <c r="F1879" s="9">
        <v>0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1</v>
      </c>
      <c r="AE1879" s="9">
        <f>IFERROR(VLOOKUP($A1879,pivot!$A:$G,計算式2026!AE$1,FALSE),0)</f>
        <v>0</v>
      </c>
      <c r="AF1879" s="9">
        <f>IFERROR(VLOOKUP($A1879,pivot!$A:$I,計算式2026!AF$1,FALSE),0)</f>
        <v>0</v>
      </c>
      <c r="AI1879" s="9">
        <f>IFERROR(VLOOKUP($A1879,pivot!$A:$I,計算式2026!AI$1,FALSE),0)</f>
        <v>0</v>
      </c>
      <c r="AJ1879" s="9">
        <f>IFERROR(VLOOKUP($A1879,pivot!$A:$I,計算式2026!AJ$1,FALSE),0)</f>
        <v>0</v>
      </c>
      <c r="AK1879" s="9">
        <f>IFERROR(VLOOKUP($A1879,pivot!$A:$I,計算式2026!AK$1,FALSE),0)</f>
        <v>0</v>
      </c>
      <c r="AL1879" s="9">
        <f>IFERROR(VLOOKUP($A1879,pivot!$A:$I,計算式2026!AL$1,FALSE),0)</f>
        <v>0</v>
      </c>
      <c r="AR1879" s="8"/>
      <c r="AS1879" s="8"/>
      <c r="AT1879" s="8"/>
      <c r="AU1879" s="8"/>
      <c r="AV1879" s="8"/>
      <c r="AW1879" s="8"/>
      <c r="AX1879" s="8"/>
      <c r="AY1879" s="8"/>
      <c r="AZ1879" s="8"/>
      <c r="BA1879" s="8"/>
      <c r="BB1879" s="8"/>
      <c r="BC1879" s="8"/>
      <c r="BD1879" s="8"/>
      <c r="BE1879" s="8"/>
      <c r="BF1879" s="8"/>
      <c r="BG1879" s="8"/>
    </row>
    <row r="1880" spans="1:59" s="9" customFormat="1">
      <c r="A1880" s="8" t="s">
        <v>1133</v>
      </c>
      <c r="B1880" s="8" t="s">
        <v>1134</v>
      </c>
      <c r="C1880" s="9">
        <v>0</v>
      </c>
      <c r="D1880" s="9">
        <v>0</v>
      </c>
      <c r="E1880" s="9">
        <v>0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R1880" s="9">
        <v>0</v>
      </c>
      <c r="S1880" s="9">
        <v>0</v>
      </c>
      <c r="T1880" s="9">
        <v>2</v>
      </c>
      <c r="U1880" s="9">
        <v>0</v>
      </c>
      <c r="V1880" s="9">
        <v>0</v>
      </c>
      <c r="W1880" s="9">
        <v>0</v>
      </c>
      <c r="X1880" s="9">
        <v>1</v>
      </c>
      <c r="AE1880" s="9">
        <f>IFERROR(VLOOKUP($A1880,pivot!$A:$G,計算式2026!AE$1,FALSE),0)</f>
        <v>0</v>
      </c>
      <c r="AF1880" s="9">
        <f>IFERROR(VLOOKUP($A1880,pivot!$A:$I,計算式2026!AF$1,FALSE),0)</f>
        <v>0</v>
      </c>
      <c r="AI1880" s="9">
        <f>IFERROR(VLOOKUP($A1880,pivot!$A:$I,計算式2026!AI$1,FALSE),0)</f>
        <v>0</v>
      </c>
      <c r="AJ1880" s="9">
        <f>IFERROR(VLOOKUP($A1880,pivot!$A:$I,計算式2026!AJ$1,FALSE),0)</f>
        <v>0</v>
      </c>
      <c r="AK1880" s="9">
        <f>IFERROR(VLOOKUP($A1880,pivot!$A:$I,計算式2026!AK$1,FALSE),0)</f>
        <v>0</v>
      </c>
      <c r="AL1880" s="9">
        <f>IFERROR(VLOOKUP($A1880,pivot!$A:$I,計算式2026!AL$1,FALSE),0)</f>
        <v>0</v>
      </c>
      <c r="AR1880" s="8"/>
      <c r="AS1880" s="8"/>
      <c r="AT1880" s="8"/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8"/>
      <c r="BG1880" s="8"/>
    </row>
    <row r="1881" spans="1:59" s="9" customFormat="1">
      <c r="A1881" s="8" t="s">
        <v>1135</v>
      </c>
      <c r="B1881" s="8" t="s">
        <v>1134</v>
      </c>
      <c r="C1881" s="9">
        <v>0</v>
      </c>
      <c r="D1881" s="9">
        <v>0</v>
      </c>
      <c r="E1881" s="9">
        <v>0</v>
      </c>
      <c r="F1881" s="9">
        <v>0</v>
      </c>
      <c r="G1881" s="9">
        <v>0</v>
      </c>
      <c r="H1881" s="9">
        <v>0</v>
      </c>
      <c r="I1881" s="9">
        <v>0</v>
      </c>
      <c r="J1881" s="9">
        <v>0</v>
      </c>
      <c r="K1881" s="9">
        <v>0</v>
      </c>
      <c r="R1881" s="9">
        <v>0</v>
      </c>
      <c r="S1881" s="9">
        <v>0</v>
      </c>
      <c r="T1881" s="9">
        <v>1</v>
      </c>
      <c r="U1881" s="9">
        <v>0</v>
      </c>
      <c r="V1881" s="9">
        <v>0</v>
      </c>
      <c r="W1881" s="9">
        <v>0</v>
      </c>
      <c r="X1881" s="9">
        <v>1</v>
      </c>
      <c r="AE1881" s="9">
        <f>IFERROR(VLOOKUP($A1881,pivot!$A:$G,計算式2026!AE$1,FALSE),0)</f>
        <v>0</v>
      </c>
      <c r="AF1881" s="9">
        <f>IFERROR(VLOOKUP($A1881,pivot!$A:$I,計算式2026!AF$1,FALSE),0)</f>
        <v>0</v>
      </c>
      <c r="AI1881" s="9">
        <f>IFERROR(VLOOKUP($A1881,pivot!$A:$I,計算式2026!AI$1,FALSE),0)</f>
        <v>0</v>
      </c>
      <c r="AJ1881" s="9">
        <f>IFERROR(VLOOKUP($A1881,pivot!$A:$I,計算式2026!AJ$1,FALSE),0)</f>
        <v>0</v>
      </c>
      <c r="AK1881" s="9">
        <f>IFERROR(VLOOKUP($A1881,pivot!$A:$I,計算式2026!AK$1,FALSE),0)</f>
        <v>0</v>
      </c>
      <c r="AL1881" s="9">
        <f>IFERROR(VLOOKUP($A1881,pivot!$A:$I,計算式2026!AL$1,FALSE),0)</f>
        <v>0</v>
      </c>
      <c r="AR1881" s="8"/>
      <c r="AS1881" s="8"/>
      <c r="AT1881" s="8"/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8"/>
      <c r="BG1881" s="8"/>
    </row>
    <row r="1882" spans="1:59" s="9" customFormat="1">
      <c r="A1882" s="8" t="s">
        <v>1136</v>
      </c>
      <c r="B1882" s="8" t="s">
        <v>1134</v>
      </c>
      <c r="C1882" s="9">
        <v>0</v>
      </c>
      <c r="D1882" s="9">
        <v>0</v>
      </c>
      <c r="E1882" s="9">
        <v>0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R1882" s="9">
        <v>0</v>
      </c>
      <c r="S1882" s="9">
        <v>0</v>
      </c>
      <c r="T1882" s="9">
        <v>2</v>
      </c>
      <c r="U1882" s="9">
        <v>0</v>
      </c>
      <c r="V1882" s="9">
        <v>0</v>
      </c>
      <c r="W1882" s="9">
        <v>0</v>
      </c>
      <c r="X1882" s="9">
        <v>1</v>
      </c>
      <c r="AE1882" s="9">
        <f>IFERROR(VLOOKUP($A1882,pivot!$A:$G,計算式2026!AE$1,FALSE),0)</f>
        <v>0</v>
      </c>
      <c r="AF1882" s="9">
        <f>IFERROR(VLOOKUP($A1882,pivot!$A:$I,計算式2026!AF$1,FALSE),0)</f>
        <v>0</v>
      </c>
      <c r="AI1882" s="9">
        <f>IFERROR(VLOOKUP($A1882,pivot!$A:$I,計算式2026!AI$1,FALSE),0)</f>
        <v>0</v>
      </c>
      <c r="AJ1882" s="9">
        <f>IFERROR(VLOOKUP($A1882,pivot!$A:$I,計算式2026!AJ$1,FALSE),0)</f>
        <v>0</v>
      </c>
      <c r="AK1882" s="9">
        <f>IFERROR(VLOOKUP($A1882,pivot!$A:$I,計算式2026!AK$1,FALSE),0)</f>
        <v>0</v>
      </c>
      <c r="AL1882" s="9">
        <f>IFERROR(VLOOKUP($A1882,pivot!$A:$I,計算式2026!AL$1,FALSE),0)</f>
        <v>0</v>
      </c>
      <c r="AR1882" s="8"/>
      <c r="AS1882" s="8"/>
      <c r="AT1882" s="8"/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8"/>
      <c r="BG1882" s="8"/>
    </row>
    <row r="1883" spans="1:59" s="9" customFormat="1">
      <c r="A1883" s="8" t="s">
        <v>1137</v>
      </c>
      <c r="B1883" s="8" t="s">
        <v>1134</v>
      </c>
      <c r="C1883" s="9">
        <v>0</v>
      </c>
      <c r="D1883" s="9">
        <v>0</v>
      </c>
      <c r="E1883" s="9">
        <v>0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R1883" s="9">
        <v>0</v>
      </c>
      <c r="S1883" s="9">
        <v>0</v>
      </c>
      <c r="T1883" s="9">
        <v>1</v>
      </c>
      <c r="U1883" s="9">
        <v>0</v>
      </c>
      <c r="V1883" s="9">
        <v>0</v>
      </c>
      <c r="W1883" s="9">
        <v>0</v>
      </c>
      <c r="X1883" s="9">
        <v>1</v>
      </c>
      <c r="AE1883" s="9">
        <f>IFERROR(VLOOKUP($A1883,pivot!$A:$G,計算式2026!AE$1,FALSE),0)</f>
        <v>0</v>
      </c>
      <c r="AF1883" s="9">
        <f>IFERROR(VLOOKUP($A1883,pivot!$A:$I,計算式2026!AF$1,FALSE),0)</f>
        <v>0</v>
      </c>
      <c r="AI1883" s="9">
        <f>IFERROR(VLOOKUP($A1883,pivot!$A:$I,計算式2026!AI$1,FALSE),0)</f>
        <v>0</v>
      </c>
      <c r="AJ1883" s="9">
        <f>IFERROR(VLOOKUP($A1883,pivot!$A:$I,計算式2026!AJ$1,FALSE),0)</f>
        <v>0</v>
      </c>
      <c r="AK1883" s="9">
        <f>IFERROR(VLOOKUP($A1883,pivot!$A:$I,計算式2026!AK$1,FALSE),0)</f>
        <v>0</v>
      </c>
      <c r="AL1883" s="9">
        <f>IFERROR(VLOOKUP($A1883,pivot!$A:$I,計算式2026!AL$1,FALSE),0)</f>
        <v>0</v>
      </c>
      <c r="AR1883" s="8"/>
      <c r="AS1883" s="8"/>
      <c r="AT1883" s="8"/>
      <c r="AU1883" s="8"/>
      <c r="AV1883" s="8"/>
      <c r="AW1883" s="8"/>
      <c r="AX1883" s="8"/>
      <c r="AY1883" s="8"/>
      <c r="AZ1883" s="8"/>
      <c r="BA1883" s="8"/>
      <c r="BB1883" s="8"/>
      <c r="BC1883" s="8"/>
      <c r="BD1883" s="8"/>
      <c r="BE1883" s="8"/>
      <c r="BF1883" s="8"/>
      <c r="BG1883" s="8"/>
    </row>
    <row r="1884" spans="1:59" s="9" customFormat="1">
      <c r="A1884" s="8" t="s">
        <v>1138</v>
      </c>
      <c r="B1884" s="8" t="s">
        <v>1134</v>
      </c>
      <c r="C1884" s="9">
        <v>0</v>
      </c>
      <c r="D1884" s="9">
        <v>0</v>
      </c>
      <c r="E1884" s="9">
        <v>0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R1884" s="9">
        <v>0</v>
      </c>
      <c r="S1884" s="9">
        <v>0</v>
      </c>
      <c r="T1884" s="9">
        <v>1</v>
      </c>
      <c r="U1884" s="9">
        <v>0</v>
      </c>
      <c r="V1884" s="9">
        <v>0</v>
      </c>
      <c r="W1884" s="9">
        <v>0</v>
      </c>
      <c r="X1884" s="9">
        <v>0</v>
      </c>
      <c r="AE1884" s="9">
        <f>IFERROR(VLOOKUP($A1884,pivot!$A:$G,計算式2026!AE$1,FALSE),0)</f>
        <v>0</v>
      </c>
      <c r="AF1884" s="9">
        <f>IFERROR(VLOOKUP($A1884,pivot!$A:$I,計算式2026!AF$1,FALSE),0)</f>
        <v>0</v>
      </c>
      <c r="AI1884" s="9">
        <f>IFERROR(VLOOKUP($A1884,pivot!$A:$I,計算式2026!AI$1,FALSE),0)</f>
        <v>0</v>
      </c>
      <c r="AJ1884" s="9">
        <f>IFERROR(VLOOKUP($A1884,pivot!$A:$I,計算式2026!AJ$1,FALSE),0)</f>
        <v>0</v>
      </c>
      <c r="AK1884" s="9">
        <f>IFERROR(VLOOKUP($A1884,pivot!$A:$I,計算式2026!AK$1,FALSE),0)</f>
        <v>0</v>
      </c>
      <c r="AL1884" s="9">
        <f>IFERROR(VLOOKUP($A1884,pivot!$A:$I,計算式2026!AL$1,FALSE),0)</f>
        <v>0</v>
      </c>
      <c r="AR1884" s="8"/>
      <c r="AS1884" s="8"/>
      <c r="AT1884" s="8"/>
      <c r="AU1884" s="8"/>
      <c r="AV1884" s="8"/>
      <c r="AW1884" s="8"/>
      <c r="AX1884" s="8"/>
      <c r="AY1884" s="8"/>
      <c r="AZ1884" s="8"/>
      <c r="BA1884" s="8"/>
      <c r="BB1884" s="8"/>
      <c r="BC1884" s="8"/>
      <c r="BD1884" s="8"/>
      <c r="BE1884" s="8"/>
      <c r="BF1884" s="8"/>
      <c r="BG1884" s="8"/>
    </row>
    <row r="1885" spans="1:59" s="9" customFormat="1">
      <c r="A1885" s="8" t="s">
        <v>1139</v>
      </c>
      <c r="B1885" s="8" t="s">
        <v>1134</v>
      </c>
      <c r="C1885" s="9">
        <v>0</v>
      </c>
      <c r="D1885" s="9">
        <v>0</v>
      </c>
      <c r="E1885" s="9">
        <v>0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R1885" s="9">
        <v>0</v>
      </c>
      <c r="S1885" s="9">
        <v>0</v>
      </c>
      <c r="T1885" s="9">
        <v>2</v>
      </c>
      <c r="U1885" s="9">
        <v>0</v>
      </c>
      <c r="V1885" s="9">
        <v>0</v>
      </c>
      <c r="W1885" s="9">
        <v>0</v>
      </c>
      <c r="X1885" s="9">
        <v>1</v>
      </c>
      <c r="AE1885" s="9">
        <f>IFERROR(VLOOKUP($A1885,pivot!$A:$G,計算式2026!AE$1,FALSE),0)</f>
        <v>0</v>
      </c>
      <c r="AF1885" s="9">
        <f>IFERROR(VLOOKUP($A1885,pivot!$A:$I,計算式2026!AF$1,FALSE),0)</f>
        <v>0</v>
      </c>
      <c r="AI1885" s="9">
        <f>IFERROR(VLOOKUP($A1885,pivot!$A:$I,計算式2026!AI$1,FALSE),0)</f>
        <v>0</v>
      </c>
      <c r="AJ1885" s="9">
        <f>IFERROR(VLOOKUP($A1885,pivot!$A:$I,計算式2026!AJ$1,FALSE),0)</f>
        <v>0</v>
      </c>
      <c r="AK1885" s="9">
        <f>IFERROR(VLOOKUP($A1885,pivot!$A:$I,計算式2026!AK$1,FALSE),0)</f>
        <v>0</v>
      </c>
      <c r="AL1885" s="9">
        <f>IFERROR(VLOOKUP($A1885,pivot!$A:$I,計算式2026!AL$1,FALSE),0)</f>
        <v>0</v>
      </c>
      <c r="AR1885" s="8"/>
      <c r="AS1885" s="8"/>
      <c r="AT1885" s="8"/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8"/>
      <c r="BG1885" s="8"/>
    </row>
    <row r="1886" spans="1:59" s="9" customFormat="1">
      <c r="A1886" s="8" t="s">
        <v>1141</v>
      </c>
      <c r="B1886" s="8" t="s">
        <v>1140</v>
      </c>
      <c r="C1886" s="9">
        <v>2</v>
      </c>
      <c r="D1886" s="9">
        <v>0</v>
      </c>
      <c r="E1886" s="9">
        <v>0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R1886" s="9">
        <v>0</v>
      </c>
      <c r="S1886" s="9">
        <v>0</v>
      </c>
      <c r="T1886" s="9">
        <v>1</v>
      </c>
      <c r="U1886" s="9">
        <v>0</v>
      </c>
      <c r="V1886" s="9">
        <v>0</v>
      </c>
      <c r="W1886" s="9">
        <v>0</v>
      </c>
      <c r="X1886" s="9">
        <v>1</v>
      </c>
      <c r="AE1886" s="9">
        <f>IFERROR(VLOOKUP($A1886,pivot!$A:$G,計算式2026!AE$1,FALSE),0)</f>
        <v>0</v>
      </c>
      <c r="AF1886" s="9">
        <f>IFERROR(VLOOKUP($A1886,pivot!$A:$I,計算式2026!AF$1,FALSE),0)</f>
        <v>0</v>
      </c>
      <c r="AI1886" s="9">
        <f>IFERROR(VLOOKUP($A1886,pivot!$A:$I,計算式2026!AI$1,FALSE),0)</f>
        <v>0</v>
      </c>
      <c r="AJ1886" s="9">
        <f>IFERROR(VLOOKUP($A1886,pivot!$A:$I,計算式2026!AJ$1,FALSE),0)</f>
        <v>0</v>
      </c>
      <c r="AK1886" s="9">
        <f>IFERROR(VLOOKUP($A1886,pivot!$A:$I,計算式2026!AK$1,FALSE),0)</f>
        <v>0</v>
      </c>
      <c r="AL1886" s="9">
        <f>IFERROR(VLOOKUP($A1886,pivot!$A:$I,計算式2026!AL$1,FALSE),0)</f>
        <v>0</v>
      </c>
      <c r="AR1886" s="8"/>
      <c r="AS1886" s="8"/>
      <c r="AT1886" s="8"/>
      <c r="AU1886" s="8"/>
      <c r="AV1886" s="8"/>
      <c r="AW1886" s="8"/>
      <c r="AX1886" s="8"/>
      <c r="AY1886" s="8"/>
      <c r="AZ1886" s="8"/>
      <c r="BA1886" s="8"/>
      <c r="BB1886" s="8"/>
      <c r="BC1886" s="8"/>
      <c r="BD1886" s="8"/>
      <c r="BE1886" s="8"/>
      <c r="BF1886" s="8"/>
      <c r="BG1886" s="8"/>
    </row>
    <row r="1887" spans="1:59" s="9" customFormat="1">
      <c r="A1887" s="8" t="s">
        <v>1142</v>
      </c>
      <c r="B1887" s="8" t="s">
        <v>1140</v>
      </c>
      <c r="C1887" s="9">
        <v>1</v>
      </c>
      <c r="D1887" s="9">
        <v>0</v>
      </c>
      <c r="E1887" s="9">
        <v>0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R1887" s="9">
        <v>0</v>
      </c>
      <c r="S1887" s="9">
        <v>0</v>
      </c>
      <c r="T1887" s="9">
        <v>1</v>
      </c>
      <c r="U1887" s="9">
        <v>0</v>
      </c>
      <c r="V1887" s="9">
        <v>0</v>
      </c>
      <c r="W1887" s="9">
        <v>0</v>
      </c>
      <c r="X1887" s="9">
        <v>1</v>
      </c>
      <c r="AE1887" s="9">
        <f>IFERROR(VLOOKUP($A1887,pivot!$A:$G,計算式2026!AE$1,FALSE),0)</f>
        <v>0</v>
      </c>
      <c r="AF1887" s="9">
        <f>IFERROR(VLOOKUP($A1887,pivot!$A:$I,計算式2026!AF$1,FALSE),0)</f>
        <v>0</v>
      </c>
      <c r="AI1887" s="9">
        <f>IFERROR(VLOOKUP($A1887,pivot!$A:$I,計算式2026!AI$1,FALSE),0)</f>
        <v>0</v>
      </c>
      <c r="AJ1887" s="9">
        <f>IFERROR(VLOOKUP($A1887,pivot!$A:$I,計算式2026!AJ$1,FALSE),0)</f>
        <v>0</v>
      </c>
      <c r="AK1887" s="9">
        <f>IFERROR(VLOOKUP($A1887,pivot!$A:$I,計算式2026!AK$1,FALSE),0)</f>
        <v>0</v>
      </c>
      <c r="AL1887" s="9">
        <f>IFERROR(VLOOKUP($A1887,pivot!$A:$I,計算式2026!AL$1,FALSE),0)</f>
        <v>0</v>
      </c>
      <c r="AR1887" s="8"/>
      <c r="AS1887" s="8"/>
      <c r="AT1887" s="8"/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8"/>
      <c r="BG1887" s="8"/>
    </row>
    <row r="1888" spans="1:59" s="9" customFormat="1">
      <c r="A1888" s="8" t="s">
        <v>1143</v>
      </c>
      <c r="B1888" s="8" t="s">
        <v>1144</v>
      </c>
      <c r="C1888" s="9">
        <v>0</v>
      </c>
      <c r="D1888" s="9">
        <v>0</v>
      </c>
      <c r="E1888" s="9">
        <v>0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R1888" s="9">
        <v>0</v>
      </c>
      <c r="S1888" s="9">
        <v>2</v>
      </c>
      <c r="T1888" s="9">
        <v>2</v>
      </c>
      <c r="U1888" s="9">
        <v>0</v>
      </c>
      <c r="V1888" s="9">
        <v>1</v>
      </c>
      <c r="W1888" s="9">
        <v>0</v>
      </c>
      <c r="X1888" s="9">
        <v>1</v>
      </c>
      <c r="AE1888" s="9">
        <f>IFERROR(VLOOKUP($A1888,pivot!$A:$G,計算式2026!AE$1,FALSE),0)</f>
        <v>0</v>
      </c>
      <c r="AF1888" s="9">
        <f>IFERROR(VLOOKUP($A1888,pivot!$A:$I,計算式2026!AF$1,FALSE),0)</f>
        <v>0</v>
      </c>
      <c r="AI1888" s="9">
        <f>IFERROR(VLOOKUP($A1888,pivot!$A:$I,計算式2026!AI$1,FALSE),0)</f>
        <v>0</v>
      </c>
      <c r="AJ1888" s="9">
        <f>IFERROR(VLOOKUP($A1888,pivot!$A:$I,計算式2026!AJ$1,FALSE),0)</f>
        <v>0</v>
      </c>
      <c r="AK1888" s="9">
        <f>IFERROR(VLOOKUP($A1888,pivot!$A:$I,計算式2026!AK$1,FALSE),0)</f>
        <v>0</v>
      </c>
      <c r="AL1888" s="9">
        <f>IFERROR(VLOOKUP($A1888,pivot!$A:$I,計算式2026!AL$1,FALSE),0)</f>
        <v>0</v>
      </c>
      <c r="AR1888" s="8"/>
      <c r="AS1888" s="8"/>
      <c r="AT1888" s="8"/>
      <c r="AU1888" s="8"/>
      <c r="AV1888" s="8"/>
      <c r="AW1888" s="8"/>
      <c r="AX1888" s="8"/>
      <c r="AY1888" s="8"/>
      <c r="AZ1888" s="8"/>
      <c r="BA1888" s="8"/>
      <c r="BB1888" s="8"/>
      <c r="BC1888" s="8"/>
      <c r="BD1888" s="8"/>
      <c r="BE1888" s="8"/>
      <c r="BF1888" s="8"/>
      <c r="BG1888" s="8"/>
    </row>
    <row r="1889" spans="1:59" s="9" customFormat="1">
      <c r="A1889" s="8" t="s">
        <v>1145</v>
      </c>
      <c r="B1889" s="8" t="s">
        <v>1144</v>
      </c>
      <c r="C1889" s="9">
        <v>0</v>
      </c>
      <c r="D1889" s="9">
        <v>0</v>
      </c>
      <c r="E1889" s="9">
        <v>0</v>
      </c>
      <c r="F1889" s="9">
        <v>0</v>
      </c>
      <c r="G1889" s="9">
        <v>0</v>
      </c>
      <c r="H1889" s="9">
        <v>0</v>
      </c>
      <c r="I1889" s="9">
        <v>0</v>
      </c>
      <c r="J1889" s="9">
        <v>0</v>
      </c>
      <c r="K1889" s="9">
        <v>0</v>
      </c>
      <c r="R1889" s="9">
        <v>0</v>
      </c>
      <c r="S1889" s="9">
        <v>0</v>
      </c>
      <c r="T1889" s="9">
        <v>2</v>
      </c>
      <c r="U1889" s="9">
        <v>0</v>
      </c>
      <c r="V1889" s="9">
        <v>1</v>
      </c>
      <c r="W1889" s="9">
        <v>0</v>
      </c>
      <c r="X1889" s="9">
        <v>1</v>
      </c>
      <c r="AE1889" s="9">
        <f>IFERROR(VLOOKUP($A1889,pivot!$A:$G,計算式2026!AE$1,FALSE),0)</f>
        <v>0</v>
      </c>
      <c r="AF1889" s="9">
        <f>IFERROR(VLOOKUP($A1889,pivot!$A:$I,計算式2026!AF$1,FALSE),0)</f>
        <v>0</v>
      </c>
      <c r="AI1889" s="9">
        <f>IFERROR(VLOOKUP($A1889,pivot!$A:$I,計算式2026!AI$1,FALSE),0)</f>
        <v>0</v>
      </c>
      <c r="AJ1889" s="9">
        <f>IFERROR(VLOOKUP($A1889,pivot!$A:$I,計算式2026!AJ$1,FALSE),0)</f>
        <v>0</v>
      </c>
      <c r="AK1889" s="9">
        <f>IFERROR(VLOOKUP($A1889,pivot!$A:$I,計算式2026!AK$1,FALSE),0)</f>
        <v>0</v>
      </c>
      <c r="AL1889" s="9">
        <f>IFERROR(VLOOKUP($A1889,pivot!$A:$I,計算式2026!AL$1,FALSE),0)</f>
        <v>0</v>
      </c>
      <c r="AR1889" s="8"/>
      <c r="AS1889" s="8"/>
      <c r="AT1889" s="8"/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8"/>
      <c r="BG1889" s="8"/>
    </row>
    <row r="1890" spans="1:59" s="9" customFormat="1">
      <c r="A1890" s="8" t="s">
        <v>1146</v>
      </c>
      <c r="B1890" s="8" t="s">
        <v>1144</v>
      </c>
      <c r="C1890" s="9">
        <v>0</v>
      </c>
      <c r="D1890" s="9">
        <v>0</v>
      </c>
      <c r="E1890" s="9">
        <v>0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R1890" s="9">
        <v>0</v>
      </c>
      <c r="S1890" s="9">
        <v>1</v>
      </c>
      <c r="T1890" s="9">
        <v>1</v>
      </c>
      <c r="U1890" s="9">
        <v>0</v>
      </c>
      <c r="V1890" s="9">
        <v>1</v>
      </c>
      <c r="W1890" s="9">
        <v>0</v>
      </c>
      <c r="X1890" s="9">
        <v>1</v>
      </c>
      <c r="AE1890" s="9">
        <f>IFERROR(VLOOKUP($A1890,pivot!$A:$G,計算式2026!AE$1,FALSE),0)</f>
        <v>0</v>
      </c>
      <c r="AF1890" s="9">
        <f>IFERROR(VLOOKUP($A1890,pivot!$A:$I,計算式2026!AF$1,FALSE),0)</f>
        <v>0</v>
      </c>
      <c r="AI1890" s="9">
        <f>IFERROR(VLOOKUP($A1890,pivot!$A:$I,計算式2026!AI$1,FALSE),0)</f>
        <v>0</v>
      </c>
      <c r="AJ1890" s="9">
        <f>IFERROR(VLOOKUP($A1890,pivot!$A:$I,計算式2026!AJ$1,FALSE),0)</f>
        <v>0</v>
      </c>
      <c r="AK1890" s="9">
        <f>IFERROR(VLOOKUP($A1890,pivot!$A:$I,計算式2026!AK$1,FALSE),0)</f>
        <v>0</v>
      </c>
      <c r="AL1890" s="9">
        <f>IFERROR(VLOOKUP($A1890,pivot!$A:$I,計算式2026!AL$1,FALSE),0)</f>
        <v>0</v>
      </c>
      <c r="AR1890" s="8"/>
      <c r="AS1890" s="8"/>
      <c r="AT1890" s="8"/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8"/>
      <c r="BG1890" s="8"/>
    </row>
    <row r="1891" spans="1:59" s="9" customFormat="1">
      <c r="A1891" s="8" t="s">
        <v>1147</v>
      </c>
      <c r="B1891" s="8" t="s">
        <v>1144</v>
      </c>
      <c r="C1891" s="9">
        <v>0</v>
      </c>
      <c r="D1891" s="9">
        <v>0</v>
      </c>
      <c r="E1891" s="9">
        <v>0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R1891" s="9">
        <v>1</v>
      </c>
      <c r="S1891" s="9">
        <v>1</v>
      </c>
      <c r="T1891" s="9">
        <v>2</v>
      </c>
      <c r="U1891" s="9">
        <v>0</v>
      </c>
      <c r="V1891" s="9">
        <v>1</v>
      </c>
      <c r="W1891" s="9">
        <v>0</v>
      </c>
      <c r="X1891" s="9">
        <v>1</v>
      </c>
      <c r="AE1891" s="9">
        <f>IFERROR(VLOOKUP($A1891,pivot!$A:$G,計算式2026!AE$1,FALSE),0)</f>
        <v>0</v>
      </c>
      <c r="AF1891" s="9">
        <f>IFERROR(VLOOKUP($A1891,pivot!$A:$I,計算式2026!AF$1,FALSE),0)</f>
        <v>0</v>
      </c>
      <c r="AI1891" s="9">
        <f>IFERROR(VLOOKUP($A1891,pivot!$A:$I,計算式2026!AI$1,FALSE),0)</f>
        <v>0</v>
      </c>
      <c r="AJ1891" s="9">
        <f>IFERROR(VLOOKUP($A1891,pivot!$A:$I,計算式2026!AJ$1,FALSE),0)</f>
        <v>0</v>
      </c>
      <c r="AK1891" s="9">
        <f>IFERROR(VLOOKUP($A1891,pivot!$A:$I,計算式2026!AK$1,FALSE),0)</f>
        <v>0</v>
      </c>
      <c r="AL1891" s="9">
        <f>IFERROR(VLOOKUP($A1891,pivot!$A:$I,計算式2026!AL$1,FALSE),0)</f>
        <v>0</v>
      </c>
      <c r="AR1891" s="8"/>
      <c r="AS1891" s="8"/>
      <c r="AT1891" s="8"/>
      <c r="AU1891" s="8"/>
      <c r="AV1891" s="8"/>
      <c r="AW1891" s="8"/>
      <c r="AX1891" s="8"/>
      <c r="AY1891" s="8"/>
      <c r="AZ1891" s="8"/>
      <c r="BA1891" s="8"/>
      <c r="BB1891" s="8"/>
      <c r="BC1891" s="8"/>
      <c r="BD1891" s="8"/>
      <c r="BE1891" s="8"/>
      <c r="BF1891" s="8"/>
      <c r="BG1891" s="8"/>
    </row>
    <row r="1892" spans="1:59" s="9" customFormat="1">
      <c r="A1892" s="8" t="s">
        <v>1148</v>
      </c>
      <c r="B1892" s="8" t="s">
        <v>1144</v>
      </c>
      <c r="C1892" s="9">
        <v>0</v>
      </c>
      <c r="D1892" s="9">
        <v>0</v>
      </c>
      <c r="E1892" s="9">
        <v>0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  <c r="K1892" s="9">
        <v>0</v>
      </c>
      <c r="R1892" s="9">
        <v>0</v>
      </c>
      <c r="S1892" s="9">
        <v>0</v>
      </c>
      <c r="T1892" s="9">
        <v>2</v>
      </c>
      <c r="U1892" s="9">
        <v>0</v>
      </c>
      <c r="V1892" s="9">
        <v>1</v>
      </c>
      <c r="W1892" s="9">
        <v>0</v>
      </c>
      <c r="X1892" s="9">
        <v>1</v>
      </c>
      <c r="AE1892" s="9">
        <f>IFERROR(VLOOKUP($A1892,pivot!$A:$G,計算式2026!AE$1,FALSE),0)</f>
        <v>0</v>
      </c>
      <c r="AF1892" s="9">
        <f>IFERROR(VLOOKUP($A1892,pivot!$A:$I,計算式2026!AF$1,FALSE),0)</f>
        <v>0</v>
      </c>
      <c r="AI1892" s="9">
        <f>IFERROR(VLOOKUP($A1892,pivot!$A:$I,計算式2026!AI$1,FALSE),0)</f>
        <v>0</v>
      </c>
      <c r="AJ1892" s="9">
        <f>IFERROR(VLOOKUP($A1892,pivot!$A:$I,計算式2026!AJ$1,FALSE),0)</f>
        <v>0</v>
      </c>
      <c r="AK1892" s="9">
        <f>IFERROR(VLOOKUP($A1892,pivot!$A:$I,計算式2026!AK$1,FALSE),0)</f>
        <v>0</v>
      </c>
      <c r="AL1892" s="9">
        <f>IFERROR(VLOOKUP($A1892,pivot!$A:$I,計算式2026!AL$1,FALSE),0)</f>
        <v>0</v>
      </c>
      <c r="AR1892" s="8"/>
      <c r="AS1892" s="8"/>
      <c r="AT1892" s="8"/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8"/>
      <c r="BG1892" s="8"/>
    </row>
    <row r="1893" spans="1:59" s="9" customFormat="1">
      <c r="A1893" s="8" t="s">
        <v>1149</v>
      </c>
      <c r="B1893" s="8" t="s">
        <v>1144</v>
      </c>
      <c r="C1893" s="9">
        <v>0</v>
      </c>
      <c r="D1893" s="9">
        <v>0</v>
      </c>
      <c r="E1893" s="9">
        <v>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R1893" s="9">
        <v>1</v>
      </c>
      <c r="S1893" s="9">
        <v>1</v>
      </c>
      <c r="T1893" s="9">
        <v>1</v>
      </c>
      <c r="U1893" s="9">
        <v>0</v>
      </c>
      <c r="V1893" s="9">
        <v>1</v>
      </c>
      <c r="W1893" s="9">
        <v>0</v>
      </c>
      <c r="X1893" s="9">
        <v>1</v>
      </c>
      <c r="AE1893" s="9">
        <f>IFERROR(VLOOKUP($A1893,pivot!$A:$G,計算式2026!AE$1,FALSE),0)</f>
        <v>0</v>
      </c>
      <c r="AF1893" s="9">
        <f>IFERROR(VLOOKUP($A1893,pivot!$A:$I,計算式2026!AF$1,FALSE),0)</f>
        <v>0</v>
      </c>
      <c r="AI1893" s="9">
        <f>IFERROR(VLOOKUP($A1893,pivot!$A:$I,計算式2026!AI$1,FALSE),0)</f>
        <v>0</v>
      </c>
      <c r="AJ1893" s="9">
        <f>IFERROR(VLOOKUP($A1893,pivot!$A:$I,計算式2026!AJ$1,FALSE),0)</f>
        <v>0</v>
      </c>
      <c r="AK1893" s="9">
        <f>IFERROR(VLOOKUP($A1893,pivot!$A:$I,計算式2026!AK$1,FALSE),0)</f>
        <v>0</v>
      </c>
      <c r="AL1893" s="9">
        <f>IFERROR(VLOOKUP($A1893,pivot!$A:$I,計算式2026!AL$1,FALSE),0)</f>
        <v>0</v>
      </c>
      <c r="AR1893" s="8"/>
      <c r="AS1893" s="8"/>
      <c r="AT1893" s="8"/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8"/>
      <c r="BG1893" s="8"/>
    </row>
    <row r="1894" spans="1:59" s="9" customFormat="1">
      <c r="A1894" s="8" t="s">
        <v>2857</v>
      </c>
      <c r="B1894" s="8" t="s">
        <v>2858</v>
      </c>
      <c r="C1894" s="9">
        <v>0</v>
      </c>
      <c r="D1894" s="9">
        <v>0</v>
      </c>
      <c r="E1894" s="9">
        <v>0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AE1894" s="9">
        <f>IFERROR(VLOOKUP($A1894,pivot!$A:$G,計算式2026!AE$1,FALSE),0)</f>
        <v>0</v>
      </c>
      <c r="AF1894" s="9">
        <f>IFERROR(VLOOKUP($A1894,pivot!$A:$I,計算式2026!AF$1,FALSE),0)</f>
        <v>0</v>
      </c>
      <c r="AI1894" s="9">
        <f>IFERROR(VLOOKUP($A1894,pivot!$A:$I,計算式2026!AI$1,FALSE),0)</f>
        <v>0</v>
      </c>
      <c r="AJ1894" s="9">
        <f>IFERROR(VLOOKUP($A1894,pivot!$A:$I,計算式2026!AJ$1,FALSE),0)</f>
        <v>0</v>
      </c>
      <c r="AK1894" s="9">
        <f>IFERROR(VLOOKUP($A1894,pivot!$A:$I,計算式2026!AK$1,FALSE),0)</f>
        <v>0</v>
      </c>
      <c r="AL1894" s="9">
        <f>IFERROR(VLOOKUP($A1894,pivot!$A:$I,計算式2026!AL$1,FALSE),0)</f>
        <v>0</v>
      </c>
      <c r="AR1894" s="8"/>
      <c r="AS1894" s="8"/>
      <c r="AT1894" s="8"/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8"/>
      <c r="BG1894" s="8"/>
    </row>
    <row r="1895" spans="1:59" s="9" customFormat="1">
      <c r="A1895" s="8" t="s">
        <v>2676</v>
      </c>
      <c r="B1895" s="8" t="s">
        <v>2858</v>
      </c>
      <c r="C1895" s="9">
        <v>0</v>
      </c>
      <c r="D1895" s="9">
        <v>1</v>
      </c>
      <c r="E1895" s="9">
        <v>0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R1895" s="9">
        <v>0</v>
      </c>
      <c r="S1895" s="9">
        <v>2</v>
      </c>
      <c r="T1895" s="9">
        <v>1</v>
      </c>
      <c r="U1895" s="9">
        <v>0</v>
      </c>
      <c r="V1895" s="9">
        <v>1</v>
      </c>
      <c r="W1895" s="9">
        <v>0</v>
      </c>
      <c r="X1895" s="9">
        <v>1</v>
      </c>
      <c r="AE1895" s="9">
        <f>IFERROR(VLOOKUP($A1895,pivot!$A:$G,計算式2026!AE$1,FALSE),0)</f>
        <v>0</v>
      </c>
      <c r="AF1895" s="9">
        <f>IFERROR(VLOOKUP($A1895,pivot!$A:$I,計算式2026!AF$1,FALSE),0)</f>
        <v>0</v>
      </c>
      <c r="AI1895" s="9">
        <f>IFERROR(VLOOKUP($A1895,pivot!$A:$I,計算式2026!AI$1,FALSE),0)</f>
        <v>0</v>
      </c>
      <c r="AJ1895" s="9">
        <f>IFERROR(VLOOKUP($A1895,pivot!$A:$I,計算式2026!AJ$1,FALSE),0)</f>
        <v>0</v>
      </c>
      <c r="AK1895" s="9">
        <f>IFERROR(VLOOKUP($A1895,pivot!$A:$I,計算式2026!AK$1,FALSE),0)</f>
        <v>0</v>
      </c>
      <c r="AL1895" s="9">
        <f>IFERROR(VLOOKUP($A1895,pivot!$A:$I,計算式2026!AL$1,FALSE),0)</f>
        <v>0</v>
      </c>
      <c r="AR1895" s="8"/>
      <c r="AS1895" s="8"/>
      <c r="AT1895" s="8"/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8"/>
      <c r="BG1895" s="8"/>
    </row>
    <row r="1896" spans="1:59" s="9" customFormat="1">
      <c r="A1896" s="8" t="s">
        <v>2859</v>
      </c>
      <c r="B1896" s="8" t="s">
        <v>2858</v>
      </c>
      <c r="C1896" s="9">
        <v>0</v>
      </c>
      <c r="D1896" s="9">
        <v>4</v>
      </c>
      <c r="E1896" s="9">
        <v>0</v>
      </c>
      <c r="F1896" s="9">
        <v>0</v>
      </c>
      <c r="G1896" s="9">
        <v>0</v>
      </c>
      <c r="H1896" s="9">
        <v>0</v>
      </c>
      <c r="I1896" s="9">
        <v>0</v>
      </c>
      <c r="J1896" s="9">
        <v>0</v>
      </c>
      <c r="K1896" s="9">
        <v>0</v>
      </c>
      <c r="R1896" s="9">
        <v>0</v>
      </c>
      <c r="S1896" s="9">
        <v>2</v>
      </c>
      <c r="T1896" s="9">
        <v>1</v>
      </c>
      <c r="U1896" s="9">
        <v>0</v>
      </c>
      <c r="V1896" s="9">
        <v>2</v>
      </c>
      <c r="W1896" s="9">
        <v>0</v>
      </c>
      <c r="X1896" s="9">
        <v>1</v>
      </c>
      <c r="AE1896" s="9">
        <f>IFERROR(VLOOKUP($A1896,pivot!$A:$G,計算式2026!AE$1,FALSE),0)</f>
        <v>0</v>
      </c>
      <c r="AF1896" s="9">
        <f>IFERROR(VLOOKUP($A1896,pivot!$A:$I,計算式2026!AF$1,FALSE),0)</f>
        <v>0</v>
      </c>
      <c r="AI1896" s="9">
        <f>IFERROR(VLOOKUP($A1896,pivot!$A:$I,計算式2026!AI$1,FALSE),0)</f>
        <v>0</v>
      </c>
      <c r="AJ1896" s="9">
        <f>IFERROR(VLOOKUP($A1896,pivot!$A:$I,計算式2026!AJ$1,FALSE),0)</f>
        <v>0</v>
      </c>
      <c r="AK1896" s="9">
        <f>IFERROR(VLOOKUP($A1896,pivot!$A:$I,計算式2026!AK$1,FALSE),0)</f>
        <v>0</v>
      </c>
      <c r="AL1896" s="9">
        <f>IFERROR(VLOOKUP($A1896,pivot!$A:$I,計算式2026!AL$1,FALSE),0)</f>
        <v>0</v>
      </c>
      <c r="AR1896" s="8"/>
      <c r="AS1896" s="8"/>
      <c r="AT1896" s="8"/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8"/>
      <c r="BG1896" s="8"/>
    </row>
    <row r="1897" spans="1:59" s="9" customFormat="1">
      <c r="A1897" s="8" t="s">
        <v>2860</v>
      </c>
      <c r="B1897" s="8" t="s">
        <v>2858</v>
      </c>
      <c r="C1897" s="9">
        <v>0</v>
      </c>
      <c r="D1897" s="9">
        <v>0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2</v>
      </c>
      <c r="W1897" s="9">
        <v>0</v>
      </c>
      <c r="X1897" s="9">
        <v>1</v>
      </c>
      <c r="AE1897" s="9">
        <f>IFERROR(VLOOKUP($A1897,pivot!$A:$G,計算式2026!AE$1,FALSE),0)</f>
        <v>0</v>
      </c>
      <c r="AF1897" s="9">
        <f>IFERROR(VLOOKUP($A1897,pivot!$A:$I,計算式2026!AF$1,FALSE),0)</f>
        <v>0</v>
      </c>
      <c r="AI1897" s="9">
        <f>IFERROR(VLOOKUP($A1897,pivot!$A:$I,計算式2026!AI$1,FALSE),0)</f>
        <v>0</v>
      </c>
      <c r="AJ1897" s="9">
        <f>IFERROR(VLOOKUP($A1897,pivot!$A:$I,計算式2026!AJ$1,FALSE),0)</f>
        <v>0</v>
      </c>
      <c r="AK1897" s="9">
        <f>IFERROR(VLOOKUP($A1897,pivot!$A:$I,計算式2026!AK$1,FALSE),0)</f>
        <v>0</v>
      </c>
      <c r="AL1897" s="9">
        <f>IFERROR(VLOOKUP($A1897,pivot!$A:$I,計算式2026!AL$1,FALSE),0)</f>
        <v>0</v>
      </c>
      <c r="AR1897" s="8"/>
      <c r="AS1897" s="8"/>
      <c r="AT1897" s="8"/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8"/>
      <c r="BG1897" s="8"/>
    </row>
    <row r="1898" spans="1:59" s="9" customFormat="1">
      <c r="A1898" s="8" t="s">
        <v>2861</v>
      </c>
      <c r="B1898" s="8" t="s">
        <v>2858</v>
      </c>
      <c r="C1898" s="9">
        <v>0</v>
      </c>
      <c r="D1898" s="9">
        <v>0</v>
      </c>
      <c r="E1898" s="9">
        <v>0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AE1898" s="9">
        <f>IFERROR(VLOOKUP($A1898,pivot!$A:$G,計算式2026!AE$1,FALSE),0)</f>
        <v>0</v>
      </c>
      <c r="AF1898" s="9">
        <f>IFERROR(VLOOKUP($A1898,pivot!$A:$I,計算式2026!AF$1,FALSE),0)</f>
        <v>0</v>
      </c>
      <c r="AI1898" s="9">
        <f>IFERROR(VLOOKUP($A1898,pivot!$A:$I,計算式2026!AI$1,FALSE),0)</f>
        <v>0</v>
      </c>
      <c r="AJ1898" s="9">
        <f>IFERROR(VLOOKUP($A1898,pivot!$A:$I,計算式2026!AJ$1,FALSE),0)</f>
        <v>0</v>
      </c>
      <c r="AK1898" s="9">
        <f>IFERROR(VLOOKUP($A1898,pivot!$A:$I,計算式2026!AK$1,FALSE),0)</f>
        <v>0</v>
      </c>
      <c r="AL1898" s="9">
        <f>IFERROR(VLOOKUP($A1898,pivot!$A:$I,計算式2026!AL$1,FALSE),0)</f>
        <v>0</v>
      </c>
      <c r="AR1898" s="8"/>
      <c r="AS1898" s="8"/>
      <c r="AT1898" s="8"/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8"/>
      <c r="BG1898" s="8"/>
    </row>
    <row r="1899" spans="1:59" s="9" customFormat="1">
      <c r="A1899" s="8" t="s">
        <v>2862</v>
      </c>
      <c r="B1899" s="8" t="s">
        <v>2858</v>
      </c>
      <c r="C1899" s="9">
        <v>0</v>
      </c>
      <c r="D1899" s="9">
        <v>0</v>
      </c>
      <c r="E1899" s="9">
        <v>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R1899" s="9">
        <v>0</v>
      </c>
      <c r="S1899" s="9">
        <v>1</v>
      </c>
      <c r="T1899" s="9">
        <v>0</v>
      </c>
      <c r="U1899" s="9">
        <v>0</v>
      </c>
      <c r="V1899" s="9">
        <v>1</v>
      </c>
      <c r="W1899" s="9">
        <v>0</v>
      </c>
      <c r="X1899" s="9">
        <v>1</v>
      </c>
      <c r="AE1899" s="9">
        <f>IFERROR(VLOOKUP($A1899,pivot!$A:$G,計算式2026!AE$1,FALSE),0)</f>
        <v>0</v>
      </c>
      <c r="AF1899" s="9">
        <f>IFERROR(VLOOKUP($A1899,pivot!$A:$I,計算式2026!AF$1,FALSE),0)</f>
        <v>0</v>
      </c>
      <c r="AI1899" s="9">
        <f>IFERROR(VLOOKUP($A1899,pivot!$A:$I,計算式2026!AI$1,FALSE),0)</f>
        <v>0</v>
      </c>
      <c r="AJ1899" s="9">
        <f>IFERROR(VLOOKUP($A1899,pivot!$A:$I,計算式2026!AJ$1,FALSE),0)</f>
        <v>0</v>
      </c>
      <c r="AK1899" s="9">
        <f>IFERROR(VLOOKUP($A1899,pivot!$A:$I,計算式2026!AK$1,FALSE),0)</f>
        <v>0</v>
      </c>
      <c r="AL1899" s="9">
        <f>IFERROR(VLOOKUP($A1899,pivot!$A:$I,計算式2026!AL$1,FALSE),0)</f>
        <v>0</v>
      </c>
      <c r="AR1899" s="8"/>
      <c r="AS1899" s="8"/>
      <c r="AT1899" s="8"/>
      <c r="AU1899" s="8"/>
      <c r="AV1899" s="8"/>
      <c r="AW1899" s="8"/>
      <c r="AX1899" s="8"/>
      <c r="AY1899" s="8"/>
      <c r="AZ1899" s="8"/>
      <c r="BA1899" s="8"/>
      <c r="BB1899" s="8"/>
      <c r="BC1899" s="8"/>
      <c r="BD1899" s="8"/>
      <c r="BE1899" s="8"/>
      <c r="BF1899" s="8"/>
      <c r="BG1899" s="8"/>
    </row>
    <row r="1900" spans="1:59" s="9" customFormat="1">
      <c r="A1900" s="8" t="s">
        <v>2863</v>
      </c>
      <c r="B1900" s="8" t="s">
        <v>2858</v>
      </c>
      <c r="C1900" s="9">
        <v>0</v>
      </c>
      <c r="D1900" s="9">
        <v>0</v>
      </c>
      <c r="E1900" s="9">
        <v>0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R1900" s="9">
        <v>1</v>
      </c>
      <c r="S1900" s="9">
        <v>2</v>
      </c>
      <c r="T1900" s="9">
        <v>1</v>
      </c>
      <c r="U1900" s="9">
        <v>0</v>
      </c>
      <c r="V1900" s="9">
        <v>2</v>
      </c>
      <c r="W1900" s="9">
        <v>0</v>
      </c>
      <c r="X1900" s="9">
        <v>1</v>
      </c>
      <c r="AE1900" s="9">
        <f>IFERROR(VLOOKUP($A1900,pivot!$A:$G,計算式2026!AE$1,FALSE),0)</f>
        <v>0</v>
      </c>
      <c r="AF1900" s="9">
        <f>IFERROR(VLOOKUP($A1900,pivot!$A:$I,計算式2026!AF$1,FALSE),0)</f>
        <v>0</v>
      </c>
      <c r="AI1900" s="9">
        <f>IFERROR(VLOOKUP($A1900,pivot!$A:$I,計算式2026!AI$1,FALSE),0)</f>
        <v>0</v>
      </c>
      <c r="AJ1900" s="9">
        <f>IFERROR(VLOOKUP($A1900,pivot!$A:$I,計算式2026!AJ$1,FALSE),0)</f>
        <v>0</v>
      </c>
      <c r="AK1900" s="9">
        <f>IFERROR(VLOOKUP($A1900,pivot!$A:$I,計算式2026!AK$1,FALSE),0)</f>
        <v>0</v>
      </c>
      <c r="AL1900" s="9">
        <f>IFERROR(VLOOKUP($A1900,pivot!$A:$I,計算式2026!AL$1,FALSE),0)</f>
        <v>0</v>
      </c>
      <c r="AR1900" s="8"/>
      <c r="AS1900" s="8"/>
      <c r="AT1900" s="8"/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8"/>
      <c r="BG1900" s="8"/>
    </row>
    <row r="1901" spans="1:59" s="9" customFormat="1">
      <c r="A1901" s="8" t="s">
        <v>2864</v>
      </c>
      <c r="B1901" s="8" t="s">
        <v>2858</v>
      </c>
      <c r="C1901" s="9">
        <v>0</v>
      </c>
      <c r="D1901" s="9">
        <v>7</v>
      </c>
      <c r="E1901" s="9">
        <v>0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R1901" s="9">
        <v>1</v>
      </c>
      <c r="S1901" s="9">
        <v>2</v>
      </c>
      <c r="T1901" s="9">
        <v>1</v>
      </c>
      <c r="U1901" s="9">
        <v>0</v>
      </c>
      <c r="V1901" s="9">
        <v>2</v>
      </c>
      <c r="W1901" s="9">
        <v>0</v>
      </c>
      <c r="X1901" s="9">
        <v>1</v>
      </c>
      <c r="AE1901" s="9">
        <f>IFERROR(VLOOKUP($A1901,pivot!$A:$G,計算式2026!AE$1,FALSE),0)</f>
        <v>0</v>
      </c>
      <c r="AF1901" s="9">
        <f>IFERROR(VLOOKUP($A1901,pivot!$A:$I,計算式2026!AF$1,FALSE),0)</f>
        <v>0</v>
      </c>
      <c r="AI1901" s="9">
        <f>IFERROR(VLOOKUP($A1901,pivot!$A:$I,計算式2026!AI$1,FALSE),0)</f>
        <v>0</v>
      </c>
      <c r="AJ1901" s="9">
        <f>IFERROR(VLOOKUP($A1901,pivot!$A:$I,計算式2026!AJ$1,FALSE),0)</f>
        <v>0</v>
      </c>
      <c r="AK1901" s="9">
        <f>IFERROR(VLOOKUP($A1901,pivot!$A:$I,計算式2026!AK$1,FALSE),0)</f>
        <v>0</v>
      </c>
      <c r="AL1901" s="9">
        <f>IFERROR(VLOOKUP($A1901,pivot!$A:$I,計算式2026!AL$1,FALSE),0)</f>
        <v>0</v>
      </c>
      <c r="AR1901" s="8"/>
      <c r="AS1901" s="8"/>
      <c r="AT1901" s="8"/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8"/>
      <c r="BG1901" s="8"/>
    </row>
    <row r="1902" spans="1:59" s="9" customFormat="1">
      <c r="A1902" s="8" t="s">
        <v>2865</v>
      </c>
      <c r="B1902" s="8" t="s">
        <v>2858</v>
      </c>
      <c r="C1902" s="9">
        <v>0</v>
      </c>
      <c r="D1902" s="9">
        <v>0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R1902" s="9">
        <v>0</v>
      </c>
      <c r="S1902" s="9">
        <v>1</v>
      </c>
      <c r="T1902" s="9">
        <v>0</v>
      </c>
      <c r="U1902" s="9">
        <v>0</v>
      </c>
      <c r="V1902" s="9">
        <v>1</v>
      </c>
      <c r="W1902" s="9">
        <v>0</v>
      </c>
      <c r="X1902" s="9">
        <v>0</v>
      </c>
      <c r="AE1902" s="9">
        <f>IFERROR(VLOOKUP($A1902,pivot!$A:$G,計算式2026!AE$1,FALSE),0)</f>
        <v>0</v>
      </c>
      <c r="AF1902" s="9">
        <f>IFERROR(VLOOKUP($A1902,pivot!$A:$I,計算式2026!AF$1,FALSE),0)</f>
        <v>0</v>
      </c>
      <c r="AI1902" s="9">
        <f>IFERROR(VLOOKUP($A1902,pivot!$A:$I,計算式2026!AI$1,FALSE),0)</f>
        <v>0</v>
      </c>
      <c r="AJ1902" s="9">
        <f>IFERROR(VLOOKUP($A1902,pivot!$A:$I,計算式2026!AJ$1,FALSE),0)</f>
        <v>0</v>
      </c>
      <c r="AK1902" s="9">
        <f>IFERROR(VLOOKUP($A1902,pivot!$A:$I,計算式2026!AK$1,FALSE),0)</f>
        <v>0</v>
      </c>
      <c r="AL1902" s="9">
        <f>IFERROR(VLOOKUP($A1902,pivot!$A:$I,計算式2026!AL$1,FALSE),0)</f>
        <v>0</v>
      </c>
      <c r="AR1902" s="8"/>
      <c r="AS1902" s="8"/>
      <c r="AT1902" s="8"/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8"/>
      <c r="BG1902" s="8"/>
    </row>
    <row r="1903" spans="1:59" s="9" customFormat="1">
      <c r="A1903" s="8" t="s">
        <v>2866</v>
      </c>
      <c r="B1903" s="8" t="s">
        <v>2858</v>
      </c>
      <c r="C1903" s="9">
        <v>0</v>
      </c>
      <c r="D1903" s="9">
        <v>0</v>
      </c>
      <c r="E1903" s="9">
        <v>0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1</v>
      </c>
      <c r="W1903" s="9">
        <v>0</v>
      </c>
      <c r="X1903" s="9">
        <v>0</v>
      </c>
      <c r="AE1903" s="9">
        <f>IFERROR(VLOOKUP($A1903,pivot!$A:$G,計算式2026!AE$1,FALSE),0)</f>
        <v>0</v>
      </c>
      <c r="AF1903" s="9">
        <f>IFERROR(VLOOKUP($A1903,pivot!$A:$I,計算式2026!AF$1,FALSE),0)</f>
        <v>0</v>
      </c>
      <c r="AI1903" s="9">
        <f>IFERROR(VLOOKUP($A1903,pivot!$A:$I,計算式2026!AI$1,FALSE),0)</f>
        <v>0</v>
      </c>
      <c r="AJ1903" s="9">
        <f>IFERROR(VLOOKUP($A1903,pivot!$A:$I,計算式2026!AJ$1,FALSE),0)</f>
        <v>0</v>
      </c>
      <c r="AK1903" s="9">
        <f>IFERROR(VLOOKUP($A1903,pivot!$A:$I,計算式2026!AK$1,FALSE),0)</f>
        <v>0</v>
      </c>
      <c r="AL1903" s="9">
        <f>IFERROR(VLOOKUP($A1903,pivot!$A:$I,計算式2026!AL$1,FALSE),0)</f>
        <v>0</v>
      </c>
      <c r="AR1903" s="8"/>
      <c r="AS1903" s="8"/>
      <c r="AT1903" s="8"/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8"/>
      <c r="BG1903" s="8"/>
    </row>
    <row r="1904" spans="1:59" s="9" customFormat="1">
      <c r="A1904" s="8">
        <v>8578163348</v>
      </c>
      <c r="B1904" s="8" t="s">
        <v>1150</v>
      </c>
      <c r="C1904" s="9">
        <v>0</v>
      </c>
      <c r="D1904" s="9">
        <v>0</v>
      </c>
      <c r="E1904" s="9">
        <v>0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1</v>
      </c>
      <c r="W1904" s="9">
        <v>0</v>
      </c>
      <c r="X1904" s="9">
        <v>2</v>
      </c>
      <c r="AE1904" s="9">
        <f>IFERROR(VLOOKUP($A1904,pivot!$A:$G,計算式2026!AE$1,FALSE),0)</f>
        <v>0</v>
      </c>
      <c r="AF1904" s="9">
        <f>IFERROR(VLOOKUP($A1904,pivot!$A:$I,計算式2026!AF$1,FALSE),0)</f>
        <v>0</v>
      </c>
      <c r="AI1904" s="9">
        <f>IFERROR(VLOOKUP($A1904,pivot!$A:$I,計算式2026!AI$1,FALSE),0)</f>
        <v>0</v>
      </c>
      <c r="AJ1904" s="9">
        <f>IFERROR(VLOOKUP($A1904,pivot!$A:$I,計算式2026!AJ$1,FALSE),0)</f>
        <v>0</v>
      </c>
      <c r="AK1904" s="9">
        <f>IFERROR(VLOOKUP($A1904,pivot!$A:$I,計算式2026!AK$1,FALSE),0)</f>
        <v>0</v>
      </c>
      <c r="AL1904" s="9">
        <f>IFERROR(VLOOKUP($A1904,pivot!$A:$I,計算式2026!AL$1,FALSE),0)</f>
        <v>0</v>
      </c>
      <c r="AR1904" s="8"/>
      <c r="AS1904" s="8"/>
      <c r="AT1904" s="8"/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8"/>
      <c r="BG1904" s="8"/>
    </row>
    <row r="1905" spans="1:59" s="9" customFormat="1">
      <c r="A1905" s="8" t="s">
        <v>1151</v>
      </c>
      <c r="B1905" s="8" t="s">
        <v>1150</v>
      </c>
      <c r="C1905" s="9">
        <v>0</v>
      </c>
      <c r="D1905" s="9">
        <v>0</v>
      </c>
      <c r="E1905" s="9">
        <v>0</v>
      </c>
      <c r="F1905" s="9">
        <v>0</v>
      </c>
      <c r="G1905" s="9">
        <v>0</v>
      </c>
      <c r="H1905" s="9">
        <v>0</v>
      </c>
      <c r="I1905" s="9">
        <v>0</v>
      </c>
      <c r="J1905" s="9">
        <v>0</v>
      </c>
      <c r="K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1</v>
      </c>
      <c r="W1905" s="9">
        <v>0</v>
      </c>
      <c r="X1905" s="9">
        <v>0</v>
      </c>
      <c r="AE1905" s="9">
        <f>IFERROR(VLOOKUP($A1905,pivot!$A:$G,計算式2026!AE$1,FALSE),0)</f>
        <v>0</v>
      </c>
      <c r="AF1905" s="9">
        <f>IFERROR(VLOOKUP($A1905,pivot!$A:$I,計算式2026!AF$1,FALSE),0)</f>
        <v>0</v>
      </c>
      <c r="AI1905" s="9">
        <f>IFERROR(VLOOKUP($A1905,pivot!$A:$I,計算式2026!AI$1,FALSE),0)</f>
        <v>0</v>
      </c>
      <c r="AJ1905" s="9">
        <f>IFERROR(VLOOKUP($A1905,pivot!$A:$I,計算式2026!AJ$1,FALSE),0)</f>
        <v>0</v>
      </c>
      <c r="AK1905" s="9">
        <f>IFERROR(VLOOKUP($A1905,pivot!$A:$I,計算式2026!AK$1,FALSE),0)</f>
        <v>0</v>
      </c>
      <c r="AL1905" s="9">
        <f>IFERROR(VLOOKUP($A1905,pivot!$A:$I,計算式2026!AL$1,FALSE),0)</f>
        <v>0</v>
      </c>
      <c r="AR1905" s="8"/>
      <c r="AS1905" s="8"/>
      <c r="AT1905" s="8"/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8"/>
      <c r="BG1905" s="8"/>
    </row>
    <row r="1906" spans="1:59" s="9" customFormat="1">
      <c r="A1906" s="8" t="s">
        <v>1152</v>
      </c>
      <c r="B1906" s="8" t="s">
        <v>1150</v>
      </c>
      <c r="C1906" s="9">
        <v>0</v>
      </c>
      <c r="D1906" s="9">
        <v>0</v>
      </c>
      <c r="E1906" s="9">
        <v>0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1</v>
      </c>
      <c r="W1906" s="9">
        <v>0</v>
      </c>
      <c r="X1906" s="9">
        <v>0</v>
      </c>
      <c r="AE1906" s="9">
        <f>IFERROR(VLOOKUP($A1906,pivot!$A:$G,計算式2026!AE$1,FALSE),0)</f>
        <v>0</v>
      </c>
      <c r="AF1906" s="9">
        <f>IFERROR(VLOOKUP($A1906,pivot!$A:$I,計算式2026!AF$1,FALSE),0)</f>
        <v>0</v>
      </c>
      <c r="AI1906" s="9">
        <f>IFERROR(VLOOKUP($A1906,pivot!$A:$I,計算式2026!AI$1,FALSE),0)</f>
        <v>0</v>
      </c>
      <c r="AJ1906" s="9">
        <f>IFERROR(VLOOKUP($A1906,pivot!$A:$I,計算式2026!AJ$1,FALSE),0)</f>
        <v>0</v>
      </c>
      <c r="AK1906" s="9">
        <f>IFERROR(VLOOKUP($A1906,pivot!$A:$I,計算式2026!AK$1,FALSE),0)</f>
        <v>0</v>
      </c>
      <c r="AL1906" s="9">
        <f>IFERROR(VLOOKUP($A1906,pivot!$A:$I,計算式2026!AL$1,FALSE),0)</f>
        <v>0</v>
      </c>
      <c r="AR1906" s="8"/>
      <c r="AS1906" s="8"/>
      <c r="AT1906" s="8"/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8"/>
      <c r="BG1906" s="8"/>
    </row>
    <row r="1907" spans="1:59" s="9" customFormat="1">
      <c r="A1907" s="8" t="s">
        <v>1153</v>
      </c>
      <c r="B1907" s="8" t="s">
        <v>1150</v>
      </c>
      <c r="C1907" s="9">
        <v>0</v>
      </c>
      <c r="D1907" s="9">
        <v>0</v>
      </c>
      <c r="E1907" s="9">
        <v>0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1</v>
      </c>
      <c r="W1907" s="9">
        <v>0</v>
      </c>
      <c r="X1907" s="9">
        <v>1</v>
      </c>
      <c r="AE1907" s="9">
        <f>IFERROR(VLOOKUP($A1907,pivot!$A:$G,計算式2026!AE$1,FALSE),0)</f>
        <v>0</v>
      </c>
      <c r="AF1907" s="9">
        <f>IFERROR(VLOOKUP($A1907,pivot!$A:$I,計算式2026!AF$1,FALSE),0)</f>
        <v>0</v>
      </c>
      <c r="AI1907" s="9">
        <f>IFERROR(VLOOKUP($A1907,pivot!$A:$I,計算式2026!AI$1,FALSE),0)</f>
        <v>0</v>
      </c>
      <c r="AJ1907" s="9">
        <f>IFERROR(VLOOKUP($A1907,pivot!$A:$I,計算式2026!AJ$1,FALSE),0)</f>
        <v>0</v>
      </c>
      <c r="AK1907" s="9">
        <f>IFERROR(VLOOKUP($A1907,pivot!$A:$I,計算式2026!AK$1,FALSE),0)</f>
        <v>0</v>
      </c>
      <c r="AL1907" s="9">
        <f>IFERROR(VLOOKUP($A1907,pivot!$A:$I,計算式2026!AL$1,FALSE),0)</f>
        <v>0</v>
      </c>
      <c r="AR1907" s="8"/>
      <c r="AS1907" s="8"/>
      <c r="AT1907" s="8"/>
      <c r="AU1907" s="8"/>
      <c r="AV1907" s="8"/>
      <c r="AW1907" s="8"/>
      <c r="AX1907" s="8"/>
      <c r="AY1907" s="8"/>
      <c r="AZ1907" s="8"/>
      <c r="BA1907" s="8"/>
      <c r="BB1907" s="8"/>
      <c r="BC1907" s="8"/>
      <c r="BD1907" s="8"/>
      <c r="BE1907" s="8"/>
      <c r="BF1907" s="8"/>
      <c r="BG1907" s="8"/>
    </row>
    <row r="1908" spans="1:59" s="9" customFormat="1">
      <c r="A1908" s="8" t="s">
        <v>1155</v>
      </c>
      <c r="B1908" s="8" t="s">
        <v>1156</v>
      </c>
      <c r="C1908" s="9">
        <v>0</v>
      </c>
      <c r="D1908" s="9">
        <v>0</v>
      </c>
      <c r="E1908" s="9">
        <v>0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R1908" s="9">
        <v>0</v>
      </c>
      <c r="S1908" s="9">
        <v>0</v>
      </c>
      <c r="T1908" s="9">
        <v>1</v>
      </c>
      <c r="U1908" s="9">
        <v>0</v>
      </c>
      <c r="V1908" s="9">
        <v>1</v>
      </c>
      <c r="W1908" s="9">
        <v>0</v>
      </c>
      <c r="X1908" s="9">
        <v>1</v>
      </c>
      <c r="AE1908" s="9">
        <f>IFERROR(VLOOKUP($A1908,pivot!$A:$G,計算式2026!AE$1,FALSE),0)</f>
        <v>0</v>
      </c>
      <c r="AF1908" s="9">
        <f>IFERROR(VLOOKUP($A1908,pivot!$A:$I,計算式2026!AF$1,FALSE),0)</f>
        <v>0</v>
      </c>
      <c r="AI1908" s="9">
        <f>IFERROR(VLOOKUP($A1908,pivot!$A:$I,計算式2026!AI$1,FALSE),0)</f>
        <v>0</v>
      </c>
      <c r="AJ1908" s="9">
        <f>IFERROR(VLOOKUP($A1908,pivot!$A:$I,計算式2026!AJ$1,FALSE),0)</f>
        <v>0</v>
      </c>
      <c r="AK1908" s="9">
        <f>IFERROR(VLOOKUP($A1908,pivot!$A:$I,計算式2026!AK$1,FALSE),0)</f>
        <v>0</v>
      </c>
      <c r="AL1908" s="9">
        <f>IFERROR(VLOOKUP($A1908,pivot!$A:$I,計算式2026!AL$1,FALSE),0)</f>
        <v>0</v>
      </c>
      <c r="AR1908" s="8"/>
      <c r="AS1908" s="8"/>
      <c r="AT1908" s="8"/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8"/>
      <c r="BG1908" s="8"/>
    </row>
    <row r="1909" spans="1:59" s="9" customFormat="1">
      <c r="A1909" s="8" t="s">
        <v>1157</v>
      </c>
      <c r="B1909" s="8" t="s">
        <v>1156</v>
      </c>
      <c r="C1909" s="9">
        <v>7</v>
      </c>
      <c r="D1909" s="9">
        <v>0</v>
      </c>
      <c r="E1909" s="9">
        <v>0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R1909" s="9">
        <v>0</v>
      </c>
      <c r="S1909" s="9">
        <v>0</v>
      </c>
      <c r="T1909" s="9">
        <v>1</v>
      </c>
      <c r="U1909" s="9">
        <v>0</v>
      </c>
      <c r="V1909" s="9">
        <v>1</v>
      </c>
      <c r="W1909" s="9">
        <v>0</v>
      </c>
      <c r="X1909" s="9">
        <v>1</v>
      </c>
      <c r="AE1909" s="9">
        <f>IFERROR(VLOOKUP($A1909,pivot!$A:$G,計算式2026!AE$1,FALSE),0)</f>
        <v>0</v>
      </c>
      <c r="AF1909" s="9">
        <f>IFERROR(VLOOKUP($A1909,pivot!$A:$I,計算式2026!AF$1,FALSE),0)</f>
        <v>0</v>
      </c>
      <c r="AI1909" s="9">
        <f>IFERROR(VLOOKUP($A1909,pivot!$A:$I,計算式2026!AI$1,FALSE),0)</f>
        <v>0</v>
      </c>
      <c r="AJ1909" s="9">
        <f>IFERROR(VLOOKUP($A1909,pivot!$A:$I,計算式2026!AJ$1,FALSE),0)</f>
        <v>0</v>
      </c>
      <c r="AK1909" s="9">
        <f>IFERROR(VLOOKUP($A1909,pivot!$A:$I,計算式2026!AK$1,FALSE),0)</f>
        <v>0</v>
      </c>
      <c r="AL1909" s="9">
        <f>IFERROR(VLOOKUP($A1909,pivot!$A:$I,計算式2026!AL$1,FALSE),0)</f>
        <v>0</v>
      </c>
      <c r="AR1909" s="8"/>
      <c r="AS1909" s="8"/>
      <c r="AT1909" s="8"/>
      <c r="AU1909" s="8"/>
      <c r="AV1909" s="8"/>
      <c r="AW1909" s="8"/>
      <c r="AX1909" s="8"/>
      <c r="AY1909" s="8"/>
      <c r="AZ1909" s="8"/>
      <c r="BA1909" s="8"/>
      <c r="BB1909" s="8"/>
      <c r="BC1909" s="8"/>
      <c r="BD1909" s="8"/>
      <c r="BE1909" s="8"/>
      <c r="BF1909" s="8"/>
      <c r="BG1909" s="8"/>
    </row>
    <row r="1910" spans="1:59" s="9" customFormat="1">
      <c r="A1910" s="8" t="s">
        <v>1158</v>
      </c>
      <c r="B1910" s="8" t="s">
        <v>1156</v>
      </c>
      <c r="C1910" s="9">
        <v>0</v>
      </c>
      <c r="D1910" s="9">
        <v>0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1</v>
      </c>
      <c r="W1910" s="9">
        <v>0</v>
      </c>
      <c r="X1910" s="9">
        <v>0</v>
      </c>
      <c r="AE1910" s="9">
        <f>IFERROR(VLOOKUP($A1910,pivot!$A:$G,計算式2026!AE$1,FALSE),0)</f>
        <v>0</v>
      </c>
      <c r="AF1910" s="9">
        <f>IFERROR(VLOOKUP($A1910,pivot!$A:$I,計算式2026!AF$1,FALSE),0)</f>
        <v>0</v>
      </c>
      <c r="AI1910" s="9">
        <f>IFERROR(VLOOKUP($A1910,pivot!$A:$I,計算式2026!AI$1,FALSE),0)</f>
        <v>0</v>
      </c>
      <c r="AJ1910" s="9">
        <f>IFERROR(VLOOKUP($A1910,pivot!$A:$I,計算式2026!AJ$1,FALSE),0)</f>
        <v>0</v>
      </c>
      <c r="AK1910" s="9">
        <f>IFERROR(VLOOKUP($A1910,pivot!$A:$I,計算式2026!AK$1,FALSE),0)</f>
        <v>0</v>
      </c>
      <c r="AL1910" s="9">
        <f>IFERROR(VLOOKUP($A1910,pivot!$A:$I,計算式2026!AL$1,FALSE),0)</f>
        <v>0</v>
      </c>
      <c r="AR1910" s="8"/>
      <c r="AS1910" s="8"/>
      <c r="AT1910" s="8"/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8"/>
      <c r="BG1910" s="8"/>
    </row>
    <row r="1911" spans="1:59" s="9" customFormat="1">
      <c r="A1911" s="8" t="s">
        <v>1159</v>
      </c>
      <c r="B1911" s="8" t="s">
        <v>1156</v>
      </c>
      <c r="C1911" s="9">
        <v>0</v>
      </c>
      <c r="D1911" s="9">
        <v>0</v>
      </c>
      <c r="E1911" s="9">
        <v>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R1911" s="9">
        <v>0</v>
      </c>
      <c r="S1911" s="9">
        <v>0</v>
      </c>
      <c r="T1911" s="9">
        <v>1</v>
      </c>
      <c r="U1911" s="9">
        <v>0</v>
      </c>
      <c r="V1911" s="9">
        <v>0</v>
      </c>
      <c r="W1911" s="9">
        <v>0</v>
      </c>
      <c r="X1911" s="9">
        <v>1</v>
      </c>
      <c r="AE1911" s="9">
        <f>IFERROR(VLOOKUP($A1911,pivot!$A:$G,計算式2026!AE$1,FALSE),0)</f>
        <v>0</v>
      </c>
      <c r="AF1911" s="9">
        <f>IFERROR(VLOOKUP($A1911,pivot!$A:$I,計算式2026!AF$1,FALSE),0)</f>
        <v>0</v>
      </c>
      <c r="AI1911" s="9">
        <f>IFERROR(VLOOKUP($A1911,pivot!$A:$I,計算式2026!AI$1,FALSE),0)</f>
        <v>0</v>
      </c>
      <c r="AJ1911" s="9">
        <f>IFERROR(VLOOKUP($A1911,pivot!$A:$I,計算式2026!AJ$1,FALSE),0)</f>
        <v>0</v>
      </c>
      <c r="AK1911" s="9">
        <f>IFERROR(VLOOKUP($A1911,pivot!$A:$I,計算式2026!AK$1,FALSE),0)</f>
        <v>0</v>
      </c>
      <c r="AL1911" s="9">
        <f>IFERROR(VLOOKUP($A1911,pivot!$A:$I,計算式2026!AL$1,FALSE),0)</f>
        <v>0</v>
      </c>
      <c r="AR1911" s="8"/>
      <c r="AS1911" s="8"/>
      <c r="AT1911" s="8"/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8"/>
      <c r="BG1911" s="8"/>
    </row>
    <row r="1912" spans="1:59" s="9" customFormat="1">
      <c r="A1912" s="8" t="s">
        <v>1160</v>
      </c>
      <c r="B1912" s="8" t="s">
        <v>1156</v>
      </c>
      <c r="C1912" s="9">
        <v>10</v>
      </c>
      <c r="D1912" s="9">
        <v>0</v>
      </c>
      <c r="E1912" s="9">
        <v>0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R1912" s="9">
        <v>0</v>
      </c>
      <c r="S1912" s="9">
        <v>0</v>
      </c>
      <c r="T1912" s="9">
        <v>1</v>
      </c>
      <c r="U1912" s="9">
        <v>0</v>
      </c>
      <c r="V1912" s="9">
        <v>2</v>
      </c>
      <c r="W1912" s="9">
        <v>0</v>
      </c>
      <c r="X1912" s="9">
        <v>1</v>
      </c>
      <c r="AE1912" s="9">
        <f>IFERROR(VLOOKUP($A1912,pivot!$A:$G,計算式2026!AE$1,FALSE),0)</f>
        <v>0</v>
      </c>
      <c r="AF1912" s="9">
        <f>IFERROR(VLOOKUP($A1912,pivot!$A:$I,計算式2026!AF$1,FALSE),0)</f>
        <v>0</v>
      </c>
      <c r="AI1912" s="9">
        <f>IFERROR(VLOOKUP($A1912,pivot!$A:$I,計算式2026!AI$1,FALSE),0)</f>
        <v>0</v>
      </c>
      <c r="AJ1912" s="9">
        <f>IFERROR(VLOOKUP($A1912,pivot!$A:$I,計算式2026!AJ$1,FALSE),0)</f>
        <v>0</v>
      </c>
      <c r="AK1912" s="9">
        <f>IFERROR(VLOOKUP($A1912,pivot!$A:$I,計算式2026!AK$1,FALSE),0)</f>
        <v>0</v>
      </c>
      <c r="AL1912" s="9">
        <f>IFERROR(VLOOKUP($A1912,pivot!$A:$I,計算式2026!AL$1,FALSE),0)</f>
        <v>0</v>
      </c>
      <c r="AR1912" s="8"/>
      <c r="AS1912" s="8"/>
      <c r="AT1912" s="8"/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8"/>
      <c r="BG1912" s="8"/>
    </row>
    <row r="1913" spans="1:59" s="9" customFormat="1">
      <c r="A1913" s="8" t="s">
        <v>1161</v>
      </c>
      <c r="B1913" s="8" t="s">
        <v>1156</v>
      </c>
      <c r="C1913" s="9">
        <v>0</v>
      </c>
      <c r="D1913" s="9">
        <v>0</v>
      </c>
      <c r="E1913" s="9">
        <v>0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R1913" s="9">
        <v>0</v>
      </c>
      <c r="S1913" s="9">
        <v>0</v>
      </c>
      <c r="T1913" s="9">
        <v>1</v>
      </c>
      <c r="U1913" s="9">
        <v>0</v>
      </c>
      <c r="V1913" s="9">
        <v>1</v>
      </c>
      <c r="W1913" s="9">
        <v>0</v>
      </c>
      <c r="X1913" s="9">
        <v>0</v>
      </c>
      <c r="AE1913" s="9">
        <f>IFERROR(VLOOKUP($A1913,pivot!$A:$G,計算式2026!AE$1,FALSE),0)</f>
        <v>0</v>
      </c>
      <c r="AF1913" s="9">
        <f>IFERROR(VLOOKUP($A1913,pivot!$A:$I,計算式2026!AF$1,FALSE),0)</f>
        <v>0</v>
      </c>
      <c r="AI1913" s="9">
        <f>IFERROR(VLOOKUP($A1913,pivot!$A:$I,計算式2026!AI$1,FALSE),0)</f>
        <v>0</v>
      </c>
      <c r="AJ1913" s="9">
        <f>IFERROR(VLOOKUP($A1913,pivot!$A:$I,計算式2026!AJ$1,FALSE),0)</f>
        <v>0</v>
      </c>
      <c r="AK1913" s="9">
        <f>IFERROR(VLOOKUP($A1913,pivot!$A:$I,計算式2026!AK$1,FALSE),0)</f>
        <v>0</v>
      </c>
      <c r="AL1913" s="9">
        <f>IFERROR(VLOOKUP($A1913,pivot!$A:$I,計算式2026!AL$1,FALSE),0)</f>
        <v>0</v>
      </c>
      <c r="AR1913" s="8"/>
      <c r="AS1913" s="8"/>
      <c r="AT1913" s="8"/>
      <c r="AU1913" s="8"/>
      <c r="AV1913" s="8"/>
      <c r="AW1913" s="8"/>
      <c r="AX1913" s="8"/>
      <c r="AY1913" s="8"/>
      <c r="AZ1913" s="8"/>
      <c r="BA1913" s="8"/>
      <c r="BB1913" s="8"/>
      <c r="BC1913" s="8"/>
      <c r="BD1913" s="8"/>
      <c r="BE1913" s="8"/>
      <c r="BF1913" s="8"/>
      <c r="BG1913" s="8"/>
    </row>
    <row r="1914" spans="1:59" s="9" customFormat="1">
      <c r="A1914" s="8" t="s">
        <v>2373</v>
      </c>
      <c r="B1914" s="8" t="s">
        <v>2374</v>
      </c>
      <c r="C1914" s="9">
        <v>0</v>
      </c>
      <c r="D1914" s="9">
        <v>0</v>
      </c>
      <c r="E1914" s="9">
        <v>0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R1914" s="9">
        <v>1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AE1914" s="9">
        <f>IFERROR(VLOOKUP($A1914,pivot!$A:$G,計算式2026!AE$1,FALSE),0)</f>
        <v>0</v>
      </c>
      <c r="AF1914" s="9">
        <f>IFERROR(VLOOKUP($A1914,pivot!$A:$I,計算式2026!AF$1,FALSE),0)</f>
        <v>0</v>
      </c>
      <c r="AI1914" s="9">
        <f>IFERROR(VLOOKUP($A1914,pivot!$A:$I,計算式2026!AI$1,FALSE),0)</f>
        <v>0</v>
      </c>
      <c r="AJ1914" s="9">
        <f>IFERROR(VLOOKUP($A1914,pivot!$A:$I,計算式2026!AJ$1,FALSE),0)</f>
        <v>0</v>
      </c>
      <c r="AK1914" s="9">
        <f>IFERROR(VLOOKUP($A1914,pivot!$A:$I,計算式2026!AK$1,FALSE),0)</f>
        <v>0</v>
      </c>
      <c r="AL1914" s="9">
        <f>IFERROR(VLOOKUP($A1914,pivot!$A:$I,計算式2026!AL$1,FALSE),0)</f>
        <v>0</v>
      </c>
      <c r="AR1914" s="8"/>
      <c r="AS1914" s="8"/>
      <c r="AT1914" s="8"/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8"/>
      <c r="BG1914" s="8"/>
    </row>
    <row r="1915" spans="1:59" s="9" customFormat="1">
      <c r="A1915" s="8" t="s">
        <v>2375</v>
      </c>
      <c r="B1915" s="8" t="s">
        <v>2374</v>
      </c>
      <c r="C1915" s="9">
        <v>0</v>
      </c>
      <c r="D1915" s="9">
        <v>0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R1915" s="9">
        <v>1</v>
      </c>
      <c r="S1915" s="9">
        <v>2</v>
      </c>
      <c r="T1915" s="9">
        <v>2</v>
      </c>
      <c r="U1915" s="9">
        <v>0</v>
      </c>
      <c r="V1915" s="9">
        <v>0</v>
      </c>
      <c r="W1915" s="9">
        <v>0</v>
      </c>
      <c r="X1915" s="9">
        <v>1</v>
      </c>
      <c r="AE1915" s="9">
        <f>IFERROR(VLOOKUP($A1915,pivot!$A:$G,計算式2026!AE$1,FALSE),0)</f>
        <v>0</v>
      </c>
      <c r="AF1915" s="9">
        <f>IFERROR(VLOOKUP($A1915,pivot!$A:$I,計算式2026!AF$1,FALSE),0)</f>
        <v>0</v>
      </c>
      <c r="AI1915" s="9">
        <f>IFERROR(VLOOKUP($A1915,pivot!$A:$I,計算式2026!AI$1,FALSE),0)</f>
        <v>0</v>
      </c>
      <c r="AJ1915" s="9">
        <f>IFERROR(VLOOKUP($A1915,pivot!$A:$I,計算式2026!AJ$1,FALSE),0)</f>
        <v>0</v>
      </c>
      <c r="AK1915" s="9">
        <f>IFERROR(VLOOKUP($A1915,pivot!$A:$I,計算式2026!AK$1,FALSE),0)</f>
        <v>0</v>
      </c>
      <c r="AL1915" s="9">
        <f>IFERROR(VLOOKUP($A1915,pivot!$A:$I,計算式2026!AL$1,FALSE),0)</f>
        <v>0</v>
      </c>
      <c r="AR1915" s="8"/>
      <c r="AS1915" s="8"/>
      <c r="AT1915" s="8"/>
      <c r="AU1915" s="8"/>
      <c r="AV1915" s="8"/>
      <c r="AW1915" s="8"/>
      <c r="AX1915" s="8"/>
      <c r="AY1915" s="8"/>
      <c r="AZ1915" s="8"/>
      <c r="BA1915" s="8"/>
      <c r="BB1915" s="8"/>
      <c r="BC1915" s="8"/>
      <c r="BD1915" s="8"/>
      <c r="BE1915" s="8"/>
      <c r="BF1915" s="8"/>
      <c r="BG1915" s="8"/>
    </row>
    <row r="1916" spans="1:59" s="9" customFormat="1">
      <c r="A1916" s="8" t="s">
        <v>2376</v>
      </c>
      <c r="B1916" s="8" t="s">
        <v>2374</v>
      </c>
      <c r="C1916" s="9">
        <v>0</v>
      </c>
      <c r="D1916" s="9">
        <v>0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1</v>
      </c>
      <c r="AE1916" s="9">
        <f>IFERROR(VLOOKUP($A1916,pivot!$A:$G,計算式2026!AE$1,FALSE),0)</f>
        <v>0</v>
      </c>
      <c r="AF1916" s="9">
        <f>IFERROR(VLOOKUP($A1916,pivot!$A:$I,計算式2026!AF$1,FALSE),0)</f>
        <v>0</v>
      </c>
      <c r="AI1916" s="9">
        <f>IFERROR(VLOOKUP($A1916,pivot!$A:$I,計算式2026!AI$1,FALSE),0)</f>
        <v>0</v>
      </c>
      <c r="AJ1916" s="9">
        <f>IFERROR(VLOOKUP($A1916,pivot!$A:$I,計算式2026!AJ$1,FALSE),0)</f>
        <v>0</v>
      </c>
      <c r="AK1916" s="9">
        <f>IFERROR(VLOOKUP($A1916,pivot!$A:$I,計算式2026!AK$1,FALSE),0)</f>
        <v>0</v>
      </c>
      <c r="AL1916" s="9">
        <f>IFERROR(VLOOKUP($A1916,pivot!$A:$I,計算式2026!AL$1,FALSE),0)</f>
        <v>0</v>
      </c>
      <c r="AR1916" s="8"/>
      <c r="AS1916" s="8"/>
      <c r="AT1916" s="8"/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8"/>
      <c r="BG1916" s="8"/>
    </row>
    <row r="1917" spans="1:59" s="9" customFormat="1">
      <c r="A1917" s="8" t="s">
        <v>2377</v>
      </c>
      <c r="B1917" s="8" t="s">
        <v>2374</v>
      </c>
      <c r="C1917" s="9">
        <v>0</v>
      </c>
      <c r="D1917" s="9">
        <v>0</v>
      </c>
      <c r="E1917" s="9">
        <v>0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R1917" s="9">
        <v>0</v>
      </c>
      <c r="S1917" s="9">
        <v>0</v>
      </c>
      <c r="T1917" s="9">
        <v>1</v>
      </c>
      <c r="U1917" s="9">
        <v>0</v>
      </c>
      <c r="V1917" s="9">
        <v>0</v>
      </c>
      <c r="W1917" s="9">
        <v>0</v>
      </c>
      <c r="X1917" s="9">
        <v>0</v>
      </c>
      <c r="AE1917" s="9">
        <f>IFERROR(VLOOKUP($A1917,pivot!$A:$G,計算式2026!AE$1,FALSE),0)</f>
        <v>0</v>
      </c>
      <c r="AF1917" s="9">
        <f>IFERROR(VLOOKUP($A1917,pivot!$A:$I,計算式2026!AF$1,FALSE),0)</f>
        <v>0</v>
      </c>
      <c r="AI1917" s="9">
        <f>IFERROR(VLOOKUP($A1917,pivot!$A:$I,計算式2026!AI$1,FALSE),0)</f>
        <v>0</v>
      </c>
      <c r="AJ1917" s="9">
        <f>IFERROR(VLOOKUP($A1917,pivot!$A:$I,計算式2026!AJ$1,FALSE),0)</f>
        <v>0</v>
      </c>
      <c r="AK1917" s="9">
        <f>IFERROR(VLOOKUP($A1917,pivot!$A:$I,計算式2026!AK$1,FALSE),0)</f>
        <v>0</v>
      </c>
      <c r="AL1917" s="9">
        <f>IFERROR(VLOOKUP($A1917,pivot!$A:$I,計算式2026!AL$1,FALSE),0)</f>
        <v>0</v>
      </c>
      <c r="AR1917" s="8"/>
      <c r="AS1917" s="8"/>
      <c r="AT1917" s="8"/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8"/>
      <c r="BG1917" s="8"/>
    </row>
    <row r="1918" spans="1:59" s="9" customFormat="1">
      <c r="A1918" s="8" t="s">
        <v>2378</v>
      </c>
      <c r="B1918" s="8" t="s">
        <v>2379</v>
      </c>
      <c r="C1918" s="9">
        <v>1</v>
      </c>
      <c r="D1918" s="9">
        <v>0</v>
      </c>
      <c r="E1918" s="9">
        <v>0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R1918" s="9">
        <v>0</v>
      </c>
      <c r="S1918" s="9">
        <v>0</v>
      </c>
      <c r="T1918" s="9">
        <v>1</v>
      </c>
      <c r="U1918" s="9">
        <v>0</v>
      </c>
      <c r="V1918" s="9">
        <v>0</v>
      </c>
      <c r="W1918" s="9">
        <v>0</v>
      </c>
      <c r="X1918" s="9">
        <v>1</v>
      </c>
      <c r="AE1918" s="9">
        <f>IFERROR(VLOOKUP($A1918,pivot!$A:$G,計算式2026!AE$1,FALSE),0)</f>
        <v>0</v>
      </c>
      <c r="AF1918" s="9">
        <f>IFERROR(VLOOKUP($A1918,pivot!$A:$I,計算式2026!AF$1,FALSE),0)</f>
        <v>0</v>
      </c>
      <c r="AI1918" s="9">
        <f>IFERROR(VLOOKUP($A1918,pivot!$A:$I,計算式2026!AI$1,FALSE),0)</f>
        <v>0</v>
      </c>
      <c r="AJ1918" s="9">
        <f>IFERROR(VLOOKUP($A1918,pivot!$A:$I,計算式2026!AJ$1,FALSE),0)</f>
        <v>0</v>
      </c>
      <c r="AK1918" s="9">
        <f>IFERROR(VLOOKUP($A1918,pivot!$A:$I,計算式2026!AK$1,FALSE),0)</f>
        <v>0</v>
      </c>
      <c r="AL1918" s="9">
        <f>IFERROR(VLOOKUP($A1918,pivot!$A:$I,計算式2026!AL$1,FALSE),0)</f>
        <v>0</v>
      </c>
      <c r="AR1918" s="8"/>
      <c r="AS1918" s="8"/>
      <c r="AT1918" s="8"/>
      <c r="AU1918" s="8"/>
      <c r="AV1918" s="8"/>
      <c r="AW1918" s="8"/>
      <c r="AX1918" s="8"/>
      <c r="AY1918" s="8"/>
      <c r="AZ1918" s="8"/>
      <c r="BA1918" s="8"/>
      <c r="BB1918" s="8"/>
      <c r="BC1918" s="8"/>
      <c r="BD1918" s="8"/>
      <c r="BE1918" s="8"/>
      <c r="BF1918" s="8"/>
      <c r="BG1918" s="8"/>
    </row>
    <row r="1919" spans="1:59" s="9" customFormat="1">
      <c r="A1919" s="8" t="s">
        <v>2380</v>
      </c>
      <c r="B1919" s="8" t="s">
        <v>2379</v>
      </c>
      <c r="C1919" s="9">
        <v>5</v>
      </c>
      <c r="D1919" s="9">
        <v>0</v>
      </c>
      <c r="E1919" s="9">
        <v>0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R1919" s="9">
        <v>0</v>
      </c>
      <c r="S1919" s="9">
        <v>0</v>
      </c>
      <c r="T1919" s="9">
        <v>1</v>
      </c>
      <c r="U1919" s="9">
        <v>0</v>
      </c>
      <c r="V1919" s="9">
        <v>0</v>
      </c>
      <c r="W1919" s="9">
        <v>0</v>
      </c>
      <c r="X1919" s="9">
        <v>1</v>
      </c>
      <c r="AE1919" s="9">
        <f>IFERROR(VLOOKUP($A1919,pivot!$A:$G,計算式2026!AE$1,FALSE),0)</f>
        <v>0</v>
      </c>
      <c r="AF1919" s="9">
        <f>IFERROR(VLOOKUP($A1919,pivot!$A:$I,計算式2026!AF$1,FALSE),0)</f>
        <v>0</v>
      </c>
      <c r="AI1919" s="9">
        <f>IFERROR(VLOOKUP($A1919,pivot!$A:$I,計算式2026!AI$1,FALSE),0)</f>
        <v>0</v>
      </c>
      <c r="AJ1919" s="9">
        <f>IFERROR(VLOOKUP($A1919,pivot!$A:$I,計算式2026!AJ$1,FALSE),0)</f>
        <v>0</v>
      </c>
      <c r="AK1919" s="9">
        <f>IFERROR(VLOOKUP($A1919,pivot!$A:$I,計算式2026!AK$1,FALSE),0)</f>
        <v>0</v>
      </c>
      <c r="AL1919" s="9">
        <f>IFERROR(VLOOKUP($A1919,pivot!$A:$I,計算式2026!AL$1,FALSE),0)</f>
        <v>0</v>
      </c>
      <c r="AR1919" s="8"/>
      <c r="AS1919" s="8"/>
      <c r="AT1919" s="8"/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8"/>
      <c r="BG1919" s="8"/>
    </row>
    <row r="1920" spans="1:59" s="9" customFormat="1">
      <c r="A1920" s="8" t="s">
        <v>2381</v>
      </c>
      <c r="B1920" s="8" t="s">
        <v>2379</v>
      </c>
      <c r="C1920" s="9">
        <v>2</v>
      </c>
      <c r="D1920" s="9">
        <v>0</v>
      </c>
      <c r="E1920" s="9">
        <v>0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R1920" s="9">
        <v>0</v>
      </c>
      <c r="S1920" s="9">
        <v>0</v>
      </c>
      <c r="T1920" s="9">
        <v>1</v>
      </c>
      <c r="U1920" s="9">
        <v>0</v>
      </c>
      <c r="V1920" s="9">
        <v>0</v>
      </c>
      <c r="W1920" s="9">
        <v>0</v>
      </c>
      <c r="X1920" s="9">
        <v>1</v>
      </c>
      <c r="AE1920" s="9">
        <f>IFERROR(VLOOKUP($A1920,pivot!$A:$G,計算式2026!AE$1,FALSE),0)</f>
        <v>0</v>
      </c>
      <c r="AF1920" s="9">
        <f>IFERROR(VLOOKUP($A1920,pivot!$A:$I,計算式2026!AF$1,FALSE),0)</f>
        <v>0</v>
      </c>
      <c r="AI1920" s="9">
        <f>IFERROR(VLOOKUP($A1920,pivot!$A:$I,計算式2026!AI$1,FALSE),0)</f>
        <v>0</v>
      </c>
      <c r="AJ1920" s="9">
        <f>IFERROR(VLOOKUP($A1920,pivot!$A:$I,計算式2026!AJ$1,FALSE),0)</f>
        <v>0</v>
      </c>
      <c r="AK1920" s="9">
        <f>IFERROR(VLOOKUP($A1920,pivot!$A:$I,計算式2026!AK$1,FALSE),0)</f>
        <v>0</v>
      </c>
      <c r="AL1920" s="9">
        <f>IFERROR(VLOOKUP($A1920,pivot!$A:$I,計算式2026!AL$1,FALSE),0)</f>
        <v>0</v>
      </c>
      <c r="AR1920" s="8"/>
      <c r="AS1920" s="8"/>
      <c r="AT1920" s="8"/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8"/>
      <c r="BG1920" s="8"/>
    </row>
    <row r="1921" spans="1:59" s="9" customFormat="1">
      <c r="A1921" s="8" t="s">
        <v>2382</v>
      </c>
      <c r="B1921" s="8" t="s">
        <v>2379</v>
      </c>
      <c r="C1921" s="9">
        <v>2</v>
      </c>
      <c r="D1921" s="9">
        <v>0</v>
      </c>
      <c r="E1921" s="9">
        <v>0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R1921" s="9">
        <v>0</v>
      </c>
      <c r="S1921" s="9">
        <v>0</v>
      </c>
      <c r="T1921" s="9">
        <v>1</v>
      </c>
      <c r="U1921" s="9">
        <v>0</v>
      </c>
      <c r="V1921" s="9">
        <v>0</v>
      </c>
      <c r="W1921" s="9">
        <v>0</v>
      </c>
      <c r="X1921" s="9">
        <v>1</v>
      </c>
      <c r="AE1921" s="9">
        <f>IFERROR(VLOOKUP($A1921,pivot!$A:$G,計算式2026!AE$1,FALSE),0)</f>
        <v>0</v>
      </c>
      <c r="AF1921" s="9">
        <f>IFERROR(VLOOKUP($A1921,pivot!$A:$I,計算式2026!AF$1,FALSE),0)</f>
        <v>0</v>
      </c>
      <c r="AI1921" s="9">
        <f>IFERROR(VLOOKUP($A1921,pivot!$A:$I,計算式2026!AI$1,FALSE),0)</f>
        <v>0</v>
      </c>
      <c r="AJ1921" s="9">
        <f>IFERROR(VLOOKUP($A1921,pivot!$A:$I,計算式2026!AJ$1,FALSE),0)</f>
        <v>0</v>
      </c>
      <c r="AK1921" s="9">
        <f>IFERROR(VLOOKUP($A1921,pivot!$A:$I,計算式2026!AK$1,FALSE),0)</f>
        <v>0</v>
      </c>
      <c r="AL1921" s="9">
        <f>IFERROR(VLOOKUP($A1921,pivot!$A:$I,計算式2026!AL$1,FALSE),0)</f>
        <v>0</v>
      </c>
      <c r="AR1921" s="8"/>
      <c r="AS1921" s="8"/>
      <c r="AT1921" s="8"/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8"/>
      <c r="BG1921" s="8"/>
    </row>
    <row r="1922" spans="1:59" s="9" customFormat="1">
      <c r="A1922" s="8" t="s">
        <v>2383</v>
      </c>
      <c r="B1922" s="8" t="s">
        <v>2379</v>
      </c>
      <c r="C1922" s="9">
        <v>5</v>
      </c>
      <c r="D1922" s="9">
        <v>0</v>
      </c>
      <c r="E1922" s="9">
        <v>0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R1922" s="9">
        <v>0</v>
      </c>
      <c r="S1922" s="9">
        <v>0</v>
      </c>
      <c r="T1922" s="9">
        <v>1</v>
      </c>
      <c r="U1922" s="9">
        <v>0</v>
      </c>
      <c r="V1922" s="9">
        <v>0</v>
      </c>
      <c r="W1922" s="9">
        <v>0</v>
      </c>
      <c r="X1922" s="9">
        <v>1</v>
      </c>
      <c r="AE1922" s="9">
        <f>IFERROR(VLOOKUP($A1922,pivot!$A:$G,計算式2026!AE$1,FALSE),0)</f>
        <v>0</v>
      </c>
      <c r="AF1922" s="9">
        <f>IFERROR(VLOOKUP($A1922,pivot!$A:$I,計算式2026!AF$1,FALSE),0)</f>
        <v>0</v>
      </c>
      <c r="AI1922" s="9">
        <f>IFERROR(VLOOKUP($A1922,pivot!$A:$I,計算式2026!AI$1,FALSE),0)</f>
        <v>0</v>
      </c>
      <c r="AJ1922" s="9">
        <f>IFERROR(VLOOKUP($A1922,pivot!$A:$I,計算式2026!AJ$1,FALSE),0)</f>
        <v>0</v>
      </c>
      <c r="AK1922" s="9">
        <f>IFERROR(VLOOKUP($A1922,pivot!$A:$I,計算式2026!AK$1,FALSE),0)</f>
        <v>0</v>
      </c>
      <c r="AL1922" s="9">
        <f>IFERROR(VLOOKUP($A1922,pivot!$A:$I,計算式2026!AL$1,FALSE),0)</f>
        <v>0</v>
      </c>
      <c r="AR1922" s="8"/>
      <c r="AS1922" s="8"/>
      <c r="AT1922" s="8"/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8"/>
      <c r="BG1922" s="8"/>
    </row>
    <row r="1923" spans="1:59" s="9" customFormat="1">
      <c r="A1923" s="8" t="s">
        <v>2384</v>
      </c>
      <c r="B1923" s="8" t="s">
        <v>2379</v>
      </c>
      <c r="C1923" s="9">
        <v>1</v>
      </c>
      <c r="D1923" s="9">
        <v>0</v>
      </c>
      <c r="E1923" s="9">
        <v>0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R1923" s="9">
        <v>0</v>
      </c>
      <c r="S1923" s="9">
        <v>0</v>
      </c>
      <c r="T1923" s="9">
        <v>1</v>
      </c>
      <c r="U1923" s="9">
        <v>0</v>
      </c>
      <c r="V1923" s="9">
        <v>0</v>
      </c>
      <c r="W1923" s="9">
        <v>0</v>
      </c>
      <c r="X1923" s="9">
        <v>1</v>
      </c>
      <c r="AE1923" s="9">
        <f>IFERROR(VLOOKUP($A1923,pivot!$A:$G,計算式2026!AE$1,FALSE),0)</f>
        <v>0</v>
      </c>
      <c r="AF1923" s="9">
        <f>IFERROR(VLOOKUP($A1923,pivot!$A:$I,計算式2026!AF$1,FALSE),0)</f>
        <v>0</v>
      </c>
      <c r="AI1923" s="9">
        <f>IFERROR(VLOOKUP($A1923,pivot!$A:$I,計算式2026!AI$1,FALSE),0)</f>
        <v>0</v>
      </c>
      <c r="AJ1923" s="9">
        <f>IFERROR(VLOOKUP($A1923,pivot!$A:$I,計算式2026!AJ$1,FALSE),0)</f>
        <v>0</v>
      </c>
      <c r="AK1923" s="9">
        <f>IFERROR(VLOOKUP($A1923,pivot!$A:$I,計算式2026!AK$1,FALSE),0)</f>
        <v>0</v>
      </c>
      <c r="AL1923" s="9">
        <f>IFERROR(VLOOKUP($A1923,pivot!$A:$I,計算式2026!AL$1,FALSE),0)</f>
        <v>0</v>
      </c>
      <c r="AR1923" s="8"/>
      <c r="AS1923" s="8"/>
      <c r="AT1923" s="8"/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8"/>
      <c r="BG1923" s="8"/>
    </row>
    <row r="1924" spans="1:59" s="9" customFormat="1">
      <c r="A1924" s="8" t="s">
        <v>1821</v>
      </c>
      <c r="B1924" s="8" t="s">
        <v>776</v>
      </c>
      <c r="C1924" s="9">
        <v>0</v>
      </c>
      <c r="D1924" s="9">
        <v>0</v>
      </c>
      <c r="E1924" s="9">
        <v>0</v>
      </c>
      <c r="F1924" s="9">
        <v>0</v>
      </c>
      <c r="G1924" s="9">
        <v>0</v>
      </c>
      <c r="H1924" s="9">
        <v>0</v>
      </c>
      <c r="I1924" s="9">
        <v>0</v>
      </c>
      <c r="J1924" s="9">
        <v>0</v>
      </c>
      <c r="K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1</v>
      </c>
      <c r="AE1924" s="9">
        <f>IFERROR(VLOOKUP($A1924,pivot!$A:$G,計算式2026!AE$1,FALSE),0)</f>
        <v>0</v>
      </c>
      <c r="AF1924" s="9">
        <f>IFERROR(VLOOKUP($A1924,pivot!$A:$I,計算式2026!AF$1,FALSE),0)</f>
        <v>0</v>
      </c>
      <c r="AI1924" s="9">
        <f>IFERROR(VLOOKUP($A1924,pivot!$A:$I,計算式2026!AI$1,FALSE),0)</f>
        <v>0</v>
      </c>
      <c r="AJ1924" s="9">
        <f>IFERROR(VLOOKUP($A1924,pivot!$A:$I,計算式2026!AJ$1,FALSE),0)</f>
        <v>0</v>
      </c>
      <c r="AK1924" s="9">
        <f>IFERROR(VLOOKUP($A1924,pivot!$A:$I,計算式2026!AK$1,FALSE),0)</f>
        <v>0</v>
      </c>
      <c r="AL1924" s="9">
        <f>IFERROR(VLOOKUP($A1924,pivot!$A:$I,計算式2026!AL$1,FALSE),0)</f>
        <v>0</v>
      </c>
      <c r="AR1924" s="8"/>
      <c r="AS1924" s="8"/>
      <c r="AT1924" s="8"/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8"/>
      <c r="BG1924" s="8"/>
    </row>
    <row r="1925" spans="1:59" s="9" customFormat="1">
      <c r="A1925" s="8" t="s">
        <v>1822</v>
      </c>
      <c r="B1925" s="8" t="s">
        <v>776</v>
      </c>
      <c r="C1925" s="9">
        <v>0</v>
      </c>
      <c r="D1925" s="9">
        <v>0</v>
      </c>
      <c r="E1925" s="9">
        <v>0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1</v>
      </c>
      <c r="AE1925" s="9">
        <f>IFERROR(VLOOKUP($A1925,pivot!$A:$G,計算式2026!AE$1,FALSE),0)</f>
        <v>0</v>
      </c>
      <c r="AF1925" s="9">
        <f>IFERROR(VLOOKUP($A1925,pivot!$A:$I,計算式2026!AF$1,FALSE),0)</f>
        <v>0</v>
      </c>
      <c r="AI1925" s="9">
        <f>IFERROR(VLOOKUP($A1925,pivot!$A:$I,計算式2026!AI$1,FALSE),0)</f>
        <v>0</v>
      </c>
      <c r="AJ1925" s="9">
        <f>IFERROR(VLOOKUP($A1925,pivot!$A:$I,計算式2026!AJ$1,FALSE),0)</f>
        <v>0</v>
      </c>
      <c r="AK1925" s="9">
        <f>IFERROR(VLOOKUP($A1925,pivot!$A:$I,計算式2026!AK$1,FALSE),0)</f>
        <v>0</v>
      </c>
      <c r="AL1925" s="9">
        <f>IFERROR(VLOOKUP($A1925,pivot!$A:$I,計算式2026!AL$1,FALSE),0)</f>
        <v>0</v>
      </c>
      <c r="AR1925" s="8"/>
      <c r="AS1925" s="8"/>
      <c r="AT1925" s="8"/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8"/>
      <c r="BG1925" s="8"/>
    </row>
    <row r="1926" spans="1:59" s="9" customFormat="1">
      <c r="A1926" s="8" t="s">
        <v>1633</v>
      </c>
      <c r="B1926" s="8" t="s">
        <v>776</v>
      </c>
      <c r="C1926" s="9">
        <v>0</v>
      </c>
      <c r="D1926" s="9">
        <v>0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R1926" s="9">
        <v>0</v>
      </c>
      <c r="S1926" s="9">
        <v>1</v>
      </c>
      <c r="T1926" s="9">
        <v>1</v>
      </c>
      <c r="U1926" s="9">
        <v>0</v>
      </c>
      <c r="V1926" s="9">
        <v>1</v>
      </c>
      <c r="W1926" s="9">
        <v>0</v>
      </c>
      <c r="X1926" s="9">
        <v>1</v>
      </c>
      <c r="AE1926" s="9">
        <f>IFERROR(VLOOKUP($A1926,pivot!$A:$G,計算式2026!AE$1,FALSE),0)</f>
        <v>0</v>
      </c>
      <c r="AF1926" s="9">
        <f>IFERROR(VLOOKUP($A1926,pivot!$A:$I,計算式2026!AF$1,FALSE),0)</f>
        <v>0</v>
      </c>
      <c r="AI1926" s="9">
        <f>IFERROR(VLOOKUP($A1926,pivot!$A:$I,計算式2026!AI$1,FALSE),0)</f>
        <v>0</v>
      </c>
      <c r="AJ1926" s="9">
        <f>IFERROR(VLOOKUP($A1926,pivot!$A:$I,計算式2026!AJ$1,FALSE),0)</f>
        <v>0</v>
      </c>
      <c r="AK1926" s="9">
        <f>IFERROR(VLOOKUP($A1926,pivot!$A:$I,計算式2026!AK$1,FALSE),0)</f>
        <v>0</v>
      </c>
      <c r="AL1926" s="9">
        <f>IFERROR(VLOOKUP($A1926,pivot!$A:$I,計算式2026!AL$1,FALSE),0)</f>
        <v>0</v>
      </c>
      <c r="AR1926" s="8"/>
      <c r="AS1926" s="8"/>
      <c r="AT1926" s="8"/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8"/>
      <c r="BG1926" s="8"/>
    </row>
    <row r="1927" spans="1:59" s="9" customFormat="1">
      <c r="A1927" s="8" t="s">
        <v>1634</v>
      </c>
      <c r="B1927" s="8" t="s">
        <v>776</v>
      </c>
      <c r="C1927" s="9">
        <v>1</v>
      </c>
      <c r="D1927" s="9">
        <v>0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R1927" s="9">
        <v>1</v>
      </c>
      <c r="S1927" s="9">
        <v>2</v>
      </c>
      <c r="T1927" s="9">
        <v>1</v>
      </c>
      <c r="U1927" s="9">
        <v>0</v>
      </c>
      <c r="V1927" s="9">
        <v>2</v>
      </c>
      <c r="W1927" s="9">
        <v>0</v>
      </c>
      <c r="X1927" s="9">
        <v>1</v>
      </c>
      <c r="AE1927" s="9">
        <f>IFERROR(VLOOKUP($A1927,pivot!$A:$G,計算式2026!AE$1,FALSE),0)</f>
        <v>0</v>
      </c>
      <c r="AF1927" s="9">
        <f>IFERROR(VLOOKUP($A1927,pivot!$A:$I,計算式2026!AF$1,FALSE),0)</f>
        <v>0</v>
      </c>
      <c r="AI1927" s="9">
        <f>IFERROR(VLOOKUP($A1927,pivot!$A:$I,計算式2026!AI$1,FALSE),0)</f>
        <v>0</v>
      </c>
      <c r="AJ1927" s="9">
        <f>IFERROR(VLOOKUP($A1927,pivot!$A:$I,計算式2026!AJ$1,FALSE),0)</f>
        <v>0</v>
      </c>
      <c r="AK1927" s="9">
        <f>IFERROR(VLOOKUP($A1927,pivot!$A:$I,計算式2026!AK$1,FALSE),0)</f>
        <v>0</v>
      </c>
      <c r="AL1927" s="9">
        <f>IFERROR(VLOOKUP($A1927,pivot!$A:$I,計算式2026!AL$1,FALSE),0)</f>
        <v>0</v>
      </c>
      <c r="AR1927" s="8"/>
      <c r="AS1927" s="8"/>
      <c r="AT1927" s="8"/>
      <c r="AU1927" s="8"/>
      <c r="AV1927" s="8"/>
      <c r="AW1927" s="8"/>
      <c r="AX1927" s="8"/>
      <c r="AY1927" s="8"/>
      <c r="AZ1927" s="8"/>
      <c r="BA1927" s="8"/>
      <c r="BB1927" s="8"/>
      <c r="BC1927" s="8"/>
      <c r="BD1927" s="8"/>
      <c r="BE1927" s="8"/>
      <c r="BF1927" s="8"/>
      <c r="BG1927" s="8"/>
    </row>
    <row r="1928" spans="1:59" s="9" customFormat="1">
      <c r="A1928" s="8" t="s">
        <v>1635</v>
      </c>
      <c r="B1928" s="8" t="s">
        <v>776</v>
      </c>
      <c r="C1928" s="9">
        <v>0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1</v>
      </c>
      <c r="AE1928" s="9">
        <f>IFERROR(VLOOKUP($A1928,pivot!$A:$G,計算式2026!AE$1,FALSE),0)</f>
        <v>0</v>
      </c>
      <c r="AF1928" s="9">
        <f>IFERROR(VLOOKUP($A1928,pivot!$A:$I,計算式2026!AF$1,FALSE),0)</f>
        <v>0</v>
      </c>
      <c r="AI1928" s="9">
        <f>IFERROR(VLOOKUP($A1928,pivot!$A:$I,計算式2026!AI$1,FALSE),0)</f>
        <v>0</v>
      </c>
      <c r="AJ1928" s="9">
        <f>IFERROR(VLOOKUP($A1928,pivot!$A:$I,計算式2026!AJ$1,FALSE),0)</f>
        <v>0</v>
      </c>
      <c r="AK1928" s="9">
        <f>IFERROR(VLOOKUP($A1928,pivot!$A:$I,計算式2026!AK$1,FALSE),0)</f>
        <v>0</v>
      </c>
      <c r="AL1928" s="9">
        <f>IFERROR(VLOOKUP($A1928,pivot!$A:$I,計算式2026!AL$1,FALSE),0)</f>
        <v>0</v>
      </c>
      <c r="AR1928" s="8"/>
      <c r="AS1928" s="8"/>
      <c r="AT1928" s="8"/>
      <c r="AU1928" s="8"/>
      <c r="AV1928" s="8"/>
      <c r="AW1928" s="8"/>
      <c r="AX1928" s="8"/>
      <c r="AY1928" s="8"/>
      <c r="AZ1928" s="8"/>
      <c r="BA1928" s="8"/>
      <c r="BB1928" s="8"/>
      <c r="BC1928" s="8"/>
      <c r="BD1928" s="8"/>
      <c r="BE1928" s="8"/>
      <c r="BF1928" s="8"/>
      <c r="BG1928" s="8"/>
    </row>
    <row r="1929" spans="1:59" s="9" customFormat="1">
      <c r="A1929" s="8" t="s">
        <v>1823</v>
      </c>
      <c r="B1929" s="8" t="s">
        <v>776</v>
      </c>
      <c r="C1929" s="9">
        <v>0</v>
      </c>
      <c r="D1929" s="9">
        <v>0</v>
      </c>
      <c r="E1929" s="9">
        <v>0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R1929" s="9">
        <v>0</v>
      </c>
      <c r="S1929" s="9">
        <v>1</v>
      </c>
      <c r="T1929" s="9">
        <v>0</v>
      </c>
      <c r="U1929" s="9">
        <v>0</v>
      </c>
      <c r="V1929" s="9">
        <v>1</v>
      </c>
      <c r="W1929" s="9">
        <v>0</v>
      </c>
      <c r="X1929" s="9">
        <v>2</v>
      </c>
      <c r="AE1929" s="9">
        <f>IFERROR(VLOOKUP($A1929,pivot!$A:$G,計算式2026!AE$1,FALSE),0)</f>
        <v>0</v>
      </c>
      <c r="AF1929" s="9">
        <f>IFERROR(VLOOKUP($A1929,pivot!$A:$I,計算式2026!AF$1,FALSE),0)</f>
        <v>0</v>
      </c>
      <c r="AI1929" s="9">
        <f>IFERROR(VLOOKUP($A1929,pivot!$A:$I,計算式2026!AI$1,FALSE),0)</f>
        <v>0</v>
      </c>
      <c r="AJ1929" s="9">
        <f>IFERROR(VLOOKUP($A1929,pivot!$A:$I,計算式2026!AJ$1,FALSE),0)</f>
        <v>0</v>
      </c>
      <c r="AK1929" s="9">
        <f>IFERROR(VLOOKUP($A1929,pivot!$A:$I,計算式2026!AK$1,FALSE),0)</f>
        <v>0</v>
      </c>
      <c r="AL1929" s="9">
        <f>IFERROR(VLOOKUP($A1929,pivot!$A:$I,計算式2026!AL$1,FALSE),0)</f>
        <v>0</v>
      </c>
      <c r="AR1929" s="8"/>
      <c r="AS1929" s="8"/>
      <c r="AT1929" s="8"/>
      <c r="AU1929" s="8"/>
      <c r="AV1929" s="8"/>
      <c r="AW1929" s="8"/>
      <c r="AX1929" s="8"/>
      <c r="AY1929" s="8"/>
      <c r="AZ1929" s="8"/>
      <c r="BA1929" s="8"/>
      <c r="BB1929" s="8"/>
      <c r="BC1929" s="8"/>
      <c r="BD1929" s="8"/>
      <c r="BE1929" s="8"/>
      <c r="BF1929" s="8"/>
      <c r="BG1929" s="8"/>
    </row>
    <row r="1930" spans="1:59" s="9" customFormat="1">
      <c r="A1930" s="8" t="s">
        <v>1824</v>
      </c>
      <c r="B1930" s="8" t="s">
        <v>776</v>
      </c>
      <c r="C1930" s="9">
        <v>0</v>
      </c>
      <c r="D1930" s="9">
        <v>0</v>
      </c>
      <c r="E1930" s="9">
        <v>0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R1930" s="9">
        <v>1</v>
      </c>
      <c r="S1930" s="9">
        <v>1</v>
      </c>
      <c r="T1930" s="9">
        <v>0</v>
      </c>
      <c r="U1930" s="9">
        <v>0</v>
      </c>
      <c r="V1930" s="9">
        <v>1</v>
      </c>
      <c r="W1930" s="9">
        <v>0</v>
      </c>
      <c r="X1930" s="9">
        <v>1</v>
      </c>
      <c r="AE1930" s="9">
        <f>IFERROR(VLOOKUP($A1930,pivot!$A:$G,計算式2026!AE$1,FALSE),0)</f>
        <v>0</v>
      </c>
      <c r="AF1930" s="9">
        <f>IFERROR(VLOOKUP($A1930,pivot!$A:$I,計算式2026!AF$1,FALSE),0)</f>
        <v>0</v>
      </c>
      <c r="AI1930" s="9">
        <f>IFERROR(VLOOKUP($A1930,pivot!$A:$I,計算式2026!AI$1,FALSE),0)</f>
        <v>0</v>
      </c>
      <c r="AJ1930" s="9">
        <f>IFERROR(VLOOKUP($A1930,pivot!$A:$I,計算式2026!AJ$1,FALSE),0)</f>
        <v>0</v>
      </c>
      <c r="AK1930" s="9">
        <f>IFERROR(VLOOKUP($A1930,pivot!$A:$I,計算式2026!AK$1,FALSE),0)</f>
        <v>0</v>
      </c>
      <c r="AL1930" s="9">
        <f>IFERROR(VLOOKUP($A1930,pivot!$A:$I,計算式2026!AL$1,FALSE),0)</f>
        <v>0</v>
      </c>
      <c r="AR1930" s="8"/>
      <c r="AS1930" s="8"/>
      <c r="AT1930" s="8"/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8"/>
      <c r="BG1930" s="8"/>
    </row>
    <row r="1931" spans="1:59" s="9" customFormat="1">
      <c r="A1931" s="8" t="s">
        <v>2385</v>
      </c>
      <c r="B1931" s="8" t="s">
        <v>776</v>
      </c>
      <c r="C1931" s="9">
        <v>0</v>
      </c>
      <c r="D1931" s="9">
        <v>0</v>
      </c>
      <c r="E1931" s="9">
        <v>0</v>
      </c>
      <c r="F1931" s="9">
        <v>0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1</v>
      </c>
      <c r="AE1931" s="9">
        <f>IFERROR(VLOOKUP($A1931,pivot!$A:$G,計算式2026!AE$1,FALSE),0)</f>
        <v>0</v>
      </c>
      <c r="AF1931" s="9">
        <f>IFERROR(VLOOKUP($A1931,pivot!$A:$I,計算式2026!AF$1,FALSE),0)</f>
        <v>0</v>
      </c>
      <c r="AI1931" s="9">
        <f>IFERROR(VLOOKUP($A1931,pivot!$A:$I,計算式2026!AI$1,FALSE),0)</f>
        <v>0</v>
      </c>
      <c r="AJ1931" s="9">
        <f>IFERROR(VLOOKUP($A1931,pivot!$A:$I,計算式2026!AJ$1,FALSE),0)</f>
        <v>0</v>
      </c>
      <c r="AK1931" s="9">
        <f>IFERROR(VLOOKUP($A1931,pivot!$A:$I,計算式2026!AK$1,FALSE),0)</f>
        <v>0</v>
      </c>
      <c r="AL1931" s="9">
        <f>IFERROR(VLOOKUP($A1931,pivot!$A:$I,計算式2026!AL$1,FALSE),0)</f>
        <v>0</v>
      </c>
      <c r="AR1931" s="8"/>
      <c r="AS1931" s="8"/>
      <c r="AT1931" s="8"/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8"/>
      <c r="BG1931" s="8"/>
    </row>
    <row r="1932" spans="1:59" s="9" customFormat="1">
      <c r="A1932" s="8" t="s">
        <v>1636</v>
      </c>
      <c r="B1932" s="8" t="s">
        <v>776</v>
      </c>
      <c r="C1932" s="9">
        <v>0</v>
      </c>
      <c r="D1932" s="9">
        <v>0</v>
      </c>
      <c r="E1932" s="9">
        <v>0</v>
      </c>
      <c r="F1932" s="9">
        <v>0</v>
      </c>
      <c r="G1932" s="9">
        <v>0</v>
      </c>
      <c r="H1932" s="9">
        <v>0</v>
      </c>
      <c r="I1932" s="9">
        <v>0</v>
      </c>
      <c r="J1932" s="9">
        <v>0</v>
      </c>
      <c r="K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1</v>
      </c>
      <c r="W1932" s="9">
        <v>0</v>
      </c>
      <c r="X1932" s="9">
        <v>1</v>
      </c>
      <c r="AE1932" s="9">
        <f>IFERROR(VLOOKUP($A1932,pivot!$A:$G,計算式2026!AE$1,FALSE),0)</f>
        <v>0</v>
      </c>
      <c r="AF1932" s="9">
        <f>IFERROR(VLOOKUP($A1932,pivot!$A:$I,計算式2026!AF$1,FALSE),0)</f>
        <v>0</v>
      </c>
      <c r="AI1932" s="9">
        <f>IFERROR(VLOOKUP($A1932,pivot!$A:$I,計算式2026!AI$1,FALSE),0)</f>
        <v>0</v>
      </c>
      <c r="AJ1932" s="9">
        <f>IFERROR(VLOOKUP($A1932,pivot!$A:$I,計算式2026!AJ$1,FALSE),0)</f>
        <v>0</v>
      </c>
      <c r="AK1932" s="9">
        <f>IFERROR(VLOOKUP($A1932,pivot!$A:$I,計算式2026!AK$1,FALSE),0)</f>
        <v>0</v>
      </c>
      <c r="AL1932" s="9">
        <f>IFERROR(VLOOKUP($A1932,pivot!$A:$I,計算式2026!AL$1,FALSE),0)</f>
        <v>0</v>
      </c>
      <c r="AR1932" s="8"/>
      <c r="AS1932" s="8"/>
      <c r="AT1932" s="8"/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8"/>
      <c r="BG1932" s="8"/>
    </row>
    <row r="1933" spans="1:59" s="9" customFormat="1">
      <c r="A1933" s="8" t="s">
        <v>1637</v>
      </c>
      <c r="B1933" s="8" t="s">
        <v>776</v>
      </c>
      <c r="C1933" s="9">
        <v>0</v>
      </c>
      <c r="D1933" s="9">
        <v>0</v>
      </c>
      <c r="E1933" s="9">
        <v>0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R1933" s="9">
        <v>1</v>
      </c>
      <c r="S1933" s="9">
        <v>2</v>
      </c>
      <c r="T1933" s="9">
        <v>0</v>
      </c>
      <c r="U1933" s="9">
        <v>0</v>
      </c>
      <c r="V1933" s="9">
        <v>0</v>
      </c>
      <c r="W1933" s="9">
        <v>0</v>
      </c>
      <c r="X1933" s="9">
        <v>1</v>
      </c>
      <c r="AE1933" s="9">
        <f>IFERROR(VLOOKUP($A1933,pivot!$A:$G,計算式2026!AE$1,FALSE),0)</f>
        <v>0</v>
      </c>
      <c r="AF1933" s="9">
        <f>IFERROR(VLOOKUP($A1933,pivot!$A:$I,計算式2026!AF$1,FALSE),0)</f>
        <v>0</v>
      </c>
      <c r="AI1933" s="9">
        <f>IFERROR(VLOOKUP($A1933,pivot!$A:$I,計算式2026!AI$1,FALSE),0)</f>
        <v>0</v>
      </c>
      <c r="AJ1933" s="9">
        <f>IFERROR(VLOOKUP($A1933,pivot!$A:$I,計算式2026!AJ$1,FALSE),0)</f>
        <v>0</v>
      </c>
      <c r="AK1933" s="9">
        <f>IFERROR(VLOOKUP($A1933,pivot!$A:$I,計算式2026!AK$1,FALSE),0)</f>
        <v>0</v>
      </c>
      <c r="AL1933" s="9">
        <f>IFERROR(VLOOKUP($A1933,pivot!$A:$I,計算式2026!AL$1,FALSE),0)</f>
        <v>0</v>
      </c>
      <c r="AR1933" s="8"/>
      <c r="AS1933" s="8"/>
      <c r="AT1933" s="8"/>
      <c r="AU1933" s="8"/>
      <c r="AV1933" s="8"/>
      <c r="AW1933" s="8"/>
      <c r="AX1933" s="8"/>
      <c r="AY1933" s="8"/>
      <c r="AZ1933" s="8"/>
      <c r="BA1933" s="8"/>
      <c r="BB1933" s="8"/>
      <c r="BC1933" s="8"/>
      <c r="BD1933" s="8"/>
      <c r="BE1933" s="8"/>
      <c r="BF1933" s="8"/>
      <c r="BG1933" s="8"/>
    </row>
    <row r="1934" spans="1:59" s="9" customFormat="1">
      <c r="A1934" s="8" t="s">
        <v>1638</v>
      </c>
      <c r="B1934" s="8" t="s">
        <v>776</v>
      </c>
      <c r="C1934" s="9">
        <v>0</v>
      </c>
      <c r="D1934" s="9">
        <v>0</v>
      </c>
      <c r="E1934" s="9">
        <v>0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1</v>
      </c>
      <c r="AE1934" s="9">
        <f>IFERROR(VLOOKUP($A1934,pivot!$A:$G,計算式2026!AE$1,FALSE),0)</f>
        <v>0</v>
      </c>
      <c r="AF1934" s="9">
        <f>IFERROR(VLOOKUP($A1934,pivot!$A:$I,計算式2026!AF$1,FALSE),0)</f>
        <v>0</v>
      </c>
      <c r="AI1934" s="9">
        <f>IFERROR(VLOOKUP($A1934,pivot!$A:$I,計算式2026!AI$1,FALSE),0)</f>
        <v>0</v>
      </c>
      <c r="AJ1934" s="9">
        <f>IFERROR(VLOOKUP($A1934,pivot!$A:$I,計算式2026!AJ$1,FALSE),0)</f>
        <v>0</v>
      </c>
      <c r="AK1934" s="9">
        <f>IFERROR(VLOOKUP($A1934,pivot!$A:$I,計算式2026!AK$1,FALSE),0)</f>
        <v>0</v>
      </c>
      <c r="AL1934" s="9">
        <f>IFERROR(VLOOKUP($A1934,pivot!$A:$I,計算式2026!AL$1,FALSE),0)</f>
        <v>0</v>
      </c>
      <c r="AR1934" s="8"/>
      <c r="AS1934" s="8"/>
      <c r="AT1934" s="8"/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8"/>
      <c r="BG1934" s="8"/>
    </row>
    <row r="1935" spans="1:59" s="9" customFormat="1">
      <c r="A1935" s="8" t="s">
        <v>1825</v>
      </c>
      <c r="B1935" s="8" t="s">
        <v>776</v>
      </c>
      <c r="C1935" s="9">
        <v>0</v>
      </c>
      <c r="D1935" s="9">
        <v>0</v>
      </c>
      <c r="E1935" s="9">
        <v>0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1</v>
      </c>
      <c r="AE1935" s="9">
        <f>IFERROR(VLOOKUP($A1935,pivot!$A:$G,計算式2026!AE$1,FALSE),0)</f>
        <v>0</v>
      </c>
      <c r="AF1935" s="9">
        <f>IFERROR(VLOOKUP($A1935,pivot!$A:$I,計算式2026!AF$1,FALSE),0)</f>
        <v>0</v>
      </c>
      <c r="AI1935" s="9">
        <f>IFERROR(VLOOKUP($A1935,pivot!$A:$I,計算式2026!AI$1,FALSE),0)</f>
        <v>0</v>
      </c>
      <c r="AJ1935" s="9">
        <f>IFERROR(VLOOKUP($A1935,pivot!$A:$I,計算式2026!AJ$1,FALSE),0)</f>
        <v>0</v>
      </c>
      <c r="AK1935" s="9">
        <f>IFERROR(VLOOKUP($A1935,pivot!$A:$I,計算式2026!AK$1,FALSE),0)</f>
        <v>0</v>
      </c>
      <c r="AL1935" s="9">
        <f>IFERROR(VLOOKUP($A1935,pivot!$A:$I,計算式2026!AL$1,FALSE),0)</f>
        <v>0</v>
      </c>
      <c r="AR1935" s="8"/>
      <c r="AS1935" s="8"/>
      <c r="AT1935" s="8"/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8"/>
      <c r="BG1935" s="8"/>
    </row>
    <row r="1936" spans="1:59" s="9" customFormat="1">
      <c r="A1936" s="8" t="s">
        <v>1826</v>
      </c>
      <c r="B1936" s="8" t="s">
        <v>776</v>
      </c>
      <c r="C1936" s="9">
        <v>0</v>
      </c>
      <c r="D1936" s="9">
        <v>0</v>
      </c>
      <c r="E1936" s="9">
        <v>0</v>
      </c>
      <c r="F1936" s="9">
        <v>0</v>
      </c>
      <c r="G1936" s="9">
        <v>0</v>
      </c>
      <c r="H1936" s="9">
        <v>0</v>
      </c>
      <c r="I1936" s="9">
        <v>0</v>
      </c>
      <c r="J1936" s="9">
        <v>0</v>
      </c>
      <c r="K1936" s="9">
        <v>0</v>
      </c>
      <c r="R1936" s="9">
        <v>0</v>
      </c>
      <c r="S1936" s="9">
        <v>1</v>
      </c>
      <c r="T1936" s="9">
        <v>0</v>
      </c>
      <c r="U1936" s="9">
        <v>0</v>
      </c>
      <c r="V1936" s="9">
        <v>1</v>
      </c>
      <c r="W1936" s="9">
        <v>0</v>
      </c>
      <c r="X1936" s="9">
        <v>1</v>
      </c>
      <c r="AE1936" s="9">
        <f>IFERROR(VLOOKUP($A1936,pivot!$A:$G,計算式2026!AE$1,FALSE),0)</f>
        <v>0</v>
      </c>
      <c r="AF1936" s="9">
        <f>IFERROR(VLOOKUP($A1936,pivot!$A:$I,計算式2026!AF$1,FALSE),0)</f>
        <v>0</v>
      </c>
      <c r="AI1936" s="9">
        <f>IFERROR(VLOOKUP($A1936,pivot!$A:$I,計算式2026!AI$1,FALSE),0)</f>
        <v>0</v>
      </c>
      <c r="AJ1936" s="9">
        <f>IFERROR(VLOOKUP($A1936,pivot!$A:$I,計算式2026!AJ$1,FALSE),0)</f>
        <v>0</v>
      </c>
      <c r="AK1936" s="9">
        <f>IFERROR(VLOOKUP($A1936,pivot!$A:$I,計算式2026!AK$1,FALSE),0)</f>
        <v>0</v>
      </c>
      <c r="AL1936" s="9">
        <f>IFERROR(VLOOKUP($A1936,pivot!$A:$I,計算式2026!AL$1,FALSE),0)</f>
        <v>0</v>
      </c>
      <c r="AR1936" s="8"/>
      <c r="AS1936" s="8"/>
      <c r="AT1936" s="8"/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8"/>
      <c r="BG1936" s="8"/>
    </row>
    <row r="1937" spans="1:59" s="9" customFormat="1">
      <c r="A1937" s="8" t="s">
        <v>1827</v>
      </c>
      <c r="B1937" s="8" t="s">
        <v>776</v>
      </c>
      <c r="C1937" s="9">
        <v>0</v>
      </c>
      <c r="D1937" s="9">
        <v>0</v>
      </c>
      <c r="E1937" s="9">
        <v>0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R1937" s="9">
        <v>1</v>
      </c>
      <c r="S1937" s="9">
        <v>1</v>
      </c>
      <c r="T1937" s="9">
        <v>0</v>
      </c>
      <c r="U1937" s="9">
        <v>0</v>
      </c>
      <c r="V1937" s="9">
        <v>1</v>
      </c>
      <c r="W1937" s="9">
        <v>0</v>
      </c>
      <c r="X1937" s="9">
        <v>1</v>
      </c>
      <c r="AE1937" s="9">
        <f>IFERROR(VLOOKUP($A1937,pivot!$A:$G,計算式2026!AE$1,FALSE),0)</f>
        <v>0</v>
      </c>
      <c r="AF1937" s="9">
        <f>IFERROR(VLOOKUP($A1937,pivot!$A:$I,計算式2026!AF$1,FALSE),0)</f>
        <v>0</v>
      </c>
      <c r="AI1937" s="9">
        <f>IFERROR(VLOOKUP($A1937,pivot!$A:$I,計算式2026!AI$1,FALSE),0)</f>
        <v>0</v>
      </c>
      <c r="AJ1937" s="9">
        <f>IFERROR(VLOOKUP($A1937,pivot!$A:$I,計算式2026!AJ$1,FALSE),0)</f>
        <v>0</v>
      </c>
      <c r="AK1937" s="9">
        <f>IFERROR(VLOOKUP($A1937,pivot!$A:$I,計算式2026!AK$1,FALSE),0)</f>
        <v>0</v>
      </c>
      <c r="AL1937" s="9">
        <f>IFERROR(VLOOKUP($A1937,pivot!$A:$I,計算式2026!AL$1,FALSE),0)</f>
        <v>0</v>
      </c>
      <c r="AR1937" s="8"/>
      <c r="AS1937" s="8"/>
      <c r="AT1937" s="8"/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8"/>
      <c r="BG1937" s="8"/>
    </row>
    <row r="1938" spans="1:59" s="9" customFormat="1">
      <c r="A1938" s="8" t="s">
        <v>1828</v>
      </c>
      <c r="B1938" s="8" t="s">
        <v>776</v>
      </c>
      <c r="C1938" s="9">
        <v>0</v>
      </c>
      <c r="D1938" s="9">
        <v>0</v>
      </c>
      <c r="E1938" s="9">
        <v>0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R1938" s="9">
        <v>0</v>
      </c>
      <c r="S1938" s="9">
        <v>1</v>
      </c>
      <c r="T1938" s="9">
        <v>0</v>
      </c>
      <c r="U1938" s="9">
        <v>0</v>
      </c>
      <c r="V1938" s="9">
        <v>1</v>
      </c>
      <c r="W1938" s="9">
        <v>0</v>
      </c>
      <c r="X1938" s="9">
        <v>1</v>
      </c>
      <c r="AE1938" s="9">
        <f>IFERROR(VLOOKUP($A1938,pivot!$A:$G,計算式2026!AE$1,FALSE),0)</f>
        <v>0</v>
      </c>
      <c r="AF1938" s="9">
        <f>IFERROR(VLOOKUP($A1938,pivot!$A:$I,計算式2026!AF$1,FALSE),0)</f>
        <v>0</v>
      </c>
      <c r="AI1938" s="9">
        <f>IFERROR(VLOOKUP($A1938,pivot!$A:$I,計算式2026!AI$1,FALSE),0)</f>
        <v>0</v>
      </c>
      <c r="AJ1938" s="9">
        <f>IFERROR(VLOOKUP($A1938,pivot!$A:$I,計算式2026!AJ$1,FALSE),0)</f>
        <v>0</v>
      </c>
      <c r="AK1938" s="9">
        <f>IFERROR(VLOOKUP($A1938,pivot!$A:$I,計算式2026!AK$1,FALSE),0)</f>
        <v>0</v>
      </c>
      <c r="AL1938" s="9">
        <f>IFERROR(VLOOKUP($A1938,pivot!$A:$I,計算式2026!AL$1,FALSE),0)</f>
        <v>0</v>
      </c>
      <c r="AR1938" s="8"/>
      <c r="AS1938" s="8"/>
      <c r="AT1938" s="8"/>
      <c r="AU1938" s="8"/>
      <c r="AV1938" s="8"/>
      <c r="AW1938" s="8"/>
      <c r="AX1938" s="8"/>
      <c r="AY1938" s="8"/>
      <c r="AZ1938" s="8"/>
      <c r="BA1938" s="8"/>
      <c r="BB1938" s="8"/>
      <c r="BC1938" s="8"/>
      <c r="BD1938" s="8"/>
      <c r="BE1938" s="8"/>
      <c r="BF1938" s="8"/>
      <c r="BG1938" s="8"/>
    </row>
    <row r="1939" spans="1:59" s="9" customFormat="1">
      <c r="A1939" s="8" t="s">
        <v>1639</v>
      </c>
      <c r="B1939" s="8" t="s">
        <v>776</v>
      </c>
      <c r="C1939" s="9">
        <v>0</v>
      </c>
      <c r="D1939" s="9">
        <v>0</v>
      </c>
      <c r="E1939" s="9">
        <v>0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R1939" s="9">
        <v>0</v>
      </c>
      <c r="S1939" s="9">
        <v>0</v>
      </c>
      <c r="T1939" s="9">
        <v>1</v>
      </c>
      <c r="U1939" s="9">
        <v>0</v>
      </c>
      <c r="V1939" s="9">
        <v>0</v>
      </c>
      <c r="W1939" s="9">
        <v>0</v>
      </c>
      <c r="X1939" s="9">
        <v>1</v>
      </c>
      <c r="AE1939" s="9">
        <f>IFERROR(VLOOKUP($A1939,pivot!$A:$G,計算式2026!AE$1,FALSE),0)</f>
        <v>0</v>
      </c>
      <c r="AF1939" s="9">
        <f>IFERROR(VLOOKUP($A1939,pivot!$A:$I,計算式2026!AF$1,FALSE),0)</f>
        <v>0</v>
      </c>
      <c r="AI1939" s="9">
        <f>IFERROR(VLOOKUP($A1939,pivot!$A:$I,計算式2026!AI$1,FALSE),0)</f>
        <v>0</v>
      </c>
      <c r="AJ1939" s="9">
        <f>IFERROR(VLOOKUP($A1939,pivot!$A:$I,計算式2026!AJ$1,FALSE),0)</f>
        <v>0</v>
      </c>
      <c r="AK1939" s="9">
        <f>IFERROR(VLOOKUP($A1939,pivot!$A:$I,計算式2026!AK$1,FALSE),0)</f>
        <v>0</v>
      </c>
      <c r="AL1939" s="9">
        <f>IFERROR(VLOOKUP($A1939,pivot!$A:$I,計算式2026!AL$1,FALSE),0)</f>
        <v>0</v>
      </c>
      <c r="AR1939" s="8"/>
      <c r="AS1939" s="8"/>
      <c r="AT1939" s="8"/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8"/>
      <c r="BG1939" s="8"/>
    </row>
    <row r="1940" spans="1:59" s="9" customFormat="1">
      <c r="A1940" s="8" t="s">
        <v>1829</v>
      </c>
      <c r="B1940" s="8" t="s">
        <v>776</v>
      </c>
      <c r="C1940" s="9">
        <v>0</v>
      </c>
      <c r="D1940" s="9">
        <v>0</v>
      </c>
      <c r="E1940" s="9">
        <v>0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1</v>
      </c>
      <c r="AE1940" s="9">
        <f>IFERROR(VLOOKUP($A1940,pivot!$A:$G,計算式2026!AE$1,FALSE),0)</f>
        <v>0</v>
      </c>
      <c r="AF1940" s="9">
        <f>IFERROR(VLOOKUP($A1940,pivot!$A:$I,計算式2026!AF$1,FALSE),0)</f>
        <v>0</v>
      </c>
      <c r="AI1940" s="9">
        <f>IFERROR(VLOOKUP($A1940,pivot!$A:$I,計算式2026!AI$1,FALSE),0)</f>
        <v>0</v>
      </c>
      <c r="AJ1940" s="9">
        <f>IFERROR(VLOOKUP($A1940,pivot!$A:$I,計算式2026!AJ$1,FALSE),0)</f>
        <v>0</v>
      </c>
      <c r="AK1940" s="9">
        <f>IFERROR(VLOOKUP($A1940,pivot!$A:$I,計算式2026!AK$1,FALSE),0)</f>
        <v>0</v>
      </c>
      <c r="AL1940" s="9">
        <f>IFERROR(VLOOKUP($A1940,pivot!$A:$I,計算式2026!AL$1,FALSE),0)</f>
        <v>0</v>
      </c>
      <c r="AR1940" s="8"/>
      <c r="AS1940" s="8"/>
      <c r="AT1940" s="8"/>
      <c r="AU1940" s="8"/>
      <c r="AV1940" s="8"/>
      <c r="AW1940" s="8"/>
      <c r="AX1940" s="8"/>
      <c r="AY1940" s="8"/>
      <c r="AZ1940" s="8"/>
      <c r="BA1940" s="8"/>
      <c r="BB1940" s="8"/>
      <c r="BC1940" s="8"/>
      <c r="BD1940" s="8"/>
      <c r="BE1940" s="8"/>
      <c r="BF1940" s="8"/>
      <c r="BG1940" s="8"/>
    </row>
    <row r="1941" spans="1:59" s="9" customFormat="1">
      <c r="A1941" s="8" t="s">
        <v>1830</v>
      </c>
      <c r="B1941" s="8" t="s">
        <v>776</v>
      </c>
      <c r="C1941" s="9">
        <v>0</v>
      </c>
      <c r="D1941" s="9">
        <v>0</v>
      </c>
      <c r="E1941" s="9">
        <v>0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1</v>
      </c>
      <c r="AE1941" s="9">
        <f>IFERROR(VLOOKUP($A1941,pivot!$A:$G,計算式2026!AE$1,FALSE),0)</f>
        <v>0</v>
      </c>
      <c r="AF1941" s="9">
        <f>IFERROR(VLOOKUP($A1941,pivot!$A:$I,計算式2026!AF$1,FALSE),0)</f>
        <v>0</v>
      </c>
      <c r="AI1941" s="9">
        <f>IFERROR(VLOOKUP($A1941,pivot!$A:$I,計算式2026!AI$1,FALSE),0)</f>
        <v>0</v>
      </c>
      <c r="AJ1941" s="9">
        <f>IFERROR(VLOOKUP($A1941,pivot!$A:$I,計算式2026!AJ$1,FALSE),0)</f>
        <v>0</v>
      </c>
      <c r="AK1941" s="9">
        <f>IFERROR(VLOOKUP($A1941,pivot!$A:$I,計算式2026!AK$1,FALSE),0)</f>
        <v>0</v>
      </c>
      <c r="AL1941" s="9">
        <f>IFERROR(VLOOKUP($A1941,pivot!$A:$I,計算式2026!AL$1,FALSE),0)</f>
        <v>0</v>
      </c>
      <c r="AR1941" s="8"/>
      <c r="AS1941" s="8"/>
      <c r="AT1941" s="8"/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8"/>
      <c r="BG1941" s="8"/>
    </row>
    <row r="1942" spans="1:59" s="9" customFormat="1">
      <c r="A1942" s="8" t="s">
        <v>2386</v>
      </c>
      <c r="B1942" s="8" t="s">
        <v>776</v>
      </c>
      <c r="C1942" s="9">
        <v>0</v>
      </c>
      <c r="D1942" s="9">
        <v>0</v>
      </c>
      <c r="E1942" s="9">
        <v>0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1</v>
      </c>
      <c r="AE1942" s="9">
        <f>IFERROR(VLOOKUP($A1942,pivot!$A:$G,計算式2026!AE$1,FALSE),0)</f>
        <v>0</v>
      </c>
      <c r="AF1942" s="9">
        <f>IFERROR(VLOOKUP($A1942,pivot!$A:$I,計算式2026!AF$1,FALSE),0)</f>
        <v>0</v>
      </c>
      <c r="AI1942" s="9">
        <f>IFERROR(VLOOKUP($A1942,pivot!$A:$I,計算式2026!AI$1,FALSE),0)</f>
        <v>0</v>
      </c>
      <c r="AJ1942" s="9">
        <f>IFERROR(VLOOKUP($A1942,pivot!$A:$I,計算式2026!AJ$1,FALSE),0)</f>
        <v>0</v>
      </c>
      <c r="AK1942" s="9">
        <f>IFERROR(VLOOKUP($A1942,pivot!$A:$I,計算式2026!AK$1,FALSE),0)</f>
        <v>0</v>
      </c>
      <c r="AL1942" s="9">
        <f>IFERROR(VLOOKUP($A1942,pivot!$A:$I,計算式2026!AL$1,FALSE),0)</f>
        <v>0</v>
      </c>
      <c r="AR1942" s="8"/>
      <c r="AS1942" s="8"/>
      <c r="AT1942" s="8"/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8"/>
      <c r="BG1942" s="8"/>
    </row>
    <row r="1943" spans="1:59" s="9" customFormat="1">
      <c r="A1943" s="8" t="s">
        <v>1719</v>
      </c>
      <c r="B1943" s="8" t="s">
        <v>983</v>
      </c>
      <c r="C1943" s="9">
        <v>0</v>
      </c>
      <c r="D1943" s="9">
        <v>0</v>
      </c>
      <c r="E1943" s="9">
        <v>0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R1943" s="9">
        <v>0</v>
      </c>
      <c r="S1943" s="9">
        <v>3</v>
      </c>
      <c r="T1943" s="9">
        <v>0</v>
      </c>
      <c r="U1943" s="9">
        <v>0</v>
      </c>
      <c r="V1943" s="9">
        <v>2</v>
      </c>
      <c r="W1943" s="9">
        <v>0</v>
      </c>
      <c r="X1943" s="9">
        <v>0</v>
      </c>
      <c r="AE1943" s="9">
        <f>IFERROR(VLOOKUP($A1943,pivot!$A:$G,計算式2026!AE$1,FALSE),0)</f>
        <v>0</v>
      </c>
      <c r="AF1943" s="9">
        <f>IFERROR(VLOOKUP($A1943,pivot!$A:$I,計算式2026!AF$1,FALSE),0)</f>
        <v>0</v>
      </c>
      <c r="AI1943" s="9">
        <f>IFERROR(VLOOKUP($A1943,pivot!$A:$I,計算式2026!AI$1,FALSE),0)</f>
        <v>0</v>
      </c>
      <c r="AJ1943" s="9">
        <f>IFERROR(VLOOKUP($A1943,pivot!$A:$I,計算式2026!AJ$1,FALSE),0)</f>
        <v>0</v>
      </c>
      <c r="AK1943" s="9">
        <f>IFERROR(VLOOKUP($A1943,pivot!$A:$I,計算式2026!AK$1,FALSE),0)</f>
        <v>0</v>
      </c>
      <c r="AL1943" s="9">
        <f>IFERROR(VLOOKUP($A1943,pivot!$A:$I,計算式2026!AL$1,FALSE),0)</f>
        <v>0</v>
      </c>
      <c r="AR1943" s="8"/>
      <c r="AS1943" s="8"/>
      <c r="AT1943" s="8"/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8"/>
      <c r="BG1943" s="8"/>
    </row>
    <row r="1944" spans="1:59" s="9" customFormat="1">
      <c r="A1944" s="8" t="s">
        <v>1720</v>
      </c>
      <c r="B1944" s="8" t="s">
        <v>983</v>
      </c>
      <c r="C1944" s="9">
        <v>0</v>
      </c>
      <c r="D1944" s="9">
        <v>0</v>
      </c>
      <c r="E1944" s="9">
        <v>0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R1944" s="9">
        <v>2</v>
      </c>
      <c r="S1944" s="9">
        <v>3</v>
      </c>
      <c r="T1944" s="9">
        <v>0</v>
      </c>
      <c r="U1944" s="9">
        <v>0</v>
      </c>
      <c r="V1944" s="9">
        <v>2</v>
      </c>
      <c r="W1944" s="9">
        <v>0</v>
      </c>
      <c r="X1944" s="9">
        <v>0</v>
      </c>
      <c r="AE1944" s="9">
        <f>IFERROR(VLOOKUP($A1944,pivot!$A:$G,計算式2026!AE$1,FALSE),0)</f>
        <v>0</v>
      </c>
      <c r="AF1944" s="9">
        <f>IFERROR(VLOOKUP($A1944,pivot!$A:$I,計算式2026!AF$1,FALSE),0)</f>
        <v>0</v>
      </c>
      <c r="AI1944" s="9">
        <f>IFERROR(VLOOKUP($A1944,pivot!$A:$I,計算式2026!AI$1,FALSE),0)</f>
        <v>0</v>
      </c>
      <c r="AJ1944" s="9">
        <f>IFERROR(VLOOKUP($A1944,pivot!$A:$I,計算式2026!AJ$1,FALSE),0)</f>
        <v>0</v>
      </c>
      <c r="AK1944" s="9">
        <f>IFERROR(VLOOKUP($A1944,pivot!$A:$I,計算式2026!AK$1,FALSE),0)</f>
        <v>0</v>
      </c>
      <c r="AL1944" s="9">
        <f>IFERROR(VLOOKUP($A1944,pivot!$A:$I,計算式2026!AL$1,FALSE),0)</f>
        <v>0</v>
      </c>
      <c r="AR1944" s="8"/>
      <c r="AS1944" s="8"/>
      <c r="AT1944" s="8"/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8"/>
      <c r="BG1944" s="8"/>
    </row>
    <row r="1945" spans="1:59" s="9" customFormat="1">
      <c r="A1945" s="8" t="s">
        <v>1721</v>
      </c>
      <c r="B1945" s="8" t="s">
        <v>983</v>
      </c>
      <c r="C1945" s="9">
        <v>0</v>
      </c>
      <c r="D1945" s="9">
        <v>0</v>
      </c>
      <c r="E1945" s="9">
        <v>0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R1945" s="9">
        <v>2</v>
      </c>
      <c r="S1945" s="9">
        <v>2</v>
      </c>
      <c r="T1945" s="9">
        <v>0</v>
      </c>
      <c r="U1945" s="9">
        <v>0</v>
      </c>
      <c r="V1945" s="9">
        <v>1</v>
      </c>
      <c r="W1945" s="9">
        <v>0</v>
      </c>
      <c r="X1945" s="9">
        <v>0</v>
      </c>
      <c r="AE1945" s="9">
        <f>IFERROR(VLOOKUP($A1945,pivot!$A:$G,計算式2026!AE$1,FALSE),0)</f>
        <v>0</v>
      </c>
      <c r="AF1945" s="9">
        <f>IFERROR(VLOOKUP($A1945,pivot!$A:$I,計算式2026!AF$1,FALSE),0)</f>
        <v>0</v>
      </c>
      <c r="AI1945" s="9">
        <f>IFERROR(VLOOKUP($A1945,pivot!$A:$I,計算式2026!AI$1,FALSE),0)</f>
        <v>0</v>
      </c>
      <c r="AJ1945" s="9">
        <f>IFERROR(VLOOKUP($A1945,pivot!$A:$I,計算式2026!AJ$1,FALSE),0)</f>
        <v>0</v>
      </c>
      <c r="AK1945" s="9">
        <f>IFERROR(VLOOKUP($A1945,pivot!$A:$I,計算式2026!AK$1,FALSE),0)</f>
        <v>0</v>
      </c>
      <c r="AL1945" s="9">
        <f>IFERROR(VLOOKUP($A1945,pivot!$A:$I,計算式2026!AL$1,FALSE),0)</f>
        <v>0</v>
      </c>
      <c r="AR1945" s="8"/>
      <c r="AS1945" s="8"/>
      <c r="AT1945" s="8"/>
      <c r="AU1945" s="8"/>
      <c r="AV1945" s="8"/>
      <c r="AW1945" s="8"/>
      <c r="AX1945" s="8"/>
      <c r="AY1945" s="8"/>
      <c r="AZ1945" s="8"/>
      <c r="BA1945" s="8"/>
      <c r="BB1945" s="8"/>
      <c r="BC1945" s="8"/>
      <c r="BD1945" s="8"/>
      <c r="BE1945" s="8"/>
      <c r="BF1945" s="8"/>
      <c r="BG1945" s="8"/>
    </row>
    <row r="1946" spans="1:59" s="9" customFormat="1">
      <c r="A1946" s="8" t="s">
        <v>1722</v>
      </c>
      <c r="B1946" s="8" t="s">
        <v>983</v>
      </c>
      <c r="C1946" s="9">
        <v>0</v>
      </c>
      <c r="D1946" s="9">
        <v>0</v>
      </c>
      <c r="E1946" s="9">
        <v>0</v>
      </c>
      <c r="F1946" s="9">
        <v>0</v>
      </c>
      <c r="G1946" s="9">
        <v>0</v>
      </c>
      <c r="H1946" s="9">
        <v>0</v>
      </c>
      <c r="I1946" s="9">
        <v>0</v>
      </c>
      <c r="J1946" s="9">
        <v>0</v>
      </c>
      <c r="K1946" s="9">
        <v>0</v>
      </c>
      <c r="R1946" s="9">
        <v>1</v>
      </c>
      <c r="S1946" s="9">
        <v>1</v>
      </c>
      <c r="T1946" s="9">
        <v>0</v>
      </c>
      <c r="U1946" s="9">
        <v>0</v>
      </c>
      <c r="V1946" s="9">
        <v>1</v>
      </c>
      <c r="W1946" s="9">
        <v>0</v>
      </c>
      <c r="X1946" s="9">
        <v>0</v>
      </c>
      <c r="AE1946" s="9">
        <f>IFERROR(VLOOKUP($A1946,pivot!$A:$G,計算式2026!AE$1,FALSE),0)</f>
        <v>0</v>
      </c>
      <c r="AF1946" s="9">
        <f>IFERROR(VLOOKUP($A1946,pivot!$A:$I,計算式2026!AF$1,FALSE),0)</f>
        <v>0</v>
      </c>
      <c r="AI1946" s="9">
        <f>IFERROR(VLOOKUP($A1946,pivot!$A:$I,計算式2026!AI$1,FALSE),0)</f>
        <v>0</v>
      </c>
      <c r="AJ1946" s="9">
        <f>IFERROR(VLOOKUP($A1946,pivot!$A:$I,計算式2026!AJ$1,FALSE),0)</f>
        <v>0</v>
      </c>
      <c r="AK1946" s="9">
        <f>IFERROR(VLOOKUP($A1946,pivot!$A:$I,計算式2026!AK$1,FALSE),0)</f>
        <v>0</v>
      </c>
      <c r="AL1946" s="9">
        <f>IFERROR(VLOOKUP($A1946,pivot!$A:$I,計算式2026!AL$1,FALSE),0)</f>
        <v>0</v>
      </c>
      <c r="AR1946" s="8"/>
      <c r="AS1946" s="8"/>
      <c r="AT1946" s="8"/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8"/>
      <c r="BG1946" s="8"/>
    </row>
    <row r="1947" spans="1:59" s="9" customFormat="1">
      <c r="A1947" s="8" t="s">
        <v>2388</v>
      </c>
      <c r="B1947" s="8" t="s">
        <v>2387</v>
      </c>
      <c r="C1947" s="9">
        <v>0</v>
      </c>
      <c r="D1947" s="9">
        <v>0</v>
      </c>
      <c r="E1947" s="9">
        <v>0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R1947" s="9">
        <v>0</v>
      </c>
      <c r="S1947" s="9">
        <v>0</v>
      </c>
      <c r="T1947" s="9">
        <v>1</v>
      </c>
      <c r="U1947" s="9">
        <v>0</v>
      </c>
      <c r="V1947" s="9">
        <v>2</v>
      </c>
      <c r="W1947" s="9">
        <v>0</v>
      </c>
      <c r="X1947" s="9">
        <v>0</v>
      </c>
      <c r="AE1947" s="9">
        <f>IFERROR(VLOOKUP($A1947,pivot!$A:$G,計算式2026!AE$1,FALSE),0)</f>
        <v>0</v>
      </c>
      <c r="AF1947" s="9">
        <f>IFERROR(VLOOKUP($A1947,pivot!$A:$I,計算式2026!AF$1,FALSE),0)</f>
        <v>0</v>
      </c>
      <c r="AI1947" s="9">
        <f>IFERROR(VLOOKUP($A1947,pivot!$A:$I,計算式2026!AI$1,FALSE),0)</f>
        <v>0</v>
      </c>
      <c r="AJ1947" s="9">
        <f>IFERROR(VLOOKUP($A1947,pivot!$A:$I,計算式2026!AJ$1,FALSE),0)</f>
        <v>0</v>
      </c>
      <c r="AK1947" s="9">
        <f>IFERROR(VLOOKUP($A1947,pivot!$A:$I,計算式2026!AK$1,FALSE),0)</f>
        <v>0</v>
      </c>
      <c r="AL1947" s="9">
        <f>IFERROR(VLOOKUP($A1947,pivot!$A:$I,計算式2026!AL$1,FALSE),0)</f>
        <v>0</v>
      </c>
      <c r="AR1947" s="8"/>
      <c r="AS1947" s="8"/>
      <c r="AT1947" s="8"/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8"/>
      <c r="BG1947" s="8"/>
    </row>
    <row r="1948" spans="1:59" s="9" customFormat="1">
      <c r="A1948" s="8" t="s">
        <v>2389</v>
      </c>
      <c r="B1948" s="8" t="s">
        <v>2387</v>
      </c>
      <c r="C1948" s="9">
        <v>0</v>
      </c>
      <c r="D1948" s="9">
        <v>0</v>
      </c>
      <c r="E1948" s="9">
        <v>0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R1948" s="9">
        <v>2</v>
      </c>
      <c r="S1948" s="9">
        <v>1</v>
      </c>
      <c r="T1948" s="9">
        <v>1</v>
      </c>
      <c r="U1948" s="9">
        <v>0</v>
      </c>
      <c r="V1948" s="9">
        <v>1</v>
      </c>
      <c r="W1948" s="9">
        <v>0</v>
      </c>
      <c r="X1948" s="9">
        <v>1</v>
      </c>
      <c r="AE1948" s="9">
        <f>IFERROR(VLOOKUP($A1948,pivot!$A:$G,計算式2026!AE$1,FALSE),0)</f>
        <v>0</v>
      </c>
      <c r="AF1948" s="9">
        <f>IFERROR(VLOOKUP($A1948,pivot!$A:$I,計算式2026!AF$1,FALSE),0)</f>
        <v>0</v>
      </c>
      <c r="AI1948" s="9">
        <f>IFERROR(VLOOKUP($A1948,pivot!$A:$I,計算式2026!AI$1,FALSE),0)</f>
        <v>0</v>
      </c>
      <c r="AJ1948" s="9">
        <f>IFERROR(VLOOKUP($A1948,pivot!$A:$I,計算式2026!AJ$1,FALSE),0)</f>
        <v>0</v>
      </c>
      <c r="AK1948" s="9">
        <f>IFERROR(VLOOKUP($A1948,pivot!$A:$I,計算式2026!AK$1,FALSE),0)</f>
        <v>0</v>
      </c>
      <c r="AL1948" s="9">
        <f>IFERROR(VLOOKUP($A1948,pivot!$A:$I,計算式2026!AL$1,FALSE),0)</f>
        <v>0</v>
      </c>
      <c r="AR1948" s="8"/>
      <c r="AS1948" s="8"/>
      <c r="AT1948" s="8"/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8"/>
      <c r="BG1948" s="8"/>
    </row>
    <row r="1949" spans="1:59" s="9" customFormat="1">
      <c r="A1949" s="8" t="s">
        <v>2390</v>
      </c>
      <c r="B1949" s="8" t="s">
        <v>2387</v>
      </c>
      <c r="C1949" s="9">
        <v>0</v>
      </c>
      <c r="D1949" s="9">
        <v>0</v>
      </c>
      <c r="E1949" s="9">
        <v>0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1</v>
      </c>
      <c r="AE1949" s="9">
        <f>IFERROR(VLOOKUP($A1949,pivot!$A:$G,計算式2026!AE$1,FALSE),0)</f>
        <v>0</v>
      </c>
      <c r="AF1949" s="9">
        <f>IFERROR(VLOOKUP($A1949,pivot!$A:$I,計算式2026!AF$1,FALSE),0)</f>
        <v>0</v>
      </c>
      <c r="AI1949" s="9">
        <f>IFERROR(VLOOKUP($A1949,pivot!$A:$I,計算式2026!AI$1,FALSE),0)</f>
        <v>0</v>
      </c>
      <c r="AJ1949" s="9">
        <f>IFERROR(VLOOKUP($A1949,pivot!$A:$I,計算式2026!AJ$1,FALSE),0)</f>
        <v>0</v>
      </c>
      <c r="AK1949" s="9">
        <f>IFERROR(VLOOKUP($A1949,pivot!$A:$I,計算式2026!AK$1,FALSE),0)</f>
        <v>0</v>
      </c>
      <c r="AL1949" s="9">
        <f>IFERROR(VLOOKUP($A1949,pivot!$A:$I,計算式2026!AL$1,FALSE),0)</f>
        <v>0</v>
      </c>
      <c r="AR1949" s="8"/>
      <c r="AS1949" s="8"/>
      <c r="AT1949" s="8"/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8"/>
      <c r="BG1949" s="8"/>
    </row>
    <row r="1950" spans="1:59" s="9" customFormat="1">
      <c r="A1950" s="8" t="s">
        <v>2391</v>
      </c>
      <c r="B1950" s="8" t="s">
        <v>2387</v>
      </c>
      <c r="C1950" s="9">
        <v>0</v>
      </c>
      <c r="D1950" s="9">
        <v>0</v>
      </c>
      <c r="E1950" s="9">
        <v>0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1</v>
      </c>
      <c r="AE1950" s="9">
        <f>IFERROR(VLOOKUP($A1950,pivot!$A:$G,計算式2026!AE$1,FALSE),0)</f>
        <v>0</v>
      </c>
      <c r="AF1950" s="9">
        <f>IFERROR(VLOOKUP($A1950,pivot!$A:$I,計算式2026!AF$1,FALSE),0)</f>
        <v>0</v>
      </c>
      <c r="AI1950" s="9">
        <f>IFERROR(VLOOKUP($A1950,pivot!$A:$I,計算式2026!AI$1,FALSE),0)</f>
        <v>0</v>
      </c>
      <c r="AJ1950" s="9">
        <f>IFERROR(VLOOKUP($A1950,pivot!$A:$I,計算式2026!AJ$1,FALSE),0)</f>
        <v>0</v>
      </c>
      <c r="AK1950" s="9">
        <f>IFERROR(VLOOKUP($A1950,pivot!$A:$I,計算式2026!AK$1,FALSE),0)</f>
        <v>0</v>
      </c>
      <c r="AL1950" s="9">
        <f>IFERROR(VLOOKUP($A1950,pivot!$A:$I,計算式2026!AL$1,FALSE),0)</f>
        <v>0</v>
      </c>
      <c r="AR1950" s="8"/>
      <c r="AS1950" s="8"/>
      <c r="AT1950" s="8"/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8"/>
      <c r="BG1950" s="8"/>
    </row>
    <row r="1951" spans="1:59" s="9" customFormat="1">
      <c r="A1951" s="8" t="s">
        <v>2392</v>
      </c>
      <c r="B1951" s="8" t="s">
        <v>2387</v>
      </c>
      <c r="C1951" s="9">
        <v>0</v>
      </c>
      <c r="D1951" s="9">
        <v>0</v>
      </c>
      <c r="E1951" s="9">
        <v>0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R1951" s="9">
        <v>2</v>
      </c>
      <c r="S1951" s="9">
        <v>2</v>
      </c>
      <c r="T1951" s="9">
        <v>1</v>
      </c>
      <c r="U1951" s="9">
        <v>0</v>
      </c>
      <c r="V1951" s="9">
        <v>2</v>
      </c>
      <c r="W1951" s="9">
        <v>0</v>
      </c>
      <c r="X1951" s="9">
        <v>1</v>
      </c>
      <c r="AE1951" s="9">
        <f>IFERROR(VLOOKUP($A1951,pivot!$A:$G,計算式2026!AE$1,FALSE),0)</f>
        <v>0</v>
      </c>
      <c r="AF1951" s="9">
        <f>IFERROR(VLOOKUP($A1951,pivot!$A:$I,計算式2026!AF$1,FALSE),0)</f>
        <v>0</v>
      </c>
      <c r="AI1951" s="9">
        <f>IFERROR(VLOOKUP($A1951,pivot!$A:$I,計算式2026!AI$1,FALSE),0)</f>
        <v>0</v>
      </c>
      <c r="AJ1951" s="9">
        <f>IFERROR(VLOOKUP($A1951,pivot!$A:$I,計算式2026!AJ$1,FALSE),0)</f>
        <v>0</v>
      </c>
      <c r="AK1951" s="9">
        <f>IFERROR(VLOOKUP($A1951,pivot!$A:$I,計算式2026!AK$1,FALSE),0)</f>
        <v>0</v>
      </c>
      <c r="AL1951" s="9">
        <f>IFERROR(VLOOKUP($A1951,pivot!$A:$I,計算式2026!AL$1,FALSE),0)</f>
        <v>0</v>
      </c>
      <c r="AR1951" s="8"/>
      <c r="AS1951" s="8"/>
      <c r="AT1951" s="8"/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8"/>
      <c r="BG1951" s="8"/>
    </row>
    <row r="1952" spans="1:59" s="9" customFormat="1">
      <c r="A1952" s="8" t="s">
        <v>2393</v>
      </c>
      <c r="B1952" s="8" t="s">
        <v>2387</v>
      </c>
      <c r="C1952" s="9">
        <v>0</v>
      </c>
      <c r="D1952" s="9">
        <v>3</v>
      </c>
      <c r="E1952" s="9">
        <v>0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R1952" s="9">
        <v>2</v>
      </c>
      <c r="S1952" s="9">
        <v>2</v>
      </c>
      <c r="T1952" s="9">
        <v>1</v>
      </c>
      <c r="U1952" s="9">
        <v>0</v>
      </c>
      <c r="V1952" s="9">
        <v>2</v>
      </c>
      <c r="W1952" s="9">
        <v>0</v>
      </c>
      <c r="X1952" s="9">
        <v>1</v>
      </c>
      <c r="AE1952" s="9">
        <f>IFERROR(VLOOKUP($A1952,pivot!$A:$G,計算式2026!AE$1,FALSE),0)</f>
        <v>0</v>
      </c>
      <c r="AF1952" s="9">
        <f>IFERROR(VLOOKUP($A1952,pivot!$A:$I,計算式2026!AF$1,FALSE),0)</f>
        <v>0</v>
      </c>
      <c r="AI1952" s="9">
        <f>IFERROR(VLOOKUP($A1952,pivot!$A:$I,計算式2026!AI$1,FALSE),0)</f>
        <v>0</v>
      </c>
      <c r="AJ1952" s="9">
        <f>IFERROR(VLOOKUP($A1952,pivot!$A:$I,計算式2026!AJ$1,FALSE),0)</f>
        <v>0</v>
      </c>
      <c r="AK1952" s="9">
        <f>IFERROR(VLOOKUP($A1952,pivot!$A:$I,計算式2026!AK$1,FALSE),0)</f>
        <v>0</v>
      </c>
      <c r="AL1952" s="9">
        <f>IFERROR(VLOOKUP($A1952,pivot!$A:$I,計算式2026!AL$1,FALSE),0)</f>
        <v>0</v>
      </c>
      <c r="AR1952" s="8"/>
      <c r="AS1952" s="8"/>
      <c r="AT1952" s="8"/>
      <c r="AU1952" s="8"/>
      <c r="AV1952" s="8"/>
      <c r="AW1952" s="8"/>
      <c r="AX1952" s="8"/>
      <c r="AY1952" s="8"/>
      <c r="AZ1952" s="8"/>
      <c r="BA1952" s="8"/>
      <c r="BB1952" s="8"/>
      <c r="BC1952" s="8"/>
      <c r="BD1952" s="8"/>
      <c r="BE1952" s="8"/>
      <c r="BF1952" s="8"/>
      <c r="BG1952" s="8"/>
    </row>
    <row r="1953" spans="1:59" s="9" customFormat="1">
      <c r="A1953" s="8" t="s">
        <v>2394</v>
      </c>
      <c r="B1953" s="8" t="s">
        <v>2387</v>
      </c>
      <c r="C1953" s="9">
        <v>0</v>
      </c>
      <c r="D1953" s="9">
        <v>0</v>
      </c>
      <c r="E1953" s="9">
        <v>0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R1953" s="9">
        <v>0</v>
      </c>
      <c r="S1953" s="9">
        <v>1</v>
      </c>
      <c r="T1953" s="9">
        <v>0</v>
      </c>
      <c r="U1953" s="9">
        <v>0</v>
      </c>
      <c r="V1953" s="9">
        <v>1</v>
      </c>
      <c r="W1953" s="9">
        <v>0</v>
      </c>
      <c r="X1953" s="9">
        <v>1</v>
      </c>
      <c r="AE1953" s="9">
        <f>IFERROR(VLOOKUP($A1953,pivot!$A:$G,計算式2026!AE$1,FALSE),0)</f>
        <v>0</v>
      </c>
      <c r="AF1953" s="9">
        <f>IFERROR(VLOOKUP($A1953,pivot!$A:$I,計算式2026!AF$1,FALSE),0)</f>
        <v>0</v>
      </c>
      <c r="AI1953" s="9">
        <f>IFERROR(VLOOKUP($A1953,pivot!$A:$I,計算式2026!AI$1,FALSE),0)</f>
        <v>0</v>
      </c>
      <c r="AJ1953" s="9">
        <f>IFERROR(VLOOKUP($A1953,pivot!$A:$I,計算式2026!AJ$1,FALSE),0)</f>
        <v>0</v>
      </c>
      <c r="AK1953" s="9">
        <f>IFERROR(VLOOKUP($A1953,pivot!$A:$I,計算式2026!AK$1,FALSE),0)</f>
        <v>0</v>
      </c>
      <c r="AL1953" s="9">
        <f>IFERROR(VLOOKUP($A1953,pivot!$A:$I,計算式2026!AL$1,FALSE),0)</f>
        <v>0</v>
      </c>
      <c r="AR1953" s="8"/>
      <c r="AS1953" s="8"/>
      <c r="AT1953" s="8"/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8"/>
      <c r="BG1953" s="8"/>
    </row>
    <row r="1954" spans="1:59" s="9" customFormat="1">
      <c r="A1954" s="8" t="s">
        <v>2867</v>
      </c>
      <c r="B1954" s="8" t="s">
        <v>2387</v>
      </c>
      <c r="C1954" s="9">
        <v>0</v>
      </c>
      <c r="D1954" s="9">
        <v>0</v>
      </c>
      <c r="E1954" s="9">
        <v>0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1</v>
      </c>
      <c r="AE1954" s="9">
        <f>IFERROR(VLOOKUP($A1954,pivot!$A:$G,計算式2026!AE$1,FALSE),0)</f>
        <v>0</v>
      </c>
      <c r="AF1954" s="9">
        <f>IFERROR(VLOOKUP($A1954,pivot!$A:$I,計算式2026!AF$1,FALSE),0)</f>
        <v>0</v>
      </c>
      <c r="AI1954" s="9">
        <f>IFERROR(VLOOKUP($A1954,pivot!$A:$I,計算式2026!AI$1,FALSE),0)</f>
        <v>0</v>
      </c>
      <c r="AJ1954" s="9">
        <f>IFERROR(VLOOKUP($A1954,pivot!$A:$I,計算式2026!AJ$1,FALSE),0)</f>
        <v>0</v>
      </c>
      <c r="AK1954" s="9">
        <f>IFERROR(VLOOKUP($A1954,pivot!$A:$I,計算式2026!AK$1,FALSE),0)</f>
        <v>0</v>
      </c>
      <c r="AL1954" s="9">
        <f>IFERROR(VLOOKUP($A1954,pivot!$A:$I,計算式2026!AL$1,FALSE),0)</f>
        <v>0</v>
      </c>
      <c r="AR1954" s="8"/>
      <c r="AS1954" s="8"/>
      <c r="AT1954" s="8"/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8"/>
      <c r="BG1954" s="8"/>
    </row>
    <row r="1955" spans="1:59" s="9" customFormat="1">
      <c r="A1955" s="8" t="s">
        <v>2689</v>
      </c>
      <c r="B1955" s="8" t="s">
        <v>2387</v>
      </c>
      <c r="C1955" s="9">
        <v>0</v>
      </c>
      <c r="D1955" s="9">
        <v>0</v>
      </c>
      <c r="E1955" s="9">
        <v>0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R1955" s="9">
        <v>1</v>
      </c>
      <c r="S1955" s="9">
        <v>1</v>
      </c>
      <c r="T1955" s="9">
        <v>1</v>
      </c>
      <c r="U1955" s="9">
        <v>0</v>
      </c>
      <c r="V1955" s="9">
        <v>2</v>
      </c>
      <c r="W1955" s="9">
        <v>0</v>
      </c>
      <c r="X1955" s="9">
        <v>1</v>
      </c>
      <c r="AE1955" s="9">
        <f>IFERROR(VLOOKUP($A1955,pivot!$A:$G,計算式2026!AE$1,FALSE),0)</f>
        <v>0</v>
      </c>
      <c r="AF1955" s="9">
        <f>IFERROR(VLOOKUP($A1955,pivot!$A:$I,計算式2026!AF$1,FALSE),0)</f>
        <v>0</v>
      </c>
      <c r="AI1955" s="9">
        <f>IFERROR(VLOOKUP($A1955,pivot!$A:$I,計算式2026!AI$1,FALSE),0)</f>
        <v>0</v>
      </c>
      <c r="AJ1955" s="9">
        <f>IFERROR(VLOOKUP($A1955,pivot!$A:$I,計算式2026!AJ$1,FALSE),0)</f>
        <v>0</v>
      </c>
      <c r="AK1955" s="9">
        <f>IFERROR(VLOOKUP($A1955,pivot!$A:$I,計算式2026!AK$1,FALSE),0)</f>
        <v>0</v>
      </c>
      <c r="AL1955" s="9">
        <f>IFERROR(VLOOKUP($A1955,pivot!$A:$I,計算式2026!AL$1,FALSE),0)</f>
        <v>0</v>
      </c>
      <c r="AR1955" s="8"/>
      <c r="AS1955" s="8"/>
      <c r="AT1955" s="8"/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8"/>
      <c r="BG1955" s="8"/>
    </row>
    <row r="1956" spans="1:59" s="9" customFormat="1">
      <c r="A1956" s="8" t="s">
        <v>2868</v>
      </c>
      <c r="B1956" s="8" t="s">
        <v>2387</v>
      </c>
      <c r="C1956" s="9">
        <v>0</v>
      </c>
      <c r="D1956" s="9">
        <v>0</v>
      </c>
      <c r="E1956" s="9">
        <v>0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9">
        <v>0</v>
      </c>
      <c r="R1956" s="9">
        <v>2</v>
      </c>
      <c r="S1956" s="9">
        <v>2</v>
      </c>
      <c r="T1956" s="9">
        <v>1</v>
      </c>
      <c r="U1956" s="9">
        <v>0</v>
      </c>
      <c r="V1956" s="9">
        <v>2</v>
      </c>
      <c r="W1956" s="9">
        <v>0</v>
      </c>
      <c r="X1956" s="9">
        <v>1</v>
      </c>
      <c r="AE1956" s="9">
        <f>IFERROR(VLOOKUP($A1956,pivot!$A:$G,計算式2026!AE$1,FALSE),0)</f>
        <v>0</v>
      </c>
      <c r="AF1956" s="9">
        <f>IFERROR(VLOOKUP($A1956,pivot!$A:$I,計算式2026!AF$1,FALSE),0)</f>
        <v>0</v>
      </c>
      <c r="AI1956" s="9">
        <f>IFERROR(VLOOKUP($A1956,pivot!$A:$I,計算式2026!AI$1,FALSE),0)</f>
        <v>0</v>
      </c>
      <c r="AJ1956" s="9">
        <f>IFERROR(VLOOKUP($A1956,pivot!$A:$I,計算式2026!AJ$1,FALSE),0)</f>
        <v>0</v>
      </c>
      <c r="AK1956" s="9">
        <f>IFERROR(VLOOKUP($A1956,pivot!$A:$I,計算式2026!AK$1,FALSE),0)</f>
        <v>0</v>
      </c>
      <c r="AL1956" s="9">
        <f>IFERROR(VLOOKUP($A1956,pivot!$A:$I,計算式2026!AL$1,FALSE),0)</f>
        <v>0</v>
      </c>
      <c r="AR1956" s="8"/>
      <c r="AS1956" s="8"/>
      <c r="AT1956" s="8"/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8"/>
      <c r="BG1956" s="8"/>
    </row>
    <row r="1957" spans="1:59" s="9" customFormat="1">
      <c r="A1957" s="8" t="s">
        <v>2869</v>
      </c>
      <c r="B1957" s="8" t="s">
        <v>2387</v>
      </c>
      <c r="C1957" s="9">
        <v>0</v>
      </c>
      <c r="D1957" s="9">
        <v>0</v>
      </c>
      <c r="E1957" s="9">
        <v>0</v>
      </c>
      <c r="F1957" s="9">
        <v>0</v>
      </c>
      <c r="G1957" s="9">
        <v>0</v>
      </c>
      <c r="H1957" s="9">
        <v>0</v>
      </c>
      <c r="I1957" s="9">
        <v>0</v>
      </c>
      <c r="J1957" s="9">
        <v>0</v>
      </c>
      <c r="K1957" s="9">
        <v>0</v>
      </c>
      <c r="R1957" s="9">
        <v>0</v>
      </c>
      <c r="S1957" s="9">
        <v>1</v>
      </c>
      <c r="T1957" s="9">
        <v>0</v>
      </c>
      <c r="U1957" s="9">
        <v>0</v>
      </c>
      <c r="V1957" s="9">
        <v>1</v>
      </c>
      <c r="W1957" s="9">
        <v>0</v>
      </c>
      <c r="X1957" s="9">
        <v>1</v>
      </c>
      <c r="AE1957" s="9">
        <f>IFERROR(VLOOKUP($A1957,pivot!$A:$G,計算式2026!AE$1,FALSE),0)</f>
        <v>0</v>
      </c>
      <c r="AF1957" s="9">
        <f>IFERROR(VLOOKUP($A1957,pivot!$A:$I,計算式2026!AF$1,FALSE),0)</f>
        <v>0</v>
      </c>
      <c r="AI1957" s="9">
        <f>IFERROR(VLOOKUP($A1957,pivot!$A:$I,計算式2026!AI$1,FALSE),0)</f>
        <v>0</v>
      </c>
      <c r="AJ1957" s="9">
        <f>IFERROR(VLOOKUP($A1957,pivot!$A:$I,計算式2026!AJ$1,FALSE),0)</f>
        <v>0</v>
      </c>
      <c r="AK1957" s="9">
        <f>IFERROR(VLOOKUP($A1957,pivot!$A:$I,計算式2026!AK$1,FALSE),0)</f>
        <v>0</v>
      </c>
      <c r="AL1957" s="9">
        <f>IFERROR(VLOOKUP($A1957,pivot!$A:$I,計算式2026!AL$1,FALSE),0)</f>
        <v>0</v>
      </c>
      <c r="AR1957" s="8"/>
      <c r="AS1957" s="8"/>
      <c r="AT1957" s="8"/>
      <c r="AU1957" s="8"/>
      <c r="AV1957" s="8"/>
      <c r="AW1957" s="8"/>
      <c r="AX1957" s="8"/>
      <c r="AY1957" s="8"/>
      <c r="AZ1957" s="8"/>
      <c r="BA1957" s="8"/>
      <c r="BB1957" s="8"/>
      <c r="BC1957" s="8"/>
      <c r="BD1957" s="8"/>
      <c r="BE1957" s="8"/>
      <c r="BF1957" s="8"/>
      <c r="BG1957" s="8"/>
    </row>
    <row r="1958" spans="1:59" s="9" customFormat="1">
      <c r="A1958" s="8" t="s">
        <v>2870</v>
      </c>
      <c r="B1958" s="8" t="s">
        <v>2387</v>
      </c>
      <c r="C1958" s="9">
        <v>0</v>
      </c>
      <c r="D1958" s="9">
        <v>0</v>
      </c>
      <c r="E1958" s="9">
        <v>0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1</v>
      </c>
      <c r="AE1958" s="9">
        <f>IFERROR(VLOOKUP($A1958,pivot!$A:$G,計算式2026!AE$1,FALSE),0)</f>
        <v>0</v>
      </c>
      <c r="AF1958" s="9">
        <f>IFERROR(VLOOKUP($A1958,pivot!$A:$I,計算式2026!AF$1,FALSE),0)</f>
        <v>0</v>
      </c>
      <c r="AI1958" s="9">
        <f>IFERROR(VLOOKUP($A1958,pivot!$A:$I,計算式2026!AI$1,FALSE),0)</f>
        <v>0</v>
      </c>
      <c r="AJ1958" s="9">
        <f>IFERROR(VLOOKUP($A1958,pivot!$A:$I,計算式2026!AJ$1,FALSE),0)</f>
        <v>0</v>
      </c>
      <c r="AK1958" s="9">
        <f>IFERROR(VLOOKUP($A1958,pivot!$A:$I,計算式2026!AK$1,FALSE),0)</f>
        <v>0</v>
      </c>
      <c r="AL1958" s="9">
        <f>IFERROR(VLOOKUP($A1958,pivot!$A:$I,計算式2026!AL$1,FALSE),0)</f>
        <v>0</v>
      </c>
      <c r="AR1958" s="8"/>
      <c r="AS1958" s="8"/>
      <c r="AT1958" s="8"/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8"/>
      <c r="BG1958" s="8"/>
    </row>
    <row r="1959" spans="1:59" s="9" customFormat="1">
      <c r="A1959" s="8" t="s">
        <v>2871</v>
      </c>
      <c r="B1959" s="8" t="s">
        <v>2387</v>
      </c>
      <c r="C1959" s="9">
        <v>0</v>
      </c>
      <c r="D1959" s="9">
        <v>0</v>
      </c>
      <c r="E1959" s="9">
        <v>0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R1959" s="9">
        <v>0</v>
      </c>
      <c r="S1959" s="9">
        <v>1</v>
      </c>
      <c r="T1959" s="9">
        <v>1</v>
      </c>
      <c r="U1959" s="9">
        <v>0</v>
      </c>
      <c r="V1959" s="9">
        <v>2</v>
      </c>
      <c r="W1959" s="9">
        <v>0</v>
      </c>
      <c r="X1959" s="9">
        <v>1</v>
      </c>
      <c r="AE1959" s="9">
        <f>IFERROR(VLOOKUP($A1959,pivot!$A:$G,計算式2026!AE$1,FALSE),0)</f>
        <v>0</v>
      </c>
      <c r="AF1959" s="9">
        <f>IFERROR(VLOOKUP($A1959,pivot!$A:$I,計算式2026!AF$1,FALSE),0)</f>
        <v>0</v>
      </c>
      <c r="AI1959" s="9">
        <f>IFERROR(VLOOKUP($A1959,pivot!$A:$I,計算式2026!AI$1,FALSE),0)</f>
        <v>0</v>
      </c>
      <c r="AJ1959" s="9">
        <f>IFERROR(VLOOKUP($A1959,pivot!$A:$I,計算式2026!AJ$1,FALSE),0)</f>
        <v>0</v>
      </c>
      <c r="AK1959" s="9">
        <f>IFERROR(VLOOKUP($A1959,pivot!$A:$I,計算式2026!AK$1,FALSE),0)</f>
        <v>0</v>
      </c>
      <c r="AL1959" s="9">
        <f>IFERROR(VLOOKUP($A1959,pivot!$A:$I,計算式2026!AL$1,FALSE),0)</f>
        <v>0</v>
      </c>
      <c r="AR1959" s="8"/>
      <c r="AS1959" s="8"/>
      <c r="AT1959" s="8"/>
      <c r="AU1959" s="8"/>
      <c r="AV1959" s="8"/>
      <c r="AW1959" s="8"/>
      <c r="AX1959" s="8"/>
      <c r="AY1959" s="8"/>
      <c r="AZ1959" s="8"/>
      <c r="BA1959" s="8"/>
      <c r="BB1959" s="8"/>
      <c r="BC1959" s="8"/>
      <c r="BD1959" s="8"/>
      <c r="BE1959" s="8"/>
      <c r="BF1959" s="8"/>
      <c r="BG1959" s="8"/>
    </row>
    <row r="1960" spans="1:59" s="9" customFormat="1">
      <c r="A1960" s="8" t="s">
        <v>2872</v>
      </c>
      <c r="B1960" s="8" t="s">
        <v>2387</v>
      </c>
      <c r="C1960" s="9">
        <v>0</v>
      </c>
      <c r="D1960" s="9">
        <v>0</v>
      </c>
      <c r="E1960" s="9">
        <v>0</v>
      </c>
      <c r="F1960" s="9">
        <v>0</v>
      </c>
      <c r="G1960" s="9">
        <v>0</v>
      </c>
      <c r="H1960" s="9">
        <v>0</v>
      </c>
      <c r="I1960" s="9">
        <v>0</v>
      </c>
      <c r="J1960" s="9">
        <v>0</v>
      </c>
      <c r="K1960" s="9">
        <v>0</v>
      </c>
      <c r="R1960" s="9">
        <v>1</v>
      </c>
      <c r="S1960" s="9">
        <v>0</v>
      </c>
      <c r="T1960" s="9">
        <v>1</v>
      </c>
      <c r="U1960" s="9">
        <v>0</v>
      </c>
      <c r="V1960" s="9">
        <v>2</v>
      </c>
      <c r="W1960" s="9">
        <v>0</v>
      </c>
      <c r="X1960" s="9">
        <v>1</v>
      </c>
      <c r="AE1960" s="9">
        <f>IFERROR(VLOOKUP($A1960,pivot!$A:$G,計算式2026!AE$1,FALSE),0)</f>
        <v>0</v>
      </c>
      <c r="AF1960" s="9">
        <f>IFERROR(VLOOKUP($A1960,pivot!$A:$I,計算式2026!AF$1,FALSE),0)</f>
        <v>0</v>
      </c>
      <c r="AI1960" s="9">
        <f>IFERROR(VLOOKUP($A1960,pivot!$A:$I,計算式2026!AI$1,FALSE),0)</f>
        <v>0</v>
      </c>
      <c r="AJ1960" s="9">
        <f>IFERROR(VLOOKUP($A1960,pivot!$A:$I,計算式2026!AJ$1,FALSE),0)</f>
        <v>0</v>
      </c>
      <c r="AK1960" s="9">
        <f>IFERROR(VLOOKUP($A1960,pivot!$A:$I,計算式2026!AK$1,FALSE),0)</f>
        <v>0</v>
      </c>
      <c r="AL1960" s="9">
        <f>IFERROR(VLOOKUP($A1960,pivot!$A:$I,計算式2026!AL$1,FALSE),0)</f>
        <v>0</v>
      </c>
      <c r="AR1960" s="8"/>
      <c r="AS1960" s="8"/>
      <c r="AT1960" s="8"/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8"/>
      <c r="BG1960" s="8"/>
    </row>
    <row r="1961" spans="1:59" s="9" customFormat="1">
      <c r="A1961" s="8" t="s">
        <v>2678</v>
      </c>
      <c r="B1961" s="8" t="s">
        <v>2387</v>
      </c>
      <c r="C1961" s="9">
        <v>0</v>
      </c>
      <c r="D1961" s="9">
        <v>0</v>
      </c>
      <c r="E1961" s="9">
        <v>0</v>
      </c>
      <c r="F1961" s="9">
        <v>0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R1961" s="9">
        <v>0</v>
      </c>
      <c r="S1961" s="9">
        <v>2</v>
      </c>
      <c r="T1961" s="9">
        <v>0</v>
      </c>
      <c r="U1961" s="9">
        <v>0</v>
      </c>
      <c r="V1961" s="9">
        <v>1</v>
      </c>
      <c r="W1961" s="9">
        <v>0</v>
      </c>
      <c r="X1961" s="9">
        <v>1</v>
      </c>
      <c r="AE1961" s="9">
        <f>IFERROR(VLOOKUP($A1961,pivot!$A:$G,計算式2026!AE$1,FALSE),0)</f>
        <v>0</v>
      </c>
      <c r="AF1961" s="9">
        <f>IFERROR(VLOOKUP($A1961,pivot!$A:$I,計算式2026!AF$1,FALSE),0)</f>
        <v>0</v>
      </c>
      <c r="AI1961" s="9">
        <f>IFERROR(VLOOKUP($A1961,pivot!$A:$I,計算式2026!AI$1,FALSE),0)</f>
        <v>0</v>
      </c>
      <c r="AJ1961" s="9">
        <f>IFERROR(VLOOKUP($A1961,pivot!$A:$I,計算式2026!AJ$1,FALSE),0)</f>
        <v>0</v>
      </c>
      <c r="AK1961" s="9">
        <f>IFERROR(VLOOKUP($A1961,pivot!$A:$I,計算式2026!AK$1,FALSE),0)</f>
        <v>0</v>
      </c>
      <c r="AL1961" s="9">
        <f>IFERROR(VLOOKUP($A1961,pivot!$A:$I,計算式2026!AL$1,FALSE),0)</f>
        <v>0</v>
      </c>
      <c r="AR1961" s="8"/>
      <c r="AS1961" s="8"/>
      <c r="AT1961" s="8"/>
      <c r="AU1961" s="8"/>
      <c r="AV1961" s="8"/>
      <c r="AW1961" s="8"/>
      <c r="AX1961" s="8"/>
      <c r="AY1961" s="8"/>
      <c r="AZ1961" s="8"/>
      <c r="BA1961" s="8"/>
      <c r="BB1961" s="8"/>
      <c r="BC1961" s="8"/>
      <c r="BD1961" s="8"/>
      <c r="BE1961" s="8"/>
      <c r="BF1961" s="8"/>
      <c r="BG1961" s="8"/>
    </row>
    <row r="1962" spans="1:59" s="9" customFormat="1">
      <c r="A1962" s="8" t="s">
        <v>2395</v>
      </c>
      <c r="B1962" s="8" t="s">
        <v>2396</v>
      </c>
      <c r="C1962" s="9">
        <v>0</v>
      </c>
      <c r="D1962" s="9">
        <v>0</v>
      </c>
      <c r="E1962" s="9">
        <v>0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R1962" s="9">
        <v>0</v>
      </c>
      <c r="S1962" s="9">
        <v>1</v>
      </c>
      <c r="T1962" s="9">
        <v>1</v>
      </c>
      <c r="U1962" s="9">
        <v>0</v>
      </c>
      <c r="V1962" s="9">
        <v>1</v>
      </c>
      <c r="W1962" s="9">
        <v>0</v>
      </c>
      <c r="X1962" s="9">
        <v>1</v>
      </c>
      <c r="AE1962" s="9">
        <f>IFERROR(VLOOKUP($A1962,pivot!$A:$G,計算式2026!AE$1,FALSE),0)</f>
        <v>0</v>
      </c>
      <c r="AF1962" s="9">
        <f>IFERROR(VLOOKUP($A1962,pivot!$A:$I,計算式2026!AF$1,FALSE),0)</f>
        <v>0</v>
      </c>
      <c r="AI1962" s="9">
        <f>IFERROR(VLOOKUP($A1962,pivot!$A:$I,計算式2026!AI$1,FALSE),0)</f>
        <v>0</v>
      </c>
      <c r="AJ1962" s="9">
        <f>IFERROR(VLOOKUP($A1962,pivot!$A:$I,計算式2026!AJ$1,FALSE),0)</f>
        <v>0</v>
      </c>
      <c r="AK1962" s="9">
        <f>IFERROR(VLOOKUP($A1962,pivot!$A:$I,計算式2026!AK$1,FALSE),0)</f>
        <v>0</v>
      </c>
      <c r="AL1962" s="9">
        <f>IFERROR(VLOOKUP($A1962,pivot!$A:$I,計算式2026!AL$1,FALSE),0)</f>
        <v>0</v>
      </c>
      <c r="AR1962" s="8"/>
      <c r="AS1962" s="8"/>
      <c r="AT1962" s="8"/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8"/>
      <c r="BG1962" s="8"/>
    </row>
    <row r="1963" spans="1:59" s="9" customFormat="1">
      <c r="A1963" s="8" t="s">
        <v>2397</v>
      </c>
      <c r="B1963" s="8" t="s">
        <v>2396</v>
      </c>
      <c r="C1963" s="9">
        <v>0</v>
      </c>
      <c r="D1963" s="9">
        <v>0</v>
      </c>
      <c r="E1963" s="9">
        <v>0</v>
      </c>
      <c r="F1963" s="9">
        <v>0</v>
      </c>
      <c r="G1963" s="9">
        <v>0</v>
      </c>
      <c r="H1963" s="9">
        <v>0</v>
      </c>
      <c r="I1963" s="9">
        <v>0</v>
      </c>
      <c r="J1963" s="9">
        <v>0</v>
      </c>
      <c r="K1963" s="9">
        <v>0</v>
      </c>
      <c r="R1963" s="9">
        <v>0</v>
      </c>
      <c r="S1963" s="9">
        <v>2</v>
      </c>
      <c r="T1963" s="9">
        <v>0</v>
      </c>
      <c r="U1963" s="9">
        <v>0</v>
      </c>
      <c r="V1963" s="9">
        <v>0</v>
      </c>
      <c r="W1963" s="9">
        <v>0</v>
      </c>
      <c r="X1963" s="9">
        <v>1</v>
      </c>
      <c r="AE1963" s="9">
        <f>IFERROR(VLOOKUP($A1963,pivot!$A:$G,計算式2026!AE$1,FALSE),0)</f>
        <v>0</v>
      </c>
      <c r="AF1963" s="9">
        <f>IFERROR(VLOOKUP($A1963,pivot!$A:$I,計算式2026!AF$1,FALSE),0)</f>
        <v>0</v>
      </c>
      <c r="AI1963" s="9">
        <f>IFERROR(VLOOKUP($A1963,pivot!$A:$I,計算式2026!AI$1,FALSE),0)</f>
        <v>0</v>
      </c>
      <c r="AJ1963" s="9">
        <f>IFERROR(VLOOKUP($A1963,pivot!$A:$I,計算式2026!AJ$1,FALSE),0)</f>
        <v>0</v>
      </c>
      <c r="AK1963" s="9">
        <f>IFERROR(VLOOKUP($A1963,pivot!$A:$I,計算式2026!AK$1,FALSE),0)</f>
        <v>0</v>
      </c>
      <c r="AL1963" s="9">
        <f>IFERROR(VLOOKUP($A1963,pivot!$A:$I,計算式2026!AL$1,FALSE),0)</f>
        <v>0</v>
      </c>
      <c r="AR1963" s="8"/>
      <c r="AS1963" s="8"/>
      <c r="AT1963" s="8"/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8"/>
      <c r="BG1963" s="8"/>
    </row>
    <row r="1964" spans="1:59" s="9" customFormat="1">
      <c r="A1964" s="8" t="s">
        <v>2398</v>
      </c>
      <c r="B1964" s="8" t="s">
        <v>2396</v>
      </c>
      <c r="C1964" s="9">
        <v>3</v>
      </c>
      <c r="D1964" s="9">
        <v>0</v>
      </c>
      <c r="E1964" s="9">
        <v>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R1964" s="9">
        <v>0</v>
      </c>
      <c r="S1964" s="9">
        <v>2</v>
      </c>
      <c r="T1964" s="9">
        <v>1</v>
      </c>
      <c r="U1964" s="9">
        <v>0</v>
      </c>
      <c r="V1964" s="9">
        <v>1</v>
      </c>
      <c r="W1964" s="9">
        <v>0</v>
      </c>
      <c r="X1964" s="9">
        <v>1</v>
      </c>
      <c r="AE1964" s="9">
        <f>IFERROR(VLOOKUP($A1964,pivot!$A:$G,計算式2026!AE$1,FALSE),0)</f>
        <v>0</v>
      </c>
      <c r="AF1964" s="9">
        <f>IFERROR(VLOOKUP($A1964,pivot!$A:$I,計算式2026!AF$1,FALSE),0)</f>
        <v>0</v>
      </c>
      <c r="AI1964" s="9">
        <f>IFERROR(VLOOKUP($A1964,pivot!$A:$I,計算式2026!AI$1,FALSE),0)</f>
        <v>0</v>
      </c>
      <c r="AJ1964" s="9">
        <f>IFERROR(VLOOKUP($A1964,pivot!$A:$I,計算式2026!AJ$1,FALSE),0)</f>
        <v>0</v>
      </c>
      <c r="AK1964" s="9">
        <f>IFERROR(VLOOKUP($A1964,pivot!$A:$I,計算式2026!AK$1,FALSE),0)</f>
        <v>0</v>
      </c>
      <c r="AL1964" s="9">
        <f>IFERROR(VLOOKUP($A1964,pivot!$A:$I,計算式2026!AL$1,FALSE),0)</f>
        <v>0</v>
      </c>
      <c r="AR1964" s="8"/>
      <c r="AS1964" s="8"/>
      <c r="AT1964" s="8"/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8"/>
      <c r="BG1964" s="8"/>
    </row>
    <row r="1965" spans="1:59" s="9" customFormat="1">
      <c r="A1965" s="8" t="s">
        <v>2399</v>
      </c>
      <c r="B1965" s="8" t="s">
        <v>2396</v>
      </c>
      <c r="C1965" s="9">
        <v>0</v>
      </c>
      <c r="D1965" s="9">
        <v>0</v>
      </c>
      <c r="E1965" s="9">
        <v>0</v>
      </c>
      <c r="F1965" s="9">
        <v>0</v>
      </c>
      <c r="G1965" s="9">
        <v>0</v>
      </c>
      <c r="H1965" s="9">
        <v>0</v>
      </c>
      <c r="I1965" s="9">
        <v>0</v>
      </c>
      <c r="J1965" s="9">
        <v>0</v>
      </c>
      <c r="K1965" s="9">
        <v>0</v>
      </c>
      <c r="R1965" s="9">
        <v>0</v>
      </c>
      <c r="S1965" s="9">
        <v>2</v>
      </c>
      <c r="T1965" s="9">
        <v>1</v>
      </c>
      <c r="U1965" s="9">
        <v>0</v>
      </c>
      <c r="V1965" s="9">
        <v>1</v>
      </c>
      <c r="W1965" s="9">
        <v>0</v>
      </c>
      <c r="X1965" s="9">
        <v>1</v>
      </c>
      <c r="AE1965" s="9">
        <f>IFERROR(VLOOKUP($A1965,pivot!$A:$G,計算式2026!AE$1,FALSE),0)</f>
        <v>0</v>
      </c>
      <c r="AF1965" s="9">
        <f>IFERROR(VLOOKUP($A1965,pivot!$A:$I,計算式2026!AF$1,FALSE),0)</f>
        <v>0</v>
      </c>
      <c r="AI1965" s="9">
        <f>IFERROR(VLOOKUP($A1965,pivot!$A:$I,計算式2026!AI$1,FALSE),0)</f>
        <v>0</v>
      </c>
      <c r="AJ1965" s="9">
        <f>IFERROR(VLOOKUP($A1965,pivot!$A:$I,計算式2026!AJ$1,FALSE),0)</f>
        <v>0</v>
      </c>
      <c r="AK1965" s="9">
        <f>IFERROR(VLOOKUP($A1965,pivot!$A:$I,計算式2026!AK$1,FALSE),0)</f>
        <v>0</v>
      </c>
      <c r="AL1965" s="9">
        <f>IFERROR(VLOOKUP($A1965,pivot!$A:$I,計算式2026!AL$1,FALSE),0)</f>
        <v>0</v>
      </c>
      <c r="AR1965" s="8"/>
      <c r="AS1965" s="8"/>
      <c r="AT1965" s="8"/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8"/>
      <c r="BG1965" s="8"/>
    </row>
    <row r="1966" spans="1:59" s="9" customFormat="1">
      <c r="A1966" s="8" t="s">
        <v>2400</v>
      </c>
      <c r="B1966" s="8" t="s">
        <v>2401</v>
      </c>
      <c r="C1966" s="9">
        <v>0</v>
      </c>
      <c r="D1966" s="9">
        <v>3</v>
      </c>
      <c r="E1966" s="9">
        <v>0</v>
      </c>
      <c r="F1966" s="9">
        <v>0</v>
      </c>
      <c r="G1966" s="9">
        <v>0</v>
      </c>
      <c r="H1966" s="9">
        <v>0</v>
      </c>
      <c r="I1966" s="9">
        <v>0</v>
      </c>
      <c r="J1966" s="9">
        <v>0</v>
      </c>
      <c r="K1966" s="9">
        <v>0</v>
      </c>
      <c r="R1966" s="9">
        <v>0</v>
      </c>
      <c r="S1966" s="9">
        <v>2</v>
      </c>
      <c r="T1966" s="9">
        <v>1</v>
      </c>
      <c r="U1966" s="9">
        <v>0</v>
      </c>
      <c r="V1966" s="9">
        <v>3</v>
      </c>
      <c r="W1966" s="9">
        <v>0</v>
      </c>
      <c r="X1966" s="9">
        <v>1</v>
      </c>
      <c r="AE1966" s="9">
        <f>IFERROR(VLOOKUP($A1966,pivot!$A:$G,計算式2026!AE$1,FALSE),0)</f>
        <v>0</v>
      </c>
      <c r="AF1966" s="9">
        <f>IFERROR(VLOOKUP($A1966,pivot!$A:$I,計算式2026!AF$1,FALSE),0)</f>
        <v>0</v>
      </c>
      <c r="AI1966" s="9">
        <f>IFERROR(VLOOKUP($A1966,pivot!$A:$I,計算式2026!AI$1,FALSE),0)</f>
        <v>0</v>
      </c>
      <c r="AJ1966" s="9">
        <f>IFERROR(VLOOKUP($A1966,pivot!$A:$I,計算式2026!AJ$1,FALSE),0)</f>
        <v>0</v>
      </c>
      <c r="AK1966" s="9">
        <f>IFERROR(VLOOKUP($A1966,pivot!$A:$I,計算式2026!AK$1,FALSE),0)</f>
        <v>0</v>
      </c>
      <c r="AL1966" s="9">
        <f>IFERROR(VLOOKUP($A1966,pivot!$A:$I,計算式2026!AL$1,FALSE),0)</f>
        <v>0</v>
      </c>
      <c r="AR1966" s="8"/>
      <c r="AS1966" s="8"/>
      <c r="AT1966" s="8"/>
      <c r="AU1966" s="8"/>
      <c r="AV1966" s="8"/>
      <c r="AW1966" s="8"/>
      <c r="AX1966" s="8"/>
      <c r="AY1966" s="8"/>
      <c r="AZ1966" s="8"/>
      <c r="BA1966" s="8"/>
      <c r="BB1966" s="8"/>
      <c r="BC1966" s="8"/>
      <c r="BD1966" s="8"/>
      <c r="BE1966" s="8"/>
      <c r="BF1966" s="8"/>
      <c r="BG1966" s="8"/>
    </row>
    <row r="1967" spans="1:59" s="9" customFormat="1">
      <c r="A1967" s="8" t="s">
        <v>2402</v>
      </c>
      <c r="B1967" s="8" t="s">
        <v>2401</v>
      </c>
      <c r="C1967" s="9">
        <v>1</v>
      </c>
      <c r="D1967" s="9">
        <v>0</v>
      </c>
      <c r="E1967" s="9">
        <v>0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R1967" s="9">
        <v>0</v>
      </c>
      <c r="S1967" s="9">
        <v>3</v>
      </c>
      <c r="T1967" s="9">
        <v>1</v>
      </c>
      <c r="U1967" s="9">
        <v>0</v>
      </c>
      <c r="V1967" s="9">
        <v>2</v>
      </c>
      <c r="W1967" s="9">
        <v>0</v>
      </c>
      <c r="X1967" s="9">
        <v>1</v>
      </c>
      <c r="AE1967" s="9">
        <f>IFERROR(VLOOKUP($A1967,pivot!$A:$G,計算式2026!AE$1,FALSE),0)</f>
        <v>0</v>
      </c>
      <c r="AF1967" s="9">
        <f>IFERROR(VLOOKUP($A1967,pivot!$A:$I,計算式2026!AF$1,FALSE),0)</f>
        <v>0</v>
      </c>
      <c r="AI1967" s="9">
        <f>IFERROR(VLOOKUP($A1967,pivot!$A:$I,計算式2026!AI$1,FALSE),0)</f>
        <v>0</v>
      </c>
      <c r="AJ1967" s="9">
        <f>IFERROR(VLOOKUP($A1967,pivot!$A:$I,計算式2026!AJ$1,FALSE),0)</f>
        <v>0</v>
      </c>
      <c r="AK1967" s="9">
        <f>IFERROR(VLOOKUP($A1967,pivot!$A:$I,計算式2026!AK$1,FALSE),0)</f>
        <v>0</v>
      </c>
      <c r="AL1967" s="9">
        <f>IFERROR(VLOOKUP($A1967,pivot!$A:$I,計算式2026!AL$1,FALSE),0)</f>
        <v>0</v>
      </c>
      <c r="AR1967" s="8"/>
      <c r="AS1967" s="8"/>
      <c r="AT1967" s="8"/>
      <c r="AU1967" s="8"/>
      <c r="AV1967" s="8"/>
      <c r="AW1967" s="8"/>
      <c r="AX1967" s="8"/>
      <c r="AY1967" s="8"/>
      <c r="AZ1967" s="8"/>
      <c r="BA1967" s="8"/>
      <c r="BB1967" s="8"/>
      <c r="BC1967" s="8"/>
      <c r="BD1967" s="8"/>
      <c r="BE1967" s="8"/>
      <c r="BF1967" s="8"/>
      <c r="BG1967" s="8"/>
    </row>
    <row r="1968" spans="1:59" s="9" customFormat="1">
      <c r="A1968" s="8" t="s">
        <v>2403</v>
      </c>
      <c r="B1968" s="8" t="s">
        <v>2401</v>
      </c>
      <c r="C1968" s="9">
        <v>0</v>
      </c>
      <c r="D1968" s="9">
        <v>13</v>
      </c>
      <c r="E1968" s="9">
        <v>0</v>
      </c>
      <c r="F1968" s="9">
        <v>0</v>
      </c>
      <c r="G1968" s="9">
        <v>0</v>
      </c>
      <c r="H1968" s="9">
        <v>0</v>
      </c>
      <c r="I1968" s="9">
        <v>0</v>
      </c>
      <c r="J1968" s="9">
        <v>0</v>
      </c>
      <c r="K1968" s="9">
        <v>0</v>
      </c>
      <c r="R1968" s="9">
        <v>0</v>
      </c>
      <c r="S1968" s="9">
        <v>3</v>
      </c>
      <c r="T1968" s="9">
        <v>1</v>
      </c>
      <c r="U1968" s="9">
        <v>0</v>
      </c>
      <c r="V1968" s="9">
        <v>3</v>
      </c>
      <c r="W1968" s="9">
        <v>0</v>
      </c>
      <c r="X1968" s="9">
        <v>1</v>
      </c>
      <c r="AE1968" s="9">
        <f>IFERROR(VLOOKUP($A1968,pivot!$A:$G,計算式2026!AE$1,FALSE),0)</f>
        <v>0</v>
      </c>
      <c r="AF1968" s="9">
        <f>IFERROR(VLOOKUP($A1968,pivot!$A:$I,計算式2026!AF$1,FALSE),0)</f>
        <v>0</v>
      </c>
      <c r="AI1968" s="9">
        <f>IFERROR(VLOOKUP($A1968,pivot!$A:$I,計算式2026!AI$1,FALSE),0)</f>
        <v>0</v>
      </c>
      <c r="AJ1968" s="9">
        <f>IFERROR(VLOOKUP($A1968,pivot!$A:$I,計算式2026!AJ$1,FALSE),0)</f>
        <v>0</v>
      </c>
      <c r="AK1968" s="9">
        <f>IFERROR(VLOOKUP($A1968,pivot!$A:$I,計算式2026!AK$1,FALSE),0)</f>
        <v>0</v>
      </c>
      <c r="AL1968" s="9">
        <f>IFERROR(VLOOKUP($A1968,pivot!$A:$I,計算式2026!AL$1,FALSE),0)</f>
        <v>0</v>
      </c>
      <c r="AR1968" s="8"/>
      <c r="AS1968" s="8"/>
      <c r="AT1968" s="8"/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8"/>
      <c r="BG1968" s="8"/>
    </row>
    <row r="1969" spans="1:59" s="9" customFormat="1">
      <c r="A1969" s="8" t="s">
        <v>2404</v>
      </c>
      <c r="B1969" s="8" t="s">
        <v>2401</v>
      </c>
      <c r="C1969" s="9">
        <v>1</v>
      </c>
      <c r="D1969" s="9">
        <v>4</v>
      </c>
      <c r="E1969" s="9">
        <v>0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R1969" s="9">
        <v>0</v>
      </c>
      <c r="S1969" s="9">
        <v>3</v>
      </c>
      <c r="T1969" s="9">
        <v>1</v>
      </c>
      <c r="U1969" s="9">
        <v>0</v>
      </c>
      <c r="V1969" s="9">
        <v>3</v>
      </c>
      <c r="W1969" s="9">
        <v>0</v>
      </c>
      <c r="X1969" s="9">
        <v>1</v>
      </c>
      <c r="AE1969" s="9">
        <f>IFERROR(VLOOKUP($A1969,pivot!$A:$G,計算式2026!AE$1,FALSE),0)</f>
        <v>0</v>
      </c>
      <c r="AF1969" s="9">
        <f>IFERROR(VLOOKUP($A1969,pivot!$A:$I,計算式2026!AF$1,FALSE),0)</f>
        <v>0</v>
      </c>
      <c r="AI1969" s="9">
        <f>IFERROR(VLOOKUP($A1969,pivot!$A:$I,計算式2026!AI$1,FALSE),0)</f>
        <v>0</v>
      </c>
      <c r="AJ1969" s="9">
        <f>IFERROR(VLOOKUP($A1969,pivot!$A:$I,計算式2026!AJ$1,FALSE),0)</f>
        <v>0</v>
      </c>
      <c r="AK1969" s="9">
        <f>IFERROR(VLOOKUP($A1969,pivot!$A:$I,計算式2026!AK$1,FALSE),0)</f>
        <v>0</v>
      </c>
      <c r="AL1969" s="9">
        <f>IFERROR(VLOOKUP($A1969,pivot!$A:$I,計算式2026!AL$1,FALSE),0)</f>
        <v>0</v>
      </c>
      <c r="AR1969" s="8"/>
      <c r="AS1969" s="8"/>
      <c r="AT1969" s="8"/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8"/>
      <c r="BG1969" s="8"/>
    </row>
    <row r="1970" spans="1:59" s="9" customFormat="1">
      <c r="A1970" s="8" t="s">
        <v>2873</v>
      </c>
      <c r="B1970" s="8" t="s">
        <v>2874</v>
      </c>
      <c r="C1970" s="9">
        <v>1</v>
      </c>
      <c r="D1970" s="9">
        <v>0</v>
      </c>
      <c r="E1970" s="9">
        <v>0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AE1970" s="9">
        <f>IFERROR(VLOOKUP($A1970,pivot!$A:$G,計算式2026!AE$1,FALSE),0)</f>
        <v>0</v>
      </c>
      <c r="AF1970" s="9">
        <f>IFERROR(VLOOKUP($A1970,pivot!$A:$I,計算式2026!AF$1,FALSE),0)</f>
        <v>0</v>
      </c>
      <c r="AI1970" s="9">
        <f>IFERROR(VLOOKUP($A1970,pivot!$A:$I,計算式2026!AI$1,FALSE),0)</f>
        <v>0</v>
      </c>
      <c r="AJ1970" s="9">
        <f>IFERROR(VLOOKUP($A1970,pivot!$A:$I,計算式2026!AJ$1,FALSE),0)</f>
        <v>0</v>
      </c>
      <c r="AK1970" s="9">
        <f>IFERROR(VLOOKUP($A1970,pivot!$A:$I,計算式2026!AK$1,FALSE),0)</f>
        <v>0</v>
      </c>
      <c r="AL1970" s="9">
        <f>IFERROR(VLOOKUP($A1970,pivot!$A:$I,計算式2026!AL$1,FALSE),0)</f>
        <v>0</v>
      </c>
      <c r="AR1970" s="8"/>
      <c r="AS1970" s="8"/>
      <c r="AT1970" s="8"/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8"/>
      <c r="BG1970" s="8"/>
    </row>
    <row r="1971" spans="1:59" s="9" customFormat="1">
      <c r="A1971" s="8" t="s">
        <v>2875</v>
      </c>
      <c r="B1971" s="8" t="s">
        <v>2874</v>
      </c>
      <c r="C1971" s="9">
        <v>1</v>
      </c>
      <c r="D1971" s="9">
        <v>0</v>
      </c>
      <c r="E1971" s="9">
        <v>0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AE1971" s="9">
        <f>IFERROR(VLOOKUP($A1971,pivot!$A:$G,計算式2026!AE$1,FALSE),0)</f>
        <v>0</v>
      </c>
      <c r="AF1971" s="9">
        <f>IFERROR(VLOOKUP($A1971,pivot!$A:$I,計算式2026!AF$1,FALSE),0)</f>
        <v>0</v>
      </c>
      <c r="AI1971" s="9">
        <f>IFERROR(VLOOKUP($A1971,pivot!$A:$I,計算式2026!AI$1,FALSE),0)</f>
        <v>0</v>
      </c>
      <c r="AJ1971" s="9">
        <f>IFERROR(VLOOKUP($A1971,pivot!$A:$I,計算式2026!AJ$1,FALSE),0)</f>
        <v>0</v>
      </c>
      <c r="AK1971" s="9">
        <f>IFERROR(VLOOKUP($A1971,pivot!$A:$I,計算式2026!AK$1,FALSE),0)</f>
        <v>0</v>
      </c>
      <c r="AL1971" s="9">
        <f>IFERROR(VLOOKUP($A1971,pivot!$A:$I,計算式2026!AL$1,FALSE),0)</f>
        <v>0</v>
      </c>
      <c r="AR1971" s="8"/>
      <c r="AS1971" s="8"/>
      <c r="AT1971" s="8"/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8"/>
      <c r="BG1971" s="8"/>
    </row>
    <row r="1972" spans="1:59" s="9" customFormat="1">
      <c r="A1972" s="8">
        <v>8722423546</v>
      </c>
      <c r="B1972" s="8" t="s">
        <v>2405</v>
      </c>
      <c r="C1972" s="9">
        <v>1</v>
      </c>
      <c r="D1972" s="9">
        <v>0</v>
      </c>
      <c r="E1972" s="9">
        <v>0</v>
      </c>
      <c r="F1972" s="9">
        <v>0</v>
      </c>
      <c r="G1972" s="9">
        <v>0</v>
      </c>
      <c r="H1972" s="9">
        <v>0</v>
      </c>
      <c r="I1972" s="9">
        <v>0</v>
      </c>
      <c r="J1972" s="9">
        <v>0</v>
      </c>
      <c r="K1972" s="9">
        <v>0</v>
      </c>
      <c r="R1972" s="9">
        <v>0</v>
      </c>
      <c r="S1972" s="9">
        <v>1</v>
      </c>
      <c r="T1972" s="9">
        <v>1</v>
      </c>
      <c r="U1972" s="9">
        <v>0</v>
      </c>
      <c r="V1972" s="9">
        <v>1</v>
      </c>
      <c r="W1972" s="9">
        <v>0</v>
      </c>
      <c r="X1972" s="9">
        <v>1</v>
      </c>
      <c r="AE1972" s="9">
        <f>IFERROR(VLOOKUP($A1972,pivot!$A:$G,計算式2026!AE$1,FALSE),0)</f>
        <v>0</v>
      </c>
      <c r="AF1972" s="9">
        <f>IFERROR(VLOOKUP($A1972,pivot!$A:$I,計算式2026!AF$1,FALSE),0)</f>
        <v>0</v>
      </c>
      <c r="AI1972" s="9">
        <f>IFERROR(VLOOKUP($A1972,pivot!$A:$I,計算式2026!AI$1,FALSE),0)</f>
        <v>0</v>
      </c>
      <c r="AJ1972" s="9">
        <f>IFERROR(VLOOKUP($A1972,pivot!$A:$I,計算式2026!AJ$1,FALSE),0)</f>
        <v>0</v>
      </c>
      <c r="AK1972" s="9">
        <f>IFERROR(VLOOKUP($A1972,pivot!$A:$I,計算式2026!AK$1,FALSE),0)</f>
        <v>0</v>
      </c>
      <c r="AL1972" s="9">
        <f>IFERROR(VLOOKUP($A1972,pivot!$A:$I,計算式2026!AL$1,FALSE),0)</f>
        <v>0</v>
      </c>
      <c r="AR1972" s="8"/>
      <c r="AS1972" s="8"/>
      <c r="AT1972" s="8"/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8"/>
      <c r="BG1972" s="8"/>
    </row>
    <row r="1973" spans="1:59" s="9" customFormat="1">
      <c r="A1973" s="8">
        <v>8722423548</v>
      </c>
      <c r="B1973" s="8" t="s">
        <v>2405</v>
      </c>
      <c r="C1973" s="9">
        <v>2</v>
      </c>
      <c r="D1973" s="9">
        <v>2</v>
      </c>
      <c r="E1973" s="9">
        <v>0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R1973" s="9">
        <v>0</v>
      </c>
      <c r="S1973" s="9">
        <v>2</v>
      </c>
      <c r="T1973" s="9">
        <v>1</v>
      </c>
      <c r="U1973" s="9">
        <v>0</v>
      </c>
      <c r="V1973" s="9">
        <v>2</v>
      </c>
      <c r="W1973" s="9">
        <v>0</v>
      </c>
      <c r="X1973" s="9">
        <v>1</v>
      </c>
      <c r="AE1973" s="9">
        <f>IFERROR(VLOOKUP($A1973,pivot!$A:$G,計算式2026!AE$1,FALSE),0)</f>
        <v>0</v>
      </c>
      <c r="AF1973" s="9">
        <f>IFERROR(VLOOKUP($A1973,pivot!$A:$I,計算式2026!AF$1,FALSE),0)</f>
        <v>0</v>
      </c>
      <c r="AI1973" s="9">
        <f>IFERROR(VLOOKUP($A1973,pivot!$A:$I,計算式2026!AI$1,FALSE),0)</f>
        <v>0</v>
      </c>
      <c r="AJ1973" s="9">
        <f>IFERROR(VLOOKUP($A1973,pivot!$A:$I,計算式2026!AJ$1,FALSE),0)</f>
        <v>0</v>
      </c>
      <c r="AK1973" s="9">
        <f>IFERROR(VLOOKUP($A1973,pivot!$A:$I,計算式2026!AK$1,FALSE),0)</f>
        <v>0</v>
      </c>
      <c r="AL1973" s="9">
        <f>IFERROR(VLOOKUP($A1973,pivot!$A:$I,計算式2026!AL$1,FALSE),0)</f>
        <v>0</v>
      </c>
      <c r="AR1973" s="8"/>
      <c r="AS1973" s="8"/>
      <c r="AT1973" s="8"/>
      <c r="AU1973" s="8"/>
      <c r="AV1973" s="8"/>
      <c r="AW1973" s="8"/>
      <c r="AX1973" s="8"/>
      <c r="AY1973" s="8"/>
      <c r="AZ1973" s="8"/>
      <c r="BA1973" s="8"/>
      <c r="BB1973" s="8"/>
      <c r="BC1973" s="8"/>
      <c r="BD1973" s="8"/>
      <c r="BE1973" s="8"/>
      <c r="BF1973" s="8"/>
      <c r="BG1973" s="8"/>
    </row>
    <row r="1974" spans="1:59" s="9" customFormat="1">
      <c r="A1974" s="8">
        <v>8722423550</v>
      </c>
      <c r="B1974" s="8" t="s">
        <v>2405</v>
      </c>
      <c r="C1974" s="9">
        <v>1</v>
      </c>
      <c r="D1974" s="9">
        <v>0</v>
      </c>
      <c r="E1974" s="9">
        <v>0</v>
      </c>
      <c r="F1974" s="9">
        <v>0</v>
      </c>
      <c r="G1974" s="9">
        <v>0</v>
      </c>
      <c r="H1974" s="9">
        <v>0</v>
      </c>
      <c r="I1974" s="9">
        <v>0</v>
      </c>
      <c r="J1974" s="9">
        <v>0</v>
      </c>
      <c r="K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1</v>
      </c>
      <c r="AE1974" s="9">
        <f>IFERROR(VLOOKUP($A1974,pivot!$A:$G,計算式2026!AE$1,FALSE),0)</f>
        <v>0</v>
      </c>
      <c r="AF1974" s="9">
        <f>IFERROR(VLOOKUP($A1974,pivot!$A:$I,計算式2026!AF$1,FALSE),0)</f>
        <v>0</v>
      </c>
      <c r="AI1974" s="9">
        <f>IFERROR(VLOOKUP($A1974,pivot!$A:$I,計算式2026!AI$1,FALSE),0)</f>
        <v>0</v>
      </c>
      <c r="AJ1974" s="9">
        <f>IFERROR(VLOOKUP($A1974,pivot!$A:$I,計算式2026!AJ$1,FALSE),0)</f>
        <v>0</v>
      </c>
      <c r="AK1974" s="9">
        <f>IFERROR(VLOOKUP($A1974,pivot!$A:$I,計算式2026!AK$1,FALSE),0)</f>
        <v>0</v>
      </c>
      <c r="AL1974" s="9">
        <f>IFERROR(VLOOKUP($A1974,pivot!$A:$I,計算式2026!AL$1,FALSE),0)</f>
        <v>0</v>
      </c>
      <c r="AR1974" s="8"/>
      <c r="AS1974" s="8"/>
      <c r="AT1974" s="8"/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8"/>
      <c r="BG1974" s="8"/>
    </row>
    <row r="1975" spans="1:59" s="9" customFormat="1">
      <c r="A1975" s="8">
        <v>8722455546</v>
      </c>
      <c r="B1975" s="8" t="s">
        <v>2405</v>
      </c>
      <c r="C1975" s="9">
        <v>3</v>
      </c>
      <c r="D1975" s="9">
        <v>0</v>
      </c>
      <c r="E1975" s="9">
        <v>0</v>
      </c>
      <c r="F1975" s="9">
        <v>0</v>
      </c>
      <c r="G1975" s="9">
        <v>0</v>
      </c>
      <c r="H1975" s="9">
        <v>0</v>
      </c>
      <c r="I1975" s="9">
        <v>0</v>
      </c>
      <c r="J1975" s="9">
        <v>0</v>
      </c>
      <c r="K1975" s="9">
        <v>0</v>
      </c>
      <c r="R1975" s="9">
        <v>0</v>
      </c>
      <c r="S1975" s="9">
        <v>1</v>
      </c>
      <c r="T1975" s="9">
        <v>2</v>
      </c>
      <c r="U1975" s="9">
        <v>0</v>
      </c>
      <c r="V1975" s="9">
        <v>1</v>
      </c>
      <c r="W1975" s="9">
        <v>0</v>
      </c>
      <c r="X1975" s="9">
        <v>1</v>
      </c>
      <c r="AE1975" s="9">
        <f>IFERROR(VLOOKUP($A1975,pivot!$A:$G,計算式2026!AE$1,FALSE),0)</f>
        <v>0</v>
      </c>
      <c r="AF1975" s="9">
        <f>IFERROR(VLOOKUP($A1975,pivot!$A:$I,計算式2026!AF$1,FALSE),0)</f>
        <v>0</v>
      </c>
      <c r="AI1975" s="9">
        <f>IFERROR(VLOOKUP($A1975,pivot!$A:$I,計算式2026!AI$1,FALSE),0)</f>
        <v>0</v>
      </c>
      <c r="AJ1975" s="9">
        <f>IFERROR(VLOOKUP($A1975,pivot!$A:$I,計算式2026!AJ$1,FALSE),0)</f>
        <v>0</v>
      </c>
      <c r="AK1975" s="9">
        <f>IFERROR(VLOOKUP($A1975,pivot!$A:$I,計算式2026!AK$1,FALSE),0)</f>
        <v>0</v>
      </c>
      <c r="AL1975" s="9">
        <f>IFERROR(VLOOKUP($A1975,pivot!$A:$I,計算式2026!AL$1,FALSE),0)</f>
        <v>0</v>
      </c>
      <c r="AR1975" s="8"/>
      <c r="AS1975" s="8"/>
      <c r="AT1975" s="8"/>
      <c r="AU1975" s="8"/>
      <c r="AV1975" s="8"/>
      <c r="AW1975" s="8"/>
      <c r="AX1975" s="8"/>
      <c r="AY1975" s="8"/>
      <c r="AZ1975" s="8"/>
      <c r="BA1975" s="8"/>
      <c r="BB1975" s="8"/>
      <c r="BC1975" s="8"/>
      <c r="BD1975" s="8"/>
      <c r="BE1975" s="8"/>
      <c r="BF1975" s="8"/>
      <c r="BG1975" s="8"/>
    </row>
    <row r="1976" spans="1:59" s="9" customFormat="1">
      <c r="A1976" s="8">
        <v>8722455548</v>
      </c>
      <c r="B1976" s="8" t="s">
        <v>2405</v>
      </c>
      <c r="C1976" s="9">
        <v>3</v>
      </c>
      <c r="D1976" s="9">
        <v>5</v>
      </c>
      <c r="E1976" s="9">
        <v>0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R1976" s="9">
        <v>0</v>
      </c>
      <c r="S1976" s="9">
        <v>2</v>
      </c>
      <c r="T1976" s="9">
        <v>1</v>
      </c>
      <c r="U1976" s="9">
        <v>0</v>
      </c>
      <c r="V1976" s="9">
        <v>2</v>
      </c>
      <c r="W1976" s="9">
        <v>0</v>
      </c>
      <c r="X1976" s="9">
        <v>1</v>
      </c>
      <c r="AE1976" s="9">
        <f>IFERROR(VLOOKUP($A1976,pivot!$A:$G,計算式2026!AE$1,FALSE),0)</f>
        <v>0</v>
      </c>
      <c r="AF1976" s="9">
        <f>IFERROR(VLOOKUP($A1976,pivot!$A:$I,計算式2026!AF$1,FALSE),0)</f>
        <v>0</v>
      </c>
      <c r="AI1976" s="9">
        <f>IFERROR(VLOOKUP($A1976,pivot!$A:$I,計算式2026!AI$1,FALSE),0)</f>
        <v>0</v>
      </c>
      <c r="AJ1976" s="9">
        <f>IFERROR(VLOOKUP($A1976,pivot!$A:$I,計算式2026!AJ$1,FALSE),0)</f>
        <v>0</v>
      </c>
      <c r="AK1976" s="9">
        <f>IFERROR(VLOOKUP($A1976,pivot!$A:$I,計算式2026!AK$1,FALSE),0)</f>
        <v>0</v>
      </c>
      <c r="AL1976" s="9">
        <f>IFERROR(VLOOKUP($A1976,pivot!$A:$I,計算式2026!AL$1,FALSE),0)</f>
        <v>0</v>
      </c>
      <c r="AR1976" s="8"/>
      <c r="AS1976" s="8"/>
      <c r="AT1976" s="8"/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8"/>
      <c r="BG1976" s="8"/>
    </row>
    <row r="1977" spans="1:59" s="9" customFormat="1">
      <c r="A1977" s="8">
        <v>8722455550</v>
      </c>
      <c r="B1977" s="8" t="s">
        <v>2405</v>
      </c>
      <c r="C1977" s="9">
        <v>1</v>
      </c>
      <c r="D1977" s="9">
        <v>0</v>
      </c>
      <c r="E1977" s="9">
        <v>0</v>
      </c>
      <c r="F1977" s="9">
        <v>0</v>
      </c>
      <c r="G1977" s="9">
        <v>0</v>
      </c>
      <c r="H1977" s="9">
        <v>0</v>
      </c>
      <c r="I1977" s="9">
        <v>0</v>
      </c>
      <c r="J1977" s="9">
        <v>0</v>
      </c>
      <c r="K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1</v>
      </c>
      <c r="AE1977" s="9">
        <f>IFERROR(VLOOKUP($A1977,pivot!$A:$G,計算式2026!AE$1,FALSE),0)</f>
        <v>0</v>
      </c>
      <c r="AF1977" s="9">
        <f>IFERROR(VLOOKUP($A1977,pivot!$A:$I,計算式2026!AF$1,FALSE),0)</f>
        <v>0</v>
      </c>
      <c r="AI1977" s="9">
        <f>IFERROR(VLOOKUP($A1977,pivot!$A:$I,計算式2026!AI$1,FALSE),0)</f>
        <v>0</v>
      </c>
      <c r="AJ1977" s="9">
        <f>IFERROR(VLOOKUP($A1977,pivot!$A:$I,計算式2026!AJ$1,FALSE),0)</f>
        <v>0</v>
      </c>
      <c r="AK1977" s="9">
        <f>IFERROR(VLOOKUP($A1977,pivot!$A:$I,計算式2026!AK$1,FALSE),0)</f>
        <v>0</v>
      </c>
      <c r="AL1977" s="9">
        <f>IFERROR(VLOOKUP($A1977,pivot!$A:$I,計算式2026!AL$1,FALSE),0)</f>
        <v>0</v>
      </c>
      <c r="AR1977" s="8"/>
      <c r="AS1977" s="8"/>
      <c r="AT1977" s="8"/>
      <c r="AU1977" s="8"/>
      <c r="AV1977" s="8"/>
      <c r="AW1977" s="8"/>
      <c r="AX1977" s="8"/>
      <c r="AY1977" s="8"/>
      <c r="AZ1977" s="8"/>
      <c r="BA1977" s="8"/>
      <c r="BB1977" s="8"/>
      <c r="BC1977" s="8"/>
      <c r="BD1977" s="8"/>
      <c r="BE1977" s="8"/>
      <c r="BF1977" s="8"/>
      <c r="BG1977" s="8"/>
    </row>
    <row r="1978" spans="1:59" s="9" customFormat="1">
      <c r="A1978" s="8" t="s">
        <v>2406</v>
      </c>
      <c r="B1978" s="8" t="s">
        <v>2407</v>
      </c>
      <c r="C1978" s="9">
        <v>5</v>
      </c>
      <c r="D1978" s="9">
        <v>0</v>
      </c>
      <c r="E1978" s="9">
        <v>0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R1978" s="9">
        <v>0</v>
      </c>
      <c r="S1978" s="9">
        <v>0</v>
      </c>
      <c r="T1978" s="9">
        <v>1</v>
      </c>
      <c r="U1978" s="9">
        <v>0</v>
      </c>
      <c r="V1978" s="9">
        <v>0</v>
      </c>
      <c r="W1978" s="9">
        <v>0</v>
      </c>
      <c r="X1978" s="9">
        <v>1</v>
      </c>
      <c r="AE1978" s="9">
        <f>IFERROR(VLOOKUP($A1978,pivot!$A:$G,計算式2026!AE$1,FALSE),0)</f>
        <v>0</v>
      </c>
      <c r="AF1978" s="9">
        <f>IFERROR(VLOOKUP($A1978,pivot!$A:$I,計算式2026!AF$1,FALSE),0)</f>
        <v>0</v>
      </c>
      <c r="AI1978" s="9">
        <f>IFERROR(VLOOKUP($A1978,pivot!$A:$I,計算式2026!AI$1,FALSE),0)</f>
        <v>0</v>
      </c>
      <c r="AJ1978" s="9">
        <f>IFERROR(VLOOKUP($A1978,pivot!$A:$I,計算式2026!AJ$1,FALSE),0)</f>
        <v>0</v>
      </c>
      <c r="AK1978" s="9">
        <f>IFERROR(VLOOKUP($A1978,pivot!$A:$I,計算式2026!AK$1,FALSE),0)</f>
        <v>0</v>
      </c>
      <c r="AL1978" s="9">
        <f>IFERROR(VLOOKUP($A1978,pivot!$A:$I,計算式2026!AL$1,FALSE),0)</f>
        <v>0</v>
      </c>
      <c r="AR1978" s="8"/>
      <c r="AS1978" s="8"/>
      <c r="AT1978" s="8"/>
      <c r="AU1978" s="8"/>
      <c r="AV1978" s="8"/>
      <c r="AW1978" s="8"/>
      <c r="AX1978" s="8"/>
      <c r="AY1978" s="8"/>
      <c r="AZ1978" s="8"/>
      <c r="BA1978" s="8"/>
      <c r="BB1978" s="8"/>
      <c r="BC1978" s="8"/>
      <c r="BD1978" s="8"/>
      <c r="BE1978" s="8"/>
      <c r="BF1978" s="8"/>
      <c r="BG1978" s="8"/>
    </row>
    <row r="1979" spans="1:59" s="9" customFormat="1">
      <c r="A1979" s="8" t="s">
        <v>2408</v>
      </c>
      <c r="B1979" s="8" t="s">
        <v>2407</v>
      </c>
      <c r="C1979" s="9">
        <v>5</v>
      </c>
      <c r="D1979" s="9">
        <v>0</v>
      </c>
      <c r="E1979" s="9">
        <v>0</v>
      </c>
      <c r="F1979" s="9">
        <v>0</v>
      </c>
      <c r="G1979" s="9">
        <v>0</v>
      </c>
      <c r="H1979" s="9">
        <v>0</v>
      </c>
      <c r="I1979" s="9">
        <v>0</v>
      </c>
      <c r="J1979" s="9">
        <v>0</v>
      </c>
      <c r="K1979" s="9">
        <v>0</v>
      </c>
      <c r="R1979" s="9">
        <v>0</v>
      </c>
      <c r="S1979" s="9">
        <v>0</v>
      </c>
      <c r="T1979" s="9">
        <v>1</v>
      </c>
      <c r="U1979" s="9">
        <v>0</v>
      </c>
      <c r="V1979" s="9">
        <v>0</v>
      </c>
      <c r="W1979" s="9">
        <v>0</v>
      </c>
      <c r="X1979" s="9">
        <v>1</v>
      </c>
      <c r="AE1979" s="9">
        <f>IFERROR(VLOOKUP($A1979,pivot!$A:$G,計算式2026!AE$1,FALSE),0)</f>
        <v>0</v>
      </c>
      <c r="AF1979" s="9">
        <f>IFERROR(VLOOKUP($A1979,pivot!$A:$I,計算式2026!AF$1,FALSE),0)</f>
        <v>0</v>
      </c>
      <c r="AI1979" s="9">
        <f>IFERROR(VLOOKUP($A1979,pivot!$A:$I,計算式2026!AI$1,FALSE),0)</f>
        <v>0</v>
      </c>
      <c r="AJ1979" s="9">
        <f>IFERROR(VLOOKUP($A1979,pivot!$A:$I,計算式2026!AJ$1,FALSE),0)</f>
        <v>0</v>
      </c>
      <c r="AK1979" s="9">
        <f>IFERROR(VLOOKUP($A1979,pivot!$A:$I,計算式2026!AK$1,FALSE),0)</f>
        <v>0</v>
      </c>
      <c r="AL1979" s="9">
        <f>IFERROR(VLOOKUP($A1979,pivot!$A:$I,計算式2026!AL$1,FALSE),0)</f>
        <v>0</v>
      </c>
      <c r="AR1979" s="8"/>
      <c r="AS1979" s="8"/>
      <c r="AT1979" s="8"/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8"/>
      <c r="BG1979" s="8"/>
    </row>
    <row r="1980" spans="1:59" s="9" customFormat="1">
      <c r="A1980" s="8" t="s">
        <v>2409</v>
      </c>
      <c r="B1980" s="8" t="s">
        <v>2407</v>
      </c>
      <c r="C1980" s="9">
        <v>1</v>
      </c>
      <c r="D1980" s="9">
        <v>0</v>
      </c>
      <c r="E1980" s="9">
        <v>0</v>
      </c>
      <c r="F1980" s="9">
        <v>0</v>
      </c>
      <c r="G1980" s="9">
        <v>0</v>
      </c>
      <c r="H1980" s="9">
        <v>0</v>
      </c>
      <c r="I1980" s="9">
        <v>0</v>
      </c>
      <c r="J1980" s="9">
        <v>0</v>
      </c>
      <c r="K1980" s="9">
        <v>0</v>
      </c>
      <c r="R1980" s="9">
        <v>0</v>
      </c>
      <c r="S1980" s="9">
        <v>0</v>
      </c>
      <c r="T1980" s="9">
        <v>1</v>
      </c>
      <c r="U1980" s="9">
        <v>0</v>
      </c>
      <c r="V1980" s="9">
        <v>0</v>
      </c>
      <c r="W1980" s="9">
        <v>0</v>
      </c>
      <c r="X1980" s="9">
        <v>1</v>
      </c>
      <c r="AE1980" s="9">
        <f>IFERROR(VLOOKUP($A1980,pivot!$A:$G,計算式2026!AE$1,FALSE),0)</f>
        <v>0</v>
      </c>
      <c r="AF1980" s="9">
        <f>IFERROR(VLOOKUP($A1980,pivot!$A:$I,計算式2026!AF$1,FALSE),0)</f>
        <v>0</v>
      </c>
      <c r="AI1980" s="9">
        <f>IFERROR(VLOOKUP($A1980,pivot!$A:$I,計算式2026!AI$1,FALSE),0)</f>
        <v>0</v>
      </c>
      <c r="AJ1980" s="9">
        <f>IFERROR(VLOOKUP($A1980,pivot!$A:$I,計算式2026!AJ$1,FALSE),0)</f>
        <v>0</v>
      </c>
      <c r="AK1980" s="9">
        <f>IFERROR(VLOOKUP($A1980,pivot!$A:$I,計算式2026!AK$1,FALSE),0)</f>
        <v>0</v>
      </c>
      <c r="AL1980" s="9">
        <f>IFERROR(VLOOKUP($A1980,pivot!$A:$I,計算式2026!AL$1,FALSE),0)</f>
        <v>0</v>
      </c>
      <c r="AR1980" s="8"/>
      <c r="AS1980" s="8"/>
      <c r="AT1980" s="8"/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8"/>
      <c r="BG1980" s="8"/>
    </row>
    <row r="1981" spans="1:59" s="9" customFormat="1">
      <c r="A1981" s="8" t="s">
        <v>2410</v>
      </c>
      <c r="B1981" s="8" t="s">
        <v>2407</v>
      </c>
      <c r="C1981" s="9">
        <v>2</v>
      </c>
      <c r="D1981" s="9">
        <v>0</v>
      </c>
      <c r="E1981" s="9">
        <v>0</v>
      </c>
      <c r="F1981" s="9">
        <v>0</v>
      </c>
      <c r="G1981" s="9">
        <v>0</v>
      </c>
      <c r="H1981" s="9">
        <v>0</v>
      </c>
      <c r="I1981" s="9">
        <v>0</v>
      </c>
      <c r="J1981" s="9">
        <v>0</v>
      </c>
      <c r="K1981" s="9">
        <v>0</v>
      </c>
      <c r="R1981" s="9">
        <v>0</v>
      </c>
      <c r="S1981" s="9">
        <v>0</v>
      </c>
      <c r="T1981" s="9">
        <v>1</v>
      </c>
      <c r="U1981" s="9">
        <v>0</v>
      </c>
      <c r="V1981" s="9">
        <v>0</v>
      </c>
      <c r="W1981" s="9">
        <v>0</v>
      </c>
      <c r="X1981" s="9">
        <v>1</v>
      </c>
      <c r="AE1981" s="9">
        <f>IFERROR(VLOOKUP($A1981,pivot!$A:$G,計算式2026!AE$1,FALSE),0)</f>
        <v>0</v>
      </c>
      <c r="AF1981" s="9">
        <f>IFERROR(VLOOKUP($A1981,pivot!$A:$I,計算式2026!AF$1,FALSE),0)</f>
        <v>0</v>
      </c>
      <c r="AI1981" s="9">
        <f>IFERROR(VLOOKUP($A1981,pivot!$A:$I,計算式2026!AI$1,FALSE),0)</f>
        <v>0</v>
      </c>
      <c r="AJ1981" s="9">
        <f>IFERROR(VLOOKUP($A1981,pivot!$A:$I,計算式2026!AJ$1,FALSE),0)</f>
        <v>0</v>
      </c>
      <c r="AK1981" s="9">
        <f>IFERROR(VLOOKUP($A1981,pivot!$A:$I,計算式2026!AK$1,FALSE),0)</f>
        <v>0</v>
      </c>
      <c r="AL1981" s="9">
        <f>IFERROR(VLOOKUP($A1981,pivot!$A:$I,計算式2026!AL$1,FALSE),0)</f>
        <v>0</v>
      </c>
      <c r="AR1981" s="8"/>
      <c r="AS1981" s="8"/>
      <c r="AT1981" s="8"/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8"/>
      <c r="BG1981" s="8"/>
    </row>
    <row r="1982" spans="1:59" s="9" customFormat="1">
      <c r="A1982" s="8" t="s">
        <v>2411</v>
      </c>
      <c r="B1982" s="8" t="s">
        <v>2407</v>
      </c>
      <c r="C1982" s="9">
        <v>7</v>
      </c>
      <c r="D1982" s="9">
        <v>0</v>
      </c>
      <c r="E1982" s="9">
        <v>0</v>
      </c>
      <c r="F1982" s="9">
        <v>0</v>
      </c>
      <c r="G1982" s="9">
        <v>0</v>
      </c>
      <c r="H1982" s="9">
        <v>0</v>
      </c>
      <c r="I1982" s="9">
        <v>0</v>
      </c>
      <c r="J1982" s="9">
        <v>0</v>
      </c>
      <c r="K1982" s="9">
        <v>0</v>
      </c>
      <c r="R1982" s="9">
        <v>0</v>
      </c>
      <c r="S1982" s="9">
        <v>0</v>
      </c>
      <c r="T1982" s="9">
        <v>1</v>
      </c>
      <c r="U1982" s="9">
        <v>0</v>
      </c>
      <c r="V1982" s="9">
        <v>0</v>
      </c>
      <c r="W1982" s="9">
        <v>0</v>
      </c>
      <c r="X1982" s="9">
        <v>1</v>
      </c>
      <c r="AE1982" s="9">
        <f>IFERROR(VLOOKUP($A1982,pivot!$A:$G,計算式2026!AE$1,FALSE),0)</f>
        <v>0</v>
      </c>
      <c r="AF1982" s="9">
        <f>IFERROR(VLOOKUP($A1982,pivot!$A:$I,計算式2026!AF$1,FALSE),0)</f>
        <v>0</v>
      </c>
      <c r="AI1982" s="9">
        <f>IFERROR(VLOOKUP($A1982,pivot!$A:$I,計算式2026!AI$1,FALSE),0)</f>
        <v>0</v>
      </c>
      <c r="AJ1982" s="9">
        <f>IFERROR(VLOOKUP($A1982,pivot!$A:$I,計算式2026!AJ$1,FALSE),0)</f>
        <v>0</v>
      </c>
      <c r="AK1982" s="9">
        <f>IFERROR(VLOOKUP($A1982,pivot!$A:$I,計算式2026!AK$1,FALSE),0)</f>
        <v>0</v>
      </c>
      <c r="AL1982" s="9">
        <f>IFERROR(VLOOKUP($A1982,pivot!$A:$I,計算式2026!AL$1,FALSE),0)</f>
        <v>0</v>
      </c>
      <c r="AR1982" s="8"/>
      <c r="AS1982" s="8"/>
      <c r="AT1982" s="8"/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8"/>
      <c r="BG1982" s="8"/>
    </row>
    <row r="1983" spans="1:59" s="9" customFormat="1">
      <c r="A1983" s="8" t="s">
        <v>2412</v>
      </c>
      <c r="B1983" s="8" t="s">
        <v>2407</v>
      </c>
      <c r="C1983" s="9">
        <v>2</v>
      </c>
      <c r="D1983" s="9">
        <v>0</v>
      </c>
      <c r="E1983" s="9">
        <v>0</v>
      </c>
      <c r="F1983" s="9">
        <v>0</v>
      </c>
      <c r="G1983" s="9">
        <v>0</v>
      </c>
      <c r="H1983" s="9">
        <v>0</v>
      </c>
      <c r="I1983" s="9">
        <v>0</v>
      </c>
      <c r="J1983" s="9">
        <v>0</v>
      </c>
      <c r="K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1</v>
      </c>
      <c r="AE1983" s="9">
        <f>IFERROR(VLOOKUP($A1983,pivot!$A:$G,計算式2026!AE$1,FALSE),0)</f>
        <v>0</v>
      </c>
      <c r="AF1983" s="9">
        <f>IFERROR(VLOOKUP($A1983,pivot!$A:$I,計算式2026!AF$1,FALSE),0)</f>
        <v>0</v>
      </c>
      <c r="AI1983" s="9">
        <f>IFERROR(VLOOKUP($A1983,pivot!$A:$I,計算式2026!AI$1,FALSE),0)</f>
        <v>0</v>
      </c>
      <c r="AJ1983" s="9">
        <f>IFERROR(VLOOKUP($A1983,pivot!$A:$I,計算式2026!AJ$1,FALSE),0)</f>
        <v>0</v>
      </c>
      <c r="AK1983" s="9">
        <f>IFERROR(VLOOKUP($A1983,pivot!$A:$I,計算式2026!AK$1,FALSE),0)</f>
        <v>0</v>
      </c>
      <c r="AL1983" s="9">
        <f>IFERROR(VLOOKUP($A1983,pivot!$A:$I,計算式2026!AL$1,FALSE),0)</f>
        <v>0</v>
      </c>
      <c r="AR1983" s="8"/>
      <c r="AS1983" s="8"/>
      <c r="AT1983" s="8"/>
      <c r="AU1983" s="8"/>
      <c r="AV1983" s="8"/>
      <c r="AW1983" s="8"/>
      <c r="AX1983" s="8"/>
      <c r="AY1983" s="8"/>
      <c r="AZ1983" s="8"/>
      <c r="BA1983" s="8"/>
      <c r="BB1983" s="8"/>
      <c r="BC1983" s="8"/>
      <c r="BD1983" s="8"/>
      <c r="BE1983" s="8"/>
      <c r="BF1983" s="8"/>
      <c r="BG1983" s="8"/>
    </row>
    <row r="1984" spans="1:59" s="9" customFormat="1">
      <c r="A1984" s="8" t="s">
        <v>1162</v>
      </c>
      <c r="B1984" s="8" t="s">
        <v>1154</v>
      </c>
      <c r="C1984" s="9">
        <v>2</v>
      </c>
      <c r="D1984" s="9">
        <v>0</v>
      </c>
      <c r="E1984" s="9">
        <v>0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1</v>
      </c>
      <c r="AE1984" s="9">
        <f>IFERROR(VLOOKUP($A1984,pivot!$A:$G,計算式2026!AE$1,FALSE),0)</f>
        <v>0</v>
      </c>
      <c r="AF1984" s="9">
        <f>IFERROR(VLOOKUP($A1984,pivot!$A:$I,計算式2026!AF$1,FALSE),0)</f>
        <v>0</v>
      </c>
      <c r="AI1984" s="9">
        <f>IFERROR(VLOOKUP($A1984,pivot!$A:$I,計算式2026!AI$1,FALSE),0)</f>
        <v>0</v>
      </c>
      <c r="AJ1984" s="9">
        <f>IFERROR(VLOOKUP($A1984,pivot!$A:$I,計算式2026!AJ$1,FALSE),0)</f>
        <v>0</v>
      </c>
      <c r="AK1984" s="9">
        <f>IFERROR(VLOOKUP($A1984,pivot!$A:$I,計算式2026!AK$1,FALSE),0)</f>
        <v>0</v>
      </c>
      <c r="AL1984" s="9">
        <f>IFERROR(VLOOKUP($A1984,pivot!$A:$I,計算式2026!AL$1,FALSE),0)</f>
        <v>0</v>
      </c>
      <c r="AR1984" s="8"/>
      <c r="AS1984" s="8"/>
      <c r="AT1984" s="8"/>
      <c r="AU1984" s="8"/>
      <c r="AV1984" s="8"/>
      <c r="AW1984" s="8"/>
      <c r="AX1984" s="8"/>
      <c r="AY1984" s="8"/>
      <c r="AZ1984" s="8"/>
      <c r="BA1984" s="8"/>
      <c r="BB1984" s="8"/>
      <c r="BC1984" s="8"/>
      <c r="BD1984" s="8"/>
      <c r="BE1984" s="8"/>
      <c r="BF1984" s="8"/>
      <c r="BG1984" s="8"/>
    </row>
    <row r="1985" spans="1:59" s="9" customFormat="1">
      <c r="A1985" s="8" t="s">
        <v>1163</v>
      </c>
      <c r="B1985" s="8" t="s">
        <v>1154</v>
      </c>
      <c r="C1985" s="9">
        <v>8</v>
      </c>
      <c r="D1985" s="9">
        <v>0</v>
      </c>
      <c r="E1985" s="9">
        <v>0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2</v>
      </c>
      <c r="AE1985" s="9">
        <f>IFERROR(VLOOKUP($A1985,pivot!$A:$G,計算式2026!AE$1,FALSE),0)</f>
        <v>0</v>
      </c>
      <c r="AF1985" s="9">
        <f>IFERROR(VLOOKUP($A1985,pivot!$A:$I,計算式2026!AF$1,FALSE),0)</f>
        <v>0</v>
      </c>
      <c r="AI1985" s="9">
        <f>IFERROR(VLOOKUP($A1985,pivot!$A:$I,計算式2026!AI$1,FALSE),0)</f>
        <v>0</v>
      </c>
      <c r="AJ1985" s="9">
        <f>IFERROR(VLOOKUP($A1985,pivot!$A:$I,計算式2026!AJ$1,FALSE),0)</f>
        <v>0</v>
      </c>
      <c r="AK1985" s="9">
        <f>IFERROR(VLOOKUP($A1985,pivot!$A:$I,計算式2026!AK$1,FALSE),0)</f>
        <v>0</v>
      </c>
      <c r="AL1985" s="9">
        <f>IFERROR(VLOOKUP($A1985,pivot!$A:$I,計算式2026!AL$1,FALSE),0)</f>
        <v>0</v>
      </c>
      <c r="AR1985" s="8"/>
      <c r="AS1985" s="8"/>
      <c r="AT1985" s="8"/>
      <c r="AU1985" s="8"/>
      <c r="AV1985" s="8"/>
      <c r="AW1985" s="8"/>
      <c r="AX1985" s="8"/>
      <c r="AY1985" s="8"/>
      <c r="AZ1985" s="8"/>
      <c r="BA1985" s="8"/>
      <c r="BB1985" s="8"/>
      <c r="BC1985" s="8"/>
      <c r="BD1985" s="8"/>
      <c r="BE1985" s="8"/>
      <c r="BF1985" s="8"/>
      <c r="BG1985" s="8"/>
    </row>
    <row r="1986" spans="1:59" s="9" customFormat="1">
      <c r="A1986" s="8" t="s">
        <v>1164</v>
      </c>
      <c r="B1986" s="8" t="s">
        <v>1154</v>
      </c>
      <c r="C1986" s="9">
        <v>1</v>
      </c>
      <c r="D1986" s="9">
        <v>0</v>
      </c>
      <c r="E1986" s="9">
        <v>0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1</v>
      </c>
      <c r="AE1986" s="9">
        <f>IFERROR(VLOOKUP($A1986,pivot!$A:$G,計算式2026!AE$1,FALSE),0)</f>
        <v>0</v>
      </c>
      <c r="AF1986" s="9">
        <f>IFERROR(VLOOKUP($A1986,pivot!$A:$I,計算式2026!AF$1,FALSE),0)</f>
        <v>0</v>
      </c>
      <c r="AI1986" s="9">
        <f>IFERROR(VLOOKUP($A1986,pivot!$A:$I,計算式2026!AI$1,FALSE),0)</f>
        <v>0</v>
      </c>
      <c r="AJ1986" s="9">
        <f>IFERROR(VLOOKUP($A1986,pivot!$A:$I,計算式2026!AJ$1,FALSE),0)</f>
        <v>0</v>
      </c>
      <c r="AK1986" s="9">
        <f>IFERROR(VLOOKUP($A1986,pivot!$A:$I,計算式2026!AK$1,FALSE),0)</f>
        <v>0</v>
      </c>
      <c r="AL1986" s="9">
        <f>IFERROR(VLOOKUP($A1986,pivot!$A:$I,計算式2026!AL$1,FALSE),0)</f>
        <v>0</v>
      </c>
      <c r="AR1986" s="8"/>
      <c r="AS1986" s="8"/>
      <c r="AT1986" s="8"/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8"/>
      <c r="BG1986" s="8"/>
    </row>
    <row r="1987" spans="1:59" s="9" customFormat="1">
      <c r="A1987" s="8" t="s">
        <v>1165</v>
      </c>
      <c r="B1987" s="8" t="s">
        <v>1154</v>
      </c>
      <c r="C1987" s="9">
        <v>0</v>
      </c>
      <c r="D1987" s="9">
        <v>0</v>
      </c>
      <c r="E1987" s="9">
        <v>0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1</v>
      </c>
      <c r="AE1987" s="9">
        <f>IFERROR(VLOOKUP($A1987,pivot!$A:$G,計算式2026!AE$1,FALSE),0)</f>
        <v>0</v>
      </c>
      <c r="AF1987" s="9">
        <f>IFERROR(VLOOKUP($A1987,pivot!$A:$I,計算式2026!AF$1,FALSE),0)</f>
        <v>0</v>
      </c>
      <c r="AI1987" s="9">
        <f>IFERROR(VLOOKUP($A1987,pivot!$A:$I,計算式2026!AI$1,FALSE),0)</f>
        <v>0</v>
      </c>
      <c r="AJ1987" s="9">
        <f>IFERROR(VLOOKUP($A1987,pivot!$A:$I,計算式2026!AJ$1,FALSE),0)</f>
        <v>0</v>
      </c>
      <c r="AK1987" s="9">
        <f>IFERROR(VLOOKUP($A1987,pivot!$A:$I,計算式2026!AK$1,FALSE),0)</f>
        <v>0</v>
      </c>
      <c r="AL1987" s="9">
        <f>IFERROR(VLOOKUP($A1987,pivot!$A:$I,計算式2026!AL$1,FALSE),0)</f>
        <v>0</v>
      </c>
      <c r="AR1987" s="8"/>
      <c r="AS1987" s="8"/>
      <c r="AT1987" s="8"/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8"/>
      <c r="BG1987" s="8"/>
    </row>
    <row r="1988" spans="1:59" s="9" customFormat="1">
      <c r="A1988" s="8" t="s">
        <v>1166</v>
      </c>
      <c r="B1988" s="8" t="s">
        <v>1154</v>
      </c>
      <c r="C1988" s="9">
        <v>5</v>
      </c>
      <c r="D1988" s="9">
        <v>0</v>
      </c>
      <c r="E1988" s="9">
        <v>0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2</v>
      </c>
      <c r="AE1988" s="9">
        <f>IFERROR(VLOOKUP($A1988,pivot!$A:$G,計算式2026!AE$1,FALSE),0)</f>
        <v>0</v>
      </c>
      <c r="AF1988" s="9">
        <f>IFERROR(VLOOKUP($A1988,pivot!$A:$I,計算式2026!AF$1,FALSE),0)</f>
        <v>0</v>
      </c>
      <c r="AI1988" s="9">
        <f>IFERROR(VLOOKUP($A1988,pivot!$A:$I,計算式2026!AI$1,FALSE),0)</f>
        <v>0</v>
      </c>
      <c r="AJ1988" s="9">
        <f>IFERROR(VLOOKUP($A1988,pivot!$A:$I,計算式2026!AJ$1,FALSE),0)</f>
        <v>0</v>
      </c>
      <c r="AK1988" s="9">
        <f>IFERROR(VLOOKUP($A1988,pivot!$A:$I,計算式2026!AK$1,FALSE),0)</f>
        <v>0</v>
      </c>
      <c r="AL1988" s="9">
        <f>IFERROR(VLOOKUP($A1988,pivot!$A:$I,計算式2026!AL$1,FALSE),0)</f>
        <v>0</v>
      </c>
      <c r="AR1988" s="8"/>
      <c r="AS1988" s="8"/>
      <c r="AT1988" s="8"/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8"/>
      <c r="BG1988" s="8"/>
    </row>
    <row r="1989" spans="1:59" s="9" customFormat="1">
      <c r="A1989" s="8" t="s">
        <v>1167</v>
      </c>
      <c r="B1989" s="8" t="s">
        <v>1154</v>
      </c>
      <c r="C1989" s="9">
        <v>2</v>
      </c>
      <c r="D1989" s="9">
        <v>0</v>
      </c>
      <c r="E1989" s="9">
        <v>0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1</v>
      </c>
      <c r="AE1989" s="9">
        <f>IFERROR(VLOOKUP($A1989,pivot!$A:$G,計算式2026!AE$1,FALSE),0)</f>
        <v>0</v>
      </c>
      <c r="AF1989" s="9">
        <f>IFERROR(VLOOKUP($A1989,pivot!$A:$I,計算式2026!AF$1,FALSE),0)</f>
        <v>0</v>
      </c>
      <c r="AI1989" s="9">
        <f>IFERROR(VLOOKUP($A1989,pivot!$A:$I,計算式2026!AI$1,FALSE),0)</f>
        <v>0</v>
      </c>
      <c r="AJ1989" s="9">
        <f>IFERROR(VLOOKUP($A1989,pivot!$A:$I,計算式2026!AJ$1,FALSE),0)</f>
        <v>0</v>
      </c>
      <c r="AK1989" s="9">
        <f>IFERROR(VLOOKUP($A1989,pivot!$A:$I,計算式2026!AK$1,FALSE),0)</f>
        <v>0</v>
      </c>
      <c r="AL1989" s="9">
        <f>IFERROR(VLOOKUP($A1989,pivot!$A:$I,計算式2026!AL$1,FALSE),0)</f>
        <v>0</v>
      </c>
      <c r="AR1989" s="8"/>
      <c r="AS1989" s="8"/>
      <c r="AT1989" s="8"/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8"/>
      <c r="BG1989" s="8"/>
    </row>
    <row r="1990" spans="1:59" s="9" customFormat="1">
      <c r="A1990" s="8" t="s">
        <v>2413</v>
      </c>
      <c r="B1990" s="8" t="s">
        <v>1169</v>
      </c>
      <c r="C1990" s="9">
        <v>0</v>
      </c>
      <c r="D1990" s="9">
        <v>0</v>
      </c>
      <c r="E1990" s="9">
        <v>0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1</v>
      </c>
      <c r="AE1990" s="9">
        <f>IFERROR(VLOOKUP($A1990,pivot!$A:$G,計算式2026!AE$1,FALSE),0)</f>
        <v>0</v>
      </c>
      <c r="AF1990" s="9">
        <f>IFERROR(VLOOKUP($A1990,pivot!$A:$I,計算式2026!AF$1,FALSE),0)</f>
        <v>0</v>
      </c>
      <c r="AI1990" s="9">
        <f>IFERROR(VLOOKUP($A1990,pivot!$A:$I,計算式2026!AI$1,FALSE),0)</f>
        <v>0</v>
      </c>
      <c r="AJ1990" s="9">
        <f>IFERROR(VLOOKUP($A1990,pivot!$A:$I,計算式2026!AJ$1,FALSE),0)</f>
        <v>0</v>
      </c>
      <c r="AK1990" s="9">
        <f>IFERROR(VLOOKUP($A1990,pivot!$A:$I,計算式2026!AK$1,FALSE),0)</f>
        <v>0</v>
      </c>
      <c r="AL1990" s="9">
        <f>IFERROR(VLOOKUP($A1990,pivot!$A:$I,計算式2026!AL$1,FALSE),0)</f>
        <v>0</v>
      </c>
      <c r="AR1990" s="8"/>
      <c r="AS1990" s="8"/>
      <c r="AT1990" s="8"/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8"/>
      <c r="BG1990" s="8"/>
    </row>
    <row r="1991" spans="1:59" s="9" customFormat="1">
      <c r="A1991" s="8" t="s">
        <v>2414</v>
      </c>
      <c r="B1991" s="8" t="s">
        <v>1169</v>
      </c>
      <c r="C1991" s="9">
        <v>0</v>
      </c>
      <c r="D1991" s="9">
        <v>0</v>
      </c>
      <c r="E1991" s="9">
        <v>0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1</v>
      </c>
      <c r="AE1991" s="9">
        <f>IFERROR(VLOOKUP($A1991,pivot!$A:$G,計算式2026!AE$1,FALSE),0)</f>
        <v>0</v>
      </c>
      <c r="AF1991" s="9">
        <f>IFERROR(VLOOKUP($A1991,pivot!$A:$I,計算式2026!AF$1,FALSE),0)</f>
        <v>0</v>
      </c>
      <c r="AI1991" s="9">
        <f>IFERROR(VLOOKUP($A1991,pivot!$A:$I,計算式2026!AI$1,FALSE),0)</f>
        <v>0</v>
      </c>
      <c r="AJ1991" s="9">
        <f>IFERROR(VLOOKUP($A1991,pivot!$A:$I,計算式2026!AJ$1,FALSE),0)</f>
        <v>0</v>
      </c>
      <c r="AK1991" s="9">
        <f>IFERROR(VLOOKUP($A1991,pivot!$A:$I,計算式2026!AK$1,FALSE),0)</f>
        <v>0</v>
      </c>
      <c r="AL1991" s="9">
        <f>IFERROR(VLOOKUP($A1991,pivot!$A:$I,計算式2026!AL$1,FALSE),0)</f>
        <v>0</v>
      </c>
      <c r="AR1991" s="8"/>
      <c r="AS1991" s="8"/>
      <c r="AT1991" s="8"/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8"/>
      <c r="BG1991" s="8"/>
    </row>
    <row r="1992" spans="1:59" s="9" customFormat="1">
      <c r="A1992" s="8" t="s">
        <v>1168</v>
      </c>
      <c r="B1992" s="8" t="s">
        <v>1169</v>
      </c>
      <c r="C1992" s="9">
        <v>0</v>
      </c>
      <c r="D1992" s="9">
        <v>0</v>
      </c>
      <c r="E1992" s="9">
        <v>0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1</v>
      </c>
      <c r="W1992" s="9">
        <v>0</v>
      </c>
      <c r="X1992" s="9">
        <v>0</v>
      </c>
      <c r="AE1992" s="9">
        <f>IFERROR(VLOOKUP($A1992,pivot!$A:$G,計算式2026!AE$1,FALSE),0)</f>
        <v>0</v>
      </c>
      <c r="AF1992" s="9">
        <f>IFERROR(VLOOKUP($A1992,pivot!$A:$I,計算式2026!AF$1,FALSE),0)</f>
        <v>0</v>
      </c>
      <c r="AI1992" s="9">
        <f>IFERROR(VLOOKUP($A1992,pivot!$A:$I,計算式2026!AI$1,FALSE),0)</f>
        <v>0</v>
      </c>
      <c r="AJ1992" s="9">
        <f>IFERROR(VLOOKUP($A1992,pivot!$A:$I,計算式2026!AJ$1,FALSE),0)</f>
        <v>0</v>
      </c>
      <c r="AK1992" s="9">
        <f>IFERROR(VLOOKUP($A1992,pivot!$A:$I,計算式2026!AK$1,FALSE),0)</f>
        <v>0</v>
      </c>
      <c r="AL1992" s="9">
        <f>IFERROR(VLOOKUP($A1992,pivot!$A:$I,計算式2026!AL$1,FALSE),0)</f>
        <v>0</v>
      </c>
      <c r="AR1992" s="8"/>
      <c r="AS1992" s="8"/>
      <c r="AT1992" s="8"/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8"/>
      <c r="BG1992" s="8"/>
    </row>
    <row r="1993" spans="1:59" s="9" customFormat="1">
      <c r="A1993" s="8" t="s">
        <v>1170</v>
      </c>
      <c r="B1993" s="8" t="s">
        <v>1169</v>
      </c>
      <c r="C1993" s="9">
        <v>0</v>
      </c>
      <c r="D1993" s="9">
        <v>0</v>
      </c>
      <c r="E1993" s="9">
        <v>0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1</v>
      </c>
      <c r="AE1993" s="9">
        <f>IFERROR(VLOOKUP($A1993,pivot!$A:$G,計算式2026!AE$1,FALSE),0)</f>
        <v>0</v>
      </c>
      <c r="AF1993" s="9">
        <f>IFERROR(VLOOKUP($A1993,pivot!$A:$I,計算式2026!AF$1,FALSE),0)</f>
        <v>0</v>
      </c>
      <c r="AI1993" s="9">
        <f>IFERROR(VLOOKUP($A1993,pivot!$A:$I,計算式2026!AI$1,FALSE),0)</f>
        <v>0</v>
      </c>
      <c r="AJ1993" s="9">
        <f>IFERROR(VLOOKUP($A1993,pivot!$A:$I,計算式2026!AJ$1,FALSE),0)</f>
        <v>0</v>
      </c>
      <c r="AK1993" s="9">
        <f>IFERROR(VLOOKUP($A1993,pivot!$A:$I,計算式2026!AK$1,FALSE),0)</f>
        <v>0</v>
      </c>
      <c r="AL1993" s="9">
        <f>IFERROR(VLOOKUP($A1993,pivot!$A:$I,計算式2026!AL$1,FALSE),0)</f>
        <v>0</v>
      </c>
      <c r="AR1993" s="8"/>
      <c r="AS1993" s="8"/>
      <c r="AT1993" s="8"/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8"/>
      <c r="BG1993" s="8"/>
    </row>
    <row r="1994" spans="1:59" s="9" customFormat="1">
      <c r="A1994" s="8" t="s">
        <v>2415</v>
      </c>
      <c r="B1994" s="8" t="s">
        <v>1169</v>
      </c>
      <c r="C1994" s="9">
        <v>0</v>
      </c>
      <c r="D1994" s="9">
        <v>0</v>
      </c>
      <c r="E1994" s="9">
        <v>0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R1994" s="9">
        <v>0</v>
      </c>
      <c r="S1994" s="9">
        <v>0</v>
      </c>
      <c r="T1994" s="9">
        <v>1</v>
      </c>
      <c r="U1994" s="9">
        <v>0</v>
      </c>
      <c r="V1994" s="9">
        <v>1</v>
      </c>
      <c r="W1994" s="9">
        <v>0</v>
      </c>
      <c r="X1994" s="9">
        <v>1</v>
      </c>
      <c r="AE1994" s="9">
        <f>IFERROR(VLOOKUP($A1994,pivot!$A:$G,計算式2026!AE$1,FALSE),0)</f>
        <v>0</v>
      </c>
      <c r="AF1994" s="9">
        <f>IFERROR(VLOOKUP($A1994,pivot!$A:$I,計算式2026!AF$1,FALSE),0)</f>
        <v>0</v>
      </c>
      <c r="AI1994" s="9">
        <f>IFERROR(VLOOKUP($A1994,pivot!$A:$I,計算式2026!AI$1,FALSE),0)</f>
        <v>0</v>
      </c>
      <c r="AJ1994" s="9">
        <f>IFERROR(VLOOKUP($A1994,pivot!$A:$I,計算式2026!AJ$1,FALSE),0)</f>
        <v>0</v>
      </c>
      <c r="AK1994" s="9">
        <f>IFERROR(VLOOKUP($A1994,pivot!$A:$I,計算式2026!AK$1,FALSE),0)</f>
        <v>0</v>
      </c>
      <c r="AL1994" s="9">
        <f>IFERROR(VLOOKUP($A1994,pivot!$A:$I,計算式2026!AL$1,FALSE),0)</f>
        <v>0</v>
      </c>
      <c r="AR1994" s="8"/>
      <c r="AS1994" s="8"/>
      <c r="AT1994" s="8"/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8"/>
      <c r="BG1994" s="8"/>
    </row>
    <row r="1995" spans="1:59" s="9" customFormat="1">
      <c r="A1995" s="8" t="s">
        <v>2416</v>
      </c>
      <c r="B1995" s="8" t="s">
        <v>1169</v>
      </c>
      <c r="C1995" s="9">
        <v>0</v>
      </c>
      <c r="D1995" s="9">
        <v>0</v>
      </c>
      <c r="E1995" s="9">
        <v>0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R1995" s="9">
        <v>1</v>
      </c>
      <c r="S1995" s="9">
        <v>1</v>
      </c>
      <c r="T1995" s="9">
        <v>1</v>
      </c>
      <c r="U1995" s="9">
        <v>0</v>
      </c>
      <c r="V1995" s="9">
        <v>0</v>
      </c>
      <c r="W1995" s="9">
        <v>0</v>
      </c>
      <c r="X1995" s="9">
        <v>1</v>
      </c>
      <c r="AE1995" s="9">
        <f>IFERROR(VLOOKUP($A1995,pivot!$A:$G,計算式2026!AE$1,FALSE),0)</f>
        <v>0</v>
      </c>
      <c r="AF1995" s="9">
        <f>IFERROR(VLOOKUP($A1995,pivot!$A:$I,計算式2026!AF$1,FALSE),0)</f>
        <v>0</v>
      </c>
      <c r="AI1995" s="9">
        <f>IFERROR(VLOOKUP($A1995,pivot!$A:$I,計算式2026!AI$1,FALSE),0)</f>
        <v>0</v>
      </c>
      <c r="AJ1995" s="9">
        <f>IFERROR(VLOOKUP($A1995,pivot!$A:$I,計算式2026!AJ$1,FALSE),0)</f>
        <v>0</v>
      </c>
      <c r="AK1995" s="9">
        <f>IFERROR(VLOOKUP($A1995,pivot!$A:$I,計算式2026!AK$1,FALSE),0)</f>
        <v>0</v>
      </c>
      <c r="AL1995" s="9">
        <f>IFERROR(VLOOKUP($A1995,pivot!$A:$I,計算式2026!AL$1,FALSE),0)</f>
        <v>0</v>
      </c>
      <c r="AR1995" s="8"/>
      <c r="AS1995" s="8"/>
      <c r="AT1995" s="8"/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8"/>
      <c r="BG1995" s="8"/>
    </row>
    <row r="1996" spans="1:59" s="9" customFormat="1">
      <c r="A1996" s="8" t="s">
        <v>2417</v>
      </c>
      <c r="B1996" s="8" t="s">
        <v>1169</v>
      </c>
      <c r="C1996" s="9">
        <v>0</v>
      </c>
      <c r="D1996" s="9">
        <v>0</v>
      </c>
      <c r="E1996" s="9">
        <v>0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R1996" s="9">
        <v>0</v>
      </c>
      <c r="S1996" s="9">
        <v>1</v>
      </c>
      <c r="T1996" s="9">
        <v>0</v>
      </c>
      <c r="U1996" s="9">
        <v>0</v>
      </c>
      <c r="V1996" s="9">
        <v>0</v>
      </c>
      <c r="W1996" s="9">
        <v>0</v>
      </c>
      <c r="X1996" s="9">
        <v>1</v>
      </c>
      <c r="AE1996" s="9">
        <f>IFERROR(VLOOKUP($A1996,pivot!$A:$G,計算式2026!AE$1,FALSE),0)</f>
        <v>0</v>
      </c>
      <c r="AF1996" s="9">
        <f>IFERROR(VLOOKUP($A1996,pivot!$A:$I,計算式2026!AF$1,FALSE),0)</f>
        <v>0</v>
      </c>
      <c r="AI1996" s="9">
        <f>IFERROR(VLOOKUP($A1996,pivot!$A:$I,計算式2026!AI$1,FALSE),0)</f>
        <v>0</v>
      </c>
      <c r="AJ1996" s="9">
        <f>IFERROR(VLOOKUP($A1996,pivot!$A:$I,計算式2026!AJ$1,FALSE),0)</f>
        <v>0</v>
      </c>
      <c r="AK1996" s="9">
        <f>IFERROR(VLOOKUP($A1996,pivot!$A:$I,計算式2026!AK$1,FALSE),0)</f>
        <v>0</v>
      </c>
      <c r="AL1996" s="9">
        <f>IFERROR(VLOOKUP($A1996,pivot!$A:$I,計算式2026!AL$1,FALSE),0)</f>
        <v>0</v>
      </c>
      <c r="AR1996" s="8"/>
      <c r="AS1996" s="8"/>
      <c r="AT1996" s="8"/>
      <c r="AU1996" s="8"/>
      <c r="AV1996" s="8"/>
      <c r="AW1996" s="8"/>
      <c r="AX1996" s="8"/>
      <c r="AY1996" s="8"/>
      <c r="AZ1996" s="8"/>
      <c r="BA1996" s="8"/>
      <c r="BB1996" s="8"/>
      <c r="BC1996" s="8"/>
      <c r="BD1996" s="8"/>
      <c r="BE1996" s="8"/>
      <c r="BF1996" s="8"/>
      <c r="BG1996" s="8"/>
    </row>
    <row r="1997" spans="1:59" s="9" customFormat="1">
      <c r="A1997" s="8" t="s">
        <v>1171</v>
      </c>
      <c r="B1997" s="8" t="s">
        <v>1169</v>
      </c>
      <c r="C1997" s="9">
        <v>0</v>
      </c>
      <c r="D1997" s="9">
        <v>0</v>
      </c>
      <c r="E1997" s="9">
        <v>0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R1997" s="9">
        <v>0</v>
      </c>
      <c r="S1997" s="9">
        <v>1</v>
      </c>
      <c r="T1997" s="9">
        <v>0</v>
      </c>
      <c r="U1997" s="9">
        <v>0</v>
      </c>
      <c r="V1997" s="9">
        <v>0</v>
      </c>
      <c r="W1997" s="9">
        <v>0</v>
      </c>
      <c r="X1997" s="9">
        <v>1</v>
      </c>
      <c r="AE1997" s="9">
        <f>IFERROR(VLOOKUP($A1997,pivot!$A:$G,計算式2026!AE$1,FALSE),0)</f>
        <v>0</v>
      </c>
      <c r="AF1997" s="9">
        <f>IFERROR(VLOOKUP($A1997,pivot!$A:$I,計算式2026!AF$1,FALSE),0)</f>
        <v>0</v>
      </c>
      <c r="AI1997" s="9">
        <f>IFERROR(VLOOKUP($A1997,pivot!$A:$I,計算式2026!AI$1,FALSE),0)</f>
        <v>0</v>
      </c>
      <c r="AJ1997" s="9">
        <f>IFERROR(VLOOKUP($A1997,pivot!$A:$I,計算式2026!AJ$1,FALSE),0)</f>
        <v>0</v>
      </c>
      <c r="AK1997" s="9">
        <f>IFERROR(VLOOKUP($A1997,pivot!$A:$I,計算式2026!AK$1,FALSE),0)</f>
        <v>0</v>
      </c>
      <c r="AL1997" s="9">
        <f>IFERROR(VLOOKUP($A1997,pivot!$A:$I,計算式2026!AL$1,FALSE),0)</f>
        <v>0</v>
      </c>
      <c r="AR1997" s="8"/>
      <c r="AS1997" s="8"/>
      <c r="AT1997" s="8"/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8"/>
      <c r="BG1997" s="8"/>
    </row>
    <row r="1998" spans="1:59" s="9" customFormat="1">
      <c r="A1998" s="8" t="s">
        <v>2418</v>
      </c>
      <c r="B1998" s="8" t="s">
        <v>1169</v>
      </c>
      <c r="C1998" s="9">
        <v>0</v>
      </c>
      <c r="D1998" s="9">
        <v>0</v>
      </c>
      <c r="E1998" s="9">
        <v>0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AE1998" s="9">
        <f>IFERROR(VLOOKUP($A1998,pivot!$A:$G,計算式2026!AE$1,FALSE),0)</f>
        <v>0</v>
      </c>
      <c r="AF1998" s="9">
        <f>IFERROR(VLOOKUP($A1998,pivot!$A:$I,計算式2026!AF$1,FALSE),0)</f>
        <v>0</v>
      </c>
      <c r="AI1998" s="9">
        <f>IFERROR(VLOOKUP($A1998,pivot!$A:$I,計算式2026!AI$1,FALSE),0)</f>
        <v>0</v>
      </c>
      <c r="AJ1998" s="9">
        <f>IFERROR(VLOOKUP($A1998,pivot!$A:$I,計算式2026!AJ$1,FALSE),0)</f>
        <v>0</v>
      </c>
      <c r="AK1998" s="9">
        <f>IFERROR(VLOOKUP($A1998,pivot!$A:$I,計算式2026!AK$1,FALSE),0)</f>
        <v>0</v>
      </c>
      <c r="AL1998" s="9">
        <f>IFERROR(VLOOKUP($A1998,pivot!$A:$I,計算式2026!AL$1,FALSE),0)</f>
        <v>0</v>
      </c>
      <c r="AR1998" s="8"/>
      <c r="AS1998" s="8"/>
      <c r="AT1998" s="8"/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8"/>
      <c r="BG1998" s="8"/>
    </row>
    <row r="1999" spans="1:59" s="9" customFormat="1">
      <c r="A1999" s="8" t="s">
        <v>2419</v>
      </c>
      <c r="B1999" s="8" t="s">
        <v>1169</v>
      </c>
      <c r="C1999" s="9">
        <v>0</v>
      </c>
      <c r="D1999" s="9">
        <v>0</v>
      </c>
      <c r="E1999" s="9">
        <v>0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1</v>
      </c>
      <c r="W1999" s="9">
        <v>0</v>
      </c>
      <c r="X1999" s="9">
        <v>1</v>
      </c>
      <c r="AE1999" s="9">
        <f>IFERROR(VLOOKUP($A1999,pivot!$A:$G,計算式2026!AE$1,FALSE),0)</f>
        <v>0</v>
      </c>
      <c r="AF1999" s="9">
        <f>IFERROR(VLOOKUP($A1999,pivot!$A:$I,計算式2026!AF$1,FALSE),0)</f>
        <v>0</v>
      </c>
      <c r="AI1999" s="9">
        <f>IFERROR(VLOOKUP($A1999,pivot!$A:$I,計算式2026!AI$1,FALSE),0)</f>
        <v>0</v>
      </c>
      <c r="AJ1999" s="9">
        <f>IFERROR(VLOOKUP($A1999,pivot!$A:$I,計算式2026!AJ$1,FALSE),0)</f>
        <v>0</v>
      </c>
      <c r="AK1999" s="9">
        <f>IFERROR(VLOOKUP($A1999,pivot!$A:$I,計算式2026!AK$1,FALSE),0)</f>
        <v>0</v>
      </c>
      <c r="AL1999" s="9">
        <f>IFERROR(VLOOKUP($A1999,pivot!$A:$I,計算式2026!AL$1,FALSE),0)</f>
        <v>0</v>
      </c>
      <c r="AR1999" s="8"/>
      <c r="AS1999" s="8"/>
      <c r="AT1999" s="8"/>
      <c r="AU1999" s="8"/>
      <c r="AV1999" s="8"/>
      <c r="AW1999" s="8"/>
      <c r="AX1999" s="8"/>
      <c r="AY1999" s="8"/>
      <c r="AZ1999" s="8"/>
      <c r="BA1999" s="8"/>
      <c r="BB1999" s="8"/>
      <c r="BC1999" s="8"/>
      <c r="BD1999" s="8"/>
      <c r="BE1999" s="8"/>
      <c r="BF1999" s="8"/>
      <c r="BG1999" s="8"/>
    </row>
    <row r="2000" spans="1:59" s="9" customFormat="1">
      <c r="A2000" s="8" t="s">
        <v>2420</v>
      </c>
      <c r="B2000" s="8" t="s">
        <v>1169</v>
      </c>
      <c r="C2000" s="9">
        <v>0</v>
      </c>
      <c r="D2000" s="9">
        <v>0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R2000" s="9">
        <v>0</v>
      </c>
      <c r="S2000" s="9">
        <v>1</v>
      </c>
      <c r="T2000" s="9">
        <v>1</v>
      </c>
      <c r="U2000" s="9">
        <v>0</v>
      </c>
      <c r="V2000" s="9">
        <v>1</v>
      </c>
      <c r="W2000" s="9">
        <v>0</v>
      </c>
      <c r="X2000" s="9">
        <v>1</v>
      </c>
      <c r="AE2000" s="9">
        <f>IFERROR(VLOOKUP($A2000,pivot!$A:$G,計算式2026!AE$1,FALSE),0)</f>
        <v>0</v>
      </c>
      <c r="AF2000" s="9">
        <f>IFERROR(VLOOKUP($A2000,pivot!$A:$I,計算式2026!AF$1,FALSE),0)</f>
        <v>0</v>
      </c>
      <c r="AI2000" s="9">
        <f>IFERROR(VLOOKUP($A2000,pivot!$A:$I,計算式2026!AI$1,FALSE),0)</f>
        <v>0</v>
      </c>
      <c r="AJ2000" s="9">
        <f>IFERROR(VLOOKUP($A2000,pivot!$A:$I,計算式2026!AJ$1,FALSE),0)</f>
        <v>0</v>
      </c>
      <c r="AK2000" s="9">
        <f>IFERROR(VLOOKUP($A2000,pivot!$A:$I,計算式2026!AK$1,FALSE),0)</f>
        <v>0</v>
      </c>
      <c r="AL2000" s="9">
        <f>IFERROR(VLOOKUP($A2000,pivot!$A:$I,計算式2026!AL$1,FALSE),0)</f>
        <v>0</v>
      </c>
      <c r="AR2000" s="8"/>
      <c r="AS2000" s="8"/>
      <c r="AT2000" s="8"/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8"/>
      <c r="BG2000" s="8"/>
    </row>
    <row r="2001" spans="1:59" s="9" customFormat="1">
      <c r="A2001" s="8" t="s">
        <v>1172</v>
      </c>
      <c r="B2001" s="8" t="s">
        <v>1169</v>
      </c>
      <c r="C2001" s="9">
        <v>0</v>
      </c>
      <c r="D2001" s="9">
        <v>0</v>
      </c>
      <c r="E2001" s="9">
        <v>0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1</v>
      </c>
      <c r="W2001" s="9">
        <v>0</v>
      </c>
      <c r="X2001" s="9">
        <v>1</v>
      </c>
      <c r="AE2001" s="9">
        <f>IFERROR(VLOOKUP($A2001,pivot!$A:$G,計算式2026!AE$1,FALSE),0)</f>
        <v>0</v>
      </c>
      <c r="AF2001" s="9">
        <f>IFERROR(VLOOKUP($A2001,pivot!$A:$I,計算式2026!AF$1,FALSE),0)</f>
        <v>0</v>
      </c>
      <c r="AI2001" s="9">
        <f>IFERROR(VLOOKUP($A2001,pivot!$A:$I,計算式2026!AI$1,FALSE),0)</f>
        <v>0</v>
      </c>
      <c r="AJ2001" s="9">
        <f>IFERROR(VLOOKUP($A2001,pivot!$A:$I,計算式2026!AJ$1,FALSE),0)</f>
        <v>0</v>
      </c>
      <c r="AK2001" s="9">
        <f>IFERROR(VLOOKUP($A2001,pivot!$A:$I,計算式2026!AK$1,FALSE),0)</f>
        <v>0</v>
      </c>
      <c r="AL2001" s="9">
        <f>IFERROR(VLOOKUP($A2001,pivot!$A:$I,計算式2026!AL$1,FALSE),0)</f>
        <v>0</v>
      </c>
      <c r="AR2001" s="8"/>
      <c r="AS2001" s="8"/>
      <c r="AT2001" s="8"/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8"/>
      <c r="BG2001" s="8"/>
    </row>
    <row r="2002" spans="1:59" s="9" customFormat="1">
      <c r="A2002" s="8" t="s">
        <v>1173</v>
      </c>
      <c r="B2002" s="8" t="s">
        <v>1169</v>
      </c>
      <c r="C2002" s="9">
        <v>0</v>
      </c>
      <c r="D2002" s="9">
        <v>0</v>
      </c>
      <c r="E2002" s="9">
        <v>0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AE2002" s="9">
        <f>IFERROR(VLOOKUP($A2002,pivot!$A:$G,計算式2026!AE$1,FALSE),0)</f>
        <v>0</v>
      </c>
      <c r="AF2002" s="9">
        <f>IFERROR(VLOOKUP($A2002,pivot!$A:$I,計算式2026!AF$1,FALSE),0)</f>
        <v>0</v>
      </c>
      <c r="AI2002" s="9">
        <f>IFERROR(VLOOKUP($A2002,pivot!$A:$I,計算式2026!AI$1,FALSE),0)</f>
        <v>0</v>
      </c>
      <c r="AJ2002" s="9">
        <f>IFERROR(VLOOKUP($A2002,pivot!$A:$I,計算式2026!AJ$1,FALSE),0)</f>
        <v>0</v>
      </c>
      <c r="AK2002" s="9">
        <f>IFERROR(VLOOKUP($A2002,pivot!$A:$I,計算式2026!AK$1,FALSE),0)</f>
        <v>0</v>
      </c>
      <c r="AL2002" s="9">
        <f>IFERROR(VLOOKUP($A2002,pivot!$A:$I,計算式2026!AL$1,FALSE),0)</f>
        <v>0</v>
      </c>
      <c r="AR2002" s="8"/>
      <c r="AS2002" s="8"/>
      <c r="AT2002" s="8"/>
      <c r="AU2002" s="8"/>
      <c r="AV2002" s="8"/>
      <c r="AW2002" s="8"/>
      <c r="AX2002" s="8"/>
      <c r="AY2002" s="8"/>
      <c r="AZ2002" s="8"/>
      <c r="BA2002" s="8"/>
      <c r="BB2002" s="8"/>
      <c r="BC2002" s="8"/>
      <c r="BD2002" s="8"/>
      <c r="BE2002" s="8"/>
      <c r="BF2002" s="8"/>
      <c r="BG2002" s="8"/>
    </row>
    <row r="2003" spans="1:59" s="9" customFormat="1">
      <c r="A2003" s="8" t="s">
        <v>1174</v>
      </c>
      <c r="B2003" s="8" t="s">
        <v>1169</v>
      </c>
      <c r="C2003" s="9">
        <v>0</v>
      </c>
      <c r="D2003" s="9">
        <v>0</v>
      </c>
      <c r="E2003" s="9">
        <v>0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1</v>
      </c>
      <c r="AE2003" s="9">
        <f>IFERROR(VLOOKUP($A2003,pivot!$A:$G,計算式2026!AE$1,FALSE),0)</f>
        <v>0</v>
      </c>
      <c r="AF2003" s="9">
        <f>IFERROR(VLOOKUP($A2003,pivot!$A:$I,計算式2026!AF$1,FALSE),0)</f>
        <v>0</v>
      </c>
      <c r="AI2003" s="9">
        <f>IFERROR(VLOOKUP($A2003,pivot!$A:$I,計算式2026!AI$1,FALSE),0)</f>
        <v>0</v>
      </c>
      <c r="AJ2003" s="9">
        <f>IFERROR(VLOOKUP($A2003,pivot!$A:$I,計算式2026!AJ$1,FALSE),0)</f>
        <v>0</v>
      </c>
      <c r="AK2003" s="9">
        <f>IFERROR(VLOOKUP($A2003,pivot!$A:$I,計算式2026!AK$1,FALSE),0)</f>
        <v>0</v>
      </c>
      <c r="AL2003" s="9">
        <f>IFERROR(VLOOKUP($A2003,pivot!$A:$I,計算式2026!AL$1,FALSE),0)</f>
        <v>0</v>
      </c>
      <c r="AR2003" s="8"/>
      <c r="AS2003" s="8"/>
      <c r="AT2003" s="8"/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8"/>
      <c r="BG2003" s="8"/>
    </row>
    <row r="2004" spans="1:59" s="9" customFormat="1">
      <c r="A2004" s="8" t="s">
        <v>1175</v>
      </c>
      <c r="B2004" s="8" t="s">
        <v>1169</v>
      </c>
      <c r="C2004" s="9">
        <v>0</v>
      </c>
      <c r="D2004" s="9">
        <v>0</v>
      </c>
      <c r="E2004" s="9">
        <v>0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1</v>
      </c>
      <c r="AE2004" s="9">
        <f>IFERROR(VLOOKUP($A2004,pivot!$A:$G,計算式2026!AE$1,FALSE),0)</f>
        <v>0</v>
      </c>
      <c r="AF2004" s="9">
        <f>IFERROR(VLOOKUP($A2004,pivot!$A:$I,計算式2026!AF$1,FALSE),0)</f>
        <v>0</v>
      </c>
      <c r="AI2004" s="9">
        <f>IFERROR(VLOOKUP($A2004,pivot!$A:$I,計算式2026!AI$1,FALSE),0)</f>
        <v>0</v>
      </c>
      <c r="AJ2004" s="9">
        <f>IFERROR(VLOOKUP($A2004,pivot!$A:$I,計算式2026!AJ$1,FALSE),0)</f>
        <v>0</v>
      </c>
      <c r="AK2004" s="9">
        <f>IFERROR(VLOOKUP($A2004,pivot!$A:$I,計算式2026!AK$1,FALSE),0)</f>
        <v>0</v>
      </c>
      <c r="AL2004" s="9">
        <f>IFERROR(VLOOKUP($A2004,pivot!$A:$I,計算式2026!AL$1,FALSE),0)</f>
        <v>0</v>
      </c>
      <c r="AR2004" s="8"/>
      <c r="AS2004" s="8"/>
      <c r="AT2004" s="8"/>
      <c r="AU2004" s="8"/>
      <c r="AV2004" s="8"/>
      <c r="AW2004" s="8"/>
      <c r="AX2004" s="8"/>
      <c r="AY2004" s="8"/>
      <c r="AZ2004" s="8"/>
      <c r="BA2004" s="8"/>
      <c r="BB2004" s="8"/>
      <c r="BC2004" s="8"/>
      <c r="BD2004" s="8"/>
      <c r="BE2004" s="8"/>
      <c r="BF2004" s="8"/>
      <c r="BG2004" s="8"/>
    </row>
    <row r="2005" spans="1:59" s="9" customFormat="1">
      <c r="A2005" s="8" t="s">
        <v>1176</v>
      </c>
      <c r="B2005" s="8" t="s">
        <v>1177</v>
      </c>
      <c r="C2005" s="9">
        <v>0</v>
      </c>
      <c r="D2005" s="9">
        <v>0</v>
      </c>
      <c r="E2005" s="9">
        <v>0</v>
      </c>
      <c r="F2005" s="9">
        <v>0</v>
      </c>
      <c r="G2005" s="9">
        <v>0</v>
      </c>
      <c r="H2005" s="9">
        <v>0</v>
      </c>
      <c r="I2005" s="9">
        <v>0</v>
      </c>
      <c r="J2005" s="9">
        <v>0</v>
      </c>
      <c r="K2005" s="9">
        <v>0</v>
      </c>
      <c r="R2005" s="9">
        <v>0</v>
      </c>
      <c r="S2005" s="9">
        <v>0</v>
      </c>
      <c r="T2005" s="9">
        <v>2</v>
      </c>
      <c r="U2005" s="9">
        <v>0</v>
      </c>
      <c r="V2005" s="9">
        <v>0</v>
      </c>
      <c r="W2005" s="9">
        <v>0</v>
      </c>
      <c r="X2005" s="9">
        <v>1</v>
      </c>
      <c r="AE2005" s="9">
        <f>IFERROR(VLOOKUP($A2005,pivot!$A:$G,計算式2026!AE$1,FALSE),0)</f>
        <v>0</v>
      </c>
      <c r="AF2005" s="9">
        <f>IFERROR(VLOOKUP($A2005,pivot!$A:$I,計算式2026!AF$1,FALSE),0)</f>
        <v>0</v>
      </c>
      <c r="AI2005" s="9">
        <f>IFERROR(VLOOKUP($A2005,pivot!$A:$I,計算式2026!AI$1,FALSE),0)</f>
        <v>0</v>
      </c>
      <c r="AJ2005" s="9">
        <f>IFERROR(VLOOKUP($A2005,pivot!$A:$I,計算式2026!AJ$1,FALSE),0)</f>
        <v>0</v>
      </c>
      <c r="AK2005" s="9">
        <f>IFERROR(VLOOKUP($A2005,pivot!$A:$I,計算式2026!AK$1,FALSE),0)</f>
        <v>0</v>
      </c>
      <c r="AL2005" s="9">
        <f>IFERROR(VLOOKUP($A2005,pivot!$A:$I,計算式2026!AL$1,FALSE),0)</f>
        <v>0</v>
      </c>
      <c r="AR2005" s="8"/>
      <c r="AS2005" s="8"/>
      <c r="AT2005" s="8"/>
      <c r="AU2005" s="8"/>
      <c r="AV2005" s="8"/>
      <c r="AW2005" s="8"/>
      <c r="AX2005" s="8"/>
      <c r="AY2005" s="8"/>
      <c r="AZ2005" s="8"/>
      <c r="BA2005" s="8"/>
      <c r="BB2005" s="8"/>
      <c r="BC2005" s="8"/>
      <c r="BD2005" s="8"/>
      <c r="BE2005" s="8"/>
      <c r="BF2005" s="8"/>
      <c r="BG2005" s="8"/>
    </row>
    <row r="2006" spans="1:59" s="9" customFormat="1">
      <c r="A2006" s="8" t="s">
        <v>1178</v>
      </c>
      <c r="B2006" s="8" t="s">
        <v>1177</v>
      </c>
      <c r="C2006" s="9">
        <v>0</v>
      </c>
      <c r="D2006" s="9">
        <v>0</v>
      </c>
      <c r="E2006" s="9">
        <v>0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R2006" s="9">
        <v>0</v>
      </c>
      <c r="S2006" s="9">
        <v>0</v>
      </c>
      <c r="T2006" s="9">
        <v>1</v>
      </c>
      <c r="U2006" s="9">
        <v>0</v>
      </c>
      <c r="V2006" s="9">
        <v>0</v>
      </c>
      <c r="W2006" s="9">
        <v>0</v>
      </c>
      <c r="X2006" s="9">
        <v>1</v>
      </c>
      <c r="AE2006" s="9">
        <f>IFERROR(VLOOKUP($A2006,pivot!$A:$G,計算式2026!AE$1,FALSE),0)</f>
        <v>0</v>
      </c>
      <c r="AF2006" s="9">
        <f>IFERROR(VLOOKUP($A2006,pivot!$A:$I,計算式2026!AF$1,FALSE),0)</f>
        <v>0</v>
      </c>
      <c r="AI2006" s="9">
        <f>IFERROR(VLOOKUP($A2006,pivot!$A:$I,計算式2026!AI$1,FALSE),0)</f>
        <v>0</v>
      </c>
      <c r="AJ2006" s="9">
        <f>IFERROR(VLOOKUP($A2006,pivot!$A:$I,計算式2026!AJ$1,FALSE),0)</f>
        <v>0</v>
      </c>
      <c r="AK2006" s="9">
        <f>IFERROR(VLOOKUP($A2006,pivot!$A:$I,計算式2026!AK$1,FALSE),0)</f>
        <v>0</v>
      </c>
      <c r="AL2006" s="9">
        <f>IFERROR(VLOOKUP($A2006,pivot!$A:$I,計算式2026!AL$1,FALSE),0)</f>
        <v>0</v>
      </c>
      <c r="AR2006" s="8"/>
      <c r="AS2006" s="8"/>
      <c r="AT2006" s="8"/>
      <c r="AU2006" s="8"/>
      <c r="AV2006" s="8"/>
      <c r="AW2006" s="8"/>
      <c r="AX2006" s="8"/>
      <c r="AY2006" s="8"/>
      <c r="AZ2006" s="8"/>
      <c r="BA2006" s="8"/>
      <c r="BB2006" s="8"/>
      <c r="BC2006" s="8"/>
      <c r="BD2006" s="8"/>
      <c r="BE2006" s="8"/>
      <c r="BF2006" s="8"/>
      <c r="BG2006" s="8"/>
    </row>
    <row r="2007" spans="1:59" s="9" customFormat="1">
      <c r="A2007" s="8" t="s">
        <v>1179</v>
      </c>
      <c r="B2007" s="8" t="s">
        <v>1177</v>
      </c>
      <c r="C2007" s="9">
        <v>0</v>
      </c>
      <c r="D2007" s="9">
        <v>0</v>
      </c>
      <c r="E2007" s="9">
        <v>0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1</v>
      </c>
      <c r="AE2007" s="9">
        <f>IFERROR(VLOOKUP($A2007,pivot!$A:$G,計算式2026!AE$1,FALSE),0)</f>
        <v>0</v>
      </c>
      <c r="AF2007" s="9">
        <f>IFERROR(VLOOKUP($A2007,pivot!$A:$I,計算式2026!AF$1,FALSE),0)</f>
        <v>0</v>
      </c>
      <c r="AI2007" s="9">
        <f>IFERROR(VLOOKUP($A2007,pivot!$A:$I,計算式2026!AI$1,FALSE),0)</f>
        <v>0</v>
      </c>
      <c r="AJ2007" s="9">
        <f>IFERROR(VLOOKUP($A2007,pivot!$A:$I,計算式2026!AJ$1,FALSE),0)</f>
        <v>0</v>
      </c>
      <c r="AK2007" s="9">
        <f>IFERROR(VLOOKUP($A2007,pivot!$A:$I,計算式2026!AK$1,FALSE),0)</f>
        <v>0</v>
      </c>
      <c r="AL2007" s="9">
        <f>IFERROR(VLOOKUP($A2007,pivot!$A:$I,計算式2026!AL$1,FALSE),0)</f>
        <v>0</v>
      </c>
      <c r="AR2007" s="8"/>
      <c r="AS2007" s="8"/>
      <c r="AT2007" s="8"/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8"/>
      <c r="BG2007" s="8"/>
    </row>
    <row r="2008" spans="1:59" s="9" customFormat="1">
      <c r="A2008" s="8" t="s">
        <v>2421</v>
      </c>
      <c r="B2008" s="8" t="s">
        <v>1177</v>
      </c>
      <c r="C2008" s="9">
        <v>0</v>
      </c>
      <c r="D2008" s="9">
        <v>0</v>
      </c>
      <c r="E2008" s="9">
        <v>0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1</v>
      </c>
      <c r="W2008" s="9">
        <v>0</v>
      </c>
      <c r="X2008" s="9">
        <v>1</v>
      </c>
      <c r="AE2008" s="9">
        <f>IFERROR(VLOOKUP($A2008,pivot!$A:$G,計算式2026!AE$1,FALSE),0)</f>
        <v>0</v>
      </c>
      <c r="AF2008" s="9">
        <f>IFERROR(VLOOKUP($A2008,pivot!$A:$I,計算式2026!AF$1,FALSE),0)</f>
        <v>0</v>
      </c>
      <c r="AI2008" s="9">
        <f>IFERROR(VLOOKUP($A2008,pivot!$A:$I,計算式2026!AI$1,FALSE),0)</f>
        <v>0</v>
      </c>
      <c r="AJ2008" s="9">
        <f>IFERROR(VLOOKUP($A2008,pivot!$A:$I,計算式2026!AJ$1,FALSE),0)</f>
        <v>0</v>
      </c>
      <c r="AK2008" s="9">
        <f>IFERROR(VLOOKUP($A2008,pivot!$A:$I,計算式2026!AK$1,FALSE),0)</f>
        <v>0</v>
      </c>
      <c r="AL2008" s="9">
        <f>IFERROR(VLOOKUP($A2008,pivot!$A:$I,計算式2026!AL$1,FALSE),0)</f>
        <v>0</v>
      </c>
      <c r="AR2008" s="8"/>
      <c r="AS2008" s="8"/>
      <c r="AT2008" s="8"/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8"/>
      <c r="BG2008" s="8"/>
    </row>
    <row r="2009" spans="1:59" s="9" customFormat="1">
      <c r="A2009" s="8" t="s">
        <v>2422</v>
      </c>
      <c r="B2009" s="8" t="s">
        <v>1177</v>
      </c>
      <c r="C2009" s="9">
        <v>0</v>
      </c>
      <c r="D2009" s="9">
        <v>0</v>
      </c>
      <c r="E2009" s="9">
        <v>0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9">
        <v>0</v>
      </c>
      <c r="R2009" s="9">
        <v>1</v>
      </c>
      <c r="S2009" s="9">
        <v>0</v>
      </c>
      <c r="T2009" s="9">
        <v>0</v>
      </c>
      <c r="U2009" s="9">
        <v>0</v>
      </c>
      <c r="V2009" s="9">
        <v>1</v>
      </c>
      <c r="W2009" s="9">
        <v>0</v>
      </c>
      <c r="X2009" s="9">
        <v>1</v>
      </c>
      <c r="AE2009" s="9">
        <f>IFERROR(VLOOKUP($A2009,pivot!$A:$G,計算式2026!AE$1,FALSE),0)</f>
        <v>0</v>
      </c>
      <c r="AF2009" s="9">
        <f>IFERROR(VLOOKUP($A2009,pivot!$A:$I,計算式2026!AF$1,FALSE),0)</f>
        <v>0</v>
      </c>
      <c r="AI2009" s="9">
        <f>IFERROR(VLOOKUP($A2009,pivot!$A:$I,計算式2026!AI$1,FALSE),0)</f>
        <v>0</v>
      </c>
      <c r="AJ2009" s="9">
        <f>IFERROR(VLOOKUP($A2009,pivot!$A:$I,計算式2026!AJ$1,FALSE),0)</f>
        <v>0</v>
      </c>
      <c r="AK2009" s="9">
        <f>IFERROR(VLOOKUP($A2009,pivot!$A:$I,計算式2026!AK$1,FALSE),0)</f>
        <v>0</v>
      </c>
      <c r="AL2009" s="9">
        <f>IFERROR(VLOOKUP($A2009,pivot!$A:$I,計算式2026!AL$1,FALSE),0)</f>
        <v>0</v>
      </c>
      <c r="AR2009" s="8"/>
      <c r="AS2009" s="8"/>
      <c r="AT2009" s="8"/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8"/>
      <c r="BG2009" s="8"/>
    </row>
    <row r="2010" spans="1:59" s="9" customFormat="1">
      <c r="A2010" s="8" t="s">
        <v>2423</v>
      </c>
      <c r="B2010" s="8" t="s">
        <v>1177</v>
      </c>
      <c r="C2010" s="9">
        <v>0</v>
      </c>
      <c r="D2010" s="9">
        <v>0</v>
      </c>
      <c r="E2010" s="9">
        <v>0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1</v>
      </c>
      <c r="W2010" s="9">
        <v>0</v>
      </c>
      <c r="X2010" s="9">
        <v>1</v>
      </c>
      <c r="AE2010" s="9">
        <f>IFERROR(VLOOKUP($A2010,pivot!$A:$G,計算式2026!AE$1,FALSE),0)</f>
        <v>0</v>
      </c>
      <c r="AF2010" s="9">
        <f>IFERROR(VLOOKUP($A2010,pivot!$A:$I,計算式2026!AF$1,FALSE),0)</f>
        <v>0</v>
      </c>
      <c r="AI2010" s="9">
        <f>IFERROR(VLOOKUP($A2010,pivot!$A:$I,計算式2026!AI$1,FALSE),0)</f>
        <v>0</v>
      </c>
      <c r="AJ2010" s="9">
        <f>IFERROR(VLOOKUP($A2010,pivot!$A:$I,計算式2026!AJ$1,FALSE),0)</f>
        <v>0</v>
      </c>
      <c r="AK2010" s="9">
        <f>IFERROR(VLOOKUP($A2010,pivot!$A:$I,計算式2026!AK$1,FALSE),0)</f>
        <v>0</v>
      </c>
      <c r="AL2010" s="9">
        <f>IFERROR(VLOOKUP($A2010,pivot!$A:$I,計算式2026!AL$1,FALSE),0)</f>
        <v>0</v>
      </c>
      <c r="AR2010" s="8"/>
      <c r="AS2010" s="8"/>
      <c r="AT2010" s="8"/>
      <c r="AU2010" s="8"/>
      <c r="AV2010" s="8"/>
      <c r="AW2010" s="8"/>
      <c r="AX2010" s="8"/>
      <c r="AY2010" s="8"/>
      <c r="AZ2010" s="8"/>
      <c r="BA2010" s="8"/>
      <c r="BB2010" s="8"/>
      <c r="BC2010" s="8"/>
      <c r="BD2010" s="8"/>
      <c r="BE2010" s="8"/>
      <c r="BF2010" s="8"/>
      <c r="BG2010" s="8"/>
    </row>
    <row r="2011" spans="1:59" s="9" customFormat="1">
      <c r="A2011" s="8" t="s">
        <v>2424</v>
      </c>
      <c r="B2011" s="8" t="s">
        <v>1177</v>
      </c>
      <c r="C2011" s="9">
        <v>0</v>
      </c>
      <c r="D2011" s="9">
        <v>0</v>
      </c>
      <c r="E2011" s="9">
        <v>0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R2011" s="9">
        <v>1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1</v>
      </c>
      <c r="AE2011" s="9">
        <f>IFERROR(VLOOKUP($A2011,pivot!$A:$G,計算式2026!AE$1,FALSE),0)</f>
        <v>0</v>
      </c>
      <c r="AF2011" s="9">
        <f>IFERROR(VLOOKUP($A2011,pivot!$A:$I,計算式2026!AF$1,FALSE),0)</f>
        <v>0</v>
      </c>
      <c r="AI2011" s="9">
        <f>IFERROR(VLOOKUP($A2011,pivot!$A:$I,計算式2026!AI$1,FALSE),0)</f>
        <v>0</v>
      </c>
      <c r="AJ2011" s="9">
        <f>IFERROR(VLOOKUP($A2011,pivot!$A:$I,計算式2026!AJ$1,FALSE),0)</f>
        <v>0</v>
      </c>
      <c r="AK2011" s="9">
        <f>IFERROR(VLOOKUP($A2011,pivot!$A:$I,計算式2026!AK$1,FALSE),0)</f>
        <v>0</v>
      </c>
      <c r="AL2011" s="9">
        <f>IFERROR(VLOOKUP($A2011,pivot!$A:$I,計算式2026!AL$1,FALSE),0)</f>
        <v>0</v>
      </c>
      <c r="AR2011" s="8"/>
      <c r="AS2011" s="8"/>
      <c r="AT2011" s="8"/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8"/>
      <c r="BG2011" s="8"/>
    </row>
    <row r="2012" spans="1:59" s="9" customFormat="1">
      <c r="A2012" s="8" t="s">
        <v>2425</v>
      </c>
      <c r="B2012" s="8" t="s">
        <v>1177</v>
      </c>
      <c r="C2012" s="9">
        <v>0</v>
      </c>
      <c r="D2012" s="9">
        <v>0</v>
      </c>
      <c r="E2012" s="9">
        <v>0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0</v>
      </c>
      <c r="R2012" s="9">
        <v>1</v>
      </c>
      <c r="S2012" s="9">
        <v>1</v>
      </c>
      <c r="T2012" s="9">
        <v>0</v>
      </c>
      <c r="U2012" s="9">
        <v>0</v>
      </c>
      <c r="V2012" s="9">
        <v>1</v>
      </c>
      <c r="W2012" s="9">
        <v>0</v>
      </c>
      <c r="X2012" s="9">
        <v>1</v>
      </c>
      <c r="AE2012" s="9">
        <f>IFERROR(VLOOKUP($A2012,pivot!$A:$G,計算式2026!AE$1,FALSE),0)</f>
        <v>0</v>
      </c>
      <c r="AF2012" s="9">
        <f>IFERROR(VLOOKUP($A2012,pivot!$A:$I,計算式2026!AF$1,FALSE),0)</f>
        <v>0</v>
      </c>
      <c r="AI2012" s="9">
        <f>IFERROR(VLOOKUP($A2012,pivot!$A:$I,計算式2026!AI$1,FALSE),0)</f>
        <v>0</v>
      </c>
      <c r="AJ2012" s="9">
        <f>IFERROR(VLOOKUP($A2012,pivot!$A:$I,計算式2026!AJ$1,FALSE),0)</f>
        <v>0</v>
      </c>
      <c r="AK2012" s="9">
        <f>IFERROR(VLOOKUP($A2012,pivot!$A:$I,計算式2026!AK$1,FALSE),0)</f>
        <v>0</v>
      </c>
      <c r="AL2012" s="9">
        <f>IFERROR(VLOOKUP($A2012,pivot!$A:$I,計算式2026!AL$1,FALSE),0)</f>
        <v>0</v>
      </c>
      <c r="AR2012" s="8"/>
      <c r="AS2012" s="8"/>
      <c r="AT2012" s="8"/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8"/>
      <c r="BG2012" s="8"/>
    </row>
    <row r="2013" spans="1:59" s="9" customFormat="1">
      <c r="A2013" s="8" t="s">
        <v>2426</v>
      </c>
      <c r="B2013" s="8" t="s">
        <v>1177</v>
      </c>
      <c r="C2013" s="9">
        <v>0</v>
      </c>
      <c r="D2013" s="9">
        <v>0</v>
      </c>
      <c r="E2013" s="9">
        <v>0</v>
      </c>
      <c r="F2013" s="9">
        <v>0</v>
      </c>
      <c r="G2013" s="9">
        <v>0</v>
      </c>
      <c r="H2013" s="9">
        <v>0</v>
      </c>
      <c r="I2013" s="9">
        <v>0</v>
      </c>
      <c r="J2013" s="9">
        <v>0</v>
      </c>
      <c r="K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1</v>
      </c>
      <c r="W2013" s="9">
        <v>0</v>
      </c>
      <c r="X2013" s="9">
        <v>1</v>
      </c>
      <c r="AE2013" s="9">
        <f>IFERROR(VLOOKUP($A2013,pivot!$A:$G,計算式2026!AE$1,FALSE),0)</f>
        <v>0</v>
      </c>
      <c r="AF2013" s="9">
        <f>IFERROR(VLOOKUP($A2013,pivot!$A:$I,計算式2026!AF$1,FALSE),0)</f>
        <v>0</v>
      </c>
      <c r="AI2013" s="9">
        <f>IFERROR(VLOOKUP($A2013,pivot!$A:$I,計算式2026!AI$1,FALSE),0)</f>
        <v>0</v>
      </c>
      <c r="AJ2013" s="9">
        <f>IFERROR(VLOOKUP($A2013,pivot!$A:$I,計算式2026!AJ$1,FALSE),0)</f>
        <v>0</v>
      </c>
      <c r="AK2013" s="9">
        <f>IFERROR(VLOOKUP($A2013,pivot!$A:$I,計算式2026!AK$1,FALSE),0)</f>
        <v>0</v>
      </c>
      <c r="AL2013" s="9">
        <f>IFERROR(VLOOKUP($A2013,pivot!$A:$I,計算式2026!AL$1,FALSE),0)</f>
        <v>0</v>
      </c>
      <c r="AR2013" s="8"/>
      <c r="AS2013" s="8"/>
      <c r="AT2013" s="8"/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8"/>
      <c r="BG2013" s="8"/>
    </row>
    <row r="2014" spans="1:59" s="9" customFormat="1">
      <c r="A2014" s="8" t="s">
        <v>1180</v>
      </c>
      <c r="B2014" s="8" t="s">
        <v>1177</v>
      </c>
      <c r="C2014" s="9">
        <v>0</v>
      </c>
      <c r="D2014" s="9">
        <v>0</v>
      </c>
      <c r="E2014" s="9">
        <v>0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R2014" s="9">
        <v>0</v>
      </c>
      <c r="S2014" s="9">
        <v>0</v>
      </c>
      <c r="T2014" s="9">
        <v>1</v>
      </c>
      <c r="U2014" s="9">
        <v>0</v>
      </c>
      <c r="V2014" s="9">
        <v>0</v>
      </c>
      <c r="W2014" s="9">
        <v>0</v>
      </c>
      <c r="X2014" s="9">
        <v>1</v>
      </c>
      <c r="AE2014" s="9">
        <f>IFERROR(VLOOKUP($A2014,pivot!$A:$G,計算式2026!AE$1,FALSE),0)</f>
        <v>0</v>
      </c>
      <c r="AF2014" s="9">
        <f>IFERROR(VLOOKUP($A2014,pivot!$A:$I,計算式2026!AF$1,FALSE),0)</f>
        <v>0</v>
      </c>
      <c r="AI2014" s="9">
        <f>IFERROR(VLOOKUP($A2014,pivot!$A:$I,計算式2026!AI$1,FALSE),0)</f>
        <v>0</v>
      </c>
      <c r="AJ2014" s="9">
        <f>IFERROR(VLOOKUP($A2014,pivot!$A:$I,計算式2026!AJ$1,FALSE),0)</f>
        <v>0</v>
      </c>
      <c r="AK2014" s="9">
        <f>IFERROR(VLOOKUP($A2014,pivot!$A:$I,計算式2026!AK$1,FALSE),0)</f>
        <v>0</v>
      </c>
      <c r="AL2014" s="9">
        <f>IFERROR(VLOOKUP($A2014,pivot!$A:$I,計算式2026!AL$1,FALSE),0)</f>
        <v>0</v>
      </c>
      <c r="AR2014" s="8"/>
      <c r="AS2014" s="8"/>
      <c r="AT2014" s="8"/>
      <c r="AU2014" s="8"/>
      <c r="AV2014" s="8"/>
      <c r="AW2014" s="8"/>
      <c r="AX2014" s="8"/>
      <c r="AY2014" s="8"/>
      <c r="AZ2014" s="8"/>
      <c r="BA2014" s="8"/>
      <c r="BB2014" s="8"/>
      <c r="BC2014" s="8"/>
      <c r="BD2014" s="8"/>
      <c r="BE2014" s="8"/>
      <c r="BF2014" s="8"/>
      <c r="BG2014" s="8"/>
    </row>
    <row r="2015" spans="1:59" s="9" customFormat="1">
      <c r="A2015" s="8" t="s">
        <v>1181</v>
      </c>
      <c r="B2015" s="8" t="s">
        <v>1177</v>
      </c>
      <c r="C2015" s="9">
        <v>0</v>
      </c>
      <c r="D2015" s="9">
        <v>0</v>
      </c>
      <c r="E2015" s="9">
        <v>0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R2015" s="9">
        <v>0</v>
      </c>
      <c r="S2015" s="9">
        <v>0</v>
      </c>
      <c r="T2015" s="9">
        <v>2</v>
      </c>
      <c r="U2015" s="9">
        <v>0</v>
      </c>
      <c r="V2015" s="9">
        <v>0</v>
      </c>
      <c r="W2015" s="9">
        <v>0</v>
      </c>
      <c r="X2015" s="9">
        <v>1</v>
      </c>
      <c r="AE2015" s="9">
        <f>IFERROR(VLOOKUP($A2015,pivot!$A:$G,計算式2026!AE$1,FALSE),0)</f>
        <v>0</v>
      </c>
      <c r="AF2015" s="9">
        <f>IFERROR(VLOOKUP($A2015,pivot!$A:$I,計算式2026!AF$1,FALSE),0)</f>
        <v>0</v>
      </c>
      <c r="AI2015" s="9">
        <f>IFERROR(VLOOKUP($A2015,pivot!$A:$I,計算式2026!AI$1,FALSE),0)</f>
        <v>0</v>
      </c>
      <c r="AJ2015" s="9">
        <f>IFERROR(VLOOKUP($A2015,pivot!$A:$I,計算式2026!AJ$1,FALSE),0)</f>
        <v>0</v>
      </c>
      <c r="AK2015" s="9">
        <f>IFERROR(VLOOKUP($A2015,pivot!$A:$I,計算式2026!AK$1,FALSE),0)</f>
        <v>0</v>
      </c>
      <c r="AL2015" s="9">
        <f>IFERROR(VLOOKUP($A2015,pivot!$A:$I,計算式2026!AL$1,FALSE),0)</f>
        <v>0</v>
      </c>
      <c r="AR2015" s="8"/>
      <c r="AS2015" s="8"/>
      <c r="AT2015" s="8"/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8"/>
      <c r="BG2015" s="8"/>
    </row>
    <row r="2016" spans="1:59" s="9" customFormat="1">
      <c r="A2016" s="8" t="s">
        <v>1182</v>
      </c>
      <c r="B2016" s="8" t="s">
        <v>1183</v>
      </c>
      <c r="C2016" s="9">
        <v>0</v>
      </c>
      <c r="D2016" s="9">
        <v>0</v>
      </c>
      <c r="E2016" s="9">
        <v>0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R2016" s="9">
        <v>0</v>
      </c>
      <c r="S2016" s="9">
        <v>0</v>
      </c>
      <c r="T2016" s="9">
        <v>1</v>
      </c>
      <c r="U2016" s="9">
        <v>0</v>
      </c>
      <c r="V2016" s="9">
        <v>1</v>
      </c>
      <c r="W2016" s="9">
        <v>0</v>
      </c>
      <c r="X2016" s="9">
        <v>0</v>
      </c>
      <c r="AE2016" s="9">
        <f>IFERROR(VLOOKUP($A2016,pivot!$A:$G,計算式2026!AE$1,FALSE),0)</f>
        <v>0</v>
      </c>
      <c r="AF2016" s="9">
        <f>IFERROR(VLOOKUP($A2016,pivot!$A:$I,計算式2026!AF$1,FALSE),0)</f>
        <v>0</v>
      </c>
      <c r="AI2016" s="9">
        <f>IFERROR(VLOOKUP($A2016,pivot!$A:$I,計算式2026!AI$1,FALSE),0)</f>
        <v>0</v>
      </c>
      <c r="AJ2016" s="9">
        <f>IFERROR(VLOOKUP($A2016,pivot!$A:$I,計算式2026!AJ$1,FALSE),0)</f>
        <v>0</v>
      </c>
      <c r="AK2016" s="9">
        <f>IFERROR(VLOOKUP($A2016,pivot!$A:$I,計算式2026!AK$1,FALSE),0)</f>
        <v>0</v>
      </c>
      <c r="AL2016" s="9">
        <f>IFERROR(VLOOKUP($A2016,pivot!$A:$I,計算式2026!AL$1,FALSE),0)</f>
        <v>0</v>
      </c>
      <c r="AR2016" s="8"/>
      <c r="AS2016" s="8"/>
      <c r="AT2016" s="8"/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8"/>
      <c r="BG2016" s="8"/>
    </row>
    <row r="2017" spans="1:59" s="9" customFormat="1">
      <c r="A2017" s="8" t="s">
        <v>1184</v>
      </c>
      <c r="B2017" s="8" t="s">
        <v>1183</v>
      </c>
      <c r="C2017" s="9">
        <v>0</v>
      </c>
      <c r="D2017" s="9">
        <v>0</v>
      </c>
      <c r="E2017" s="9">
        <v>0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R2017" s="9">
        <v>0</v>
      </c>
      <c r="S2017" s="9">
        <v>0</v>
      </c>
      <c r="T2017" s="9">
        <v>2</v>
      </c>
      <c r="U2017" s="9">
        <v>0</v>
      </c>
      <c r="V2017" s="9">
        <v>0</v>
      </c>
      <c r="W2017" s="9">
        <v>0</v>
      </c>
      <c r="X2017" s="9">
        <v>0</v>
      </c>
      <c r="AE2017" s="9">
        <f>IFERROR(VLOOKUP($A2017,pivot!$A:$G,計算式2026!AE$1,FALSE),0)</f>
        <v>0</v>
      </c>
      <c r="AF2017" s="9">
        <f>IFERROR(VLOOKUP($A2017,pivot!$A:$I,計算式2026!AF$1,FALSE),0)</f>
        <v>0</v>
      </c>
      <c r="AI2017" s="9">
        <f>IFERROR(VLOOKUP($A2017,pivot!$A:$I,計算式2026!AI$1,FALSE),0)</f>
        <v>0</v>
      </c>
      <c r="AJ2017" s="9">
        <f>IFERROR(VLOOKUP($A2017,pivot!$A:$I,計算式2026!AJ$1,FALSE),0)</f>
        <v>0</v>
      </c>
      <c r="AK2017" s="9">
        <f>IFERROR(VLOOKUP($A2017,pivot!$A:$I,計算式2026!AK$1,FALSE),0)</f>
        <v>0</v>
      </c>
      <c r="AL2017" s="9">
        <f>IFERROR(VLOOKUP($A2017,pivot!$A:$I,計算式2026!AL$1,FALSE),0)</f>
        <v>0</v>
      </c>
      <c r="AR2017" s="8"/>
      <c r="AS2017" s="8"/>
      <c r="AT2017" s="8"/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8"/>
      <c r="BG2017" s="8"/>
    </row>
    <row r="2018" spans="1:59" s="9" customFormat="1">
      <c r="A2018" s="8" t="s">
        <v>1185</v>
      </c>
      <c r="B2018" s="8" t="s">
        <v>1183</v>
      </c>
      <c r="C2018" s="9">
        <v>0</v>
      </c>
      <c r="D2018" s="9">
        <v>0</v>
      </c>
      <c r="E2018" s="9">
        <v>0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R2018" s="9">
        <v>0</v>
      </c>
      <c r="S2018" s="9">
        <v>0</v>
      </c>
      <c r="T2018" s="9">
        <v>1</v>
      </c>
      <c r="U2018" s="9">
        <v>0</v>
      </c>
      <c r="V2018" s="9">
        <v>1</v>
      </c>
      <c r="W2018" s="9">
        <v>0</v>
      </c>
      <c r="X2018" s="9">
        <v>0</v>
      </c>
      <c r="AE2018" s="9">
        <f>IFERROR(VLOOKUP($A2018,pivot!$A:$G,計算式2026!AE$1,FALSE),0)</f>
        <v>0</v>
      </c>
      <c r="AF2018" s="9">
        <f>IFERROR(VLOOKUP($A2018,pivot!$A:$I,計算式2026!AF$1,FALSE),0)</f>
        <v>0</v>
      </c>
      <c r="AI2018" s="9">
        <f>IFERROR(VLOOKUP($A2018,pivot!$A:$I,計算式2026!AI$1,FALSE),0)</f>
        <v>0</v>
      </c>
      <c r="AJ2018" s="9">
        <f>IFERROR(VLOOKUP($A2018,pivot!$A:$I,計算式2026!AJ$1,FALSE),0)</f>
        <v>0</v>
      </c>
      <c r="AK2018" s="9">
        <f>IFERROR(VLOOKUP($A2018,pivot!$A:$I,計算式2026!AK$1,FALSE),0)</f>
        <v>0</v>
      </c>
      <c r="AL2018" s="9">
        <f>IFERROR(VLOOKUP($A2018,pivot!$A:$I,計算式2026!AL$1,FALSE),0)</f>
        <v>0</v>
      </c>
      <c r="AR2018" s="8"/>
      <c r="AS2018" s="8"/>
      <c r="AT2018" s="8"/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8"/>
      <c r="BG2018" s="8"/>
    </row>
    <row r="2019" spans="1:59" s="9" customFormat="1">
      <c r="A2019" s="8" t="s">
        <v>1186</v>
      </c>
      <c r="B2019" s="8" t="s">
        <v>1183</v>
      </c>
      <c r="C2019" s="9">
        <v>0</v>
      </c>
      <c r="D2019" s="9">
        <v>0</v>
      </c>
      <c r="E2019" s="9">
        <v>0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R2019" s="9">
        <v>0</v>
      </c>
      <c r="S2019" s="9">
        <v>1</v>
      </c>
      <c r="T2019" s="9">
        <v>1</v>
      </c>
      <c r="U2019" s="9">
        <v>0</v>
      </c>
      <c r="V2019" s="9">
        <v>0</v>
      </c>
      <c r="W2019" s="9">
        <v>0</v>
      </c>
      <c r="X2019" s="9">
        <v>0</v>
      </c>
      <c r="AE2019" s="9">
        <f>IFERROR(VLOOKUP($A2019,pivot!$A:$G,計算式2026!AE$1,FALSE),0)</f>
        <v>0</v>
      </c>
      <c r="AF2019" s="9">
        <f>IFERROR(VLOOKUP($A2019,pivot!$A:$I,計算式2026!AF$1,FALSE),0)</f>
        <v>0</v>
      </c>
      <c r="AI2019" s="9">
        <f>IFERROR(VLOOKUP($A2019,pivot!$A:$I,計算式2026!AI$1,FALSE),0)</f>
        <v>0</v>
      </c>
      <c r="AJ2019" s="9">
        <f>IFERROR(VLOOKUP($A2019,pivot!$A:$I,計算式2026!AJ$1,FALSE),0)</f>
        <v>0</v>
      </c>
      <c r="AK2019" s="9">
        <f>IFERROR(VLOOKUP($A2019,pivot!$A:$I,計算式2026!AK$1,FALSE),0)</f>
        <v>0</v>
      </c>
      <c r="AL2019" s="9">
        <f>IFERROR(VLOOKUP($A2019,pivot!$A:$I,計算式2026!AL$1,FALSE),0)</f>
        <v>0</v>
      </c>
      <c r="AR2019" s="8"/>
      <c r="AS2019" s="8"/>
      <c r="AT2019" s="8"/>
      <c r="AU2019" s="8"/>
      <c r="AV2019" s="8"/>
      <c r="AW2019" s="8"/>
      <c r="AX2019" s="8"/>
      <c r="AY2019" s="8"/>
      <c r="AZ2019" s="8"/>
      <c r="BA2019" s="8"/>
      <c r="BB2019" s="8"/>
      <c r="BC2019" s="8"/>
      <c r="BD2019" s="8"/>
      <c r="BE2019" s="8"/>
      <c r="BF2019" s="8"/>
      <c r="BG2019" s="8"/>
    </row>
    <row r="2020" spans="1:59" s="9" customFormat="1">
      <c r="A2020" s="8" t="s">
        <v>1187</v>
      </c>
      <c r="B2020" s="8" t="s">
        <v>1183</v>
      </c>
      <c r="C2020" s="9">
        <v>0</v>
      </c>
      <c r="D2020" s="9">
        <v>0</v>
      </c>
      <c r="E2020" s="9">
        <v>0</v>
      </c>
      <c r="F2020" s="9">
        <v>0</v>
      </c>
      <c r="G2020" s="9">
        <v>0</v>
      </c>
      <c r="H2020" s="9">
        <v>0</v>
      </c>
      <c r="I2020" s="9">
        <v>0</v>
      </c>
      <c r="J2020" s="9">
        <v>0</v>
      </c>
      <c r="K2020" s="9">
        <v>0</v>
      </c>
      <c r="R2020" s="9">
        <v>0</v>
      </c>
      <c r="S2020" s="9">
        <v>1</v>
      </c>
      <c r="T2020" s="9">
        <v>2</v>
      </c>
      <c r="U2020" s="9">
        <v>0</v>
      </c>
      <c r="V2020" s="9">
        <v>1</v>
      </c>
      <c r="W2020" s="9">
        <v>0</v>
      </c>
      <c r="X2020" s="9">
        <v>1</v>
      </c>
      <c r="AE2020" s="9">
        <f>IFERROR(VLOOKUP($A2020,pivot!$A:$G,計算式2026!AE$1,FALSE),0)</f>
        <v>0</v>
      </c>
      <c r="AF2020" s="9">
        <f>IFERROR(VLOOKUP($A2020,pivot!$A:$I,計算式2026!AF$1,FALSE),0)</f>
        <v>0</v>
      </c>
      <c r="AI2020" s="9">
        <f>IFERROR(VLOOKUP($A2020,pivot!$A:$I,計算式2026!AI$1,FALSE),0)</f>
        <v>0</v>
      </c>
      <c r="AJ2020" s="9">
        <f>IFERROR(VLOOKUP($A2020,pivot!$A:$I,計算式2026!AJ$1,FALSE),0)</f>
        <v>0</v>
      </c>
      <c r="AK2020" s="9">
        <f>IFERROR(VLOOKUP($A2020,pivot!$A:$I,計算式2026!AK$1,FALSE),0)</f>
        <v>0</v>
      </c>
      <c r="AL2020" s="9">
        <f>IFERROR(VLOOKUP($A2020,pivot!$A:$I,計算式2026!AL$1,FALSE),0)</f>
        <v>0</v>
      </c>
      <c r="AR2020" s="8"/>
      <c r="AS2020" s="8"/>
      <c r="AT2020" s="8"/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8"/>
      <c r="BG2020" s="8"/>
    </row>
    <row r="2021" spans="1:59" s="9" customFormat="1">
      <c r="A2021" s="8" t="s">
        <v>1188</v>
      </c>
      <c r="B2021" s="8" t="s">
        <v>1183</v>
      </c>
      <c r="C2021" s="9">
        <v>0</v>
      </c>
      <c r="D2021" s="9">
        <v>0</v>
      </c>
      <c r="E2021" s="9">
        <v>0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9">
        <v>0</v>
      </c>
      <c r="R2021" s="9">
        <v>0</v>
      </c>
      <c r="S2021" s="9">
        <v>1</v>
      </c>
      <c r="T2021" s="9">
        <v>2</v>
      </c>
      <c r="U2021" s="9">
        <v>0</v>
      </c>
      <c r="V2021" s="9">
        <v>1</v>
      </c>
      <c r="W2021" s="9">
        <v>0</v>
      </c>
      <c r="X2021" s="9">
        <v>1</v>
      </c>
      <c r="AE2021" s="9">
        <f>IFERROR(VLOOKUP($A2021,pivot!$A:$G,計算式2026!AE$1,FALSE),0)</f>
        <v>0</v>
      </c>
      <c r="AF2021" s="9">
        <f>IFERROR(VLOOKUP($A2021,pivot!$A:$I,計算式2026!AF$1,FALSE),0)</f>
        <v>0</v>
      </c>
      <c r="AI2021" s="9">
        <f>IFERROR(VLOOKUP($A2021,pivot!$A:$I,計算式2026!AI$1,FALSE),0)</f>
        <v>0</v>
      </c>
      <c r="AJ2021" s="9">
        <f>IFERROR(VLOOKUP($A2021,pivot!$A:$I,計算式2026!AJ$1,FALSE),0)</f>
        <v>0</v>
      </c>
      <c r="AK2021" s="9">
        <f>IFERROR(VLOOKUP($A2021,pivot!$A:$I,計算式2026!AK$1,FALSE),0)</f>
        <v>0</v>
      </c>
      <c r="AL2021" s="9">
        <f>IFERROR(VLOOKUP($A2021,pivot!$A:$I,計算式2026!AL$1,FALSE),0)</f>
        <v>0</v>
      </c>
      <c r="AR2021" s="8"/>
      <c r="AS2021" s="8"/>
      <c r="AT2021" s="8"/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8"/>
      <c r="BG2021" s="8"/>
    </row>
    <row r="2022" spans="1:59" s="9" customFormat="1">
      <c r="A2022" s="8" t="s">
        <v>2427</v>
      </c>
      <c r="B2022" s="8" t="s">
        <v>1183</v>
      </c>
      <c r="C2022" s="9">
        <v>0</v>
      </c>
      <c r="D2022" s="9">
        <v>0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R2022" s="9">
        <v>0</v>
      </c>
      <c r="S2022" s="9">
        <v>0</v>
      </c>
      <c r="T2022" s="9">
        <v>1</v>
      </c>
      <c r="U2022" s="9">
        <v>0</v>
      </c>
      <c r="V2022" s="9">
        <v>2</v>
      </c>
      <c r="W2022" s="9">
        <v>0</v>
      </c>
      <c r="X2022" s="9">
        <v>1</v>
      </c>
      <c r="AE2022" s="9">
        <f>IFERROR(VLOOKUP($A2022,pivot!$A:$G,計算式2026!AE$1,FALSE),0)</f>
        <v>0</v>
      </c>
      <c r="AF2022" s="9">
        <f>IFERROR(VLOOKUP($A2022,pivot!$A:$I,計算式2026!AF$1,FALSE),0)</f>
        <v>0</v>
      </c>
      <c r="AI2022" s="9">
        <f>IFERROR(VLOOKUP($A2022,pivot!$A:$I,計算式2026!AI$1,FALSE),0)</f>
        <v>0</v>
      </c>
      <c r="AJ2022" s="9">
        <f>IFERROR(VLOOKUP($A2022,pivot!$A:$I,計算式2026!AJ$1,FALSE),0)</f>
        <v>0</v>
      </c>
      <c r="AK2022" s="9">
        <f>IFERROR(VLOOKUP($A2022,pivot!$A:$I,計算式2026!AK$1,FALSE),0)</f>
        <v>0</v>
      </c>
      <c r="AL2022" s="9">
        <f>IFERROR(VLOOKUP($A2022,pivot!$A:$I,計算式2026!AL$1,FALSE),0)</f>
        <v>0</v>
      </c>
      <c r="AR2022" s="8"/>
      <c r="AS2022" s="8"/>
      <c r="AT2022" s="8"/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8"/>
      <c r="BG2022" s="8"/>
    </row>
    <row r="2023" spans="1:59" s="9" customFormat="1">
      <c r="A2023" s="8" t="s">
        <v>2428</v>
      </c>
      <c r="B2023" s="8" t="s">
        <v>1183</v>
      </c>
      <c r="C2023" s="9">
        <v>0</v>
      </c>
      <c r="D2023" s="9">
        <v>0</v>
      </c>
      <c r="E2023" s="9">
        <v>0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R2023" s="9">
        <v>0</v>
      </c>
      <c r="S2023" s="9">
        <v>0</v>
      </c>
      <c r="T2023" s="9">
        <v>1</v>
      </c>
      <c r="U2023" s="9">
        <v>0</v>
      </c>
      <c r="V2023" s="9">
        <v>1</v>
      </c>
      <c r="W2023" s="9">
        <v>0</v>
      </c>
      <c r="X2023" s="9">
        <v>1</v>
      </c>
      <c r="AE2023" s="9">
        <f>IFERROR(VLOOKUP($A2023,pivot!$A:$G,計算式2026!AE$1,FALSE),0)</f>
        <v>0</v>
      </c>
      <c r="AF2023" s="9">
        <f>IFERROR(VLOOKUP($A2023,pivot!$A:$I,計算式2026!AF$1,FALSE),0)</f>
        <v>0</v>
      </c>
      <c r="AI2023" s="9">
        <f>IFERROR(VLOOKUP($A2023,pivot!$A:$I,計算式2026!AI$1,FALSE),0)</f>
        <v>0</v>
      </c>
      <c r="AJ2023" s="9">
        <f>IFERROR(VLOOKUP($A2023,pivot!$A:$I,計算式2026!AJ$1,FALSE),0)</f>
        <v>0</v>
      </c>
      <c r="AK2023" s="9">
        <f>IFERROR(VLOOKUP($A2023,pivot!$A:$I,計算式2026!AK$1,FALSE),0)</f>
        <v>0</v>
      </c>
      <c r="AL2023" s="9">
        <f>IFERROR(VLOOKUP($A2023,pivot!$A:$I,計算式2026!AL$1,FALSE),0)</f>
        <v>0</v>
      </c>
      <c r="AR2023" s="8"/>
      <c r="AS2023" s="8"/>
      <c r="AT2023" s="8"/>
      <c r="AU2023" s="8"/>
      <c r="AV2023" s="8"/>
      <c r="AW2023" s="8"/>
      <c r="AX2023" s="8"/>
      <c r="AY2023" s="8"/>
      <c r="AZ2023" s="8"/>
      <c r="BA2023" s="8"/>
      <c r="BB2023" s="8"/>
      <c r="BC2023" s="8"/>
      <c r="BD2023" s="8"/>
      <c r="BE2023" s="8"/>
      <c r="BF2023" s="8"/>
      <c r="BG2023" s="8"/>
    </row>
    <row r="2024" spans="1:59" s="9" customFormat="1">
      <c r="A2024" s="8" t="s">
        <v>2429</v>
      </c>
      <c r="B2024" s="8" t="s">
        <v>1183</v>
      </c>
      <c r="C2024" s="9">
        <v>0</v>
      </c>
      <c r="D2024" s="9">
        <v>0</v>
      </c>
      <c r="E2024" s="9">
        <v>0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AE2024" s="9">
        <f>IFERROR(VLOOKUP($A2024,pivot!$A:$G,計算式2026!AE$1,FALSE),0)</f>
        <v>0</v>
      </c>
      <c r="AF2024" s="9">
        <f>IFERROR(VLOOKUP($A2024,pivot!$A:$I,計算式2026!AF$1,FALSE),0)</f>
        <v>0</v>
      </c>
      <c r="AI2024" s="9">
        <f>IFERROR(VLOOKUP($A2024,pivot!$A:$I,計算式2026!AI$1,FALSE),0)</f>
        <v>0</v>
      </c>
      <c r="AJ2024" s="9">
        <f>IFERROR(VLOOKUP($A2024,pivot!$A:$I,計算式2026!AJ$1,FALSE),0)</f>
        <v>0</v>
      </c>
      <c r="AK2024" s="9">
        <f>IFERROR(VLOOKUP($A2024,pivot!$A:$I,計算式2026!AK$1,FALSE),0)</f>
        <v>0</v>
      </c>
      <c r="AL2024" s="9">
        <f>IFERROR(VLOOKUP($A2024,pivot!$A:$I,計算式2026!AL$1,FALSE),0)</f>
        <v>0</v>
      </c>
      <c r="AR2024" s="8"/>
      <c r="AS2024" s="8"/>
      <c r="AT2024" s="8"/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8"/>
      <c r="BG2024" s="8"/>
    </row>
    <row r="2025" spans="1:59" s="9" customFormat="1">
      <c r="A2025" s="8" t="s">
        <v>2430</v>
      </c>
      <c r="B2025" s="8" t="s">
        <v>1183</v>
      </c>
      <c r="C2025" s="9">
        <v>0</v>
      </c>
      <c r="D2025" s="9">
        <v>0</v>
      </c>
      <c r="E2025" s="9">
        <v>0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1</v>
      </c>
      <c r="W2025" s="9">
        <v>0</v>
      </c>
      <c r="X2025" s="9">
        <v>1</v>
      </c>
      <c r="AE2025" s="9">
        <f>IFERROR(VLOOKUP($A2025,pivot!$A:$G,計算式2026!AE$1,FALSE),0)</f>
        <v>0</v>
      </c>
      <c r="AF2025" s="9">
        <f>IFERROR(VLOOKUP($A2025,pivot!$A:$I,計算式2026!AF$1,FALSE),0)</f>
        <v>0</v>
      </c>
      <c r="AI2025" s="9">
        <f>IFERROR(VLOOKUP($A2025,pivot!$A:$I,計算式2026!AI$1,FALSE),0)</f>
        <v>0</v>
      </c>
      <c r="AJ2025" s="9">
        <f>IFERROR(VLOOKUP($A2025,pivot!$A:$I,計算式2026!AJ$1,FALSE),0)</f>
        <v>0</v>
      </c>
      <c r="AK2025" s="9">
        <f>IFERROR(VLOOKUP($A2025,pivot!$A:$I,計算式2026!AK$1,FALSE),0)</f>
        <v>0</v>
      </c>
      <c r="AL2025" s="9">
        <f>IFERROR(VLOOKUP($A2025,pivot!$A:$I,計算式2026!AL$1,FALSE),0)</f>
        <v>0</v>
      </c>
      <c r="AR2025" s="8"/>
      <c r="AS2025" s="8"/>
      <c r="AT2025" s="8"/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8"/>
      <c r="BG2025" s="8"/>
    </row>
    <row r="2026" spans="1:59" s="9" customFormat="1">
      <c r="A2026" s="8" t="s">
        <v>1189</v>
      </c>
      <c r="B2026" s="8" t="s">
        <v>1183</v>
      </c>
      <c r="C2026" s="9">
        <v>0</v>
      </c>
      <c r="D2026" s="9">
        <v>0</v>
      </c>
      <c r="E2026" s="9">
        <v>0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R2026" s="9">
        <v>0</v>
      </c>
      <c r="S2026" s="9">
        <v>0</v>
      </c>
      <c r="T2026" s="9">
        <v>1</v>
      </c>
      <c r="U2026" s="9">
        <v>0</v>
      </c>
      <c r="V2026" s="9">
        <v>1</v>
      </c>
      <c r="W2026" s="9">
        <v>0</v>
      </c>
      <c r="X2026" s="9">
        <v>1</v>
      </c>
      <c r="AE2026" s="9">
        <f>IFERROR(VLOOKUP($A2026,pivot!$A:$G,計算式2026!AE$1,FALSE),0)</f>
        <v>0</v>
      </c>
      <c r="AF2026" s="9">
        <f>IFERROR(VLOOKUP($A2026,pivot!$A:$I,計算式2026!AF$1,FALSE),0)</f>
        <v>0</v>
      </c>
      <c r="AI2026" s="9">
        <f>IFERROR(VLOOKUP($A2026,pivot!$A:$I,計算式2026!AI$1,FALSE),0)</f>
        <v>0</v>
      </c>
      <c r="AJ2026" s="9">
        <f>IFERROR(VLOOKUP($A2026,pivot!$A:$I,計算式2026!AJ$1,FALSE),0)</f>
        <v>0</v>
      </c>
      <c r="AK2026" s="9">
        <f>IFERROR(VLOOKUP($A2026,pivot!$A:$I,計算式2026!AK$1,FALSE),0)</f>
        <v>0</v>
      </c>
      <c r="AL2026" s="9">
        <f>IFERROR(VLOOKUP($A2026,pivot!$A:$I,計算式2026!AL$1,FALSE),0)</f>
        <v>0</v>
      </c>
      <c r="AR2026" s="8"/>
      <c r="AS2026" s="8"/>
      <c r="AT2026" s="8"/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8"/>
      <c r="BG2026" s="8"/>
    </row>
    <row r="2027" spans="1:59" s="9" customFormat="1">
      <c r="A2027" s="8" t="s">
        <v>1190</v>
      </c>
      <c r="B2027" s="8" t="s">
        <v>1183</v>
      </c>
      <c r="C2027" s="9">
        <v>0</v>
      </c>
      <c r="D2027" s="9">
        <v>0</v>
      </c>
      <c r="E2027" s="9">
        <v>0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R2027" s="9">
        <v>0</v>
      </c>
      <c r="S2027" s="9">
        <v>1</v>
      </c>
      <c r="T2027" s="9">
        <v>1</v>
      </c>
      <c r="U2027" s="9">
        <v>0</v>
      </c>
      <c r="V2027" s="9">
        <v>0</v>
      </c>
      <c r="W2027" s="9">
        <v>0</v>
      </c>
      <c r="X2027" s="9">
        <v>1</v>
      </c>
      <c r="AE2027" s="9">
        <f>IFERROR(VLOOKUP($A2027,pivot!$A:$G,計算式2026!AE$1,FALSE),0)</f>
        <v>0</v>
      </c>
      <c r="AF2027" s="9">
        <f>IFERROR(VLOOKUP($A2027,pivot!$A:$I,計算式2026!AF$1,FALSE),0)</f>
        <v>0</v>
      </c>
      <c r="AI2027" s="9">
        <f>IFERROR(VLOOKUP($A2027,pivot!$A:$I,計算式2026!AI$1,FALSE),0)</f>
        <v>0</v>
      </c>
      <c r="AJ2027" s="9">
        <f>IFERROR(VLOOKUP($A2027,pivot!$A:$I,計算式2026!AJ$1,FALSE),0)</f>
        <v>0</v>
      </c>
      <c r="AK2027" s="9">
        <f>IFERROR(VLOOKUP($A2027,pivot!$A:$I,計算式2026!AK$1,FALSE),0)</f>
        <v>0</v>
      </c>
      <c r="AL2027" s="9">
        <f>IFERROR(VLOOKUP($A2027,pivot!$A:$I,計算式2026!AL$1,FALSE),0)</f>
        <v>0</v>
      </c>
      <c r="AR2027" s="8"/>
      <c r="AS2027" s="8"/>
      <c r="AT2027" s="8"/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8"/>
      <c r="BG2027" s="8"/>
    </row>
    <row r="2028" spans="1:59" s="9" customFormat="1">
      <c r="A2028" s="8" t="s">
        <v>2431</v>
      </c>
      <c r="B2028" s="8" t="s">
        <v>1183</v>
      </c>
      <c r="C2028" s="9">
        <v>0</v>
      </c>
      <c r="D2028" s="9">
        <v>0</v>
      </c>
      <c r="E2028" s="9">
        <v>0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1</v>
      </c>
      <c r="W2028" s="9">
        <v>0</v>
      </c>
      <c r="X2028" s="9">
        <v>0</v>
      </c>
      <c r="AE2028" s="9">
        <f>IFERROR(VLOOKUP($A2028,pivot!$A:$G,計算式2026!AE$1,FALSE),0)</f>
        <v>0</v>
      </c>
      <c r="AF2028" s="9">
        <f>IFERROR(VLOOKUP($A2028,pivot!$A:$I,計算式2026!AF$1,FALSE),0)</f>
        <v>0</v>
      </c>
      <c r="AI2028" s="9">
        <f>IFERROR(VLOOKUP($A2028,pivot!$A:$I,計算式2026!AI$1,FALSE),0)</f>
        <v>0</v>
      </c>
      <c r="AJ2028" s="9">
        <f>IFERROR(VLOOKUP($A2028,pivot!$A:$I,計算式2026!AJ$1,FALSE),0)</f>
        <v>0</v>
      </c>
      <c r="AK2028" s="9">
        <f>IFERROR(VLOOKUP($A2028,pivot!$A:$I,計算式2026!AK$1,FALSE),0)</f>
        <v>0</v>
      </c>
      <c r="AL2028" s="9">
        <f>IFERROR(VLOOKUP($A2028,pivot!$A:$I,計算式2026!AL$1,FALSE),0)</f>
        <v>0</v>
      </c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</row>
    <row r="2029" spans="1:59" s="9" customFormat="1">
      <c r="A2029" s="8" t="s">
        <v>1723</v>
      </c>
      <c r="B2029" s="8" t="s">
        <v>1183</v>
      </c>
      <c r="C2029" s="9">
        <v>0</v>
      </c>
      <c r="D2029" s="9">
        <v>0</v>
      </c>
      <c r="E2029" s="9">
        <v>0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0</v>
      </c>
      <c r="R2029" s="9">
        <v>0</v>
      </c>
      <c r="S2029" s="9">
        <v>2</v>
      </c>
      <c r="T2029" s="9">
        <v>1</v>
      </c>
      <c r="U2029" s="9">
        <v>0</v>
      </c>
      <c r="V2029" s="9">
        <v>2</v>
      </c>
      <c r="W2029" s="9">
        <v>0</v>
      </c>
      <c r="X2029" s="9">
        <v>1</v>
      </c>
      <c r="AE2029" s="9">
        <f>IFERROR(VLOOKUP($A2029,pivot!$A:$G,計算式2026!AE$1,FALSE),0)</f>
        <v>0</v>
      </c>
      <c r="AF2029" s="9">
        <f>IFERROR(VLOOKUP($A2029,pivot!$A:$I,計算式2026!AF$1,FALSE),0)</f>
        <v>0</v>
      </c>
      <c r="AI2029" s="9">
        <f>IFERROR(VLOOKUP($A2029,pivot!$A:$I,計算式2026!AI$1,FALSE),0)</f>
        <v>0</v>
      </c>
      <c r="AJ2029" s="9">
        <f>IFERROR(VLOOKUP($A2029,pivot!$A:$I,計算式2026!AJ$1,FALSE),0)</f>
        <v>0</v>
      </c>
      <c r="AK2029" s="9">
        <f>IFERROR(VLOOKUP($A2029,pivot!$A:$I,計算式2026!AK$1,FALSE),0)</f>
        <v>0</v>
      </c>
      <c r="AL2029" s="9">
        <f>IFERROR(VLOOKUP($A2029,pivot!$A:$I,計算式2026!AL$1,FALSE),0)</f>
        <v>0</v>
      </c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</row>
    <row r="2030" spans="1:59" s="9" customFormat="1">
      <c r="A2030" s="8" t="s">
        <v>1724</v>
      </c>
      <c r="B2030" s="8" t="s">
        <v>1183</v>
      </c>
      <c r="C2030" s="9">
        <v>0</v>
      </c>
      <c r="D2030" s="9">
        <v>0</v>
      </c>
      <c r="E2030" s="9">
        <v>0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R2030" s="9">
        <v>0</v>
      </c>
      <c r="S2030" s="9">
        <v>0</v>
      </c>
      <c r="T2030" s="9">
        <v>1</v>
      </c>
      <c r="U2030" s="9">
        <v>0</v>
      </c>
      <c r="V2030" s="9">
        <v>2</v>
      </c>
      <c r="W2030" s="9">
        <v>0</v>
      </c>
      <c r="X2030" s="9">
        <v>1</v>
      </c>
      <c r="AE2030" s="9">
        <f>IFERROR(VLOOKUP($A2030,pivot!$A:$G,計算式2026!AE$1,FALSE),0)</f>
        <v>0</v>
      </c>
      <c r="AF2030" s="9">
        <f>IFERROR(VLOOKUP($A2030,pivot!$A:$I,計算式2026!AF$1,FALSE),0)</f>
        <v>0</v>
      </c>
      <c r="AI2030" s="9">
        <f>IFERROR(VLOOKUP($A2030,pivot!$A:$I,計算式2026!AI$1,FALSE),0)</f>
        <v>0</v>
      </c>
      <c r="AJ2030" s="9">
        <f>IFERROR(VLOOKUP($A2030,pivot!$A:$I,計算式2026!AJ$1,FALSE),0)</f>
        <v>0</v>
      </c>
      <c r="AK2030" s="9">
        <f>IFERROR(VLOOKUP($A2030,pivot!$A:$I,計算式2026!AK$1,FALSE),0)</f>
        <v>0</v>
      </c>
      <c r="AL2030" s="9">
        <f>IFERROR(VLOOKUP($A2030,pivot!$A:$I,計算式2026!AL$1,FALSE),0)</f>
        <v>0</v>
      </c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</row>
    <row r="2031" spans="1:59" s="9" customFormat="1">
      <c r="A2031" s="8" t="s">
        <v>1725</v>
      </c>
      <c r="B2031" s="8" t="s">
        <v>1183</v>
      </c>
      <c r="C2031" s="9">
        <v>0</v>
      </c>
      <c r="D2031" s="9">
        <v>0</v>
      </c>
      <c r="E2031" s="9">
        <v>0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1</v>
      </c>
      <c r="W2031" s="9">
        <v>0</v>
      </c>
      <c r="X2031" s="9">
        <v>0</v>
      </c>
      <c r="AE2031" s="9">
        <f>IFERROR(VLOOKUP($A2031,pivot!$A:$G,計算式2026!AE$1,FALSE),0)</f>
        <v>0</v>
      </c>
      <c r="AF2031" s="9">
        <f>IFERROR(VLOOKUP($A2031,pivot!$A:$I,計算式2026!AF$1,FALSE),0)</f>
        <v>0</v>
      </c>
      <c r="AI2031" s="9">
        <f>IFERROR(VLOOKUP($A2031,pivot!$A:$I,計算式2026!AI$1,FALSE),0)</f>
        <v>0</v>
      </c>
      <c r="AJ2031" s="9">
        <f>IFERROR(VLOOKUP($A2031,pivot!$A:$I,計算式2026!AJ$1,FALSE),0)</f>
        <v>0</v>
      </c>
      <c r="AK2031" s="9">
        <f>IFERROR(VLOOKUP($A2031,pivot!$A:$I,計算式2026!AK$1,FALSE),0)</f>
        <v>0</v>
      </c>
      <c r="AL2031" s="9">
        <f>IFERROR(VLOOKUP($A2031,pivot!$A:$I,計算式2026!AL$1,FALSE),0)</f>
        <v>0</v>
      </c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</row>
    <row r="2032" spans="1:59" s="9" customFormat="1">
      <c r="A2032" s="8" t="s">
        <v>1191</v>
      </c>
      <c r="B2032" s="8" t="s">
        <v>1183</v>
      </c>
      <c r="C2032" s="9">
        <v>0</v>
      </c>
      <c r="D2032" s="9">
        <v>0</v>
      </c>
      <c r="E2032" s="9">
        <v>0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R2032" s="9">
        <v>0</v>
      </c>
      <c r="S2032" s="9">
        <v>0</v>
      </c>
      <c r="T2032" s="9">
        <v>2</v>
      </c>
      <c r="U2032" s="9">
        <v>0</v>
      </c>
      <c r="V2032" s="9">
        <v>0</v>
      </c>
      <c r="W2032" s="9">
        <v>0</v>
      </c>
      <c r="X2032" s="9">
        <v>0</v>
      </c>
      <c r="AE2032" s="9">
        <f>IFERROR(VLOOKUP($A2032,pivot!$A:$G,計算式2026!AE$1,FALSE),0)</f>
        <v>0</v>
      </c>
      <c r="AF2032" s="9">
        <f>IFERROR(VLOOKUP($A2032,pivot!$A:$I,計算式2026!AF$1,FALSE),0)</f>
        <v>0</v>
      </c>
      <c r="AI2032" s="9">
        <f>IFERROR(VLOOKUP($A2032,pivot!$A:$I,計算式2026!AI$1,FALSE),0)</f>
        <v>0</v>
      </c>
      <c r="AJ2032" s="9">
        <f>IFERROR(VLOOKUP($A2032,pivot!$A:$I,計算式2026!AJ$1,FALSE),0)</f>
        <v>0</v>
      </c>
      <c r="AK2032" s="9">
        <f>IFERROR(VLOOKUP($A2032,pivot!$A:$I,計算式2026!AK$1,FALSE),0)</f>
        <v>0</v>
      </c>
      <c r="AL2032" s="9">
        <f>IFERROR(VLOOKUP($A2032,pivot!$A:$I,計算式2026!AL$1,FALSE),0)</f>
        <v>0</v>
      </c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</row>
    <row r="2033" spans="1:59" s="9" customFormat="1">
      <c r="A2033" s="8" t="s">
        <v>1192</v>
      </c>
      <c r="B2033" s="8" t="s">
        <v>1183</v>
      </c>
      <c r="C2033" s="9">
        <v>0</v>
      </c>
      <c r="D2033" s="9">
        <v>0</v>
      </c>
      <c r="E2033" s="9">
        <v>0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R2033" s="9">
        <v>0</v>
      </c>
      <c r="S2033" s="9">
        <v>1</v>
      </c>
      <c r="T2033" s="9">
        <v>2</v>
      </c>
      <c r="U2033" s="9">
        <v>0</v>
      </c>
      <c r="V2033" s="9">
        <v>1</v>
      </c>
      <c r="W2033" s="9">
        <v>0</v>
      </c>
      <c r="X2033" s="9">
        <v>1</v>
      </c>
      <c r="AE2033" s="9">
        <f>IFERROR(VLOOKUP($A2033,pivot!$A:$G,計算式2026!AE$1,FALSE),0)</f>
        <v>0</v>
      </c>
      <c r="AF2033" s="9">
        <f>IFERROR(VLOOKUP($A2033,pivot!$A:$I,計算式2026!AF$1,FALSE),0)</f>
        <v>0</v>
      </c>
      <c r="AI2033" s="9">
        <f>IFERROR(VLOOKUP($A2033,pivot!$A:$I,計算式2026!AI$1,FALSE),0)</f>
        <v>0</v>
      </c>
      <c r="AJ2033" s="9">
        <f>IFERROR(VLOOKUP($A2033,pivot!$A:$I,計算式2026!AJ$1,FALSE),0)</f>
        <v>0</v>
      </c>
      <c r="AK2033" s="9">
        <f>IFERROR(VLOOKUP($A2033,pivot!$A:$I,計算式2026!AK$1,FALSE),0)</f>
        <v>0</v>
      </c>
      <c r="AL2033" s="9">
        <f>IFERROR(VLOOKUP($A2033,pivot!$A:$I,計算式2026!AL$1,FALSE),0)</f>
        <v>0</v>
      </c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</row>
    <row r="2034" spans="1:59" s="9" customFormat="1">
      <c r="A2034" s="8" t="s">
        <v>1194</v>
      </c>
      <c r="B2034" s="8" t="s">
        <v>1193</v>
      </c>
      <c r="C2034" s="9">
        <v>0</v>
      </c>
      <c r="D2034" s="9">
        <v>0</v>
      </c>
      <c r="E2034" s="9">
        <v>0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9">
        <v>0</v>
      </c>
      <c r="R2034" s="9">
        <v>1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AE2034" s="9">
        <f>IFERROR(VLOOKUP($A2034,pivot!$A:$G,計算式2026!AE$1,FALSE),0)</f>
        <v>0</v>
      </c>
      <c r="AF2034" s="9">
        <f>IFERROR(VLOOKUP($A2034,pivot!$A:$I,計算式2026!AF$1,FALSE),0)</f>
        <v>0</v>
      </c>
      <c r="AI2034" s="9">
        <f>IFERROR(VLOOKUP($A2034,pivot!$A:$I,計算式2026!AI$1,FALSE),0)</f>
        <v>0</v>
      </c>
      <c r="AJ2034" s="9">
        <f>IFERROR(VLOOKUP($A2034,pivot!$A:$I,計算式2026!AJ$1,FALSE),0)</f>
        <v>0</v>
      </c>
      <c r="AK2034" s="9">
        <f>IFERROR(VLOOKUP($A2034,pivot!$A:$I,計算式2026!AK$1,FALSE),0)</f>
        <v>0</v>
      </c>
      <c r="AL2034" s="9">
        <f>IFERROR(VLOOKUP($A2034,pivot!$A:$I,計算式2026!AL$1,FALSE),0)</f>
        <v>0</v>
      </c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</row>
    <row r="2035" spans="1:59" s="9" customFormat="1">
      <c r="A2035" s="8" t="s">
        <v>1195</v>
      </c>
      <c r="B2035" s="8" t="s">
        <v>1193</v>
      </c>
      <c r="C2035" s="9">
        <v>0</v>
      </c>
      <c r="D2035" s="9">
        <v>0</v>
      </c>
      <c r="E2035" s="9">
        <v>0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R2035" s="9">
        <v>0</v>
      </c>
      <c r="S2035" s="9">
        <v>1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AE2035" s="9">
        <f>IFERROR(VLOOKUP($A2035,pivot!$A:$G,計算式2026!AE$1,FALSE),0)</f>
        <v>0</v>
      </c>
      <c r="AF2035" s="9">
        <f>IFERROR(VLOOKUP($A2035,pivot!$A:$I,計算式2026!AF$1,FALSE),0)</f>
        <v>0</v>
      </c>
      <c r="AI2035" s="9">
        <f>IFERROR(VLOOKUP($A2035,pivot!$A:$I,計算式2026!AI$1,FALSE),0)</f>
        <v>0</v>
      </c>
      <c r="AJ2035" s="9">
        <f>IFERROR(VLOOKUP($A2035,pivot!$A:$I,計算式2026!AJ$1,FALSE),0)</f>
        <v>0</v>
      </c>
      <c r="AK2035" s="9">
        <f>IFERROR(VLOOKUP($A2035,pivot!$A:$I,計算式2026!AK$1,FALSE),0)</f>
        <v>0</v>
      </c>
      <c r="AL2035" s="9">
        <f>IFERROR(VLOOKUP($A2035,pivot!$A:$I,計算式2026!AL$1,FALSE),0)</f>
        <v>0</v>
      </c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</row>
    <row r="2036" spans="1:59" s="9" customFormat="1">
      <c r="A2036" s="8" t="s">
        <v>1196</v>
      </c>
      <c r="B2036" s="8" t="s">
        <v>1193</v>
      </c>
      <c r="C2036" s="9">
        <v>0</v>
      </c>
      <c r="D2036" s="9">
        <v>0</v>
      </c>
      <c r="E2036" s="9">
        <v>0</v>
      </c>
      <c r="F2036" s="9">
        <v>0</v>
      </c>
      <c r="G2036" s="9">
        <v>0</v>
      </c>
      <c r="H2036" s="9">
        <v>0</v>
      </c>
      <c r="I2036" s="9">
        <v>0</v>
      </c>
      <c r="J2036" s="9">
        <v>0</v>
      </c>
      <c r="K2036" s="9">
        <v>0</v>
      </c>
      <c r="R2036" s="9">
        <v>0</v>
      </c>
      <c r="S2036" s="9">
        <v>1</v>
      </c>
      <c r="T2036" s="9">
        <v>0</v>
      </c>
      <c r="U2036" s="9">
        <v>0</v>
      </c>
      <c r="V2036" s="9">
        <v>1</v>
      </c>
      <c r="W2036" s="9">
        <v>0</v>
      </c>
      <c r="X2036" s="9">
        <v>0</v>
      </c>
      <c r="AE2036" s="9">
        <f>IFERROR(VLOOKUP($A2036,pivot!$A:$G,計算式2026!AE$1,FALSE),0)</f>
        <v>0</v>
      </c>
      <c r="AF2036" s="9">
        <f>IFERROR(VLOOKUP($A2036,pivot!$A:$I,計算式2026!AF$1,FALSE),0)</f>
        <v>0</v>
      </c>
      <c r="AI2036" s="9">
        <f>IFERROR(VLOOKUP($A2036,pivot!$A:$I,計算式2026!AI$1,FALSE),0)</f>
        <v>0</v>
      </c>
      <c r="AJ2036" s="9">
        <f>IFERROR(VLOOKUP($A2036,pivot!$A:$I,計算式2026!AJ$1,FALSE),0)</f>
        <v>0</v>
      </c>
      <c r="AK2036" s="9">
        <f>IFERROR(VLOOKUP($A2036,pivot!$A:$I,計算式2026!AK$1,FALSE),0)</f>
        <v>0</v>
      </c>
      <c r="AL2036" s="9">
        <f>IFERROR(VLOOKUP($A2036,pivot!$A:$I,計算式2026!AL$1,FALSE),0)</f>
        <v>0</v>
      </c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</row>
    <row r="2037" spans="1:59" s="9" customFormat="1">
      <c r="A2037" s="8" t="s">
        <v>1197</v>
      </c>
      <c r="B2037" s="8" t="s">
        <v>1193</v>
      </c>
      <c r="C2037" s="9">
        <v>0</v>
      </c>
      <c r="D2037" s="9">
        <v>0</v>
      </c>
      <c r="E2037" s="9">
        <v>0</v>
      </c>
      <c r="F2037" s="9">
        <v>0</v>
      </c>
      <c r="G2037" s="9">
        <v>0</v>
      </c>
      <c r="H2037" s="9">
        <v>0</v>
      </c>
      <c r="I2037" s="9">
        <v>0</v>
      </c>
      <c r="J2037" s="9">
        <v>0</v>
      </c>
      <c r="K2037" s="9">
        <v>0</v>
      </c>
      <c r="R2037" s="9">
        <v>0</v>
      </c>
      <c r="S2037" s="9">
        <v>1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AE2037" s="9">
        <f>IFERROR(VLOOKUP($A2037,pivot!$A:$G,計算式2026!AE$1,FALSE),0)</f>
        <v>0</v>
      </c>
      <c r="AF2037" s="9">
        <f>IFERROR(VLOOKUP($A2037,pivot!$A:$I,計算式2026!AF$1,FALSE),0)</f>
        <v>0</v>
      </c>
      <c r="AI2037" s="9">
        <f>IFERROR(VLOOKUP($A2037,pivot!$A:$I,計算式2026!AI$1,FALSE),0)</f>
        <v>0</v>
      </c>
      <c r="AJ2037" s="9">
        <f>IFERROR(VLOOKUP($A2037,pivot!$A:$I,計算式2026!AJ$1,FALSE),0)</f>
        <v>0</v>
      </c>
      <c r="AK2037" s="9">
        <f>IFERROR(VLOOKUP($A2037,pivot!$A:$I,計算式2026!AK$1,FALSE),0)</f>
        <v>0</v>
      </c>
      <c r="AL2037" s="9">
        <f>IFERROR(VLOOKUP($A2037,pivot!$A:$I,計算式2026!AL$1,FALSE),0)</f>
        <v>0</v>
      </c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</row>
    <row r="2038" spans="1:59" s="9" customFormat="1">
      <c r="A2038" s="8" t="s">
        <v>1198</v>
      </c>
      <c r="B2038" s="8" t="s">
        <v>1193</v>
      </c>
      <c r="C2038" s="9">
        <v>0</v>
      </c>
      <c r="D2038" s="9">
        <v>0</v>
      </c>
      <c r="E2038" s="9">
        <v>0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1</v>
      </c>
      <c r="W2038" s="9">
        <v>0</v>
      </c>
      <c r="X2038" s="9">
        <v>0</v>
      </c>
      <c r="AE2038" s="9">
        <f>IFERROR(VLOOKUP($A2038,pivot!$A:$G,計算式2026!AE$1,FALSE),0)</f>
        <v>0</v>
      </c>
      <c r="AF2038" s="9">
        <f>IFERROR(VLOOKUP($A2038,pivot!$A:$I,計算式2026!AF$1,FALSE),0)</f>
        <v>0</v>
      </c>
      <c r="AI2038" s="9">
        <f>IFERROR(VLOOKUP($A2038,pivot!$A:$I,計算式2026!AI$1,FALSE),0)</f>
        <v>0</v>
      </c>
      <c r="AJ2038" s="9">
        <f>IFERROR(VLOOKUP($A2038,pivot!$A:$I,計算式2026!AJ$1,FALSE),0)</f>
        <v>0</v>
      </c>
      <c r="AK2038" s="9">
        <f>IFERROR(VLOOKUP($A2038,pivot!$A:$I,計算式2026!AK$1,FALSE),0)</f>
        <v>0</v>
      </c>
      <c r="AL2038" s="9">
        <f>IFERROR(VLOOKUP($A2038,pivot!$A:$I,計算式2026!AL$1,FALSE),0)</f>
        <v>0</v>
      </c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</row>
    <row r="2039" spans="1:59" s="9" customFormat="1">
      <c r="A2039" s="8" t="s">
        <v>1199</v>
      </c>
      <c r="B2039" s="8" t="s">
        <v>1193</v>
      </c>
      <c r="C2039" s="9">
        <v>0</v>
      </c>
      <c r="D2039" s="9">
        <v>0</v>
      </c>
      <c r="E2039" s="9">
        <v>0</v>
      </c>
      <c r="F2039" s="9">
        <v>0</v>
      </c>
      <c r="G2039" s="9">
        <v>0</v>
      </c>
      <c r="H2039" s="9">
        <v>0</v>
      </c>
      <c r="I2039" s="9">
        <v>0</v>
      </c>
      <c r="J2039" s="9">
        <v>0</v>
      </c>
      <c r="K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1</v>
      </c>
      <c r="W2039" s="9">
        <v>0</v>
      </c>
      <c r="X2039" s="9">
        <v>0</v>
      </c>
      <c r="AE2039" s="9">
        <f>IFERROR(VLOOKUP($A2039,pivot!$A:$G,計算式2026!AE$1,FALSE),0)</f>
        <v>0</v>
      </c>
      <c r="AF2039" s="9">
        <f>IFERROR(VLOOKUP($A2039,pivot!$A:$I,計算式2026!AF$1,FALSE),0)</f>
        <v>0</v>
      </c>
      <c r="AI2039" s="9">
        <f>IFERROR(VLOOKUP($A2039,pivot!$A:$I,計算式2026!AI$1,FALSE),0)</f>
        <v>0</v>
      </c>
      <c r="AJ2039" s="9">
        <f>IFERROR(VLOOKUP($A2039,pivot!$A:$I,計算式2026!AJ$1,FALSE),0)</f>
        <v>0</v>
      </c>
      <c r="AK2039" s="9">
        <f>IFERROR(VLOOKUP($A2039,pivot!$A:$I,計算式2026!AK$1,FALSE),0)</f>
        <v>0</v>
      </c>
      <c r="AL2039" s="9">
        <f>IFERROR(VLOOKUP($A2039,pivot!$A:$I,計算式2026!AL$1,FALSE),0)</f>
        <v>0</v>
      </c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</row>
    <row r="2040" spans="1:59" s="9" customFormat="1">
      <c r="A2040" s="8">
        <v>8923822034</v>
      </c>
      <c r="B2040" s="8" t="s">
        <v>1200</v>
      </c>
      <c r="C2040" s="9">
        <v>0</v>
      </c>
      <c r="D2040" s="9">
        <v>0</v>
      </c>
      <c r="E2040" s="9">
        <v>0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R2040" s="9">
        <v>0</v>
      </c>
      <c r="S2040" s="9">
        <v>1</v>
      </c>
      <c r="T2040" s="9">
        <v>0</v>
      </c>
      <c r="U2040" s="9">
        <v>0</v>
      </c>
      <c r="V2040" s="9">
        <v>0</v>
      </c>
      <c r="W2040" s="9">
        <v>0</v>
      </c>
      <c r="X2040" s="9">
        <v>2</v>
      </c>
      <c r="AE2040" s="9">
        <f>IFERROR(VLOOKUP($A2040,pivot!$A:$G,計算式2026!AE$1,FALSE),0)</f>
        <v>0</v>
      </c>
      <c r="AF2040" s="9">
        <f>IFERROR(VLOOKUP($A2040,pivot!$A:$I,計算式2026!AF$1,FALSE),0)</f>
        <v>0</v>
      </c>
      <c r="AI2040" s="9">
        <f>IFERROR(VLOOKUP($A2040,pivot!$A:$I,計算式2026!AI$1,FALSE),0)</f>
        <v>0</v>
      </c>
      <c r="AJ2040" s="9">
        <f>IFERROR(VLOOKUP($A2040,pivot!$A:$I,計算式2026!AJ$1,FALSE),0)</f>
        <v>0</v>
      </c>
      <c r="AK2040" s="9">
        <f>IFERROR(VLOOKUP($A2040,pivot!$A:$I,計算式2026!AK$1,FALSE),0)</f>
        <v>0</v>
      </c>
      <c r="AL2040" s="9">
        <f>IFERROR(VLOOKUP($A2040,pivot!$A:$I,計算式2026!AL$1,FALSE),0)</f>
        <v>0</v>
      </c>
      <c r="AR2040" s="8"/>
      <c r="AS2040" s="8"/>
      <c r="AT2040" s="8"/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</row>
    <row r="2041" spans="1:59" s="9" customFormat="1">
      <c r="A2041" s="8">
        <v>8923822036</v>
      </c>
      <c r="B2041" s="8" t="s">
        <v>1200</v>
      </c>
      <c r="C2041" s="9">
        <v>0</v>
      </c>
      <c r="D2041" s="9">
        <v>0</v>
      </c>
      <c r="E2041" s="9">
        <v>0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R2041" s="9">
        <v>0</v>
      </c>
      <c r="S2041" s="9">
        <v>1</v>
      </c>
      <c r="T2041" s="9">
        <v>0</v>
      </c>
      <c r="U2041" s="9">
        <v>0</v>
      </c>
      <c r="V2041" s="9">
        <v>0</v>
      </c>
      <c r="W2041" s="9">
        <v>0</v>
      </c>
      <c r="X2041" s="9">
        <v>2</v>
      </c>
      <c r="AE2041" s="9">
        <f>IFERROR(VLOOKUP($A2041,pivot!$A:$G,計算式2026!AE$1,FALSE),0)</f>
        <v>0</v>
      </c>
      <c r="AF2041" s="9">
        <f>IFERROR(VLOOKUP($A2041,pivot!$A:$I,計算式2026!AF$1,FALSE),0)</f>
        <v>0</v>
      </c>
      <c r="AI2041" s="9">
        <f>IFERROR(VLOOKUP($A2041,pivot!$A:$I,計算式2026!AI$1,FALSE),0)</f>
        <v>0</v>
      </c>
      <c r="AJ2041" s="9">
        <f>IFERROR(VLOOKUP($A2041,pivot!$A:$I,計算式2026!AJ$1,FALSE),0)</f>
        <v>0</v>
      </c>
      <c r="AK2041" s="9">
        <f>IFERROR(VLOOKUP($A2041,pivot!$A:$I,計算式2026!AK$1,FALSE),0)</f>
        <v>0</v>
      </c>
      <c r="AL2041" s="9">
        <f>IFERROR(VLOOKUP($A2041,pivot!$A:$I,計算式2026!AL$1,FALSE),0)</f>
        <v>0</v>
      </c>
      <c r="AR2041" s="8"/>
      <c r="AS2041" s="8"/>
      <c r="AT2041" s="8"/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</row>
    <row r="2042" spans="1:59" s="9" customFormat="1">
      <c r="A2042" s="8" t="s">
        <v>1201</v>
      </c>
      <c r="B2042" s="8" t="s">
        <v>1200</v>
      </c>
      <c r="C2042" s="9">
        <v>0</v>
      </c>
      <c r="D2042" s="9">
        <v>0</v>
      </c>
      <c r="E2042" s="9">
        <v>0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1</v>
      </c>
      <c r="AE2042" s="9">
        <f>IFERROR(VLOOKUP($A2042,pivot!$A:$G,計算式2026!AE$1,FALSE),0)</f>
        <v>0</v>
      </c>
      <c r="AF2042" s="9">
        <f>IFERROR(VLOOKUP($A2042,pivot!$A:$I,計算式2026!AF$1,FALSE),0)</f>
        <v>0</v>
      </c>
      <c r="AI2042" s="9">
        <f>IFERROR(VLOOKUP($A2042,pivot!$A:$I,計算式2026!AI$1,FALSE),0)</f>
        <v>0</v>
      </c>
      <c r="AJ2042" s="9">
        <f>IFERROR(VLOOKUP($A2042,pivot!$A:$I,計算式2026!AJ$1,FALSE),0)</f>
        <v>0</v>
      </c>
      <c r="AK2042" s="9">
        <f>IFERROR(VLOOKUP($A2042,pivot!$A:$I,計算式2026!AK$1,FALSE),0)</f>
        <v>0</v>
      </c>
      <c r="AL2042" s="9">
        <f>IFERROR(VLOOKUP($A2042,pivot!$A:$I,計算式2026!AL$1,FALSE),0)</f>
        <v>0</v>
      </c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</row>
    <row r="2043" spans="1:59" s="9" customFormat="1">
      <c r="A2043" s="8" t="s">
        <v>1202</v>
      </c>
      <c r="B2043" s="8" t="s">
        <v>1200</v>
      </c>
      <c r="C2043" s="9">
        <v>0</v>
      </c>
      <c r="D2043" s="9">
        <v>0</v>
      </c>
      <c r="E2043" s="9">
        <v>0</v>
      </c>
      <c r="F2043" s="9">
        <v>0</v>
      </c>
      <c r="G2043" s="9">
        <v>0</v>
      </c>
      <c r="H2043" s="9">
        <v>0</v>
      </c>
      <c r="I2043" s="9">
        <v>0</v>
      </c>
      <c r="J2043" s="9">
        <v>0</v>
      </c>
      <c r="K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1</v>
      </c>
      <c r="AE2043" s="9">
        <f>IFERROR(VLOOKUP($A2043,pivot!$A:$G,計算式2026!AE$1,FALSE),0)</f>
        <v>0</v>
      </c>
      <c r="AF2043" s="9">
        <f>IFERROR(VLOOKUP($A2043,pivot!$A:$I,計算式2026!AF$1,FALSE),0)</f>
        <v>0</v>
      </c>
      <c r="AI2043" s="9">
        <f>IFERROR(VLOOKUP($A2043,pivot!$A:$I,計算式2026!AI$1,FALSE),0)</f>
        <v>0</v>
      </c>
      <c r="AJ2043" s="9">
        <f>IFERROR(VLOOKUP($A2043,pivot!$A:$I,計算式2026!AJ$1,FALSE),0)</f>
        <v>0</v>
      </c>
      <c r="AK2043" s="9">
        <f>IFERROR(VLOOKUP($A2043,pivot!$A:$I,計算式2026!AK$1,FALSE),0)</f>
        <v>0</v>
      </c>
      <c r="AL2043" s="9">
        <f>IFERROR(VLOOKUP($A2043,pivot!$A:$I,計算式2026!AL$1,FALSE),0)</f>
        <v>0</v>
      </c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</row>
    <row r="2044" spans="1:59" s="9" customFormat="1">
      <c r="A2044" s="8" t="s">
        <v>1203</v>
      </c>
      <c r="B2044" s="8" t="s">
        <v>1200</v>
      </c>
      <c r="C2044" s="9">
        <v>0</v>
      </c>
      <c r="D2044" s="9">
        <v>0</v>
      </c>
      <c r="E2044" s="9">
        <v>0</v>
      </c>
      <c r="F2044" s="9">
        <v>0</v>
      </c>
      <c r="G2044" s="9">
        <v>0</v>
      </c>
      <c r="H2044" s="9">
        <v>0</v>
      </c>
      <c r="I2044" s="9">
        <v>0</v>
      </c>
      <c r="J2044" s="9">
        <v>0</v>
      </c>
      <c r="K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1</v>
      </c>
      <c r="AE2044" s="9">
        <f>IFERROR(VLOOKUP($A2044,pivot!$A:$G,計算式2026!AE$1,FALSE),0)</f>
        <v>0</v>
      </c>
      <c r="AF2044" s="9">
        <f>IFERROR(VLOOKUP($A2044,pivot!$A:$I,計算式2026!AF$1,FALSE),0)</f>
        <v>0</v>
      </c>
      <c r="AI2044" s="9">
        <f>IFERROR(VLOOKUP($A2044,pivot!$A:$I,計算式2026!AI$1,FALSE),0)</f>
        <v>0</v>
      </c>
      <c r="AJ2044" s="9">
        <f>IFERROR(VLOOKUP($A2044,pivot!$A:$I,計算式2026!AJ$1,FALSE),0)</f>
        <v>0</v>
      </c>
      <c r="AK2044" s="9">
        <f>IFERROR(VLOOKUP($A2044,pivot!$A:$I,計算式2026!AK$1,FALSE),0)</f>
        <v>0</v>
      </c>
      <c r="AL2044" s="9">
        <f>IFERROR(VLOOKUP($A2044,pivot!$A:$I,計算式2026!AL$1,FALSE),0)</f>
        <v>0</v>
      </c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</row>
    <row r="2045" spans="1:59" s="9" customFormat="1">
      <c r="A2045" s="8" t="s">
        <v>1204</v>
      </c>
      <c r="B2045" s="8" t="s">
        <v>1200</v>
      </c>
      <c r="C2045" s="9">
        <v>0</v>
      </c>
      <c r="D2045" s="9">
        <v>0</v>
      </c>
      <c r="E2045" s="9">
        <v>0</v>
      </c>
      <c r="F2045" s="9">
        <v>0</v>
      </c>
      <c r="G2045" s="9">
        <v>0</v>
      </c>
      <c r="H2045" s="9">
        <v>0</v>
      </c>
      <c r="I2045" s="9">
        <v>0</v>
      </c>
      <c r="J2045" s="9">
        <v>0</v>
      </c>
      <c r="K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1</v>
      </c>
      <c r="AE2045" s="9">
        <f>IFERROR(VLOOKUP($A2045,pivot!$A:$G,計算式2026!AE$1,FALSE),0)</f>
        <v>0</v>
      </c>
      <c r="AF2045" s="9">
        <f>IFERROR(VLOOKUP($A2045,pivot!$A:$I,計算式2026!AF$1,FALSE),0)</f>
        <v>0</v>
      </c>
      <c r="AI2045" s="9">
        <f>IFERROR(VLOOKUP($A2045,pivot!$A:$I,計算式2026!AI$1,FALSE),0)</f>
        <v>0</v>
      </c>
      <c r="AJ2045" s="9">
        <f>IFERROR(VLOOKUP($A2045,pivot!$A:$I,計算式2026!AJ$1,FALSE),0)</f>
        <v>0</v>
      </c>
      <c r="AK2045" s="9">
        <f>IFERROR(VLOOKUP($A2045,pivot!$A:$I,計算式2026!AK$1,FALSE),0)</f>
        <v>0</v>
      </c>
      <c r="AL2045" s="9">
        <f>IFERROR(VLOOKUP($A2045,pivot!$A:$I,計算式2026!AL$1,FALSE),0)</f>
        <v>0</v>
      </c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</row>
    <row r="2046" spans="1:59" s="9" customFormat="1">
      <c r="A2046" s="8" t="s">
        <v>1205</v>
      </c>
      <c r="B2046" s="8" t="s">
        <v>1200</v>
      </c>
      <c r="C2046" s="9">
        <v>0</v>
      </c>
      <c r="D2046" s="9">
        <v>0</v>
      </c>
      <c r="E2046" s="9">
        <v>0</v>
      </c>
      <c r="F2046" s="9">
        <v>0</v>
      </c>
      <c r="G2046" s="9">
        <v>0</v>
      </c>
      <c r="H2046" s="9">
        <v>0</v>
      </c>
      <c r="I2046" s="9">
        <v>0</v>
      </c>
      <c r="J2046" s="9">
        <v>0</v>
      </c>
      <c r="K2046" s="9">
        <v>0</v>
      </c>
      <c r="R2046" s="9">
        <v>1</v>
      </c>
      <c r="S2046" s="9">
        <v>0</v>
      </c>
      <c r="T2046" s="9">
        <v>0</v>
      </c>
      <c r="U2046" s="9">
        <v>0</v>
      </c>
      <c r="V2046" s="9">
        <v>1</v>
      </c>
      <c r="W2046" s="9">
        <v>0</v>
      </c>
      <c r="X2046" s="9">
        <v>1</v>
      </c>
      <c r="AE2046" s="9">
        <f>IFERROR(VLOOKUP($A2046,pivot!$A:$G,計算式2026!AE$1,FALSE),0)</f>
        <v>0</v>
      </c>
      <c r="AF2046" s="9">
        <f>IFERROR(VLOOKUP($A2046,pivot!$A:$I,計算式2026!AF$1,FALSE),0)</f>
        <v>0</v>
      </c>
      <c r="AI2046" s="9">
        <f>IFERROR(VLOOKUP($A2046,pivot!$A:$I,計算式2026!AI$1,FALSE),0)</f>
        <v>0</v>
      </c>
      <c r="AJ2046" s="9">
        <f>IFERROR(VLOOKUP($A2046,pivot!$A:$I,計算式2026!AJ$1,FALSE),0)</f>
        <v>0</v>
      </c>
      <c r="AK2046" s="9">
        <f>IFERROR(VLOOKUP($A2046,pivot!$A:$I,計算式2026!AK$1,FALSE),0)</f>
        <v>0</v>
      </c>
      <c r="AL2046" s="9">
        <f>IFERROR(VLOOKUP($A2046,pivot!$A:$I,計算式2026!AL$1,FALSE),0)</f>
        <v>0</v>
      </c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</row>
    <row r="2047" spans="1:59" s="9" customFormat="1">
      <c r="A2047" s="8" t="s">
        <v>1206</v>
      </c>
      <c r="B2047" s="8" t="s">
        <v>1200</v>
      </c>
      <c r="C2047" s="9">
        <v>0</v>
      </c>
      <c r="D2047" s="9">
        <v>0</v>
      </c>
      <c r="E2047" s="9">
        <v>0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1</v>
      </c>
      <c r="AE2047" s="9">
        <f>IFERROR(VLOOKUP($A2047,pivot!$A:$G,計算式2026!AE$1,FALSE),0)</f>
        <v>0</v>
      </c>
      <c r="AF2047" s="9">
        <f>IFERROR(VLOOKUP($A2047,pivot!$A:$I,計算式2026!AF$1,FALSE),0)</f>
        <v>0</v>
      </c>
      <c r="AI2047" s="9">
        <f>IFERROR(VLOOKUP($A2047,pivot!$A:$I,計算式2026!AI$1,FALSE),0)</f>
        <v>0</v>
      </c>
      <c r="AJ2047" s="9">
        <f>IFERROR(VLOOKUP($A2047,pivot!$A:$I,計算式2026!AJ$1,FALSE),0)</f>
        <v>0</v>
      </c>
      <c r="AK2047" s="9">
        <f>IFERROR(VLOOKUP($A2047,pivot!$A:$I,計算式2026!AK$1,FALSE),0)</f>
        <v>0</v>
      </c>
      <c r="AL2047" s="9">
        <f>IFERROR(VLOOKUP($A2047,pivot!$A:$I,計算式2026!AL$1,FALSE),0)</f>
        <v>0</v>
      </c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</row>
    <row r="2048" spans="1:59" s="9" customFormat="1">
      <c r="A2048" s="8">
        <v>8923863334</v>
      </c>
      <c r="B2048" s="8" t="s">
        <v>1200</v>
      </c>
      <c r="C2048" s="9">
        <v>0</v>
      </c>
      <c r="D2048" s="9">
        <v>0</v>
      </c>
      <c r="E2048" s="9">
        <v>0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R2048" s="9">
        <v>1</v>
      </c>
      <c r="S2048" s="9">
        <v>1</v>
      </c>
      <c r="T2048" s="9">
        <v>0</v>
      </c>
      <c r="U2048" s="9">
        <v>0</v>
      </c>
      <c r="V2048" s="9">
        <v>1</v>
      </c>
      <c r="W2048" s="9">
        <v>0</v>
      </c>
      <c r="X2048" s="9">
        <v>2</v>
      </c>
      <c r="AE2048" s="9">
        <f>IFERROR(VLOOKUP($A2048,pivot!$A:$G,計算式2026!AE$1,FALSE),0)</f>
        <v>0</v>
      </c>
      <c r="AF2048" s="9">
        <f>IFERROR(VLOOKUP($A2048,pivot!$A:$I,計算式2026!AF$1,FALSE),0)</f>
        <v>0</v>
      </c>
      <c r="AI2048" s="9">
        <f>IFERROR(VLOOKUP($A2048,pivot!$A:$I,計算式2026!AI$1,FALSE),0)</f>
        <v>0</v>
      </c>
      <c r="AJ2048" s="9">
        <f>IFERROR(VLOOKUP($A2048,pivot!$A:$I,計算式2026!AJ$1,FALSE),0)</f>
        <v>0</v>
      </c>
      <c r="AK2048" s="9">
        <f>IFERROR(VLOOKUP($A2048,pivot!$A:$I,計算式2026!AK$1,FALSE),0)</f>
        <v>0</v>
      </c>
      <c r="AL2048" s="9">
        <f>IFERROR(VLOOKUP($A2048,pivot!$A:$I,計算式2026!AL$1,FALSE),0)</f>
        <v>0</v>
      </c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</row>
    <row r="2049" spans="1:59" s="9" customFormat="1">
      <c r="A2049" s="8">
        <v>8923863336</v>
      </c>
      <c r="B2049" s="8" t="s">
        <v>1200</v>
      </c>
      <c r="C2049" s="9">
        <v>0</v>
      </c>
      <c r="D2049" s="9">
        <v>0</v>
      </c>
      <c r="E2049" s="9">
        <v>0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R2049" s="9">
        <v>0</v>
      </c>
      <c r="S2049" s="9">
        <v>1</v>
      </c>
      <c r="T2049" s="9">
        <v>0</v>
      </c>
      <c r="U2049" s="9">
        <v>0</v>
      </c>
      <c r="V2049" s="9">
        <v>0</v>
      </c>
      <c r="W2049" s="9">
        <v>0</v>
      </c>
      <c r="X2049" s="9">
        <v>2</v>
      </c>
      <c r="AE2049" s="9">
        <f>IFERROR(VLOOKUP($A2049,pivot!$A:$G,計算式2026!AE$1,FALSE),0)</f>
        <v>0</v>
      </c>
      <c r="AF2049" s="9">
        <f>IFERROR(VLOOKUP($A2049,pivot!$A:$I,計算式2026!AF$1,FALSE),0)</f>
        <v>0</v>
      </c>
      <c r="AI2049" s="9">
        <f>IFERROR(VLOOKUP($A2049,pivot!$A:$I,計算式2026!AI$1,FALSE),0)</f>
        <v>0</v>
      </c>
      <c r="AJ2049" s="9">
        <f>IFERROR(VLOOKUP($A2049,pivot!$A:$I,計算式2026!AJ$1,FALSE),0)</f>
        <v>0</v>
      </c>
      <c r="AK2049" s="9">
        <f>IFERROR(VLOOKUP($A2049,pivot!$A:$I,計算式2026!AK$1,FALSE),0)</f>
        <v>0</v>
      </c>
      <c r="AL2049" s="9">
        <f>IFERROR(VLOOKUP($A2049,pivot!$A:$I,計算式2026!AL$1,FALSE),0)</f>
        <v>0</v>
      </c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</row>
    <row r="2050" spans="1:59" s="9" customFormat="1">
      <c r="A2050" s="8" t="s">
        <v>1207</v>
      </c>
      <c r="B2050" s="8" t="s">
        <v>1200</v>
      </c>
      <c r="C2050" s="9">
        <v>0</v>
      </c>
      <c r="D2050" s="9">
        <v>0</v>
      </c>
      <c r="E2050" s="9">
        <v>0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1</v>
      </c>
      <c r="AE2050" s="9">
        <f>IFERROR(VLOOKUP($A2050,pivot!$A:$G,計算式2026!AE$1,FALSE),0)</f>
        <v>0</v>
      </c>
      <c r="AF2050" s="9">
        <f>IFERROR(VLOOKUP($A2050,pivot!$A:$I,計算式2026!AF$1,FALSE),0)</f>
        <v>0</v>
      </c>
      <c r="AI2050" s="9">
        <f>IFERROR(VLOOKUP($A2050,pivot!$A:$I,計算式2026!AI$1,FALSE),0)</f>
        <v>0</v>
      </c>
      <c r="AJ2050" s="9">
        <f>IFERROR(VLOOKUP($A2050,pivot!$A:$I,計算式2026!AJ$1,FALSE),0)</f>
        <v>0</v>
      </c>
      <c r="AK2050" s="9">
        <f>IFERROR(VLOOKUP($A2050,pivot!$A:$I,計算式2026!AK$1,FALSE),0)</f>
        <v>0</v>
      </c>
      <c r="AL2050" s="9">
        <f>IFERROR(VLOOKUP($A2050,pivot!$A:$I,計算式2026!AL$1,FALSE),0)</f>
        <v>0</v>
      </c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</row>
    <row r="2051" spans="1:59" s="9" customFormat="1">
      <c r="A2051" s="8" t="s">
        <v>1208</v>
      </c>
      <c r="B2051" s="8" t="s">
        <v>1200</v>
      </c>
      <c r="C2051" s="9">
        <v>0</v>
      </c>
      <c r="D2051" s="9">
        <v>0</v>
      </c>
      <c r="E2051" s="9">
        <v>0</v>
      </c>
      <c r="F2051" s="9">
        <v>0</v>
      </c>
      <c r="G2051" s="9">
        <v>0</v>
      </c>
      <c r="H2051" s="9">
        <v>0</v>
      </c>
      <c r="I2051" s="9">
        <v>0</v>
      </c>
      <c r="J2051" s="9">
        <v>0</v>
      </c>
      <c r="K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1</v>
      </c>
      <c r="AE2051" s="9">
        <f>IFERROR(VLOOKUP($A2051,pivot!$A:$G,計算式2026!AE$1,FALSE),0)</f>
        <v>0</v>
      </c>
      <c r="AF2051" s="9">
        <f>IFERROR(VLOOKUP($A2051,pivot!$A:$I,計算式2026!AF$1,FALSE),0)</f>
        <v>0</v>
      </c>
      <c r="AI2051" s="9">
        <f>IFERROR(VLOOKUP($A2051,pivot!$A:$I,計算式2026!AI$1,FALSE),0)</f>
        <v>0</v>
      </c>
      <c r="AJ2051" s="9">
        <f>IFERROR(VLOOKUP($A2051,pivot!$A:$I,計算式2026!AJ$1,FALSE),0)</f>
        <v>0</v>
      </c>
      <c r="AK2051" s="9">
        <f>IFERROR(VLOOKUP($A2051,pivot!$A:$I,計算式2026!AK$1,FALSE),0)</f>
        <v>0</v>
      </c>
      <c r="AL2051" s="9">
        <f>IFERROR(VLOOKUP($A2051,pivot!$A:$I,計算式2026!AL$1,FALSE),0)</f>
        <v>0</v>
      </c>
      <c r="AR2051" s="8"/>
      <c r="AS2051" s="8"/>
      <c r="AT2051" s="8"/>
      <c r="AU2051" s="8"/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</row>
    <row r="2052" spans="1:59" s="9" customFormat="1">
      <c r="A2052" s="8" t="s">
        <v>1209</v>
      </c>
      <c r="B2052" s="8" t="s">
        <v>1200</v>
      </c>
      <c r="C2052" s="9">
        <v>0</v>
      </c>
      <c r="D2052" s="9">
        <v>0</v>
      </c>
      <c r="E2052" s="9">
        <v>0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1</v>
      </c>
      <c r="AE2052" s="9">
        <f>IFERROR(VLOOKUP($A2052,pivot!$A:$G,計算式2026!AE$1,FALSE),0)</f>
        <v>0</v>
      </c>
      <c r="AF2052" s="9">
        <f>IFERROR(VLOOKUP($A2052,pivot!$A:$I,計算式2026!AF$1,FALSE),0)</f>
        <v>0</v>
      </c>
      <c r="AI2052" s="9">
        <f>IFERROR(VLOOKUP($A2052,pivot!$A:$I,計算式2026!AI$1,FALSE),0)</f>
        <v>0</v>
      </c>
      <c r="AJ2052" s="9">
        <f>IFERROR(VLOOKUP($A2052,pivot!$A:$I,計算式2026!AJ$1,FALSE),0)</f>
        <v>0</v>
      </c>
      <c r="AK2052" s="9">
        <f>IFERROR(VLOOKUP($A2052,pivot!$A:$I,計算式2026!AK$1,FALSE),0)</f>
        <v>0</v>
      </c>
      <c r="AL2052" s="9">
        <f>IFERROR(VLOOKUP($A2052,pivot!$A:$I,計算式2026!AL$1,FALSE),0)</f>
        <v>0</v>
      </c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</row>
    <row r="2053" spans="1:59" s="9" customFormat="1">
      <c r="A2053" s="8" t="s">
        <v>1210</v>
      </c>
      <c r="B2053" s="8" t="s">
        <v>1211</v>
      </c>
      <c r="C2053" s="9">
        <v>0</v>
      </c>
      <c r="D2053" s="9">
        <v>0</v>
      </c>
      <c r="E2053" s="9">
        <v>0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1</v>
      </c>
      <c r="AE2053" s="9">
        <f>IFERROR(VLOOKUP($A2053,pivot!$A:$G,計算式2026!AE$1,FALSE),0)</f>
        <v>0</v>
      </c>
      <c r="AF2053" s="9">
        <f>IFERROR(VLOOKUP($A2053,pivot!$A:$I,計算式2026!AF$1,FALSE),0)</f>
        <v>0</v>
      </c>
      <c r="AI2053" s="9">
        <f>IFERROR(VLOOKUP($A2053,pivot!$A:$I,計算式2026!AI$1,FALSE),0)</f>
        <v>0</v>
      </c>
      <c r="AJ2053" s="9">
        <f>IFERROR(VLOOKUP($A2053,pivot!$A:$I,計算式2026!AJ$1,FALSE),0)</f>
        <v>0</v>
      </c>
      <c r="AK2053" s="9">
        <f>IFERROR(VLOOKUP($A2053,pivot!$A:$I,計算式2026!AK$1,FALSE),0)</f>
        <v>0</v>
      </c>
      <c r="AL2053" s="9">
        <f>IFERROR(VLOOKUP($A2053,pivot!$A:$I,計算式2026!AL$1,FALSE),0)</f>
        <v>0</v>
      </c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</row>
    <row r="2054" spans="1:59" s="9" customFormat="1">
      <c r="A2054" s="8" t="s">
        <v>1212</v>
      </c>
      <c r="B2054" s="8" t="s">
        <v>1211</v>
      </c>
      <c r="C2054" s="9">
        <v>0</v>
      </c>
      <c r="D2054" s="9">
        <v>0</v>
      </c>
      <c r="E2054" s="9">
        <v>0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1</v>
      </c>
      <c r="AE2054" s="9">
        <f>IFERROR(VLOOKUP($A2054,pivot!$A:$G,計算式2026!AE$1,FALSE),0)</f>
        <v>0</v>
      </c>
      <c r="AF2054" s="9">
        <f>IFERROR(VLOOKUP($A2054,pivot!$A:$I,計算式2026!AF$1,FALSE),0)</f>
        <v>0</v>
      </c>
      <c r="AI2054" s="9">
        <f>IFERROR(VLOOKUP($A2054,pivot!$A:$I,計算式2026!AI$1,FALSE),0)</f>
        <v>0</v>
      </c>
      <c r="AJ2054" s="9">
        <f>IFERROR(VLOOKUP($A2054,pivot!$A:$I,計算式2026!AJ$1,FALSE),0)</f>
        <v>0</v>
      </c>
      <c r="AK2054" s="9">
        <f>IFERROR(VLOOKUP($A2054,pivot!$A:$I,計算式2026!AK$1,FALSE),0)</f>
        <v>0</v>
      </c>
      <c r="AL2054" s="9">
        <f>IFERROR(VLOOKUP($A2054,pivot!$A:$I,計算式2026!AL$1,FALSE),0)</f>
        <v>0</v>
      </c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</row>
    <row r="2055" spans="1:59" s="9" customFormat="1">
      <c r="A2055" s="8" t="s">
        <v>2876</v>
      </c>
      <c r="B2055" s="8" t="s">
        <v>2877</v>
      </c>
      <c r="C2055" s="9">
        <v>0</v>
      </c>
      <c r="D2055" s="9">
        <v>0</v>
      </c>
      <c r="E2055" s="9">
        <v>0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0</v>
      </c>
      <c r="R2055" s="9">
        <v>0</v>
      </c>
      <c r="S2055" s="9">
        <v>1</v>
      </c>
      <c r="T2055" s="9">
        <v>0</v>
      </c>
      <c r="U2055" s="9">
        <v>0</v>
      </c>
      <c r="V2055" s="9">
        <v>1</v>
      </c>
      <c r="W2055" s="9">
        <v>0</v>
      </c>
      <c r="X2055" s="9">
        <v>1</v>
      </c>
      <c r="AE2055" s="9">
        <f>IFERROR(VLOOKUP($A2055,pivot!$A:$G,計算式2026!AE$1,FALSE),0)</f>
        <v>0</v>
      </c>
      <c r="AF2055" s="9">
        <f>IFERROR(VLOOKUP($A2055,pivot!$A:$I,計算式2026!AF$1,FALSE),0)</f>
        <v>0</v>
      </c>
      <c r="AI2055" s="9">
        <f>IFERROR(VLOOKUP($A2055,pivot!$A:$I,計算式2026!AI$1,FALSE),0)</f>
        <v>0</v>
      </c>
      <c r="AJ2055" s="9">
        <f>IFERROR(VLOOKUP($A2055,pivot!$A:$I,計算式2026!AJ$1,FALSE),0)</f>
        <v>0</v>
      </c>
      <c r="AK2055" s="9">
        <f>IFERROR(VLOOKUP($A2055,pivot!$A:$I,計算式2026!AK$1,FALSE),0)</f>
        <v>0</v>
      </c>
      <c r="AL2055" s="9">
        <f>IFERROR(VLOOKUP($A2055,pivot!$A:$I,計算式2026!AL$1,FALSE),0)</f>
        <v>0</v>
      </c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</row>
    <row r="2056" spans="1:59" s="9" customFormat="1">
      <c r="A2056" s="8" t="s">
        <v>2878</v>
      </c>
      <c r="B2056" s="8" t="s">
        <v>2877</v>
      </c>
      <c r="C2056" s="9">
        <v>0</v>
      </c>
      <c r="D2056" s="9">
        <v>2</v>
      </c>
      <c r="E2056" s="9">
        <v>0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R2056" s="9">
        <v>0</v>
      </c>
      <c r="S2056" s="9">
        <v>2</v>
      </c>
      <c r="T2056" s="9">
        <v>1</v>
      </c>
      <c r="U2056" s="9">
        <v>0</v>
      </c>
      <c r="V2056" s="9">
        <v>2</v>
      </c>
      <c r="W2056" s="9">
        <v>0</v>
      </c>
      <c r="X2056" s="9">
        <v>1</v>
      </c>
      <c r="AE2056" s="9">
        <f>IFERROR(VLOOKUP($A2056,pivot!$A:$G,計算式2026!AE$1,FALSE),0)</f>
        <v>0</v>
      </c>
      <c r="AF2056" s="9">
        <f>IFERROR(VLOOKUP($A2056,pivot!$A:$I,計算式2026!AF$1,FALSE),0)</f>
        <v>0</v>
      </c>
      <c r="AI2056" s="9">
        <f>IFERROR(VLOOKUP($A2056,pivot!$A:$I,計算式2026!AI$1,FALSE),0)</f>
        <v>0</v>
      </c>
      <c r="AJ2056" s="9">
        <f>IFERROR(VLOOKUP($A2056,pivot!$A:$I,計算式2026!AJ$1,FALSE),0)</f>
        <v>0</v>
      </c>
      <c r="AK2056" s="9">
        <f>IFERROR(VLOOKUP($A2056,pivot!$A:$I,計算式2026!AK$1,FALSE),0)</f>
        <v>0</v>
      </c>
      <c r="AL2056" s="9">
        <f>IFERROR(VLOOKUP($A2056,pivot!$A:$I,計算式2026!AL$1,FALSE),0)</f>
        <v>0</v>
      </c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</row>
    <row r="2057" spans="1:59" s="9" customFormat="1">
      <c r="A2057" s="8" t="s">
        <v>2879</v>
      </c>
      <c r="B2057" s="8" t="s">
        <v>2877</v>
      </c>
      <c r="C2057" s="9">
        <v>0</v>
      </c>
      <c r="D2057" s="9">
        <v>5</v>
      </c>
      <c r="E2057" s="9">
        <v>0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R2057" s="9">
        <v>0</v>
      </c>
      <c r="S2057" s="9">
        <v>2</v>
      </c>
      <c r="T2057" s="9">
        <v>1</v>
      </c>
      <c r="U2057" s="9">
        <v>0</v>
      </c>
      <c r="V2057" s="9">
        <v>2</v>
      </c>
      <c r="W2057" s="9">
        <v>0</v>
      </c>
      <c r="X2057" s="9">
        <v>1</v>
      </c>
      <c r="AE2057" s="9">
        <f>IFERROR(VLOOKUP($A2057,pivot!$A:$G,計算式2026!AE$1,FALSE),0)</f>
        <v>0</v>
      </c>
      <c r="AF2057" s="9">
        <f>IFERROR(VLOOKUP($A2057,pivot!$A:$I,計算式2026!AF$1,FALSE),0)</f>
        <v>0</v>
      </c>
      <c r="AI2057" s="9">
        <f>IFERROR(VLOOKUP($A2057,pivot!$A:$I,計算式2026!AI$1,FALSE),0)</f>
        <v>0</v>
      </c>
      <c r="AJ2057" s="9">
        <f>IFERROR(VLOOKUP($A2057,pivot!$A:$I,計算式2026!AJ$1,FALSE),0)</f>
        <v>0</v>
      </c>
      <c r="AK2057" s="9">
        <f>IFERROR(VLOOKUP($A2057,pivot!$A:$I,計算式2026!AK$1,FALSE),0)</f>
        <v>0</v>
      </c>
      <c r="AL2057" s="9">
        <f>IFERROR(VLOOKUP($A2057,pivot!$A:$I,計算式2026!AL$1,FALSE),0)</f>
        <v>0</v>
      </c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</row>
    <row r="2058" spans="1:59" s="9" customFormat="1">
      <c r="A2058" s="8" t="s">
        <v>2880</v>
      </c>
      <c r="B2058" s="8" t="s">
        <v>2877</v>
      </c>
      <c r="C2058" s="9">
        <v>0</v>
      </c>
      <c r="D2058" s="9">
        <v>0</v>
      </c>
      <c r="E2058" s="9">
        <v>0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1</v>
      </c>
      <c r="W2058" s="9">
        <v>0</v>
      </c>
      <c r="X2058" s="9">
        <v>0</v>
      </c>
      <c r="AE2058" s="9">
        <f>IFERROR(VLOOKUP($A2058,pivot!$A:$G,計算式2026!AE$1,FALSE),0)</f>
        <v>0</v>
      </c>
      <c r="AF2058" s="9">
        <f>IFERROR(VLOOKUP($A2058,pivot!$A:$I,計算式2026!AF$1,FALSE),0)</f>
        <v>0</v>
      </c>
      <c r="AI2058" s="9">
        <f>IFERROR(VLOOKUP($A2058,pivot!$A:$I,計算式2026!AI$1,FALSE),0)</f>
        <v>0</v>
      </c>
      <c r="AJ2058" s="9">
        <f>IFERROR(VLOOKUP($A2058,pivot!$A:$I,計算式2026!AJ$1,FALSE),0)</f>
        <v>0</v>
      </c>
      <c r="AK2058" s="9">
        <f>IFERROR(VLOOKUP($A2058,pivot!$A:$I,計算式2026!AK$1,FALSE),0)</f>
        <v>0</v>
      </c>
      <c r="AL2058" s="9">
        <f>IFERROR(VLOOKUP($A2058,pivot!$A:$I,計算式2026!AL$1,FALSE),0)</f>
        <v>0</v>
      </c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</row>
    <row r="2059" spans="1:59" s="9" customFormat="1">
      <c r="A2059" s="8" t="s">
        <v>2881</v>
      </c>
      <c r="B2059" s="8" t="s">
        <v>2877</v>
      </c>
      <c r="C2059" s="9">
        <v>0</v>
      </c>
      <c r="D2059" s="9">
        <v>0</v>
      </c>
      <c r="E2059" s="9">
        <v>0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0</v>
      </c>
      <c r="R2059" s="9">
        <v>0</v>
      </c>
      <c r="S2059" s="9">
        <v>1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AE2059" s="9">
        <f>IFERROR(VLOOKUP($A2059,pivot!$A:$G,計算式2026!AE$1,FALSE),0)</f>
        <v>0</v>
      </c>
      <c r="AF2059" s="9">
        <f>IFERROR(VLOOKUP($A2059,pivot!$A:$I,計算式2026!AF$1,FALSE),0)</f>
        <v>0</v>
      </c>
      <c r="AI2059" s="9">
        <f>IFERROR(VLOOKUP($A2059,pivot!$A:$I,計算式2026!AI$1,FALSE),0)</f>
        <v>0</v>
      </c>
      <c r="AJ2059" s="9">
        <f>IFERROR(VLOOKUP($A2059,pivot!$A:$I,計算式2026!AJ$1,FALSE),0)</f>
        <v>0</v>
      </c>
      <c r="AK2059" s="9">
        <f>IFERROR(VLOOKUP($A2059,pivot!$A:$I,計算式2026!AK$1,FALSE),0)</f>
        <v>0</v>
      </c>
      <c r="AL2059" s="9">
        <f>IFERROR(VLOOKUP($A2059,pivot!$A:$I,計算式2026!AL$1,FALSE),0)</f>
        <v>0</v>
      </c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</row>
    <row r="2060" spans="1:59" s="9" customFormat="1">
      <c r="A2060" s="8" t="s">
        <v>2882</v>
      </c>
      <c r="B2060" s="8" t="s">
        <v>2877</v>
      </c>
      <c r="C2060" s="9">
        <v>0</v>
      </c>
      <c r="D2060" s="9">
        <v>0</v>
      </c>
      <c r="E2060" s="9">
        <v>0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R2060" s="9">
        <v>0</v>
      </c>
      <c r="S2060" s="9">
        <v>0</v>
      </c>
      <c r="T2060" s="9">
        <v>1</v>
      </c>
      <c r="U2060" s="9">
        <v>0</v>
      </c>
      <c r="V2060" s="9">
        <v>1</v>
      </c>
      <c r="W2060" s="9">
        <v>0</v>
      </c>
      <c r="X2060" s="9">
        <v>1</v>
      </c>
      <c r="AE2060" s="9">
        <f>IFERROR(VLOOKUP($A2060,pivot!$A:$G,計算式2026!AE$1,FALSE),0)</f>
        <v>0</v>
      </c>
      <c r="AF2060" s="9">
        <f>IFERROR(VLOOKUP($A2060,pivot!$A:$I,計算式2026!AF$1,FALSE),0)</f>
        <v>0</v>
      </c>
      <c r="AI2060" s="9">
        <f>IFERROR(VLOOKUP($A2060,pivot!$A:$I,計算式2026!AI$1,FALSE),0)</f>
        <v>0</v>
      </c>
      <c r="AJ2060" s="9">
        <f>IFERROR(VLOOKUP($A2060,pivot!$A:$I,計算式2026!AJ$1,FALSE),0)</f>
        <v>0</v>
      </c>
      <c r="AK2060" s="9">
        <f>IFERROR(VLOOKUP($A2060,pivot!$A:$I,計算式2026!AK$1,FALSE),0)</f>
        <v>0</v>
      </c>
      <c r="AL2060" s="9">
        <f>IFERROR(VLOOKUP($A2060,pivot!$A:$I,計算式2026!AL$1,FALSE),0)</f>
        <v>0</v>
      </c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</row>
    <row r="2061" spans="1:59" s="9" customFormat="1">
      <c r="A2061" s="8" t="s">
        <v>2664</v>
      </c>
      <c r="B2061" s="8" t="s">
        <v>2877</v>
      </c>
      <c r="C2061" s="9">
        <v>0</v>
      </c>
      <c r="D2061" s="9">
        <v>0</v>
      </c>
      <c r="E2061" s="9">
        <v>0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R2061" s="9">
        <v>0</v>
      </c>
      <c r="S2061" s="9">
        <v>0</v>
      </c>
      <c r="T2061" s="9">
        <v>1</v>
      </c>
      <c r="U2061" s="9">
        <v>0</v>
      </c>
      <c r="V2061" s="9">
        <v>0</v>
      </c>
      <c r="W2061" s="9">
        <v>0</v>
      </c>
      <c r="X2061" s="9">
        <v>1</v>
      </c>
      <c r="AE2061" s="9">
        <f>IFERROR(VLOOKUP($A2061,pivot!$A:$G,計算式2026!AE$1,FALSE),0)</f>
        <v>0</v>
      </c>
      <c r="AF2061" s="9">
        <f>IFERROR(VLOOKUP($A2061,pivot!$A:$I,計算式2026!AF$1,FALSE),0)</f>
        <v>0</v>
      </c>
      <c r="AI2061" s="9">
        <f>IFERROR(VLOOKUP($A2061,pivot!$A:$I,計算式2026!AI$1,FALSE),0)</f>
        <v>0</v>
      </c>
      <c r="AJ2061" s="9">
        <f>IFERROR(VLOOKUP($A2061,pivot!$A:$I,計算式2026!AJ$1,FALSE),0)</f>
        <v>0</v>
      </c>
      <c r="AK2061" s="9">
        <f>IFERROR(VLOOKUP($A2061,pivot!$A:$I,計算式2026!AK$1,FALSE),0)</f>
        <v>0</v>
      </c>
      <c r="AL2061" s="9">
        <f>IFERROR(VLOOKUP($A2061,pivot!$A:$I,計算式2026!AL$1,FALSE),0)</f>
        <v>0</v>
      </c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</row>
    <row r="2062" spans="1:59" s="9" customFormat="1">
      <c r="A2062" s="8" t="s">
        <v>2883</v>
      </c>
      <c r="B2062" s="8" t="s">
        <v>2877</v>
      </c>
      <c r="C2062" s="9">
        <v>0</v>
      </c>
      <c r="D2062" s="9">
        <v>0</v>
      </c>
      <c r="E2062" s="9">
        <v>0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1</v>
      </c>
      <c r="W2062" s="9">
        <v>0</v>
      </c>
      <c r="X2062" s="9">
        <v>0</v>
      </c>
      <c r="AE2062" s="9">
        <f>IFERROR(VLOOKUP($A2062,pivot!$A:$G,計算式2026!AE$1,FALSE),0)</f>
        <v>0</v>
      </c>
      <c r="AF2062" s="9">
        <f>IFERROR(VLOOKUP($A2062,pivot!$A:$I,計算式2026!AF$1,FALSE),0)</f>
        <v>0</v>
      </c>
      <c r="AI2062" s="9">
        <f>IFERROR(VLOOKUP($A2062,pivot!$A:$I,計算式2026!AI$1,FALSE),0)</f>
        <v>0</v>
      </c>
      <c r="AJ2062" s="9">
        <f>IFERROR(VLOOKUP($A2062,pivot!$A:$I,計算式2026!AJ$1,FALSE),0)</f>
        <v>0</v>
      </c>
      <c r="AK2062" s="9">
        <f>IFERROR(VLOOKUP($A2062,pivot!$A:$I,計算式2026!AK$1,FALSE),0)</f>
        <v>0</v>
      </c>
      <c r="AL2062" s="9">
        <f>IFERROR(VLOOKUP($A2062,pivot!$A:$I,計算式2026!AL$1,FALSE),0)</f>
        <v>0</v>
      </c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</row>
    <row r="2063" spans="1:59" s="9" customFormat="1">
      <c r="A2063" s="8" t="s">
        <v>1213</v>
      </c>
      <c r="B2063" s="8" t="s">
        <v>1214</v>
      </c>
      <c r="C2063" s="9">
        <v>0</v>
      </c>
      <c r="D2063" s="9">
        <v>0</v>
      </c>
      <c r="E2063" s="9">
        <v>0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R2063" s="9">
        <v>2</v>
      </c>
      <c r="S2063" s="9">
        <v>3</v>
      </c>
      <c r="T2063" s="9">
        <v>1</v>
      </c>
      <c r="U2063" s="9">
        <v>0</v>
      </c>
      <c r="V2063" s="9">
        <v>3</v>
      </c>
      <c r="W2063" s="9">
        <v>0</v>
      </c>
      <c r="X2063" s="9">
        <v>1</v>
      </c>
      <c r="AE2063" s="9">
        <f>IFERROR(VLOOKUP($A2063,pivot!$A:$G,計算式2026!AE$1,FALSE),0)</f>
        <v>0</v>
      </c>
      <c r="AF2063" s="9">
        <f>IFERROR(VLOOKUP($A2063,pivot!$A:$I,計算式2026!AF$1,FALSE),0)</f>
        <v>0</v>
      </c>
      <c r="AI2063" s="9">
        <f>IFERROR(VLOOKUP($A2063,pivot!$A:$I,計算式2026!AI$1,FALSE),0)</f>
        <v>0</v>
      </c>
      <c r="AJ2063" s="9">
        <f>IFERROR(VLOOKUP($A2063,pivot!$A:$I,計算式2026!AJ$1,FALSE),0)</f>
        <v>0</v>
      </c>
      <c r="AK2063" s="9">
        <f>IFERROR(VLOOKUP($A2063,pivot!$A:$I,計算式2026!AK$1,FALSE),0)</f>
        <v>0</v>
      </c>
      <c r="AL2063" s="9">
        <f>IFERROR(VLOOKUP($A2063,pivot!$A:$I,計算式2026!AL$1,FALSE),0)</f>
        <v>0</v>
      </c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</row>
    <row r="2064" spans="1:59" s="9" customFormat="1">
      <c r="A2064" s="8" t="s">
        <v>1215</v>
      </c>
      <c r="B2064" s="8" t="s">
        <v>1214</v>
      </c>
      <c r="C2064" s="9">
        <v>0</v>
      </c>
      <c r="D2064" s="9">
        <v>0</v>
      </c>
      <c r="E2064" s="9">
        <v>0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9">
        <v>0</v>
      </c>
      <c r="R2064" s="9">
        <v>1</v>
      </c>
      <c r="S2064" s="9">
        <v>0</v>
      </c>
      <c r="T2064" s="9">
        <v>1</v>
      </c>
      <c r="U2064" s="9">
        <v>0</v>
      </c>
      <c r="V2064" s="9">
        <v>1</v>
      </c>
      <c r="W2064" s="9">
        <v>0</v>
      </c>
      <c r="X2064" s="9">
        <v>1</v>
      </c>
      <c r="AE2064" s="9">
        <f>IFERROR(VLOOKUP($A2064,pivot!$A:$G,計算式2026!AE$1,FALSE),0)</f>
        <v>0</v>
      </c>
      <c r="AF2064" s="9">
        <f>IFERROR(VLOOKUP($A2064,pivot!$A:$I,計算式2026!AF$1,FALSE),0)</f>
        <v>0</v>
      </c>
      <c r="AI2064" s="9">
        <f>IFERROR(VLOOKUP($A2064,pivot!$A:$I,計算式2026!AI$1,FALSE),0)</f>
        <v>0</v>
      </c>
      <c r="AJ2064" s="9">
        <f>IFERROR(VLOOKUP($A2064,pivot!$A:$I,計算式2026!AJ$1,FALSE),0)</f>
        <v>0</v>
      </c>
      <c r="AK2064" s="9">
        <f>IFERROR(VLOOKUP($A2064,pivot!$A:$I,計算式2026!AK$1,FALSE),0)</f>
        <v>0</v>
      </c>
      <c r="AL2064" s="9">
        <f>IFERROR(VLOOKUP($A2064,pivot!$A:$I,計算式2026!AL$1,FALSE),0)</f>
        <v>0</v>
      </c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</row>
    <row r="2065" spans="1:59" s="9" customFormat="1">
      <c r="A2065" s="8" t="s">
        <v>1216</v>
      </c>
      <c r="B2065" s="8" t="s">
        <v>1214</v>
      </c>
      <c r="C2065" s="9">
        <v>0</v>
      </c>
      <c r="D2065" s="9">
        <v>0</v>
      </c>
      <c r="E2065" s="9">
        <v>0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9">
        <v>0</v>
      </c>
      <c r="R2065" s="9">
        <v>0</v>
      </c>
      <c r="S2065" s="9">
        <v>0</v>
      </c>
      <c r="T2065" s="9">
        <v>1</v>
      </c>
      <c r="U2065" s="9">
        <v>0</v>
      </c>
      <c r="V2065" s="9">
        <v>2</v>
      </c>
      <c r="W2065" s="9">
        <v>0</v>
      </c>
      <c r="X2065" s="9">
        <v>1</v>
      </c>
      <c r="AE2065" s="9">
        <f>IFERROR(VLOOKUP($A2065,pivot!$A:$G,計算式2026!AE$1,FALSE),0)</f>
        <v>0</v>
      </c>
      <c r="AF2065" s="9">
        <f>IFERROR(VLOOKUP($A2065,pivot!$A:$I,計算式2026!AF$1,FALSE),0)</f>
        <v>0</v>
      </c>
      <c r="AI2065" s="9">
        <f>IFERROR(VLOOKUP($A2065,pivot!$A:$I,計算式2026!AI$1,FALSE),0)</f>
        <v>0</v>
      </c>
      <c r="AJ2065" s="9">
        <f>IFERROR(VLOOKUP($A2065,pivot!$A:$I,計算式2026!AJ$1,FALSE),0)</f>
        <v>0</v>
      </c>
      <c r="AK2065" s="9">
        <f>IFERROR(VLOOKUP($A2065,pivot!$A:$I,計算式2026!AK$1,FALSE),0)</f>
        <v>0</v>
      </c>
      <c r="AL2065" s="9">
        <f>IFERROR(VLOOKUP($A2065,pivot!$A:$I,計算式2026!AL$1,FALSE),0)</f>
        <v>0</v>
      </c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</row>
    <row r="2066" spans="1:59" s="9" customFormat="1">
      <c r="A2066" s="8" t="s">
        <v>1217</v>
      </c>
      <c r="B2066" s="8" t="s">
        <v>1214</v>
      </c>
      <c r="C2066" s="9">
        <v>0</v>
      </c>
      <c r="D2066" s="9">
        <v>0</v>
      </c>
      <c r="E2066" s="9">
        <v>0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R2066" s="9">
        <v>0</v>
      </c>
      <c r="S2066" s="9">
        <v>1</v>
      </c>
      <c r="T2066" s="9">
        <v>1</v>
      </c>
      <c r="U2066" s="9">
        <v>0</v>
      </c>
      <c r="V2066" s="9">
        <v>1</v>
      </c>
      <c r="W2066" s="9">
        <v>0</v>
      </c>
      <c r="X2066" s="9">
        <v>2</v>
      </c>
      <c r="AE2066" s="9">
        <f>IFERROR(VLOOKUP($A2066,pivot!$A:$G,計算式2026!AE$1,FALSE),0)</f>
        <v>0</v>
      </c>
      <c r="AF2066" s="9">
        <f>IFERROR(VLOOKUP($A2066,pivot!$A:$I,計算式2026!AF$1,FALSE),0)</f>
        <v>0</v>
      </c>
      <c r="AI2066" s="9">
        <f>IFERROR(VLOOKUP($A2066,pivot!$A:$I,計算式2026!AI$1,FALSE),0)</f>
        <v>0</v>
      </c>
      <c r="AJ2066" s="9">
        <f>IFERROR(VLOOKUP($A2066,pivot!$A:$I,計算式2026!AJ$1,FALSE),0)</f>
        <v>0</v>
      </c>
      <c r="AK2066" s="9">
        <f>IFERROR(VLOOKUP($A2066,pivot!$A:$I,計算式2026!AK$1,FALSE),0)</f>
        <v>0</v>
      </c>
      <c r="AL2066" s="9">
        <f>IFERROR(VLOOKUP($A2066,pivot!$A:$I,計算式2026!AL$1,FALSE),0)</f>
        <v>0</v>
      </c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</row>
    <row r="2067" spans="1:59" s="9" customFormat="1">
      <c r="A2067" s="8" t="s">
        <v>1218</v>
      </c>
      <c r="B2067" s="8" t="s">
        <v>1219</v>
      </c>
      <c r="C2067" s="9">
        <v>0</v>
      </c>
      <c r="D2067" s="9">
        <v>0</v>
      </c>
      <c r="E2067" s="9">
        <v>0</v>
      </c>
      <c r="F2067" s="9">
        <v>0</v>
      </c>
      <c r="G2067" s="9">
        <v>0</v>
      </c>
      <c r="H2067" s="9">
        <v>0</v>
      </c>
      <c r="I2067" s="9">
        <v>0</v>
      </c>
      <c r="J2067" s="9">
        <v>0</v>
      </c>
      <c r="K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1</v>
      </c>
      <c r="W2067" s="9">
        <v>0</v>
      </c>
      <c r="X2067" s="9">
        <v>1</v>
      </c>
      <c r="AE2067" s="9">
        <f>IFERROR(VLOOKUP($A2067,pivot!$A:$G,計算式2026!AE$1,FALSE),0)</f>
        <v>0</v>
      </c>
      <c r="AF2067" s="9">
        <f>IFERROR(VLOOKUP($A2067,pivot!$A:$I,計算式2026!AF$1,FALSE),0)</f>
        <v>0</v>
      </c>
      <c r="AI2067" s="9">
        <f>IFERROR(VLOOKUP($A2067,pivot!$A:$I,計算式2026!AI$1,FALSE),0)</f>
        <v>0</v>
      </c>
      <c r="AJ2067" s="9">
        <f>IFERROR(VLOOKUP($A2067,pivot!$A:$I,計算式2026!AJ$1,FALSE),0)</f>
        <v>0</v>
      </c>
      <c r="AK2067" s="9">
        <f>IFERROR(VLOOKUP($A2067,pivot!$A:$I,計算式2026!AK$1,FALSE),0)</f>
        <v>0</v>
      </c>
      <c r="AL2067" s="9">
        <f>IFERROR(VLOOKUP($A2067,pivot!$A:$I,計算式2026!AL$1,FALSE),0)</f>
        <v>0</v>
      </c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</row>
    <row r="2068" spans="1:59" s="9" customFormat="1">
      <c r="A2068" s="8" t="s">
        <v>1220</v>
      </c>
      <c r="B2068" s="8" t="s">
        <v>1219</v>
      </c>
      <c r="C2068" s="9">
        <v>0</v>
      </c>
      <c r="D2068" s="9">
        <v>0</v>
      </c>
      <c r="E2068" s="9">
        <v>0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1</v>
      </c>
      <c r="W2068" s="9">
        <v>0</v>
      </c>
      <c r="X2068" s="9">
        <v>1</v>
      </c>
      <c r="AE2068" s="9">
        <f>IFERROR(VLOOKUP($A2068,pivot!$A:$G,計算式2026!AE$1,FALSE),0)</f>
        <v>0</v>
      </c>
      <c r="AF2068" s="9">
        <f>IFERROR(VLOOKUP($A2068,pivot!$A:$I,計算式2026!AF$1,FALSE),0)</f>
        <v>0</v>
      </c>
      <c r="AI2068" s="9">
        <f>IFERROR(VLOOKUP($A2068,pivot!$A:$I,計算式2026!AI$1,FALSE),0)</f>
        <v>0</v>
      </c>
      <c r="AJ2068" s="9">
        <f>IFERROR(VLOOKUP($A2068,pivot!$A:$I,計算式2026!AJ$1,FALSE),0)</f>
        <v>0</v>
      </c>
      <c r="AK2068" s="9">
        <f>IFERROR(VLOOKUP($A2068,pivot!$A:$I,計算式2026!AK$1,FALSE),0)</f>
        <v>0</v>
      </c>
      <c r="AL2068" s="9">
        <f>IFERROR(VLOOKUP($A2068,pivot!$A:$I,計算式2026!AL$1,FALSE),0)</f>
        <v>0</v>
      </c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</row>
    <row r="2069" spans="1:59" s="9" customFormat="1">
      <c r="A2069" s="8" t="s">
        <v>1221</v>
      </c>
      <c r="B2069" s="8" t="s">
        <v>1219</v>
      </c>
      <c r="C2069" s="9">
        <v>0</v>
      </c>
      <c r="D2069" s="9">
        <v>0</v>
      </c>
      <c r="E2069" s="9">
        <v>0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1</v>
      </c>
      <c r="W2069" s="9">
        <v>0</v>
      </c>
      <c r="X2069" s="9">
        <v>1</v>
      </c>
      <c r="AE2069" s="9">
        <f>IFERROR(VLOOKUP($A2069,pivot!$A:$G,計算式2026!AE$1,FALSE),0)</f>
        <v>0</v>
      </c>
      <c r="AF2069" s="9">
        <f>IFERROR(VLOOKUP($A2069,pivot!$A:$I,計算式2026!AF$1,FALSE),0)</f>
        <v>0</v>
      </c>
      <c r="AI2069" s="9">
        <f>IFERROR(VLOOKUP($A2069,pivot!$A:$I,計算式2026!AI$1,FALSE),0)</f>
        <v>0</v>
      </c>
      <c r="AJ2069" s="9">
        <f>IFERROR(VLOOKUP($A2069,pivot!$A:$I,計算式2026!AJ$1,FALSE),0)</f>
        <v>0</v>
      </c>
      <c r="AK2069" s="9">
        <f>IFERROR(VLOOKUP($A2069,pivot!$A:$I,計算式2026!AK$1,FALSE),0)</f>
        <v>0</v>
      </c>
      <c r="AL2069" s="9">
        <f>IFERROR(VLOOKUP($A2069,pivot!$A:$I,計算式2026!AL$1,FALSE),0)</f>
        <v>0</v>
      </c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</row>
    <row r="2070" spans="1:59" s="9" customFormat="1">
      <c r="A2070" s="8" t="s">
        <v>1222</v>
      </c>
      <c r="B2070" s="8" t="s">
        <v>1219</v>
      </c>
      <c r="C2070" s="9">
        <v>1</v>
      </c>
      <c r="D2070" s="9">
        <v>0</v>
      </c>
      <c r="E2070" s="9">
        <v>0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R2070" s="9">
        <v>0</v>
      </c>
      <c r="S2070" s="9">
        <v>2</v>
      </c>
      <c r="T2070" s="9">
        <v>0</v>
      </c>
      <c r="U2070" s="9">
        <v>0</v>
      </c>
      <c r="V2070" s="9">
        <v>2</v>
      </c>
      <c r="W2070" s="9">
        <v>0</v>
      </c>
      <c r="X2070" s="9">
        <v>1</v>
      </c>
      <c r="AE2070" s="9">
        <f>IFERROR(VLOOKUP($A2070,pivot!$A:$G,計算式2026!AE$1,FALSE),0)</f>
        <v>0</v>
      </c>
      <c r="AF2070" s="9">
        <f>IFERROR(VLOOKUP($A2070,pivot!$A:$I,計算式2026!AF$1,FALSE),0)</f>
        <v>0</v>
      </c>
      <c r="AI2070" s="9">
        <f>IFERROR(VLOOKUP($A2070,pivot!$A:$I,計算式2026!AI$1,FALSE),0)</f>
        <v>0</v>
      </c>
      <c r="AJ2070" s="9">
        <f>IFERROR(VLOOKUP($A2070,pivot!$A:$I,計算式2026!AJ$1,FALSE),0)</f>
        <v>0</v>
      </c>
      <c r="AK2070" s="9">
        <f>IFERROR(VLOOKUP($A2070,pivot!$A:$I,計算式2026!AK$1,FALSE),0)</f>
        <v>0</v>
      </c>
      <c r="AL2070" s="9">
        <f>IFERROR(VLOOKUP($A2070,pivot!$A:$I,計算式2026!AL$1,FALSE),0)</f>
        <v>0</v>
      </c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</row>
    <row r="2071" spans="1:59" s="9" customFormat="1">
      <c r="A2071" s="8">
        <v>8933603034</v>
      </c>
      <c r="B2071" s="8" t="s">
        <v>1224</v>
      </c>
      <c r="C2071" s="9">
        <v>0</v>
      </c>
      <c r="D2071" s="9">
        <v>0</v>
      </c>
      <c r="E2071" s="9">
        <v>0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1</v>
      </c>
      <c r="W2071" s="9">
        <v>0</v>
      </c>
      <c r="X2071" s="9">
        <v>0</v>
      </c>
      <c r="AE2071" s="9">
        <f>IFERROR(VLOOKUP($A2071,pivot!$A:$G,計算式2026!AE$1,FALSE),0)</f>
        <v>0</v>
      </c>
      <c r="AF2071" s="9">
        <f>IFERROR(VLOOKUP($A2071,pivot!$A:$I,計算式2026!AF$1,FALSE),0)</f>
        <v>0</v>
      </c>
      <c r="AI2071" s="9">
        <f>IFERROR(VLOOKUP($A2071,pivot!$A:$I,計算式2026!AI$1,FALSE),0)</f>
        <v>0</v>
      </c>
      <c r="AJ2071" s="9">
        <f>IFERROR(VLOOKUP($A2071,pivot!$A:$I,計算式2026!AJ$1,FALSE),0)</f>
        <v>0</v>
      </c>
      <c r="AK2071" s="9">
        <f>IFERROR(VLOOKUP($A2071,pivot!$A:$I,計算式2026!AK$1,FALSE),0)</f>
        <v>0</v>
      </c>
      <c r="AL2071" s="9">
        <f>IFERROR(VLOOKUP($A2071,pivot!$A:$I,計算式2026!AL$1,FALSE),0)</f>
        <v>0</v>
      </c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</row>
    <row r="2072" spans="1:59" s="9" customFormat="1">
      <c r="A2072" s="8">
        <v>8933603036</v>
      </c>
      <c r="B2072" s="8" t="s">
        <v>1224</v>
      </c>
      <c r="C2072" s="9">
        <v>0</v>
      </c>
      <c r="D2072" s="9">
        <v>0</v>
      </c>
      <c r="E2072" s="9">
        <v>0</v>
      </c>
      <c r="F2072" s="9">
        <v>0</v>
      </c>
      <c r="G2072" s="9">
        <v>0</v>
      </c>
      <c r="H2072" s="9">
        <v>0</v>
      </c>
      <c r="I2072" s="9">
        <v>0</v>
      </c>
      <c r="J2072" s="9">
        <v>0</v>
      </c>
      <c r="K2072" s="9">
        <v>0</v>
      </c>
      <c r="R2072" s="9">
        <v>0</v>
      </c>
      <c r="S2072" s="9">
        <v>1</v>
      </c>
      <c r="T2072" s="9">
        <v>1</v>
      </c>
      <c r="U2072" s="9">
        <v>0</v>
      </c>
      <c r="V2072" s="9">
        <v>1</v>
      </c>
      <c r="W2072" s="9">
        <v>0</v>
      </c>
      <c r="X2072" s="9">
        <v>2</v>
      </c>
      <c r="AE2072" s="9">
        <f>IFERROR(VLOOKUP($A2072,pivot!$A:$G,計算式2026!AE$1,FALSE),0)</f>
        <v>0</v>
      </c>
      <c r="AF2072" s="9">
        <f>IFERROR(VLOOKUP($A2072,pivot!$A:$I,計算式2026!AF$1,FALSE),0)</f>
        <v>0</v>
      </c>
      <c r="AI2072" s="9">
        <f>IFERROR(VLOOKUP($A2072,pivot!$A:$I,計算式2026!AI$1,FALSE),0)</f>
        <v>0</v>
      </c>
      <c r="AJ2072" s="9">
        <f>IFERROR(VLOOKUP($A2072,pivot!$A:$I,計算式2026!AJ$1,FALSE),0)</f>
        <v>0</v>
      </c>
      <c r="AK2072" s="9">
        <f>IFERROR(VLOOKUP($A2072,pivot!$A:$I,計算式2026!AK$1,FALSE),0)</f>
        <v>0</v>
      </c>
      <c r="AL2072" s="9">
        <f>IFERROR(VLOOKUP($A2072,pivot!$A:$I,計算式2026!AL$1,FALSE),0)</f>
        <v>0</v>
      </c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</row>
    <row r="2073" spans="1:59" s="9" customFormat="1">
      <c r="A2073" s="8">
        <v>8933603038</v>
      </c>
      <c r="B2073" s="8" t="s">
        <v>1224</v>
      </c>
      <c r="C2073" s="9">
        <v>0</v>
      </c>
      <c r="D2073" s="9">
        <v>0</v>
      </c>
      <c r="E2073" s="9">
        <v>0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R2073" s="9">
        <v>0</v>
      </c>
      <c r="S2073" s="9">
        <v>1</v>
      </c>
      <c r="T2073" s="9">
        <v>1</v>
      </c>
      <c r="U2073" s="9">
        <v>0</v>
      </c>
      <c r="V2073" s="9">
        <v>1</v>
      </c>
      <c r="W2073" s="9">
        <v>0</v>
      </c>
      <c r="X2073" s="9">
        <v>2</v>
      </c>
      <c r="AE2073" s="9">
        <f>IFERROR(VLOOKUP($A2073,pivot!$A:$G,計算式2026!AE$1,FALSE),0)</f>
        <v>0</v>
      </c>
      <c r="AF2073" s="9">
        <f>IFERROR(VLOOKUP($A2073,pivot!$A:$I,計算式2026!AF$1,FALSE),0)</f>
        <v>0</v>
      </c>
      <c r="AI2073" s="9">
        <f>IFERROR(VLOOKUP($A2073,pivot!$A:$I,計算式2026!AI$1,FALSE),0)</f>
        <v>0</v>
      </c>
      <c r="AJ2073" s="9">
        <f>IFERROR(VLOOKUP($A2073,pivot!$A:$I,計算式2026!AJ$1,FALSE),0)</f>
        <v>0</v>
      </c>
      <c r="AK2073" s="9">
        <f>IFERROR(VLOOKUP($A2073,pivot!$A:$I,計算式2026!AK$1,FALSE),0)</f>
        <v>0</v>
      </c>
      <c r="AL2073" s="9">
        <f>IFERROR(VLOOKUP($A2073,pivot!$A:$I,計算式2026!AL$1,FALSE),0)</f>
        <v>0</v>
      </c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</row>
    <row r="2074" spans="1:59" s="9" customFormat="1">
      <c r="A2074" s="8">
        <v>8933603040</v>
      </c>
      <c r="B2074" s="8" t="s">
        <v>1224</v>
      </c>
      <c r="C2074" s="9">
        <v>0</v>
      </c>
      <c r="D2074" s="9">
        <v>0</v>
      </c>
      <c r="E2074" s="9">
        <v>0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1</v>
      </c>
      <c r="W2074" s="9">
        <v>0</v>
      </c>
      <c r="X2074" s="9">
        <v>1</v>
      </c>
      <c r="AE2074" s="9">
        <f>IFERROR(VLOOKUP($A2074,pivot!$A:$G,計算式2026!AE$1,FALSE),0)</f>
        <v>0</v>
      </c>
      <c r="AF2074" s="9">
        <f>IFERROR(VLOOKUP($A2074,pivot!$A:$I,計算式2026!AF$1,FALSE),0)</f>
        <v>0</v>
      </c>
      <c r="AI2074" s="9">
        <f>IFERROR(VLOOKUP($A2074,pivot!$A:$I,計算式2026!AI$1,FALSE),0)</f>
        <v>0</v>
      </c>
      <c r="AJ2074" s="9">
        <f>IFERROR(VLOOKUP($A2074,pivot!$A:$I,計算式2026!AJ$1,FALSE),0)</f>
        <v>0</v>
      </c>
      <c r="AK2074" s="9">
        <f>IFERROR(VLOOKUP($A2074,pivot!$A:$I,計算式2026!AK$1,FALSE),0)</f>
        <v>0</v>
      </c>
      <c r="AL2074" s="9">
        <f>IFERROR(VLOOKUP($A2074,pivot!$A:$I,計算式2026!AL$1,FALSE),0)</f>
        <v>0</v>
      </c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</row>
    <row r="2075" spans="1:59" s="9" customFormat="1">
      <c r="A2075" s="8" t="s">
        <v>2432</v>
      </c>
      <c r="B2075" s="8" t="s">
        <v>1224</v>
      </c>
      <c r="C2075" s="9">
        <v>0</v>
      </c>
      <c r="D2075" s="9">
        <v>0</v>
      </c>
      <c r="E2075" s="9">
        <v>0</v>
      </c>
      <c r="F2075" s="9">
        <v>0</v>
      </c>
      <c r="G2075" s="9">
        <v>0</v>
      </c>
      <c r="H2075" s="9">
        <v>0</v>
      </c>
      <c r="I2075" s="9">
        <v>0</v>
      </c>
      <c r="J2075" s="9">
        <v>0</v>
      </c>
      <c r="K2075" s="9">
        <v>0</v>
      </c>
      <c r="R2075" s="9">
        <v>0</v>
      </c>
      <c r="S2075" s="9">
        <v>1</v>
      </c>
      <c r="T2075" s="9">
        <v>1</v>
      </c>
      <c r="U2075" s="9">
        <v>0</v>
      </c>
      <c r="V2075" s="9">
        <v>1</v>
      </c>
      <c r="W2075" s="9">
        <v>0</v>
      </c>
      <c r="X2075" s="9">
        <v>2</v>
      </c>
      <c r="AE2075" s="9">
        <f>IFERROR(VLOOKUP($A2075,pivot!$A:$G,計算式2026!AE$1,FALSE),0)</f>
        <v>0</v>
      </c>
      <c r="AF2075" s="9">
        <f>IFERROR(VLOOKUP($A2075,pivot!$A:$I,計算式2026!AF$1,FALSE),0)</f>
        <v>0</v>
      </c>
      <c r="AI2075" s="9">
        <f>IFERROR(VLOOKUP($A2075,pivot!$A:$I,計算式2026!AI$1,FALSE),0)</f>
        <v>0</v>
      </c>
      <c r="AJ2075" s="9">
        <f>IFERROR(VLOOKUP($A2075,pivot!$A:$I,計算式2026!AJ$1,FALSE),0)</f>
        <v>0</v>
      </c>
      <c r="AK2075" s="9">
        <f>IFERROR(VLOOKUP($A2075,pivot!$A:$I,計算式2026!AK$1,FALSE),0)</f>
        <v>0</v>
      </c>
      <c r="AL2075" s="9">
        <f>IFERROR(VLOOKUP($A2075,pivot!$A:$I,計算式2026!AL$1,FALSE),0)</f>
        <v>0</v>
      </c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</row>
    <row r="2076" spans="1:59" s="9" customFormat="1">
      <c r="A2076" s="8" t="s">
        <v>2433</v>
      </c>
      <c r="B2076" s="8" t="s">
        <v>1224</v>
      </c>
      <c r="C2076" s="9">
        <v>0</v>
      </c>
      <c r="D2076" s="9">
        <v>0</v>
      </c>
      <c r="E2076" s="9">
        <v>0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9">
        <v>0</v>
      </c>
      <c r="R2076" s="9">
        <v>0</v>
      </c>
      <c r="S2076" s="9">
        <v>1</v>
      </c>
      <c r="T2076" s="9">
        <v>1</v>
      </c>
      <c r="U2076" s="9">
        <v>0</v>
      </c>
      <c r="V2076" s="9">
        <v>2</v>
      </c>
      <c r="W2076" s="9">
        <v>0</v>
      </c>
      <c r="X2076" s="9">
        <v>2</v>
      </c>
      <c r="AE2076" s="9">
        <f>IFERROR(VLOOKUP($A2076,pivot!$A:$G,計算式2026!AE$1,FALSE),0)</f>
        <v>0</v>
      </c>
      <c r="AF2076" s="9">
        <f>IFERROR(VLOOKUP($A2076,pivot!$A:$I,計算式2026!AF$1,FALSE),0)</f>
        <v>0</v>
      </c>
      <c r="AI2076" s="9">
        <f>IFERROR(VLOOKUP($A2076,pivot!$A:$I,計算式2026!AI$1,FALSE),0)</f>
        <v>0</v>
      </c>
      <c r="AJ2076" s="9">
        <f>IFERROR(VLOOKUP($A2076,pivot!$A:$I,計算式2026!AJ$1,FALSE),0)</f>
        <v>0</v>
      </c>
      <c r="AK2076" s="9">
        <f>IFERROR(VLOOKUP($A2076,pivot!$A:$I,計算式2026!AK$1,FALSE),0)</f>
        <v>0</v>
      </c>
      <c r="AL2076" s="9">
        <f>IFERROR(VLOOKUP($A2076,pivot!$A:$I,計算式2026!AL$1,FALSE),0)</f>
        <v>0</v>
      </c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</row>
    <row r="2077" spans="1:59" s="9" customFormat="1">
      <c r="A2077" s="8" t="s">
        <v>2884</v>
      </c>
      <c r="B2077" s="8" t="s">
        <v>1224</v>
      </c>
      <c r="C2077" s="9">
        <v>0</v>
      </c>
      <c r="D2077" s="9">
        <v>0</v>
      </c>
      <c r="E2077" s="9">
        <v>0</v>
      </c>
      <c r="F2077" s="9">
        <v>0</v>
      </c>
      <c r="G2077" s="9">
        <v>0</v>
      </c>
      <c r="H2077" s="9">
        <v>0</v>
      </c>
      <c r="I2077" s="9">
        <v>0</v>
      </c>
      <c r="J2077" s="9">
        <v>0</v>
      </c>
      <c r="K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1</v>
      </c>
      <c r="W2077" s="9">
        <v>0</v>
      </c>
      <c r="X2077" s="9">
        <v>1</v>
      </c>
      <c r="AE2077" s="9">
        <f>IFERROR(VLOOKUP($A2077,pivot!$A:$G,計算式2026!AE$1,FALSE),0)</f>
        <v>0</v>
      </c>
      <c r="AF2077" s="9">
        <f>IFERROR(VLOOKUP($A2077,pivot!$A:$I,計算式2026!AF$1,FALSE),0)</f>
        <v>0</v>
      </c>
      <c r="AI2077" s="9">
        <f>IFERROR(VLOOKUP($A2077,pivot!$A:$I,計算式2026!AI$1,FALSE),0)</f>
        <v>0</v>
      </c>
      <c r="AJ2077" s="9">
        <f>IFERROR(VLOOKUP($A2077,pivot!$A:$I,計算式2026!AJ$1,FALSE),0)</f>
        <v>0</v>
      </c>
      <c r="AK2077" s="9">
        <f>IFERROR(VLOOKUP($A2077,pivot!$A:$I,計算式2026!AK$1,FALSE),0)</f>
        <v>0</v>
      </c>
      <c r="AL2077" s="9">
        <f>IFERROR(VLOOKUP($A2077,pivot!$A:$I,計算式2026!AL$1,FALSE),0)</f>
        <v>0</v>
      </c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</row>
    <row r="2078" spans="1:59" s="9" customFormat="1">
      <c r="A2078" s="8" t="s">
        <v>2434</v>
      </c>
      <c r="B2078" s="8" t="s">
        <v>1224</v>
      </c>
      <c r="C2078" s="9">
        <v>0</v>
      </c>
      <c r="D2078" s="9">
        <v>0</v>
      </c>
      <c r="E2078" s="9">
        <v>0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1</v>
      </c>
      <c r="W2078" s="9">
        <v>0</v>
      </c>
      <c r="X2078" s="9">
        <v>1</v>
      </c>
      <c r="AE2078" s="9">
        <f>IFERROR(VLOOKUP($A2078,pivot!$A:$G,計算式2026!AE$1,FALSE),0)</f>
        <v>0</v>
      </c>
      <c r="AF2078" s="9">
        <f>IFERROR(VLOOKUP($A2078,pivot!$A:$I,計算式2026!AF$1,FALSE),0)</f>
        <v>0</v>
      </c>
      <c r="AI2078" s="9">
        <f>IFERROR(VLOOKUP($A2078,pivot!$A:$I,計算式2026!AI$1,FALSE),0)</f>
        <v>0</v>
      </c>
      <c r="AJ2078" s="9">
        <f>IFERROR(VLOOKUP($A2078,pivot!$A:$I,計算式2026!AJ$1,FALSE),0)</f>
        <v>0</v>
      </c>
      <c r="AK2078" s="9">
        <f>IFERROR(VLOOKUP($A2078,pivot!$A:$I,計算式2026!AK$1,FALSE),0)</f>
        <v>0</v>
      </c>
      <c r="AL2078" s="9">
        <f>IFERROR(VLOOKUP($A2078,pivot!$A:$I,計算式2026!AL$1,FALSE),0)</f>
        <v>0</v>
      </c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</row>
    <row r="2079" spans="1:59" s="9" customFormat="1">
      <c r="A2079" s="8" t="s">
        <v>2435</v>
      </c>
      <c r="B2079" s="8" t="s">
        <v>1224</v>
      </c>
      <c r="C2079" s="9">
        <v>0</v>
      </c>
      <c r="D2079" s="9">
        <v>0</v>
      </c>
      <c r="E2079" s="9">
        <v>0</v>
      </c>
      <c r="F2079" s="9">
        <v>0</v>
      </c>
      <c r="G2079" s="9">
        <v>0</v>
      </c>
      <c r="H2079" s="9">
        <v>0</v>
      </c>
      <c r="I2079" s="9">
        <v>0</v>
      </c>
      <c r="J2079" s="9">
        <v>0</v>
      </c>
      <c r="K2079" s="9">
        <v>0</v>
      </c>
      <c r="R2079" s="9">
        <v>0</v>
      </c>
      <c r="S2079" s="9">
        <v>1</v>
      </c>
      <c r="T2079" s="9">
        <v>0</v>
      </c>
      <c r="U2079" s="9">
        <v>0</v>
      </c>
      <c r="V2079" s="9">
        <v>0</v>
      </c>
      <c r="W2079" s="9">
        <v>0</v>
      </c>
      <c r="X2079" s="9">
        <v>1</v>
      </c>
      <c r="AE2079" s="9">
        <f>IFERROR(VLOOKUP($A2079,pivot!$A:$G,計算式2026!AE$1,FALSE),0)</f>
        <v>0</v>
      </c>
      <c r="AF2079" s="9">
        <f>IFERROR(VLOOKUP($A2079,pivot!$A:$I,計算式2026!AF$1,FALSE),0)</f>
        <v>0</v>
      </c>
      <c r="AI2079" s="9">
        <f>IFERROR(VLOOKUP($A2079,pivot!$A:$I,計算式2026!AI$1,FALSE),0)</f>
        <v>0</v>
      </c>
      <c r="AJ2079" s="9">
        <f>IFERROR(VLOOKUP($A2079,pivot!$A:$I,計算式2026!AJ$1,FALSE),0)</f>
        <v>0</v>
      </c>
      <c r="AK2079" s="9">
        <f>IFERROR(VLOOKUP($A2079,pivot!$A:$I,計算式2026!AK$1,FALSE),0)</f>
        <v>0</v>
      </c>
      <c r="AL2079" s="9">
        <f>IFERROR(VLOOKUP($A2079,pivot!$A:$I,計算式2026!AL$1,FALSE),0)</f>
        <v>0</v>
      </c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</row>
    <row r="2080" spans="1:59" s="9" customFormat="1">
      <c r="A2080" s="8" t="s">
        <v>1223</v>
      </c>
      <c r="B2080" s="8" t="s">
        <v>1224</v>
      </c>
      <c r="C2080" s="9">
        <v>0</v>
      </c>
      <c r="D2080" s="9">
        <v>0</v>
      </c>
      <c r="E2080" s="9">
        <v>0</v>
      </c>
      <c r="F2080" s="9">
        <v>0</v>
      </c>
      <c r="G2080" s="9">
        <v>0</v>
      </c>
      <c r="H2080" s="9">
        <v>0</v>
      </c>
      <c r="I2080" s="9">
        <v>0</v>
      </c>
      <c r="J2080" s="9">
        <v>0</v>
      </c>
      <c r="K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1</v>
      </c>
      <c r="W2080" s="9">
        <v>0</v>
      </c>
      <c r="X2080" s="9">
        <v>0</v>
      </c>
      <c r="AE2080" s="9">
        <f>IFERROR(VLOOKUP($A2080,pivot!$A:$G,計算式2026!AE$1,FALSE),0)</f>
        <v>0</v>
      </c>
      <c r="AF2080" s="9">
        <f>IFERROR(VLOOKUP($A2080,pivot!$A:$I,計算式2026!AF$1,FALSE),0)</f>
        <v>0</v>
      </c>
      <c r="AI2080" s="9">
        <f>IFERROR(VLOOKUP($A2080,pivot!$A:$I,計算式2026!AI$1,FALSE),0)</f>
        <v>0</v>
      </c>
      <c r="AJ2080" s="9">
        <f>IFERROR(VLOOKUP($A2080,pivot!$A:$I,計算式2026!AJ$1,FALSE),0)</f>
        <v>0</v>
      </c>
      <c r="AK2080" s="9">
        <f>IFERROR(VLOOKUP($A2080,pivot!$A:$I,計算式2026!AK$1,FALSE),0)</f>
        <v>0</v>
      </c>
      <c r="AL2080" s="9">
        <f>IFERROR(VLOOKUP($A2080,pivot!$A:$I,計算式2026!AL$1,FALSE),0)</f>
        <v>0</v>
      </c>
      <c r="AR2080" s="8"/>
      <c r="AS2080" s="8"/>
      <c r="AT2080" s="8"/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8"/>
      <c r="BG2080" s="8"/>
    </row>
    <row r="2081" spans="1:59" s="9" customFormat="1">
      <c r="A2081" s="8" t="s">
        <v>1225</v>
      </c>
      <c r="B2081" s="8" t="s">
        <v>1224</v>
      </c>
      <c r="C2081" s="9">
        <v>0</v>
      </c>
      <c r="D2081" s="9">
        <v>0</v>
      </c>
      <c r="E2081" s="9">
        <v>0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1</v>
      </c>
      <c r="W2081" s="9">
        <v>0</v>
      </c>
      <c r="X2081" s="9">
        <v>1</v>
      </c>
      <c r="AE2081" s="9">
        <f>IFERROR(VLOOKUP($A2081,pivot!$A:$G,計算式2026!AE$1,FALSE),0)</f>
        <v>0</v>
      </c>
      <c r="AF2081" s="9">
        <f>IFERROR(VLOOKUP($A2081,pivot!$A:$I,計算式2026!AF$1,FALSE),0)</f>
        <v>0</v>
      </c>
      <c r="AI2081" s="9">
        <f>IFERROR(VLOOKUP($A2081,pivot!$A:$I,計算式2026!AI$1,FALSE),0)</f>
        <v>0</v>
      </c>
      <c r="AJ2081" s="9">
        <f>IFERROR(VLOOKUP($A2081,pivot!$A:$I,計算式2026!AJ$1,FALSE),0)</f>
        <v>0</v>
      </c>
      <c r="AK2081" s="9">
        <f>IFERROR(VLOOKUP($A2081,pivot!$A:$I,計算式2026!AK$1,FALSE),0)</f>
        <v>0</v>
      </c>
      <c r="AL2081" s="9">
        <f>IFERROR(VLOOKUP($A2081,pivot!$A:$I,計算式2026!AL$1,FALSE),0)</f>
        <v>0</v>
      </c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</row>
    <row r="2082" spans="1:59" s="9" customFormat="1">
      <c r="A2082" s="8" t="s">
        <v>1226</v>
      </c>
      <c r="B2082" s="8" t="s">
        <v>1224</v>
      </c>
      <c r="C2082" s="9">
        <v>0</v>
      </c>
      <c r="D2082" s="9">
        <v>0</v>
      </c>
      <c r="E2082" s="9">
        <v>0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1</v>
      </c>
      <c r="AE2082" s="9">
        <f>IFERROR(VLOOKUP($A2082,pivot!$A:$G,計算式2026!AE$1,FALSE),0)</f>
        <v>0</v>
      </c>
      <c r="AF2082" s="9">
        <f>IFERROR(VLOOKUP($A2082,pivot!$A:$I,計算式2026!AF$1,FALSE),0)</f>
        <v>0</v>
      </c>
      <c r="AI2082" s="9">
        <f>IFERROR(VLOOKUP($A2082,pivot!$A:$I,計算式2026!AI$1,FALSE),0)</f>
        <v>0</v>
      </c>
      <c r="AJ2082" s="9">
        <f>IFERROR(VLOOKUP($A2082,pivot!$A:$I,計算式2026!AJ$1,FALSE),0)</f>
        <v>0</v>
      </c>
      <c r="AK2082" s="9">
        <f>IFERROR(VLOOKUP($A2082,pivot!$A:$I,計算式2026!AK$1,FALSE),0)</f>
        <v>0</v>
      </c>
      <c r="AL2082" s="9">
        <f>IFERROR(VLOOKUP($A2082,pivot!$A:$I,計算式2026!AL$1,FALSE),0)</f>
        <v>0</v>
      </c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</row>
    <row r="2083" spans="1:59" s="9" customFormat="1">
      <c r="A2083" s="8" t="s">
        <v>2436</v>
      </c>
      <c r="B2083" s="8" t="s">
        <v>1224</v>
      </c>
      <c r="C2083" s="9">
        <v>0</v>
      </c>
      <c r="D2083" s="9">
        <v>0</v>
      </c>
      <c r="E2083" s="9">
        <v>0</v>
      </c>
      <c r="F2083" s="9">
        <v>0</v>
      </c>
      <c r="G2083" s="9">
        <v>0</v>
      </c>
      <c r="H2083" s="9">
        <v>0</v>
      </c>
      <c r="I2083" s="9">
        <v>0</v>
      </c>
      <c r="J2083" s="9">
        <v>0</v>
      </c>
      <c r="K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1</v>
      </c>
      <c r="W2083" s="9">
        <v>0</v>
      </c>
      <c r="X2083" s="9">
        <v>0</v>
      </c>
      <c r="AE2083" s="9">
        <f>IFERROR(VLOOKUP($A2083,pivot!$A:$G,計算式2026!AE$1,FALSE),0)</f>
        <v>0</v>
      </c>
      <c r="AF2083" s="9">
        <f>IFERROR(VLOOKUP($A2083,pivot!$A:$I,計算式2026!AF$1,FALSE),0)</f>
        <v>0</v>
      </c>
      <c r="AI2083" s="9">
        <f>IFERROR(VLOOKUP($A2083,pivot!$A:$I,計算式2026!AI$1,FALSE),0)</f>
        <v>0</v>
      </c>
      <c r="AJ2083" s="9">
        <f>IFERROR(VLOOKUP($A2083,pivot!$A:$I,計算式2026!AJ$1,FALSE),0)</f>
        <v>0</v>
      </c>
      <c r="AK2083" s="9">
        <f>IFERROR(VLOOKUP($A2083,pivot!$A:$I,計算式2026!AK$1,FALSE),0)</f>
        <v>0</v>
      </c>
      <c r="AL2083" s="9">
        <f>IFERROR(VLOOKUP($A2083,pivot!$A:$I,計算式2026!AL$1,FALSE),0)</f>
        <v>0</v>
      </c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</row>
    <row r="2084" spans="1:59" s="9" customFormat="1">
      <c r="A2084" s="8" t="s">
        <v>1486</v>
      </c>
      <c r="B2084" s="8" t="s">
        <v>1224</v>
      </c>
      <c r="C2084" s="9">
        <v>0</v>
      </c>
      <c r="D2084" s="9">
        <v>0</v>
      </c>
      <c r="E2084" s="9">
        <v>0</v>
      </c>
      <c r="F2084" s="9">
        <v>0</v>
      </c>
      <c r="G2084" s="9">
        <v>0</v>
      </c>
      <c r="H2084" s="9">
        <v>0</v>
      </c>
      <c r="I2084" s="9">
        <v>0</v>
      </c>
      <c r="J2084" s="9">
        <v>0</v>
      </c>
      <c r="K2084" s="9">
        <v>0</v>
      </c>
      <c r="R2084" s="9">
        <v>0</v>
      </c>
      <c r="S2084" s="9">
        <v>2</v>
      </c>
      <c r="T2084" s="9">
        <v>0</v>
      </c>
      <c r="U2084" s="9">
        <v>0</v>
      </c>
      <c r="V2084" s="9">
        <v>1</v>
      </c>
      <c r="W2084" s="9">
        <v>0</v>
      </c>
      <c r="X2084" s="9">
        <v>1</v>
      </c>
      <c r="AE2084" s="9">
        <f>IFERROR(VLOOKUP($A2084,pivot!$A:$G,計算式2026!AE$1,FALSE),0)</f>
        <v>0</v>
      </c>
      <c r="AF2084" s="9">
        <f>IFERROR(VLOOKUP($A2084,pivot!$A:$I,計算式2026!AF$1,FALSE),0)</f>
        <v>0</v>
      </c>
      <c r="AI2084" s="9">
        <f>IFERROR(VLOOKUP($A2084,pivot!$A:$I,計算式2026!AI$1,FALSE),0)</f>
        <v>0</v>
      </c>
      <c r="AJ2084" s="9">
        <f>IFERROR(VLOOKUP($A2084,pivot!$A:$I,計算式2026!AJ$1,FALSE),0)</f>
        <v>0</v>
      </c>
      <c r="AK2084" s="9">
        <f>IFERROR(VLOOKUP($A2084,pivot!$A:$I,計算式2026!AK$1,FALSE),0)</f>
        <v>0</v>
      </c>
      <c r="AL2084" s="9">
        <f>IFERROR(VLOOKUP($A2084,pivot!$A:$I,計算式2026!AL$1,FALSE),0)</f>
        <v>0</v>
      </c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</row>
    <row r="2085" spans="1:59" s="9" customFormat="1">
      <c r="A2085" s="8" t="s">
        <v>1227</v>
      </c>
      <c r="B2085" s="8" t="s">
        <v>1224</v>
      </c>
      <c r="C2085" s="9">
        <v>0</v>
      </c>
      <c r="D2085" s="9">
        <v>0</v>
      </c>
      <c r="E2085" s="9">
        <v>0</v>
      </c>
      <c r="F2085" s="9">
        <v>0</v>
      </c>
      <c r="G2085" s="9">
        <v>0</v>
      </c>
      <c r="H2085" s="9">
        <v>0</v>
      </c>
      <c r="I2085" s="9">
        <v>0</v>
      </c>
      <c r="J2085" s="9">
        <v>0</v>
      </c>
      <c r="K2085" s="9">
        <v>0</v>
      </c>
      <c r="R2085" s="9">
        <v>0</v>
      </c>
      <c r="S2085" s="9">
        <v>2</v>
      </c>
      <c r="T2085" s="9">
        <v>0</v>
      </c>
      <c r="U2085" s="9">
        <v>0</v>
      </c>
      <c r="V2085" s="9">
        <v>1</v>
      </c>
      <c r="W2085" s="9">
        <v>0</v>
      </c>
      <c r="X2085" s="9">
        <v>2</v>
      </c>
      <c r="AE2085" s="9">
        <f>IFERROR(VLOOKUP($A2085,pivot!$A:$G,計算式2026!AE$1,FALSE),0)</f>
        <v>0</v>
      </c>
      <c r="AF2085" s="9">
        <f>IFERROR(VLOOKUP($A2085,pivot!$A:$I,計算式2026!AF$1,FALSE),0)</f>
        <v>0</v>
      </c>
      <c r="AI2085" s="9">
        <f>IFERROR(VLOOKUP($A2085,pivot!$A:$I,計算式2026!AI$1,FALSE),0)</f>
        <v>0</v>
      </c>
      <c r="AJ2085" s="9">
        <f>IFERROR(VLOOKUP($A2085,pivot!$A:$I,計算式2026!AJ$1,FALSE),0)</f>
        <v>0</v>
      </c>
      <c r="AK2085" s="9">
        <f>IFERROR(VLOOKUP($A2085,pivot!$A:$I,計算式2026!AK$1,FALSE),0)</f>
        <v>0</v>
      </c>
      <c r="AL2085" s="9">
        <f>IFERROR(VLOOKUP($A2085,pivot!$A:$I,計算式2026!AL$1,FALSE),0)</f>
        <v>0</v>
      </c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</row>
    <row r="2086" spans="1:59" s="9" customFormat="1">
      <c r="A2086" s="8" t="s">
        <v>1228</v>
      </c>
      <c r="B2086" s="8" t="s">
        <v>1224</v>
      </c>
      <c r="C2086" s="9">
        <v>0</v>
      </c>
      <c r="D2086" s="9">
        <v>0</v>
      </c>
      <c r="E2086" s="9">
        <v>0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1</v>
      </c>
      <c r="AE2086" s="9">
        <f>IFERROR(VLOOKUP($A2086,pivot!$A:$G,計算式2026!AE$1,FALSE),0)</f>
        <v>0</v>
      </c>
      <c r="AF2086" s="9">
        <f>IFERROR(VLOOKUP($A2086,pivot!$A:$I,計算式2026!AF$1,FALSE),0)</f>
        <v>0</v>
      </c>
      <c r="AI2086" s="9">
        <f>IFERROR(VLOOKUP($A2086,pivot!$A:$I,計算式2026!AI$1,FALSE),0)</f>
        <v>0</v>
      </c>
      <c r="AJ2086" s="9">
        <f>IFERROR(VLOOKUP($A2086,pivot!$A:$I,計算式2026!AJ$1,FALSE),0)</f>
        <v>0</v>
      </c>
      <c r="AK2086" s="9">
        <f>IFERROR(VLOOKUP($A2086,pivot!$A:$I,計算式2026!AK$1,FALSE),0)</f>
        <v>0</v>
      </c>
      <c r="AL2086" s="9">
        <f>IFERROR(VLOOKUP($A2086,pivot!$A:$I,計算式2026!AL$1,FALSE),0)</f>
        <v>0</v>
      </c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</row>
    <row r="2087" spans="1:59" s="9" customFormat="1">
      <c r="A2087" s="8" t="s">
        <v>1229</v>
      </c>
      <c r="B2087" s="8" t="s">
        <v>1230</v>
      </c>
      <c r="C2087" s="9">
        <v>1</v>
      </c>
      <c r="D2087" s="9">
        <v>0</v>
      </c>
      <c r="E2087" s="9">
        <v>0</v>
      </c>
      <c r="F2087" s="9">
        <v>0</v>
      </c>
      <c r="G2087" s="9">
        <v>0</v>
      </c>
      <c r="H2087" s="9">
        <v>0</v>
      </c>
      <c r="I2087" s="9">
        <v>0</v>
      </c>
      <c r="J2087" s="9">
        <v>0</v>
      </c>
      <c r="K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AE2087" s="9">
        <f>IFERROR(VLOOKUP($A2087,pivot!$A:$G,計算式2026!AE$1,FALSE),0)</f>
        <v>0</v>
      </c>
      <c r="AF2087" s="9">
        <f>IFERROR(VLOOKUP($A2087,pivot!$A:$I,計算式2026!AF$1,FALSE),0)</f>
        <v>0</v>
      </c>
      <c r="AI2087" s="9">
        <f>IFERROR(VLOOKUP($A2087,pivot!$A:$I,計算式2026!AI$1,FALSE),0)</f>
        <v>0</v>
      </c>
      <c r="AJ2087" s="9">
        <f>IFERROR(VLOOKUP($A2087,pivot!$A:$I,計算式2026!AJ$1,FALSE),0)</f>
        <v>0</v>
      </c>
      <c r="AK2087" s="9">
        <f>IFERROR(VLOOKUP($A2087,pivot!$A:$I,計算式2026!AK$1,FALSE),0)</f>
        <v>0</v>
      </c>
      <c r="AL2087" s="9">
        <f>IFERROR(VLOOKUP($A2087,pivot!$A:$I,計算式2026!AL$1,FALSE),0)</f>
        <v>0</v>
      </c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</row>
    <row r="2088" spans="1:59" s="9" customFormat="1">
      <c r="A2088" s="8" t="s">
        <v>1231</v>
      </c>
      <c r="B2088" s="8" t="s">
        <v>1230</v>
      </c>
      <c r="C2088" s="9">
        <v>2</v>
      </c>
      <c r="D2088" s="9">
        <v>0</v>
      </c>
      <c r="E2088" s="9">
        <v>0</v>
      </c>
      <c r="F2088" s="9">
        <v>0</v>
      </c>
      <c r="G2088" s="9">
        <v>0</v>
      </c>
      <c r="H2088" s="9">
        <v>0</v>
      </c>
      <c r="I2088" s="9">
        <v>0</v>
      </c>
      <c r="J2088" s="9">
        <v>0</v>
      </c>
      <c r="K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AE2088" s="9">
        <f>IFERROR(VLOOKUP($A2088,pivot!$A:$G,計算式2026!AE$1,FALSE),0)</f>
        <v>0</v>
      </c>
      <c r="AF2088" s="9">
        <f>IFERROR(VLOOKUP($A2088,pivot!$A:$I,計算式2026!AF$1,FALSE),0)</f>
        <v>0</v>
      </c>
      <c r="AI2088" s="9">
        <f>IFERROR(VLOOKUP($A2088,pivot!$A:$I,計算式2026!AI$1,FALSE),0)</f>
        <v>0</v>
      </c>
      <c r="AJ2088" s="9">
        <f>IFERROR(VLOOKUP($A2088,pivot!$A:$I,計算式2026!AJ$1,FALSE),0)</f>
        <v>0</v>
      </c>
      <c r="AK2088" s="9">
        <f>IFERROR(VLOOKUP($A2088,pivot!$A:$I,計算式2026!AK$1,FALSE),0)</f>
        <v>0</v>
      </c>
      <c r="AL2088" s="9">
        <f>IFERROR(VLOOKUP($A2088,pivot!$A:$I,計算式2026!AL$1,FALSE),0)</f>
        <v>0</v>
      </c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</row>
    <row r="2089" spans="1:59" s="9" customFormat="1">
      <c r="A2089" s="8" t="s">
        <v>1232</v>
      </c>
      <c r="B2089" s="8" t="s">
        <v>1230</v>
      </c>
      <c r="C2089" s="9">
        <v>3</v>
      </c>
      <c r="D2089" s="9">
        <v>0</v>
      </c>
      <c r="E2089" s="9">
        <v>0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AE2089" s="9">
        <f>IFERROR(VLOOKUP($A2089,pivot!$A:$G,計算式2026!AE$1,FALSE),0)</f>
        <v>0</v>
      </c>
      <c r="AF2089" s="9">
        <f>IFERROR(VLOOKUP($A2089,pivot!$A:$I,計算式2026!AF$1,FALSE),0)</f>
        <v>0</v>
      </c>
      <c r="AI2089" s="9">
        <f>IFERROR(VLOOKUP($A2089,pivot!$A:$I,計算式2026!AI$1,FALSE),0)</f>
        <v>0</v>
      </c>
      <c r="AJ2089" s="9">
        <f>IFERROR(VLOOKUP($A2089,pivot!$A:$I,計算式2026!AJ$1,FALSE),0)</f>
        <v>0</v>
      </c>
      <c r="AK2089" s="9">
        <f>IFERROR(VLOOKUP($A2089,pivot!$A:$I,計算式2026!AK$1,FALSE),0)</f>
        <v>0</v>
      </c>
      <c r="AL2089" s="9">
        <f>IFERROR(VLOOKUP($A2089,pivot!$A:$I,計算式2026!AL$1,FALSE),0)</f>
        <v>0</v>
      </c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</row>
    <row r="2090" spans="1:59" s="9" customFormat="1">
      <c r="A2090" s="8" t="s">
        <v>1233</v>
      </c>
      <c r="B2090" s="8" t="s">
        <v>1230</v>
      </c>
      <c r="C2090" s="9">
        <v>3</v>
      </c>
      <c r="D2090" s="9">
        <v>0</v>
      </c>
      <c r="E2090" s="9">
        <v>0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AE2090" s="9">
        <f>IFERROR(VLOOKUP($A2090,pivot!$A:$G,計算式2026!AE$1,FALSE),0)</f>
        <v>0</v>
      </c>
      <c r="AF2090" s="9">
        <f>IFERROR(VLOOKUP($A2090,pivot!$A:$I,計算式2026!AF$1,FALSE),0)</f>
        <v>0</v>
      </c>
      <c r="AI2090" s="9">
        <f>IFERROR(VLOOKUP($A2090,pivot!$A:$I,計算式2026!AI$1,FALSE),0)</f>
        <v>0</v>
      </c>
      <c r="AJ2090" s="9">
        <f>IFERROR(VLOOKUP($A2090,pivot!$A:$I,計算式2026!AJ$1,FALSE),0)</f>
        <v>0</v>
      </c>
      <c r="AK2090" s="9">
        <f>IFERROR(VLOOKUP($A2090,pivot!$A:$I,計算式2026!AK$1,FALSE),0)</f>
        <v>0</v>
      </c>
      <c r="AL2090" s="9">
        <f>IFERROR(VLOOKUP($A2090,pivot!$A:$I,計算式2026!AL$1,FALSE),0)</f>
        <v>0</v>
      </c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</row>
    <row r="2091" spans="1:59" s="9" customFormat="1">
      <c r="A2091" s="8" t="s">
        <v>1234</v>
      </c>
      <c r="B2091" s="8" t="s">
        <v>1230</v>
      </c>
      <c r="C2091" s="9">
        <v>1</v>
      </c>
      <c r="D2091" s="9">
        <v>0</v>
      </c>
      <c r="E2091" s="9">
        <v>0</v>
      </c>
      <c r="F2091" s="9">
        <v>0</v>
      </c>
      <c r="G2091" s="9">
        <v>0</v>
      </c>
      <c r="H2091" s="9">
        <v>0</v>
      </c>
      <c r="I2091" s="9">
        <v>0</v>
      </c>
      <c r="J2091" s="9">
        <v>0</v>
      </c>
      <c r="K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AE2091" s="9">
        <f>IFERROR(VLOOKUP($A2091,pivot!$A:$G,計算式2026!AE$1,FALSE),0)</f>
        <v>0</v>
      </c>
      <c r="AF2091" s="9">
        <f>IFERROR(VLOOKUP($A2091,pivot!$A:$I,計算式2026!AF$1,FALSE),0)</f>
        <v>0</v>
      </c>
      <c r="AI2091" s="9">
        <f>IFERROR(VLOOKUP($A2091,pivot!$A:$I,計算式2026!AI$1,FALSE),0)</f>
        <v>0</v>
      </c>
      <c r="AJ2091" s="9">
        <f>IFERROR(VLOOKUP($A2091,pivot!$A:$I,計算式2026!AJ$1,FALSE),0)</f>
        <v>0</v>
      </c>
      <c r="AK2091" s="9">
        <f>IFERROR(VLOOKUP($A2091,pivot!$A:$I,計算式2026!AK$1,FALSE),0)</f>
        <v>0</v>
      </c>
      <c r="AL2091" s="9">
        <f>IFERROR(VLOOKUP($A2091,pivot!$A:$I,計算式2026!AL$1,FALSE),0)</f>
        <v>0</v>
      </c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</row>
    <row r="2092" spans="1:59" s="9" customFormat="1">
      <c r="A2092" s="8" t="s">
        <v>1235</v>
      </c>
      <c r="B2092" s="8" t="s">
        <v>1230</v>
      </c>
      <c r="C2092" s="9">
        <v>4</v>
      </c>
      <c r="D2092" s="9">
        <v>0</v>
      </c>
      <c r="E2092" s="9">
        <v>0</v>
      </c>
      <c r="F2092" s="9">
        <v>0</v>
      </c>
      <c r="G2092" s="9">
        <v>0</v>
      </c>
      <c r="H2092" s="9">
        <v>0</v>
      </c>
      <c r="I2092" s="9">
        <v>0</v>
      </c>
      <c r="J2092" s="9">
        <v>0</v>
      </c>
      <c r="K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AE2092" s="9">
        <f>IFERROR(VLOOKUP($A2092,pivot!$A:$G,計算式2026!AE$1,FALSE),0)</f>
        <v>0</v>
      </c>
      <c r="AF2092" s="9">
        <f>IFERROR(VLOOKUP($A2092,pivot!$A:$I,計算式2026!AF$1,FALSE),0)</f>
        <v>0</v>
      </c>
      <c r="AI2092" s="9">
        <f>IFERROR(VLOOKUP($A2092,pivot!$A:$I,計算式2026!AI$1,FALSE),0)</f>
        <v>0</v>
      </c>
      <c r="AJ2092" s="9">
        <f>IFERROR(VLOOKUP($A2092,pivot!$A:$I,計算式2026!AJ$1,FALSE),0)</f>
        <v>0</v>
      </c>
      <c r="AK2092" s="9">
        <f>IFERROR(VLOOKUP($A2092,pivot!$A:$I,計算式2026!AK$1,FALSE),0)</f>
        <v>0</v>
      </c>
      <c r="AL2092" s="9">
        <f>IFERROR(VLOOKUP($A2092,pivot!$A:$I,計算式2026!AL$1,FALSE),0)</f>
        <v>0</v>
      </c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</row>
    <row r="2093" spans="1:59" s="9" customFormat="1">
      <c r="A2093" s="8" t="s">
        <v>1236</v>
      </c>
      <c r="B2093" s="8" t="s">
        <v>1230</v>
      </c>
      <c r="C2093" s="9">
        <v>4</v>
      </c>
      <c r="D2093" s="9">
        <v>0</v>
      </c>
      <c r="E2093" s="9">
        <v>0</v>
      </c>
      <c r="F2093" s="9">
        <v>0</v>
      </c>
      <c r="G2093" s="9">
        <v>0</v>
      </c>
      <c r="H2093" s="9">
        <v>0</v>
      </c>
      <c r="I2093" s="9">
        <v>0</v>
      </c>
      <c r="J2093" s="9">
        <v>0</v>
      </c>
      <c r="K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AE2093" s="9">
        <f>IFERROR(VLOOKUP($A2093,pivot!$A:$G,計算式2026!AE$1,FALSE),0)</f>
        <v>0</v>
      </c>
      <c r="AF2093" s="9">
        <f>IFERROR(VLOOKUP($A2093,pivot!$A:$I,計算式2026!AF$1,FALSE),0)</f>
        <v>0</v>
      </c>
      <c r="AI2093" s="9">
        <f>IFERROR(VLOOKUP($A2093,pivot!$A:$I,計算式2026!AI$1,FALSE),0)</f>
        <v>0</v>
      </c>
      <c r="AJ2093" s="9">
        <f>IFERROR(VLOOKUP($A2093,pivot!$A:$I,計算式2026!AJ$1,FALSE),0)</f>
        <v>0</v>
      </c>
      <c r="AK2093" s="9">
        <f>IFERROR(VLOOKUP($A2093,pivot!$A:$I,計算式2026!AK$1,FALSE),0)</f>
        <v>0</v>
      </c>
      <c r="AL2093" s="9">
        <f>IFERROR(VLOOKUP($A2093,pivot!$A:$I,計算式2026!AL$1,FALSE),0)</f>
        <v>0</v>
      </c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</row>
    <row r="2094" spans="1:59" s="9" customFormat="1">
      <c r="A2094" s="8" t="s">
        <v>1237</v>
      </c>
      <c r="B2094" s="8" t="s">
        <v>1230</v>
      </c>
      <c r="C2094" s="9">
        <v>4</v>
      </c>
      <c r="D2094" s="9">
        <v>0</v>
      </c>
      <c r="E2094" s="9">
        <v>0</v>
      </c>
      <c r="F2094" s="9">
        <v>0</v>
      </c>
      <c r="G2094" s="9">
        <v>0</v>
      </c>
      <c r="H2094" s="9">
        <v>0</v>
      </c>
      <c r="I2094" s="9">
        <v>0</v>
      </c>
      <c r="J2094" s="9">
        <v>0</v>
      </c>
      <c r="K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AE2094" s="9">
        <f>IFERROR(VLOOKUP($A2094,pivot!$A:$G,計算式2026!AE$1,FALSE),0)</f>
        <v>0</v>
      </c>
      <c r="AF2094" s="9">
        <f>IFERROR(VLOOKUP($A2094,pivot!$A:$I,計算式2026!AF$1,FALSE),0)</f>
        <v>0</v>
      </c>
      <c r="AI2094" s="9">
        <f>IFERROR(VLOOKUP($A2094,pivot!$A:$I,計算式2026!AI$1,FALSE),0)</f>
        <v>0</v>
      </c>
      <c r="AJ2094" s="9">
        <f>IFERROR(VLOOKUP($A2094,pivot!$A:$I,計算式2026!AJ$1,FALSE),0)</f>
        <v>0</v>
      </c>
      <c r="AK2094" s="9">
        <f>IFERROR(VLOOKUP($A2094,pivot!$A:$I,計算式2026!AK$1,FALSE),0)</f>
        <v>0</v>
      </c>
      <c r="AL2094" s="9">
        <f>IFERROR(VLOOKUP($A2094,pivot!$A:$I,計算式2026!AL$1,FALSE),0)</f>
        <v>0</v>
      </c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</row>
    <row r="2095" spans="1:59" s="9" customFormat="1">
      <c r="A2095" s="8" t="s">
        <v>1238</v>
      </c>
      <c r="B2095" s="8" t="s">
        <v>1230</v>
      </c>
      <c r="C2095" s="9">
        <v>2</v>
      </c>
      <c r="D2095" s="9">
        <v>0</v>
      </c>
      <c r="E2095" s="9">
        <v>0</v>
      </c>
      <c r="F2095" s="9">
        <v>0</v>
      </c>
      <c r="G2095" s="9">
        <v>0</v>
      </c>
      <c r="H2095" s="9">
        <v>0</v>
      </c>
      <c r="I2095" s="9">
        <v>0</v>
      </c>
      <c r="J2095" s="9">
        <v>0</v>
      </c>
      <c r="K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AE2095" s="9">
        <f>IFERROR(VLOOKUP($A2095,pivot!$A:$G,計算式2026!AE$1,FALSE),0)</f>
        <v>0</v>
      </c>
      <c r="AF2095" s="9">
        <f>IFERROR(VLOOKUP($A2095,pivot!$A:$I,計算式2026!AF$1,FALSE),0)</f>
        <v>0</v>
      </c>
      <c r="AI2095" s="9">
        <f>IFERROR(VLOOKUP($A2095,pivot!$A:$I,計算式2026!AI$1,FALSE),0)</f>
        <v>0</v>
      </c>
      <c r="AJ2095" s="9">
        <f>IFERROR(VLOOKUP($A2095,pivot!$A:$I,計算式2026!AJ$1,FALSE),0)</f>
        <v>0</v>
      </c>
      <c r="AK2095" s="9">
        <f>IFERROR(VLOOKUP($A2095,pivot!$A:$I,計算式2026!AK$1,FALSE),0)</f>
        <v>0</v>
      </c>
      <c r="AL2095" s="9">
        <f>IFERROR(VLOOKUP($A2095,pivot!$A:$I,計算式2026!AL$1,FALSE),0)</f>
        <v>0</v>
      </c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</row>
    <row r="2096" spans="1:59" s="9" customFormat="1">
      <c r="A2096" s="8" t="s">
        <v>1239</v>
      </c>
      <c r="B2096" s="8" t="s">
        <v>1230</v>
      </c>
      <c r="C2096" s="9">
        <v>2</v>
      </c>
      <c r="D2096" s="9">
        <v>0</v>
      </c>
      <c r="E2096" s="9">
        <v>0</v>
      </c>
      <c r="F2096" s="9">
        <v>0</v>
      </c>
      <c r="G2096" s="9">
        <v>0</v>
      </c>
      <c r="H2096" s="9">
        <v>0</v>
      </c>
      <c r="I2096" s="9">
        <v>0</v>
      </c>
      <c r="J2096" s="9">
        <v>0</v>
      </c>
      <c r="K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AE2096" s="9">
        <f>IFERROR(VLOOKUP($A2096,pivot!$A:$G,計算式2026!AE$1,FALSE),0)</f>
        <v>0</v>
      </c>
      <c r="AF2096" s="9">
        <f>IFERROR(VLOOKUP($A2096,pivot!$A:$I,計算式2026!AF$1,FALSE),0)</f>
        <v>0</v>
      </c>
      <c r="AI2096" s="9">
        <f>IFERROR(VLOOKUP($A2096,pivot!$A:$I,計算式2026!AI$1,FALSE),0)</f>
        <v>0</v>
      </c>
      <c r="AJ2096" s="9">
        <f>IFERROR(VLOOKUP($A2096,pivot!$A:$I,計算式2026!AJ$1,FALSE),0)</f>
        <v>0</v>
      </c>
      <c r="AK2096" s="9">
        <f>IFERROR(VLOOKUP($A2096,pivot!$A:$I,計算式2026!AK$1,FALSE),0)</f>
        <v>0</v>
      </c>
      <c r="AL2096" s="9">
        <f>IFERROR(VLOOKUP($A2096,pivot!$A:$I,計算式2026!AL$1,FALSE),0)</f>
        <v>0</v>
      </c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</row>
    <row r="2097" spans="1:59" s="9" customFormat="1">
      <c r="A2097" s="8" t="s">
        <v>1240</v>
      </c>
      <c r="B2097" s="8" t="s">
        <v>1230</v>
      </c>
      <c r="C2097" s="9">
        <v>3</v>
      </c>
      <c r="D2097" s="9">
        <v>0</v>
      </c>
      <c r="E2097" s="9">
        <v>0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AE2097" s="9">
        <f>IFERROR(VLOOKUP($A2097,pivot!$A:$G,計算式2026!AE$1,FALSE),0)</f>
        <v>0</v>
      </c>
      <c r="AF2097" s="9">
        <f>IFERROR(VLOOKUP($A2097,pivot!$A:$I,計算式2026!AF$1,FALSE),0)</f>
        <v>0</v>
      </c>
      <c r="AI2097" s="9">
        <f>IFERROR(VLOOKUP($A2097,pivot!$A:$I,計算式2026!AI$1,FALSE),0)</f>
        <v>0</v>
      </c>
      <c r="AJ2097" s="9">
        <f>IFERROR(VLOOKUP($A2097,pivot!$A:$I,計算式2026!AJ$1,FALSE),0)</f>
        <v>0</v>
      </c>
      <c r="AK2097" s="9">
        <f>IFERROR(VLOOKUP($A2097,pivot!$A:$I,計算式2026!AK$1,FALSE),0)</f>
        <v>0</v>
      </c>
      <c r="AL2097" s="9">
        <f>IFERROR(VLOOKUP($A2097,pivot!$A:$I,計算式2026!AL$1,FALSE),0)</f>
        <v>0</v>
      </c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</row>
    <row r="2098" spans="1:59" s="9" customFormat="1">
      <c r="A2098" s="8" t="s">
        <v>1241</v>
      </c>
      <c r="B2098" s="8" t="s">
        <v>1230</v>
      </c>
      <c r="C2098" s="9">
        <v>1</v>
      </c>
      <c r="D2098" s="9">
        <v>0</v>
      </c>
      <c r="E2098" s="9">
        <v>0</v>
      </c>
      <c r="F2098" s="9">
        <v>0</v>
      </c>
      <c r="G2098" s="9">
        <v>0</v>
      </c>
      <c r="H2098" s="9">
        <v>0</v>
      </c>
      <c r="I2098" s="9">
        <v>0</v>
      </c>
      <c r="J2098" s="9">
        <v>0</v>
      </c>
      <c r="K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AE2098" s="9">
        <f>IFERROR(VLOOKUP($A2098,pivot!$A:$G,計算式2026!AE$1,FALSE),0)</f>
        <v>0</v>
      </c>
      <c r="AF2098" s="9">
        <f>IFERROR(VLOOKUP($A2098,pivot!$A:$I,計算式2026!AF$1,FALSE),0)</f>
        <v>0</v>
      </c>
      <c r="AI2098" s="9">
        <f>IFERROR(VLOOKUP($A2098,pivot!$A:$I,計算式2026!AI$1,FALSE),0)</f>
        <v>0</v>
      </c>
      <c r="AJ2098" s="9">
        <f>IFERROR(VLOOKUP($A2098,pivot!$A:$I,計算式2026!AJ$1,FALSE),0)</f>
        <v>0</v>
      </c>
      <c r="AK2098" s="9">
        <f>IFERROR(VLOOKUP($A2098,pivot!$A:$I,計算式2026!AK$1,FALSE),0)</f>
        <v>0</v>
      </c>
      <c r="AL2098" s="9">
        <f>IFERROR(VLOOKUP($A2098,pivot!$A:$I,計算式2026!AL$1,FALSE),0)</f>
        <v>0</v>
      </c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</row>
    <row r="2099" spans="1:59" s="9" customFormat="1">
      <c r="A2099" s="8" t="s">
        <v>1242</v>
      </c>
      <c r="B2099" s="8" t="s">
        <v>1243</v>
      </c>
      <c r="C2099" s="9">
        <v>2</v>
      </c>
      <c r="D2099" s="9">
        <v>0</v>
      </c>
      <c r="E2099" s="9">
        <v>0</v>
      </c>
      <c r="F2099" s="9">
        <v>0</v>
      </c>
      <c r="G2099" s="9">
        <v>0</v>
      </c>
      <c r="H2099" s="9">
        <v>0</v>
      </c>
      <c r="I2099" s="9">
        <v>0</v>
      </c>
      <c r="J2099" s="9">
        <v>0</v>
      </c>
      <c r="K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AE2099" s="9">
        <f>IFERROR(VLOOKUP($A2099,pivot!$A:$G,計算式2026!AE$1,FALSE),0)</f>
        <v>0</v>
      </c>
      <c r="AF2099" s="9">
        <f>IFERROR(VLOOKUP($A2099,pivot!$A:$I,計算式2026!AF$1,FALSE),0)</f>
        <v>0</v>
      </c>
      <c r="AI2099" s="9">
        <f>IFERROR(VLOOKUP($A2099,pivot!$A:$I,計算式2026!AI$1,FALSE),0)</f>
        <v>0</v>
      </c>
      <c r="AJ2099" s="9">
        <f>IFERROR(VLOOKUP($A2099,pivot!$A:$I,計算式2026!AJ$1,FALSE),0)</f>
        <v>0</v>
      </c>
      <c r="AK2099" s="9">
        <f>IFERROR(VLOOKUP($A2099,pivot!$A:$I,計算式2026!AK$1,FALSE),0)</f>
        <v>0</v>
      </c>
      <c r="AL2099" s="9">
        <f>IFERROR(VLOOKUP($A2099,pivot!$A:$I,計算式2026!AL$1,FALSE),0)</f>
        <v>0</v>
      </c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</row>
    <row r="2100" spans="1:59" s="9" customFormat="1">
      <c r="A2100" s="8" t="s">
        <v>1244</v>
      </c>
      <c r="B2100" s="8" t="s">
        <v>1243</v>
      </c>
      <c r="C2100" s="9">
        <v>1</v>
      </c>
      <c r="D2100" s="9">
        <v>0</v>
      </c>
      <c r="E2100" s="9">
        <v>0</v>
      </c>
      <c r="F2100" s="9">
        <v>0</v>
      </c>
      <c r="G2100" s="9">
        <v>0</v>
      </c>
      <c r="H2100" s="9">
        <v>0</v>
      </c>
      <c r="I2100" s="9">
        <v>0</v>
      </c>
      <c r="J2100" s="9">
        <v>0</v>
      </c>
      <c r="K2100" s="9">
        <v>0</v>
      </c>
      <c r="R2100" s="9">
        <v>0</v>
      </c>
      <c r="S2100" s="9">
        <v>0</v>
      </c>
      <c r="T2100" s="9">
        <v>1</v>
      </c>
      <c r="U2100" s="9">
        <v>0</v>
      </c>
      <c r="V2100" s="9">
        <v>0</v>
      </c>
      <c r="W2100" s="9">
        <v>0</v>
      </c>
      <c r="X2100" s="9">
        <v>0</v>
      </c>
      <c r="AE2100" s="9">
        <f>IFERROR(VLOOKUP($A2100,pivot!$A:$G,計算式2026!AE$1,FALSE),0)</f>
        <v>0</v>
      </c>
      <c r="AF2100" s="9">
        <f>IFERROR(VLOOKUP($A2100,pivot!$A:$I,計算式2026!AF$1,FALSE),0)</f>
        <v>0</v>
      </c>
      <c r="AI2100" s="9">
        <f>IFERROR(VLOOKUP($A2100,pivot!$A:$I,計算式2026!AI$1,FALSE),0)</f>
        <v>0</v>
      </c>
      <c r="AJ2100" s="9">
        <f>IFERROR(VLOOKUP($A2100,pivot!$A:$I,計算式2026!AJ$1,FALSE),0)</f>
        <v>0</v>
      </c>
      <c r="AK2100" s="9">
        <f>IFERROR(VLOOKUP($A2100,pivot!$A:$I,計算式2026!AK$1,FALSE),0)</f>
        <v>0</v>
      </c>
      <c r="AL2100" s="9">
        <f>IFERROR(VLOOKUP($A2100,pivot!$A:$I,計算式2026!AL$1,FALSE),0)</f>
        <v>0</v>
      </c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</row>
    <row r="2101" spans="1:59" s="9" customFormat="1">
      <c r="A2101" s="8" t="s">
        <v>1245</v>
      </c>
      <c r="B2101" s="8" t="s">
        <v>1243</v>
      </c>
      <c r="C2101" s="9">
        <v>4</v>
      </c>
      <c r="D2101" s="9">
        <v>0</v>
      </c>
      <c r="E2101" s="9">
        <v>0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AE2101" s="9">
        <f>IFERROR(VLOOKUP($A2101,pivot!$A:$G,計算式2026!AE$1,FALSE),0)</f>
        <v>0</v>
      </c>
      <c r="AF2101" s="9">
        <f>IFERROR(VLOOKUP($A2101,pivot!$A:$I,計算式2026!AF$1,FALSE),0)</f>
        <v>0</v>
      </c>
      <c r="AI2101" s="9">
        <f>IFERROR(VLOOKUP($A2101,pivot!$A:$I,計算式2026!AI$1,FALSE),0)</f>
        <v>0</v>
      </c>
      <c r="AJ2101" s="9">
        <f>IFERROR(VLOOKUP($A2101,pivot!$A:$I,計算式2026!AJ$1,FALSE),0)</f>
        <v>0</v>
      </c>
      <c r="AK2101" s="9">
        <f>IFERROR(VLOOKUP($A2101,pivot!$A:$I,計算式2026!AK$1,FALSE),0)</f>
        <v>0</v>
      </c>
      <c r="AL2101" s="9">
        <f>IFERROR(VLOOKUP($A2101,pivot!$A:$I,計算式2026!AL$1,FALSE),0)</f>
        <v>0</v>
      </c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</row>
    <row r="2102" spans="1:59" s="9" customFormat="1">
      <c r="A2102" s="8" t="s">
        <v>1246</v>
      </c>
      <c r="B2102" s="8" t="s">
        <v>1243</v>
      </c>
      <c r="C2102" s="9">
        <v>2</v>
      </c>
      <c r="D2102" s="9">
        <v>0</v>
      </c>
      <c r="E2102" s="9">
        <v>0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AE2102" s="9">
        <f>IFERROR(VLOOKUP($A2102,pivot!$A:$G,計算式2026!AE$1,FALSE),0)</f>
        <v>0</v>
      </c>
      <c r="AF2102" s="9">
        <f>IFERROR(VLOOKUP($A2102,pivot!$A:$I,計算式2026!AF$1,FALSE),0)</f>
        <v>0</v>
      </c>
      <c r="AI2102" s="9">
        <f>IFERROR(VLOOKUP($A2102,pivot!$A:$I,計算式2026!AI$1,FALSE),0)</f>
        <v>0</v>
      </c>
      <c r="AJ2102" s="9">
        <f>IFERROR(VLOOKUP($A2102,pivot!$A:$I,計算式2026!AJ$1,FALSE),0)</f>
        <v>0</v>
      </c>
      <c r="AK2102" s="9">
        <f>IFERROR(VLOOKUP($A2102,pivot!$A:$I,計算式2026!AK$1,FALSE),0)</f>
        <v>0</v>
      </c>
      <c r="AL2102" s="9">
        <f>IFERROR(VLOOKUP($A2102,pivot!$A:$I,計算式2026!AL$1,FALSE),0)</f>
        <v>0</v>
      </c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</row>
    <row r="2103" spans="1:59" s="9" customFormat="1">
      <c r="A2103" s="8" t="s">
        <v>1247</v>
      </c>
      <c r="B2103" s="8" t="s">
        <v>1243</v>
      </c>
      <c r="C2103" s="9">
        <v>3</v>
      </c>
      <c r="D2103" s="9">
        <v>0</v>
      </c>
      <c r="E2103" s="9">
        <v>0</v>
      </c>
      <c r="F2103" s="9">
        <v>0</v>
      </c>
      <c r="G2103" s="9">
        <v>0</v>
      </c>
      <c r="H2103" s="9">
        <v>0</v>
      </c>
      <c r="I2103" s="9">
        <v>0</v>
      </c>
      <c r="J2103" s="9">
        <v>0</v>
      </c>
      <c r="K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AE2103" s="9">
        <f>IFERROR(VLOOKUP($A2103,pivot!$A:$G,計算式2026!AE$1,FALSE),0)</f>
        <v>0</v>
      </c>
      <c r="AF2103" s="9">
        <f>IFERROR(VLOOKUP($A2103,pivot!$A:$I,計算式2026!AF$1,FALSE),0)</f>
        <v>0</v>
      </c>
      <c r="AI2103" s="9">
        <f>IFERROR(VLOOKUP($A2103,pivot!$A:$I,計算式2026!AI$1,FALSE),0)</f>
        <v>0</v>
      </c>
      <c r="AJ2103" s="9">
        <f>IFERROR(VLOOKUP($A2103,pivot!$A:$I,計算式2026!AJ$1,FALSE),0)</f>
        <v>0</v>
      </c>
      <c r="AK2103" s="9">
        <f>IFERROR(VLOOKUP($A2103,pivot!$A:$I,計算式2026!AK$1,FALSE),0)</f>
        <v>0</v>
      </c>
      <c r="AL2103" s="9">
        <f>IFERROR(VLOOKUP($A2103,pivot!$A:$I,計算式2026!AL$1,FALSE),0)</f>
        <v>0</v>
      </c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</row>
    <row r="2104" spans="1:59" s="9" customFormat="1">
      <c r="A2104" s="8" t="s">
        <v>1248</v>
      </c>
      <c r="B2104" s="8" t="s">
        <v>1243</v>
      </c>
      <c r="C2104" s="9">
        <v>1</v>
      </c>
      <c r="D2104" s="9">
        <v>0</v>
      </c>
      <c r="E2104" s="9">
        <v>0</v>
      </c>
      <c r="F2104" s="9">
        <v>0</v>
      </c>
      <c r="G2104" s="9">
        <v>0</v>
      </c>
      <c r="H2104" s="9">
        <v>0</v>
      </c>
      <c r="I2104" s="9">
        <v>0</v>
      </c>
      <c r="J2104" s="9">
        <v>0</v>
      </c>
      <c r="K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AE2104" s="9">
        <f>IFERROR(VLOOKUP($A2104,pivot!$A:$G,計算式2026!AE$1,FALSE),0)</f>
        <v>0</v>
      </c>
      <c r="AF2104" s="9">
        <f>IFERROR(VLOOKUP($A2104,pivot!$A:$I,計算式2026!AF$1,FALSE),0)</f>
        <v>0</v>
      </c>
      <c r="AI2104" s="9">
        <f>IFERROR(VLOOKUP($A2104,pivot!$A:$I,計算式2026!AI$1,FALSE),0)</f>
        <v>0</v>
      </c>
      <c r="AJ2104" s="9">
        <f>IFERROR(VLOOKUP($A2104,pivot!$A:$I,計算式2026!AJ$1,FALSE),0)</f>
        <v>0</v>
      </c>
      <c r="AK2104" s="9">
        <f>IFERROR(VLOOKUP($A2104,pivot!$A:$I,計算式2026!AK$1,FALSE),0)</f>
        <v>0</v>
      </c>
      <c r="AL2104" s="9">
        <f>IFERROR(VLOOKUP($A2104,pivot!$A:$I,計算式2026!AL$1,FALSE),0)</f>
        <v>0</v>
      </c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</row>
    <row r="2105" spans="1:59" s="9" customFormat="1">
      <c r="A2105" s="8" t="s">
        <v>1249</v>
      </c>
      <c r="B2105" s="8" t="s">
        <v>1243</v>
      </c>
      <c r="C2105" s="9">
        <v>1</v>
      </c>
      <c r="D2105" s="9">
        <v>0</v>
      </c>
      <c r="E2105" s="9">
        <v>0</v>
      </c>
      <c r="F2105" s="9">
        <v>0</v>
      </c>
      <c r="G2105" s="9">
        <v>0</v>
      </c>
      <c r="H2105" s="9">
        <v>0</v>
      </c>
      <c r="I2105" s="9">
        <v>0</v>
      </c>
      <c r="J2105" s="9">
        <v>0</v>
      </c>
      <c r="K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AE2105" s="9">
        <f>IFERROR(VLOOKUP($A2105,pivot!$A:$G,計算式2026!AE$1,FALSE),0)</f>
        <v>0</v>
      </c>
      <c r="AF2105" s="9">
        <f>IFERROR(VLOOKUP($A2105,pivot!$A:$I,計算式2026!AF$1,FALSE),0)</f>
        <v>0</v>
      </c>
      <c r="AI2105" s="9">
        <f>IFERROR(VLOOKUP($A2105,pivot!$A:$I,計算式2026!AI$1,FALSE),0)</f>
        <v>0</v>
      </c>
      <c r="AJ2105" s="9">
        <f>IFERROR(VLOOKUP($A2105,pivot!$A:$I,計算式2026!AJ$1,FALSE),0)</f>
        <v>0</v>
      </c>
      <c r="AK2105" s="9">
        <f>IFERROR(VLOOKUP($A2105,pivot!$A:$I,計算式2026!AK$1,FALSE),0)</f>
        <v>0</v>
      </c>
      <c r="AL2105" s="9">
        <f>IFERROR(VLOOKUP($A2105,pivot!$A:$I,計算式2026!AL$1,FALSE),0)</f>
        <v>0</v>
      </c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</row>
    <row r="2106" spans="1:59" s="9" customFormat="1">
      <c r="A2106" s="8" t="s">
        <v>1776</v>
      </c>
      <c r="B2106" s="8" t="s">
        <v>1250</v>
      </c>
      <c r="C2106" s="9">
        <v>0</v>
      </c>
      <c r="D2106" s="9">
        <v>0</v>
      </c>
      <c r="E2106" s="9">
        <v>0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9">
        <v>0</v>
      </c>
      <c r="R2106" s="9">
        <v>0</v>
      </c>
      <c r="S2106" s="9">
        <v>1</v>
      </c>
      <c r="T2106" s="9">
        <v>0</v>
      </c>
      <c r="U2106" s="9">
        <v>0</v>
      </c>
      <c r="V2106" s="9">
        <v>0</v>
      </c>
      <c r="W2106" s="9">
        <v>0</v>
      </c>
      <c r="X2106" s="9">
        <v>1</v>
      </c>
      <c r="AE2106" s="9">
        <f>IFERROR(VLOOKUP($A2106,pivot!$A:$G,計算式2026!AE$1,FALSE),0)</f>
        <v>0</v>
      </c>
      <c r="AF2106" s="9">
        <f>IFERROR(VLOOKUP($A2106,pivot!$A:$I,計算式2026!AF$1,FALSE),0)</f>
        <v>0</v>
      </c>
      <c r="AI2106" s="9">
        <f>IFERROR(VLOOKUP($A2106,pivot!$A:$I,計算式2026!AI$1,FALSE),0)</f>
        <v>0</v>
      </c>
      <c r="AJ2106" s="9">
        <f>IFERROR(VLOOKUP($A2106,pivot!$A:$I,計算式2026!AJ$1,FALSE),0)</f>
        <v>0</v>
      </c>
      <c r="AK2106" s="9">
        <f>IFERROR(VLOOKUP($A2106,pivot!$A:$I,計算式2026!AK$1,FALSE),0)</f>
        <v>0</v>
      </c>
      <c r="AL2106" s="9">
        <f>IFERROR(VLOOKUP($A2106,pivot!$A:$I,計算式2026!AL$1,FALSE),0)</f>
        <v>0</v>
      </c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</row>
    <row r="2107" spans="1:59" s="9" customFormat="1">
      <c r="A2107" s="8" t="s">
        <v>1251</v>
      </c>
      <c r="B2107" s="8" t="s">
        <v>1250</v>
      </c>
      <c r="C2107" s="9">
        <v>0</v>
      </c>
      <c r="D2107" s="9">
        <v>0</v>
      </c>
      <c r="E2107" s="9">
        <v>0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1</v>
      </c>
      <c r="AE2107" s="9">
        <f>IFERROR(VLOOKUP($A2107,pivot!$A:$G,計算式2026!AE$1,FALSE),0)</f>
        <v>0</v>
      </c>
      <c r="AF2107" s="9">
        <f>IFERROR(VLOOKUP($A2107,pivot!$A:$I,計算式2026!AF$1,FALSE),0)</f>
        <v>0</v>
      </c>
      <c r="AI2107" s="9">
        <f>IFERROR(VLOOKUP($A2107,pivot!$A:$I,計算式2026!AI$1,FALSE),0)</f>
        <v>0</v>
      </c>
      <c r="AJ2107" s="9">
        <f>IFERROR(VLOOKUP($A2107,pivot!$A:$I,計算式2026!AJ$1,FALSE),0)</f>
        <v>0</v>
      </c>
      <c r="AK2107" s="9">
        <f>IFERROR(VLOOKUP($A2107,pivot!$A:$I,計算式2026!AK$1,FALSE),0)</f>
        <v>0</v>
      </c>
      <c r="AL2107" s="9">
        <f>IFERROR(VLOOKUP($A2107,pivot!$A:$I,計算式2026!AL$1,FALSE),0)</f>
        <v>0</v>
      </c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</row>
    <row r="2108" spans="1:59" s="9" customFormat="1">
      <c r="A2108" s="8" t="s">
        <v>1252</v>
      </c>
      <c r="B2108" s="8" t="s">
        <v>1250</v>
      </c>
      <c r="C2108" s="9">
        <v>0</v>
      </c>
      <c r="D2108" s="9">
        <v>0</v>
      </c>
      <c r="E2108" s="9">
        <v>0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1</v>
      </c>
      <c r="W2108" s="9">
        <v>0</v>
      </c>
      <c r="X2108" s="9">
        <v>1</v>
      </c>
      <c r="AE2108" s="9">
        <f>IFERROR(VLOOKUP($A2108,pivot!$A:$G,計算式2026!AE$1,FALSE),0)</f>
        <v>0</v>
      </c>
      <c r="AF2108" s="9">
        <f>IFERROR(VLOOKUP($A2108,pivot!$A:$I,計算式2026!AF$1,FALSE),0)</f>
        <v>0</v>
      </c>
      <c r="AI2108" s="9">
        <f>IFERROR(VLOOKUP($A2108,pivot!$A:$I,計算式2026!AI$1,FALSE),0)</f>
        <v>0</v>
      </c>
      <c r="AJ2108" s="9">
        <f>IFERROR(VLOOKUP($A2108,pivot!$A:$I,計算式2026!AJ$1,FALSE),0)</f>
        <v>0</v>
      </c>
      <c r="AK2108" s="9">
        <f>IFERROR(VLOOKUP($A2108,pivot!$A:$I,計算式2026!AK$1,FALSE),0)</f>
        <v>0</v>
      </c>
      <c r="AL2108" s="9">
        <f>IFERROR(VLOOKUP($A2108,pivot!$A:$I,計算式2026!AL$1,FALSE),0)</f>
        <v>0</v>
      </c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</row>
    <row r="2109" spans="1:59" s="9" customFormat="1">
      <c r="A2109" s="8" t="s">
        <v>1253</v>
      </c>
      <c r="B2109" s="8" t="s">
        <v>1250</v>
      </c>
      <c r="C2109" s="9">
        <v>0</v>
      </c>
      <c r="D2109" s="9">
        <v>0</v>
      </c>
      <c r="E2109" s="9">
        <v>0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R2109" s="9">
        <v>0</v>
      </c>
      <c r="S2109" s="9">
        <v>1</v>
      </c>
      <c r="T2109" s="9">
        <v>0</v>
      </c>
      <c r="U2109" s="9">
        <v>0</v>
      </c>
      <c r="V2109" s="9">
        <v>0</v>
      </c>
      <c r="W2109" s="9">
        <v>0</v>
      </c>
      <c r="X2109" s="9">
        <v>1</v>
      </c>
      <c r="AE2109" s="9">
        <f>IFERROR(VLOOKUP($A2109,pivot!$A:$G,計算式2026!AE$1,FALSE),0)</f>
        <v>0</v>
      </c>
      <c r="AF2109" s="9">
        <f>IFERROR(VLOOKUP($A2109,pivot!$A:$I,計算式2026!AF$1,FALSE),0)</f>
        <v>0</v>
      </c>
      <c r="AI2109" s="9">
        <f>IFERROR(VLOOKUP($A2109,pivot!$A:$I,計算式2026!AI$1,FALSE),0)</f>
        <v>0</v>
      </c>
      <c r="AJ2109" s="9">
        <f>IFERROR(VLOOKUP($A2109,pivot!$A:$I,計算式2026!AJ$1,FALSE),0)</f>
        <v>0</v>
      </c>
      <c r="AK2109" s="9">
        <f>IFERROR(VLOOKUP($A2109,pivot!$A:$I,計算式2026!AK$1,FALSE),0)</f>
        <v>0</v>
      </c>
      <c r="AL2109" s="9">
        <f>IFERROR(VLOOKUP($A2109,pivot!$A:$I,計算式2026!AL$1,FALSE),0)</f>
        <v>0</v>
      </c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</row>
    <row r="2110" spans="1:59" s="9" customFormat="1">
      <c r="A2110" s="8" t="s">
        <v>1254</v>
      </c>
      <c r="B2110" s="8" t="s">
        <v>1250</v>
      </c>
      <c r="C2110" s="9">
        <v>0</v>
      </c>
      <c r="D2110" s="9">
        <v>0</v>
      </c>
      <c r="E2110" s="9">
        <v>0</v>
      </c>
      <c r="F2110" s="9">
        <v>0</v>
      </c>
      <c r="G2110" s="9">
        <v>0</v>
      </c>
      <c r="H2110" s="9">
        <v>0</v>
      </c>
      <c r="I2110" s="9">
        <v>0</v>
      </c>
      <c r="J2110" s="9">
        <v>0</v>
      </c>
      <c r="K2110" s="9">
        <v>0</v>
      </c>
      <c r="R2110" s="9">
        <v>0</v>
      </c>
      <c r="S2110" s="9">
        <v>0</v>
      </c>
      <c r="T2110" s="9">
        <v>1</v>
      </c>
      <c r="U2110" s="9">
        <v>0</v>
      </c>
      <c r="V2110" s="9">
        <v>0</v>
      </c>
      <c r="W2110" s="9">
        <v>0</v>
      </c>
      <c r="X2110" s="9">
        <v>1</v>
      </c>
      <c r="AE2110" s="9">
        <f>IFERROR(VLOOKUP($A2110,pivot!$A:$G,計算式2026!AE$1,FALSE),0)</f>
        <v>0</v>
      </c>
      <c r="AF2110" s="9">
        <f>IFERROR(VLOOKUP($A2110,pivot!$A:$I,計算式2026!AF$1,FALSE),0)</f>
        <v>0</v>
      </c>
      <c r="AI2110" s="9">
        <f>IFERROR(VLOOKUP($A2110,pivot!$A:$I,計算式2026!AI$1,FALSE),0)</f>
        <v>0</v>
      </c>
      <c r="AJ2110" s="9">
        <f>IFERROR(VLOOKUP($A2110,pivot!$A:$I,計算式2026!AJ$1,FALSE),0)</f>
        <v>0</v>
      </c>
      <c r="AK2110" s="9">
        <f>IFERROR(VLOOKUP($A2110,pivot!$A:$I,計算式2026!AK$1,FALSE),0)</f>
        <v>0</v>
      </c>
      <c r="AL2110" s="9">
        <f>IFERROR(VLOOKUP($A2110,pivot!$A:$I,計算式2026!AL$1,FALSE),0)</f>
        <v>0</v>
      </c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</row>
    <row r="2111" spans="1:59" s="9" customFormat="1">
      <c r="A2111" s="8" t="s">
        <v>1255</v>
      </c>
      <c r="B2111" s="8" t="s">
        <v>1250</v>
      </c>
      <c r="C2111" s="9">
        <v>0</v>
      </c>
      <c r="D2111" s="9">
        <v>0</v>
      </c>
      <c r="E2111" s="9">
        <v>0</v>
      </c>
      <c r="F2111" s="9">
        <v>0</v>
      </c>
      <c r="G2111" s="9">
        <v>0</v>
      </c>
      <c r="H2111" s="9">
        <v>0</v>
      </c>
      <c r="I2111" s="9">
        <v>0</v>
      </c>
      <c r="J2111" s="9">
        <v>0</v>
      </c>
      <c r="K2111" s="9">
        <v>0</v>
      </c>
      <c r="R2111" s="9">
        <v>0</v>
      </c>
      <c r="S2111" s="9">
        <v>0</v>
      </c>
      <c r="T2111" s="9">
        <v>1</v>
      </c>
      <c r="U2111" s="9">
        <v>0</v>
      </c>
      <c r="V2111" s="9">
        <v>0</v>
      </c>
      <c r="W2111" s="9">
        <v>0</v>
      </c>
      <c r="X2111" s="9">
        <v>1</v>
      </c>
      <c r="AE2111" s="9">
        <f>IFERROR(VLOOKUP($A2111,pivot!$A:$G,計算式2026!AE$1,FALSE),0)</f>
        <v>0</v>
      </c>
      <c r="AF2111" s="9">
        <f>IFERROR(VLOOKUP($A2111,pivot!$A:$I,計算式2026!AF$1,FALSE),0)</f>
        <v>0</v>
      </c>
      <c r="AI2111" s="9">
        <f>IFERROR(VLOOKUP($A2111,pivot!$A:$I,計算式2026!AI$1,FALSE),0)</f>
        <v>0</v>
      </c>
      <c r="AJ2111" s="9">
        <f>IFERROR(VLOOKUP($A2111,pivot!$A:$I,計算式2026!AJ$1,FALSE),0)</f>
        <v>0</v>
      </c>
      <c r="AK2111" s="9">
        <f>IFERROR(VLOOKUP($A2111,pivot!$A:$I,計算式2026!AK$1,FALSE),0)</f>
        <v>0</v>
      </c>
      <c r="AL2111" s="9">
        <f>IFERROR(VLOOKUP($A2111,pivot!$A:$I,計算式2026!AL$1,FALSE),0)</f>
        <v>0</v>
      </c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</row>
    <row r="2112" spans="1:59" s="9" customFormat="1">
      <c r="A2112" s="8" t="s">
        <v>1256</v>
      </c>
      <c r="B2112" s="8" t="s">
        <v>1250</v>
      </c>
      <c r="C2112" s="9">
        <v>0</v>
      </c>
      <c r="D2112" s="9">
        <v>0</v>
      </c>
      <c r="E2112" s="9">
        <v>0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1</v>
      </c>
      <c r="AE2112" s="9">
        <f>IFERROR(VLOOKUP($A2112,pivot!$A:$G,計算式2026!AE$1,FALSE),0)</f>
        <v>0</v>
      </c>
      <c r="AF2112" s="9">
        <f>IFERROR(VLOOKUP($A2112,pivot!$A:$I,計算式2026!AF$1,FALSE),0)</f>
        <v>0</v>
      </c>
      <c r="AI2112" s="9">
        <f>IFERROR(VLOOKUP($A2112,pivot!$A:$I,計算式2026!AI$1,FALSE),0)</f>
        <v>0</v>
      </c>
      <c r="AJ2112" s="9">
        <f>IFERROR(VLOOKUP($A2112,pivot!$A:$I,計算式2026!AJ$1,FALSE),0)</f>
        <v>0</v>
      </c>
      <c r="AK2112" s="9">
        <f>IFERROR(VLOOKUP($A2112,pivot!$A:$I,計算式2026!AK$1,FALSE),0)</f>
        <v>0</v>
      </c>
      <c r="AL2112" s="9">
        <f>IFERROR(VLOOKUP($A2112,pivot!$A:$I,計算式2026!AL$1,FALSE),0)</f>
        <v>0</v>
      </c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</row>
    <row r="2113" spans="1:59" s="9" customFormat="1">
      <c r="A2113" s="8" t="s">
        <v>1257</v>
      </c>
      <c r="B2113" s="8" t="s">
        <v>1250</v>
      </c>
      <c r="C2113" s="9">
        <v>0</v>
      </c>
      <c r="D2113" s="9">
        <v>0</v>
      </c>
      <c r="E2113" s="9">
        <v>0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1</v>
      </c>
      <c r="AE2113" s="9">
        <f>IFERROR(VLOOKUP($A2113,pivot!$A:$G,計算式2026!AE$1,FALSE),0)</f>
        <v>0</v>
      </c>
      <c r="AF2113" s="9">
        <f>IFERROR(VLOOKUP($A2113,pivot!$A:$I,計算式2026!AF$1,FALSE),0)</f>
        <v>0</v>
      </c>
      <c r="AI2113" s="9">
        <f>IFERROR(VLOOKUP($A2113,pivot!$A:$I,計算式2026!AI$1,FALSE),0)</f>
        <v>0</v>
      </c>
      <c r="AJ2113" s="9">
        <f>IFERROR(VLOOKUP($A2113,pivot!$A:$I,計算式2026!AJ$1,FALSE),0)</f>
        <v>0</v>
      </c>
      <c r="AK2113" s="9">
        <f>IFERROR(VLOOKUP($A2113,pivot!$A:$I,計算式2026!AK$1,FALSE),0)</f>
        <v>0</v>
      </c>
      <c r="AL2113" s="9">
        <f>IFERROR(VLOOKUP($A2113,pivot!$A:$I,計算式2026!AL$1,FALSE),0)</f>
        <v>0</v>
      </c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</row>
    <row r="2114" spans="1:59" s="9" customFormat="1">
      <c r="A2114" s="8" t="s">
        <v>1258</v>
      </c>
      <c r="B2114" s="8" t="s">
        <v>1259</v>
      </c>
      <c r="C2114" s="9">
        <v>0</v>
      </c>
      <c r="D2114" s="9">
        <v>0</v>
      </c>
      <c r="E2114" s="9">
        <v>0</v>
      </c>
      <c r="F2114" s="9">
        <v>0</v>
      </c>
      <c r="G2114" s="9">
        <v>0</v>
      </c>
      <c r="H2114" s="9">
        <v>0</v>
      </c>
      <c r="I2114" s="9">
        <v>0</v>
      </c>
      <c r="J2114" s="9">
        <v>0</v>
      </c>
      <c r="K2114" s="9">
        <v>0</v>
      </c>
      <c r="R2114" s="9">
        <v>0</v>
      </c>
      <c r="S2114" s="9">
        <v>0</v>
      </c>
      <c r="T2114" s="9">
        <v>1</v>
      </c>
      <c r="U2114" s="9">
        <v>0</v>
      </c>
      <c r="V2114" s="9">
        <v>0</v>
      </c>
      <c r="W2114" s="9">
        <v>0</v>
      </c>
      <c r="X2114" s="9">
        <v>0</v>
      </c>
      <c r="AE2114" s="9">
        <f>IFERROR(VLOOKUP($A2114,pivot!$A:$G,計算式2026!AE$1,FALSE),0)</f>
        <v>0</v>
      </c>
      <c r="AF2114" s="9">
        <f>IFERROR(VLOOKUP($A2114,pivot!$A:$I,計算式2026!AF$1,FALSE),0)</f>
        <v>0</v>
      </c>
      <c r="AI2114" s="9">
        <f>IFERROR(VLOOKUP($A2114,pivot!$A:$I,計算式2026!AI$1,FALSE),0)</f>
        <v>0</v>
      </c>
      <c r="AJ2114" s="9">
        <f>IFERROR(VLOOKUP($A2114,pivot!$A:$I,計算式2026!AJ$1,FALSE),0)</f>
        <v>0</v>
      </c>
      <c r="AK2114" s="9">
        <f>IFERROR(VLOOKUP($A2114,pivot!$A:$I,計算式2026!AK$1,FALSE),0)</f>
        <v>0</v>
      </c>
      <c r="AL2114" s="9">
        <f>IFERROR(VLOOKUP($A2114,pivot!$A:$I,計算式2026!AL$1,FALSE),0)</f>
        <v>0</v>
      </c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</row>
    <row r="2115" spans="1:59" s="9" customFormat="1">
      <c r="A2115" s="8" t="s">
        <v>1260</v>
      </c>
      <c r="B2115" s="8" t="s">
        <v>1259</v>
      </c>
      <c r="C2115" s="9">
        <v>0</v>
      </c>
      <c r="D2115" s="9">
        <v>0</v>
      </c>
      <c r="E2115" s="9">
        <v>0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  <c r="K2115" s="9">
        <v>0</v>
      </c>
      <c r="R2115" s="9">
        <v>0</v>
      </c>
      <c r="S2115" s="9">
        <v>0</v>
      </c>
      <c r="T2115" s="9">
        <v>1</v>
      </c>
      <c r="U2115" s="9">
        <v>0</v>
      </c>
      <c r="V2115" s="9">
        <v>0</v>
      </c>
      <c r="W2115" s="9">
        <v>0</v>
      </c>
      <c r="X2115" s="9">
        <v>0</v>
      </c>
      <c r="AE2115" s="9">
        <f>IFERROR(VLOOKUP($A2115,pivot!$A:$G,計算式2026!AE$1,FALSE),0)</f>
        <v>0</v>
      </c>
      <c r="AF2115" s="9">
        <f>IFERROR(VLOOKUP($A2115,pivot!$A:$I,計算式2026!AF$1,FALSE),0)</f>
        <v>0</v>
      </c>
      <c r="AI2115" s="9">
        <f>IFERROR(VLOOKUP($A2115,pivot!$A:$I,計算式2026!AI$1,FALSE),0)</f>
        <v>0</v>
      </c>
      <c r="AJ2115" s="9">
        <f>IFERROR(VLOOKUP($A2115,pivot!$A:$I,計算式2026!AJ$1,FALSE),0)</f>
        <v>0</v>
      </c>
      <c r="AK2115" s="9">
        <f>IFERROR(VLOOKUP($A2115,pivot!$A:$I,計算式2026!AK$1,FALSE),0)</f>
        <v>0</v>
      </c>
      <c r="AL2115" s="9">
        <f>IFERROR(VLOOKUP($A2115,pivot!$A:$I,計算式2026!AL$1,FALSE),0)</f>
        <v>0</v>
      </c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</row>
    <row r="2116" spans="1:59" s="9" customFormat="1">
      <c r="A2116" s="8" t="s">
        <v>1261</v>
      </c>
      <c r="B2116" s="8" t="s">
        <v>1259</v>
      </c>
      <c r="C2116" s="9">
        <v>0</v>
      </c>
      <c r="D2116" s="9">
        <v>0</v>
      </c>
      <c r="E2116" s="9">
        <v>0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  <c r="K2116" s="9">
        <v>0</v>
      </c>
      <c r="R2116" s="9">
        <v>0</v>
      </c>
      <c r="S2116" s="9">
        <v>0</v>
      </c>
      <c r="T2116" s="9">
        <v>1</v>
      </c>
      <c r="U2116" s="9">
        <v>0</v>
      </c>
      <c r="V2116" s="9">
        <v>0</v>
      </c>
      <c r="W2116" s="9">
        <v>0</v>
      </c>
      <c r="X2116" s="9">
        <v>0</v>
      </c>
      <c r="AE2116" s="9">
        <f>IFERROR(VLOOKUP($A2116,pivot!$A:$G,計算式2026!AE$1,FALSE),0)</f>
        <v>0</v>
      </c>
      <c r="AF2116" s="9">
        <f>IFERROR(VLOOKUP($A2116,pivot!$A:$I,計算式2026!AF$1,FALSE),0)</f>
        <v>0</v>
      </c>
      <c r="AI2116" s="9">
        <f>IFERROR(VLOOKUP($A2116,pivot!$A:$I,計算式2026!AI$1,FALSE),0)</f>
        <v>0</v>
      </c>
      <c r="AJ2116" s="9">
        <f>IFERROR(VLOOKUP($A2116,pivot!$A:$I,計算式2026!AJ$1,FALSE),0)</f>
        <v>0</v>
      </c>
      <c r="AK2116" s="9">
        <f>IFERROR(VLOOKUP($A2116,pivot!$A:$I,計算式2026!AK$1,FALSE),0)</f>
        <v>0</v>
      </c>
      <c r="AL2116" s="9">
        <f>IFERROR(VLOOKUP($A2116,pivot!$A:$I,計算式2026!AL$1,FALSE),0)</f>
        <v>0</v>
      </c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</row>
    <row r="2117" spans="1:59" s="9" customFormat="1">
      <c r="A2117" s="8" t="s">
        <v>1263</v>
      </c>
      <c r="B2117" s="8" t="s">
        <v>1262</v>
      </c>
      <c r="C2117" s="9">
        <v>0</v>
      </c>
      <c r="D2117" s="9">
        <v>0</v>
      </c>
      <c r="E2117" s="9">
        <v>0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  <c r="K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1</v>
      </c>
      <c r="W2117" s="9">
        <v>0</v>
      </c>
      <c r="X2117" s="9">
        <v>0</v>
      </c>
      <c r="AE2117" s="9">
        <f>IFERROR(VLOOKUP($A2117,pivot!$A:$G,計算式2026!AE$1,FALSE),0)</f>
        <v>0</v>
      </c>
      <c r="AF2117" s="9">
        <f>IFERROR(VLOOKUP($A2117,pivot!$A:$I,計算式2026!AF$1,FALSE),0)</f>
        <v>0</v>
      </c>
      <c r="AI2117" s="9">
        <f>IFERROR(VLOOKUP($A2117,pivot!$A:$I,計算式2026!AI$1,FALSE),0)</f>
        <v>0</v>
      </c>
      <c r="AJ2117" s="9">
        <f>IFERROR(VLOOKUP($A2117,pivot!$A:$I,計算式2026!AJ$1,FALSE),0)</f>
        <v>0</v>
      </c>
      <c r="AK2117" s="9">
        <f>IFERROR(VLOOKUP($A2117,pivot!$A:$I,計算式2026!AK$1,FALSE),0)</f>
        <v>0</v>
      </c>
      <c r="AL2117" s="9">
        <f>IFERROR(VLOOKUP($A2117,pivot!$A:$I,計算式2026!AL$1,FALSE),0)</f>
        <v>0</v>
      </c>
      <c r="AR2117" s="8"/>
      <c r="AS2117" s="8"/>
      <c r="AT2117" s="8"/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</row>
    <row r="2118" spans="1:59" s="9" customFormat="1">
      <c r="A2118" s="8" t="s">
        <v>1264</v>
      </c>
      <c r="B2118" s="8" t="s">
        <v>1262</v>
      </c>
      <c r="C2118" s="9">
        <v>0</v>
      </c>
      <c r="D2118" s="9">
        <v>0</v>
      </c>
      <c r="E2118" s="9">
        <v>0</v>
      </c>
      <c r="F2118" s="9">
        <v>0</v>
      </c>
      <c r="G2118" s="9">
        <v>0</v>
      </c>
      <c r="H2118" s="9">
        <v>0</v>
      </c>
      <c r="I2118" s="9">
        <v>0</v>
      </c>
      <c r="J2118" s="9">
        <v>0</v>
      </c>
      <c r="K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AE2118" s="9">
        <f>IFERROR(VLOOKUP($A2118,pivot!$A:$G,計算式2026!AE$1,FALSE),0)</f>
        <v>0</v>
      </c>
      <c r="AF2118" s="9">
        <f>IFERROR(VLOOKUP($A2118,pivot!$A:$I,計算式2026!AF$1,FALSE),0)</f>
        <v>0</v>
      </c>
      <c r="AI2118" s="9">
        <f>IFERROR(VLOOKUP($A2118,pivot!$A:$I,計算式2026!AI$1,FALSE),0)</f>
        <v>0</v>
      </c>
      <c r="AJ2118" s="9">
        <f>IFERROR(VLOOKUP($A2118,pivot!$A:$I,計算式2026!AJ$1,FALSE),0)</f>
        <v>0</v>
      </c>
      <c r="AK2118" s="9">
        <f>IFERROR(VLOOKUP($A2118,pivot!$A:$I,計算式2026!AK$1,FALSE),0)</f>
        <v>0</v>
      </c>
      <c r="AL2118" s="9">
        <f>IFERROR(VLOOKUP($A2118,pivot!$A:$I,計算式2026!AL$1,FALSE),0)</f>
        <v>0</v>
      </c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</row>
    <row r="2119" spans="1:59" s="9" customFormat="1">
      <c r="A2119" s="8" t="s">
        <v>1265</v>
      </c>
      <c r="B2119" s="8" t="s">
        <v>1262</v>
      </c>
      <c r="C2119" s="9">
        <v>0</v>
      </c>
      <c r="D2119" s="9">
        <v>0</v>
      </c>
      <c r="E2119" s="9">
        <v>0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AE2119" s="9">
        <f>IFERROR(VLOOKUP($A2119,pivot!$A:$G,計算式2026!AE$1,FALSE),0)</f>
        <v>0</v>
      </c>
      <c r="AF2119" s="9">
        <f>IFERROR(VLOOKUP($A2119,pivot!$A:$I,計算式2026!AF$1,FALSE),0)</f>
        <v>0</v>
      </c>
      <c r="AI2119" s="9">
        <f>IFERROR(VLOOKUP($A2119,pivot!$A:$I,計算式2026!AI$1,FALSE),0)</f>
        <v>0</v>
      </c>
      <c r="AJ2119" s="9">
        <f>IFERROR(VLOOKUP($A2119,pivot!$A:$I,計算式2026!AJ$1,FALSE),0)</f>
        <v>0</v>
      </c>
      <c r="AK2119" s="9">
        <f>IFERROR(VLOOKUP($A2119,pivot!$A:$I,計算式2026!AK$1,FALSE),0)</f>
        <v>0</v>
      </c>
      <c r="AL2119" s="9">
        <f>IFERROR(VLOOKUP($A2119,pivot!$A:$I,計算式2026!AL$1,FALSE),0)</f>
        <v>0</v>
      </c>
      <c r="AR2119" s="8"/>
      <c r="AS2119" s="8"/>
      <c r="AT2119" s="8"/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</row>
    <row r="2120" spans="1:59" s="9" customFormat="1">
      <c r="A2120" s="8" t="s">
        <v>1266</v>
      </c>
      <c r="B2120" s="8" t="s">
        <v>1262</v>
      </c>
      <c r="C2120" s="9">
        <v>0</v>
      </c>
      <c r="D2120" s="9">
        <v>0</v>
      </c>
      <c r="E2120" s="9">
        <v>0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1</v>
      </c>
      <c r="W2120" s="9">
        <v>0</v>
      </c>
      <c r="X2120" s="9">
        <v>0</v>
      </c>
      <c r="AE2120" s="9">
        <f>IFERROR(VLOOKUP($A2120,pivot!$A:$G,計算式2026!AE$1,FALSE),0)</f>
        <v>0</v>
      </c>
      <c r="AF2120" s="9">
        <f>IFERROR(VLOOKUP($A2120,pivot!$A:$I,計算式2026!AF$1,FALSE),0)</f>
        <v>0</v>
      </c>
      <c r="AI2120" s="9">
        <f>IFERROR(VLOOKUP($A2120,pivot!$A:$I,計算式2026!AI$1,FALSE),0)</f>
        <v>0</v>
      </c>
      <c r="AJ2120" s="9">
        <f>IFERROR(VLOOKUP($A2120,pivot!$A:$I,計算式2026!AJ$1,FALSE),0)</f>
        <v>0</v>
      </c>
      <c r="AK2120" s="9">
        <f>IFERROR(VLOOKUP($A2120,pivot!$A:$I,計算式2026!AK$1,FALSE),0)</f>
        <v>0</v>
      </c>
      <c r="AL2120" s="9">
        <f>IFERROR(VLOOKUP($A2120,pivot!$A:$I,計算式2026!AL$1,FALSE),0)</f>
        <v>0</v>
      </c>
      <c r="AR2120" s="8"/>
      <c r="AS2120" s="8"/>
      <c r="AT2120" s="8"/>
      <c r="AU2120" s="8"/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</row>
    <row r="2121" spans="1:59" s="9" customFormat="1">
      <c r="A2121" s="8" t="s">
        <v>1267</v>
      </c>
      <c r="B2121" s="8" t="s">
        <v>1262</v>
      </c>
      <c r="C2121" s="9">
        <v>0</v>
      </c>
      <c r="D2121" s="9">
        <v>0</v>
      </c>
      <c r="E2121" s="9">
        <v>0</v>
      </c>
      <c r="F2121" s="9">
        <v>0</v>
      </c>
      <c r="G2121" s="9">
        <v>0</v>
      </c>
      <c r="H2121" s="9">
        <v>0</v>
      </c>
      <c r="I2121" s="9">
        <v>0</v>
      </c>
      <c r="J2121" s="9">
        <v>0</v>
      </c>
      <c r="K2121" s="9">
        <v>0</v>
      </c>
      <c r="R2121" s="9">
        <v>1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AE2121" s="9">
        <f>IFERROR(VLOOKUP($A2121,pivot!$A:$G,計算式2026!AE$1,FALSE),0)</f>
        <v>0</v>
      </c>
      <c r="AF2121" s="9">
        <f>IFERROR(VLOOKUP($A2121,pivot!$A:$I,計算式2026!AF$1,FALSE),0)</f>
        <v>0</v>
      </c>
      <c r="AI2121" s="9">
        <f>IFERROR(VLOOKUP($A2121,pivot!$A:$I,計算式2026!AI$1,FALSE),0)</f>
        <v>0</v>
      </c>
      <c r="AJ2121" s="9">
        <f>IFERROR(VLOOKUP($A2121,pivot!$A:$I,計算式2026!AJ$1,FALSE),0)</f>
        <v>0</v>
      </c>
      <c r="AK2121" s="9">
        <f>IFERROR(VLOOKUP($A2121,pivot!$A:$I,計算式2026!AK$1,FALSE),0)</f>
        <v>0</v>
      </c>
      <c r="AL2121" s="9">
        <f>IFERROR(VLOOKUP($A2121,pivot!$A:$I,計算式2026!AL$1,FALSE),0)</f>
        <v>0</v>
      </c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</row>
    <row r="2122" spans="1:59" s="9" customFormat="1">
      <c r="A2122" s="8" t="s">
        <v>1268</v>
      </c>
      <c r="B2122" s="8" t="s">
        <v>1262</v>
      </c>
      <c r="C2122" s="9">
        <v>0</v>
      </c>
      <c r="D2122" s="9">
        <v>0</v>
      </c>
      <c r="E2122" s="9">
        <v>0</v>
      </c>
      <c r="F2122" s="9">
        <v>0</v>
      </c>
      <c r="G2122" s="9">
        <v>0</v>
      </c>
      <c r="H2122" s="9">
        <v>0</v>
      </c>
      <c r="I2122" s="9">
        <v>0</v>
      </c>
      <c r="J2122" s="9">
        <v>0</v>
      </c>
      <c r="K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AE2122" s="9">
        <f>IFERROR(VLOOKUP($A2122,pivot!$A:$G,計算式2026!AE$1,FALSE),0)</f>
        <v>0</v>
      </c>
      <c r="AF2122" s="9">
        <f>IFERROR(VLOOKUP($A2122,pivot!$A:$I,計算式2026!AF$1,FALSE),0)</f>
        <v>0</v>
      </c>
      <c r="AI2122" s="9">
        <f>IFERROR(VLOOKUP($A2122,pivot!$A:$I,計算式2026!AI$1,FALSE),0)</f>
        <v>0</v>
      </c>
      <c r="AJ2122" s="9">
        <f>IFERROR(VLOOKUP($A2122,pivot!$A:$I,計算式2026!AJ$1,FALSE),0)</f>
        <v>0</v>
      </c>
      <c r="AK2122" s="9">
        <f>IFERROR(VLOOKUP($A2122,pivot!$A:$I,計算式2026!AK$1,FALSE),0)</f>
        <v>0</v>
      </c>
      <c r="AL2122" s="9">
        <f>IFERROR(VLOOKUP($A2122,pivot!$A:$I,計算式2026!AL$1,FALSE),0)</f>
        <v>0</v>
      </c>
      <c r="AR2122" s="8"/>
      <c r="AS2122" s="8"/>
      <c r="AT2122" s="8"/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</row>
    <row r="2123" spans="1:59" s="9" customFormat="1">
      <c r="A2123" s="8" t="s">
        <v>1270</v>
      </c>
      <c r="B2123" s="8" t="s">
        <v>1271</v>
      </c>
      <c r="C2123" s="9">
        <v>0</v>
      </c>
      <c r="D2123" s="9">
        <v>0</v>
      </c>
      <c r="E2123" s="9">
        <v>0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R2123" s="9">
        <v>0</v>
      </c>
      <c r="S2123" s="9">
        <v>0</v>
      </c>
      <c r="T2123" s="9">
        <v>1</v>
      </c>
      <c r="U2123" s="9">
        <v>0</v>
      </c>
      <c r="V2123" s="9">
        <v>1</v>
      </c>
      <c r="W2123" s="9">
        <v>0</v>
      </c>
      <c r="X2123" s="9">
        <v>1</v>
      </c>
      <c r="AE2123" s="9">
        <f>IFERROR(VLOOKUP($A2123,pivot!$A:$G,計算式2026!AE$1,FALSE),0)</f>
        <v>0</v>
      </c>
      <c r="AF2123" s="9">
        <f>IFERROR(VLOOKUP($A2123,pivot!$A:$I,計算式2026!AF$1,FALSE),0)</f>
        <v>0</v>
      </c>
      <c r="AI2123" s="9">
        <f>IFERROR(VLOOKUP($A2123,pivot!$A:$I,計算式2026!AI$1,FALSE),0)</f>
        <v>0</v>
      </c>
      <c r="AJ2123" s="9">
        <f>IFERROR(VLOOKUP($A2123,pivot!$A:$I,計算式2026!AJ$1,FALSE),0)</f>
        <v>0</v>
      </c>
      <c r="AK2123" s="9">
        <f>IFERROR(VLOOKUP($A2123,pivot!$A:$I,計算式2026!AK$1,FALSE),0)</f>
        <v>0</v>
      </c>
      <c r="AL2123" s="9">
        <f>IFERROR(VLOOKUP($A2123,pivot!$A:$I,計算式2026!AL$1,FALSE),0)</f>
        <v>0</v>
      </c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</row>
    <row r="2124" spans="1:59" s="9" customFormat="1">
      <c r="A2124" s="8" t="s">
        <v>1272</v>
      </c>
      <c r="B2124" s="8" t="s">
        <v>1271</v>
      </c>
      <c r="C2124" s="9">
        <v>0</v>
      </c>
      <c r="D2124" s="9">
        <v>0</v>
      </c>
      <c r="E2124" s="9">
        <v>0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  <c r="K2124" s="9">
        <v>0</v>
      </c>
      <c r="R2124" s="9">
        <v>0</v>
      </c>
      <c r="S2124" s="9">
        <v>1</v>
      </c>
      <c r="T2124" s="9">
        <v>1</v>
      </c>
      <c r="U2124" s="9">
        <v>0</v>
      </c>
      <c r="V2124" s="9">
        <v>1</v>
      </c>
      <c r="W2124" s="9">
        <v>0</v>
      </c>
      <c r="X2124" s="9">
        <v>1</v>
      </c>
      <c r="AE2124" s="9">
        <f>IFERROR(VLOOKUP($A2124,pivot!$A:$G,計算式2026!AE$1,FALSE),0)</f>
        <v>0</v>
      </c>
      <c r="AF2124" s="9">
        <f>IFERROR(VLOOKUP($A2124,pivot!$A:$I,計算式2026!AF$1,FALSE),0)</f>
        <v>0</v>
      </c>
      <c r="AI2124" s="9">
        <f>IFERROR(VLOOKUP($A2124,pivot!$A:$I,計算式2026!AI$1,FALSE),0)</f>
        <v>0</v>
      </c>
      <c r="AJ2124" s="9">
        <f>IFERROR(VLOOKUP($A2124,pivot!$A:$I,計算式2026!AJ$1,FALSE),0)</f>
        <v>0</v>
      </c>
      <c r="AK2124" s="9">
        <f>IFERROR(VLOOKUP($A2124,pivot!$A:$I,計算式2026!AK$1,FALSE),0)</f>
        <v>0</v>
      </c>
      <c r="AL2124" s="9">
        <f>IFERROR(VLOOKUP($A2124,pivot!$A:$I,計算式2026!AL$1,FALSE),0)</f>
        <v>0</v>
      </c>
      <c r="AR2124" s="8"/>
      <c r="AS2124" s="8"/>
      <c r="AT2124" s="8"/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</row>
    <row r="2125" spans="1:59" s="9" customFormat="1">
      <c r="A2125" s="8" t="s">
        <v>1273</v>
      </c>
      <c r="B2125" s="8" t="s">
        <v>1271</v>
      </c>
      <c r="C2125" s="9">
        <v>0</v>
      </c>
      <c r="D2125" s="9">
        <v>0</v>
      </c>
      <c r="E2125" s="9">
        <v>0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0</v>
      </c>
      <c r="R2125" s="9">
        <v>0</v>
      </c>
      <c r="S2125" s="9">
        <v>1</v>
      </c>
      <c r="T2125" s="9">
        <v>1</v>
      </c>
      <c r="U2125" s="9">
        <v>0</v>
      </c>
      <c r="V2125" s="9">
        <v>1</v>
      </c>
      <c r="W2125" s="9">
        <v>0</v>
      </c>
      <c r="X2125" s="9">
        <v>1</v>
      </c>
      <c r="AE2125" s="9">
        <f>IFERROR(VLOOKUP($A2125,pivot!$A:$G,計算式2026!AE$1,FALSE),0)</f>
        <v>0</v>
      </c>
      <c r="AF2125" s="9">
        <f>IFERROR(VLOOKUP($A2125,pivot!$A:$I,計算式2026!AF$1,FALSE),0)</f>
        <v>0</v>
      </c>
      <c r="AI2125" s="9">
        <f>IFERROR(VLOOKUP($A2125,pivot!$A:$I,計算式2026!AI$1,FALSE),0)</f>
        <v>0</v>
      </c>
      <c r="AJ2125" s="9">
        <f>IFERROR(VLOOKUP($A2125,pivot!$A:$I,計算式2026!AJ$1,FALSE),0)</f>
        <v>0</v>
      </c>
      <c r="AK2125" s="9">
        <f>IFERROR(VLOOKUP($A2125,pivot!$A:$I,計算式2026!AK$1,FALSE),0)</f>
        <v>0</v>
      </c>
      <c r="AL2125" s="9">
        <f>IFERROR(VLOOKUP($A2125,pivot!$A:$I,計算式2026!AL$1,FALSE),0)</f>
        <v>0</v>
      </c>
      <c r="AR2125" s="8"/>
      <c r="AS2125" s="8"/>
      <c r="AT2125" s="8"/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</row>
    <row r="2126" spans="1:59" s="9" customFormat="1">
      <c r="A2126" s="8" t="s">
        <v>1274</v>
      </c>
      <c r="B2126" s="8" t="s">
        <v>1271</v>
      </c>
      <c r="C2126" s="9">
        <v>1</v>
      </c>
      <c r="D2126" s="9">
        <v>0</v>
      </c>
      <c r="E2126" s="9">
        <v>0</v>
      </c>
      <c r="F2126" s="9">
        <v>0</v>
      </c>
      <c r="G2126" s="9">
        <v>0</v>
      </c>
      <c r="H2126" s="9">
        <v>0</v>
      </c>
      <c r="I2126" s="9">
        <v>0</v>
      </c>
      <c r="J2126" s="9">
        <v>0</v>
      </c>
      <c r="K2126" s="9">
        <v>0</v>
      </c>
      <c r="R2126" s="9">
        <v>0</v>
      </c>
      <c r="S2126" s="9">
        <v>2</v>
      </c>
      <c r="T2126" s="9">
        <v>1</v>
      </c>
      <c r="U2126" s="9">
        <v>0</v>
      </c>
      <c r="V2126" s="9">
        <v>2</v>
      </c>
      <c r="W2126" s="9">
        <v>0</v>
      </c>
      <c r="X2126" s="9">
        <v>1</v>
      </c>
      <c r="AE2126" s="9">
        <f>IFERROR(VLOOKUP($A2126,pivot!$A:$G,計算式2026!AE$1,FALSE),0)</f>
        <v>0</v>
      </c>
      <c r="AF2126" s="9">
        <f>IFERROR(VLOOKUP($A2126,pivot!$A:$I,計算式2026!AF$1,FALSE),0)</f>
        <v>0</v>
      </c>
      <c r="AI2126" s="9">
        <f>IFERROR(VLOOKUP($A2126,pivot!$A:$I,計算式2026!AI$1,FALSE),0)</f>
        <v>0</v>
      </c>
      <c r="AJ2126" s="9">
        <f>IFERROR(VLOOKUP($A2126,pivot!$A:$I,計算式2026!AJ$1,FALSE),0)</f>
        <v>0</v>
      </c>
      <c r="AK2126" s="9">
        <f>IFERROR(VLOOKUP($A2126,pivot!$A:$I,計算式2026!AK$1,FALSE),0)</f>
        <v>0</v>
      </c>
      <c r="AL2126" s="9">
        <f>IFERROR(VLOOKUP($A2126,pivot!$A:$I,計算式2026!AL$1,FALSE),0)</f>
        <v>0</v>
      </c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</row>
    <row r="2127" spans="1:59" s="9" customFormat="1">
      <c r="A2127" s="8" t="s">
        <v>1275</v>
      </c>
      <c r="B2127" s="8" t="s">
        <v>1276</v>
      </c>
      <c r="C2127" s="9">
        <v>1</v>
      </c>
      <c r="D2127" s="9">
        <v>0</v>
      </c>
      <c r="E2127" s="9">
        <v>0</v>
      </c>
      <c r="F2127" s="9">
        <v>0</v>
      </c>
      <c r="G2127" s="9">
        <v>0</v>
      </c>
      <c r="H2127" s="9">
        <v>0</v>
      </c>
      <c r="I2127" s="9">
        <v>0</v>
      </c>
      <c r="J2127" s="9">
        <v>0</v>
      </c>
      <c r="K2127" s="9">
        <v>0</v>
      </c>
      <c r="R2127" s="9">
        <v>0</v>
      </c>
      <c r="S2127" s="9">
        <v>1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AE2127" s="9">
        <f>IFERROR(VLOOKUP($A2127,pivot!$A:$G,計算式2026!AE$1,FALSE),0)</f>
        <v>0</v>
      </c>
      <c r="AF2127" s="9">
        <f>IFERROR(VLOOKUP($A2127,pivot!$A:$I,計算式2026!AF$1,FALSE),0)</f>
        <v>0</v>
      </c>
      <c r="AI2127" s="9">
        <f>IFERROR(VLOOKUP($A2127,pivot!$A:$I,計算式2026!AI$1,FALSE),0)</f>
        <v>0</v>
      </c>
      <c r="AJ2127" s="9">
        <f>IFERROR(VLOOKUP($A2127,pivot!$A:$I,計算式2026!AJ$1,FALSE),0)</f>
        <v>0</v>
      </c>
      <c r="AK2127" s="9">
        <f>IFERROR(VLOOKUP($A2127,pivot!$A:$I,計算式2026!AK$1,FALSE),0)</f>
        <v>0</v>
      </c>
      <c r="AL2127" s="9">
        <f>IFERROR(VLOOKUP($A2127,pivot!$A:$I,計算式2026!AL$1,FALSE),0)</f>
        <v>0</v>
      </c>
      <c r="AR2127" s="8"/>
      <c r="AS2127" s="8"/>
      <c r="AT2127" s="8"/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</row>
    <row r="2128" spans="1:59" s="9" customFormat="1">
      <c r="A2128" s="8" t="s">
        <v>1277</v>
      </c>
      <c r="B2128" s="8" t="s">
        <v>1276</v>
      </c>
      <c r="C2128" s="9">
        <v>3</v>
      </c>
      <c r="D2128" s="9">
        <v>0</v>
      </c>
      <c r="E2128" s="9">
        <v>0</v>
      </c>
      <c r="F2128" s="9">
        <v>0</v>
      </c>
      <c r="G2128" s="9">
        <v>0</v>
      </c>
      <c r="H2128" s="9">
        <v>0</v>
      </c>
      <c r="I2128" s="9">
        <v>0</v>
      </c>
      <c r="J2128" s="9">
        <v>0</v>
      </c>
      <c r="K2128" s="9">
        <v>0</v>
      </c>
      <c r="R2128" s="9">
        <v>0</v>
      </c>
      <c r="S2128" s="9">
        <v>1</v>
      </c>
      <c r="T2128" s="9">
        <v>0</v>
      </c>
      <c r="U2128" s="9">
        <v>0</v>
      </c>
      <c r="V2128" s="9">
        <v>1</v>
      </c>
      <c r="W2128" s="9">
        <v>0</v>
      </c>
      <c r="X2128" s="9">
        <v>0</v>
      </c>
      <c r="AE2128" s="9">
        <f>IFERROR(VLOOKUP($A2128,pivot!$A:$G,計算式2026!AE$1,FALSE),0)</f>
        <v>0</v>
      </c>
      <c r="AF2128" s="9">
        <f>IFERROR(VLOOKUP($A2128,pivot!$A:$I,計算式2026!AF$1,FALSE),0)</f>
        <v>0</v>
      </c>
      <c r="AI2128" s="9">
        <f>IFERROR(VLOOKUP($A2128,pivot!$A:$I,計算式2026!AI$1,FALSE),0)</f>
        <v>0</v>
      </c>
      <c r="AJ2128" s="9">
        <f>IFERROR(VLOOKUP($A2128,pivot!$A:$I,計算式2026!AJ$1,FALSE),0)</f>
        <v>0</v>
      </c>
      <c r="AK2128" s="9">
        <f>IFERROR(VLOOKUP($A2128,pivot!$A:$I,計算式2026!AK$1,FALSE),0)</f>
        <v>0</v>
      </c>
      <c r="AL2128" s="9">
        <f>IFERROR(VLOOKUP($A2128,pivot!$A:$I,計算式2026!AL$1,FALSE),0)</f>
        <v>0</v>
      </c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</row>
    <row r="2129" spans="1:59" s="9" customFormat="1">
      <c r="A2129" s="8" t="s">
        <v>1278</v>
      </c>
      <c r="B2129" s="8" t="s">
        <v>1276</v>
      </c>
      <c r="C2129" s="9">
        <v>2</v>
      </c>
      <c r="D2129" s="9">
        <v>0</v>
      </c>
      <c r="E2129" s="9">
        <v>0</v>
      </c>
      <c r="F2129" s="9">
        <v>0</v>
      </c>
      <c r="G2129" s="9">
        <v>0</v>
      </c>
      <c r="H2129" s="9">
        <v>0</v>
      </c>
      <c r="I2129" s="9">
        <v>0</v>
      </c>
      <c r="J2129" s="9">
        <v>0</v>
      </c>
      <c r="K2129" s="9">
        <v>0</v>
      </c>
      <c r="R2129" s="9">
        <v>0</v>
      </c>
      <c r="S2129" s="9">
        <v>1</v>
      </c>
      <c r="T2129" s="9">
        <v>0</v>
      </c>
      <c r="U2129" s="9">
        <v>0</v>
      </c>
      <c r="V2129" s="9">
        <v>1</v>
      </c>
      <c r="W2129" s="9">
        <v>0</v>
      </c>
      <c r="X2129" s="9">
        <v>0</v>
      </c>
      <c r="AE2129" s="9">
        <f>IFERROR(VLOOKUP($A2129,pivot!$A:$G,計算式2026!AE$1,FALSE),0)</f>
        <v>0</v>
      </c>
      <c r="AF2129" s="9">
        <f>IFERROR(VLOOKUP($A2129,pivot!$A:$I,計算式2026!AF$1,FALSE),0)</f>
        <v>0</v>
      </c>
      <c r="AI2129" s="9">
        <f>IFERROR(VLOOKUP($A2129,pivot!$A:$I,計算式2026!AI$1,FALSE),0)</f>
        <v>0</v>
      </c>
      <c r="AJ2129" s="9">
        <f>IFERROR(VLOOKUP($A2129,pivot!$A:$I,計算式2026!AJ$1,FALSE),0)</f>
        <v>0</v>
      </c>
      <c r="AK2129" s="9">
        <f>IFERROR(VLOOKUP($A2129,pivot!$A:$I,計算式2026!AK$1,FALSE),0)</f>
        <v>0</v>
      </c>
      <c r="AL2129" s="9">
        <f>IFERROR(VLOOKUP($A2129,pivot!$A:$I,計算式2026!AL$1,FALSE),0)</f>
        <v>0</v>
      </c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</row>
    <row r="2130" spans="1:59" s="9" customFormat="1">
      <c r="A2130" s="8" t="s">
        <v>1279</v>
      </c>
      <c r="B2130" s="8" t="s">
        <v>1276</v>
      </c>
      <c r="C2130" s="9">
        <v>2</v>
      </c>
      <c r="D2130" s="9">
        <v>0</v>
      </c>
      <c r="E2130" s="9">
        <v>0</v>
      </c>
      <c r="F2130" s="9">
        <v>0</v>
      </c>
      <c r="G2130" s="9">
        <v>0</v>
      </c>
      <c r="H2130" s="9">
        <v>0</v>
      </c>
      <c r="I2130" s="9">
        <v>0</v>
      </c>
      <c r="J2130" s="9">
        <v>0</v>
      </c>
      <c r="K2130" s="9">
        <v>0</v>
      </c>
      <c r="R2130" s="9">
        <v>0</v>
      </c>
      <c r="S2130" s="9">
        <v>1</v>
      </c>
      <c r="T2130" s="9">
        <v>0</v>
      </c>
      <c r="U2130" s="9">
        <v>0</v>
      </c>
      <c r="V2130" s="9">
        <v>1</v>
      </c>
      <c r="W2130" s="9">
        <v>0</v>
      </c>
      <c r="X2130" s="9">
        <v>0</v>
      </c>
      <c r="AE2130" s="9">
        <f>IFERROR(VLOOKUP($A2130,pivot!$A:$G,計算式2026!AE$1,FALSE),0)</f>
        <v>0</v>
      </c>
      <c r="AF2130" s="9">
        <f>IFERROR(VLOOKUP($A2130,pivot!$A:$I,計算式2026!AF$1,FALSE),0)</f>
        <v>0</v>
      </c>
      <c r="AI2130" s="9">
        <f>IFERROR(VLOOKUP($A2130,pivot!$A:$I,計算式2026!AI$1,FALSE),0)</f>
        <v>0</v>
      </c>
      <c r="AJ2130" s="9">
        <f>IFERROR(VLOOKUP($A2130,pivot!$A:$I,計算式2026!AJ$1,FALSE),0)</f>
        <v>0</v>
      </c>
      <c r="AK2130" s="9">
        <f>IFERROR(VLOOKUP($A2130,pivot!$A:$I,計算式2026!AK$1,FALSE),0)</f>
        <v>0</v>
      </c>
      <c r="AL2130" s="9">
        <f>IFERROR(VLOOKUP($A2130,pivot!$A:$I,計算式2026!AL$1,FALSE),0)</f>
        <v>0</v>
      </c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</row>
    <row r="2131" spans="1:59" s="9" customFormat="1">
      <c r="A2131" s="8" t="s">
        <v>1280</v>
      </c>
      <c r="B2131" s="8" t="s">
        <v>1276</v>
      </c>
      <c r="C2131" s="9">
        <v>3</v>
      </c>
      <c r="D2131" s="9">
        <v>0</v>
      </c>
      <c r="E2131" s="9">
        <v>0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R2131" s="9">
        <v>0</v>
      </c>
      <c r="S2131" s="9">
        <v>1</v>
      </c>
      <c r="T2131" s="9">
        <v>0</v>
      </c>
      <c r="U2131" s="9">
        <v>0</v>
      </c>
      <c r="V2131" s="9">
        <v>1</v>
      </c>
      <c r="W2131" s="9">
        <v>0</v>
      </c>
      <c r="X2131" s="9">
        <v>0</v>
      </c>
      <c r="AE2131" s="9">
        <f>IFERROR(VLOOKUP($A2131,pivot!$A:$G,計算式2026!AE$1,FALSE),0)</f>
        <v>0</v>
      </c>
      <c r="AF2131" s="9">
        <f>IFERROR(VLOOKUP($A2131,pivot!$A:$I,計算式2026!AF$1,FALSE),0)</f>
        <v>0</v>
      </c>
      <c r="AI2131" s="9">
        <f>IFERROR(VLOOKUP($A2131,pivot!$A:$I,計算式2026!AI$1,FALSE),0)</f>
        <v>0</v>
      </c>
      <c r="AJ2131" s="9">
        <f>IFERROR(VLOOKUP($A2131,pivot!$A:$I,計算式2026!AJ$1,FALSE),0)</f>
        <v>0</v>
      </c>
      <c r="AK2131" s="9">
        <f>IFERROR(VLOOKUP($A2131,pivot!$A:$I,計算式2026!AK$1,FALSE),0)</f>
        <v>0</v>
      </c>
      <c r="AL2131" s="9">
        <f>IFERROR(VLOOKUP($A2131,pivot!$A:$I,計算式2026!AL$1,FALSE),0)</f>
        <v>0</v>
      </c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</row>
    <row r="2132" spans="1:59" s="9" customFormat="1">
      <c r="A2132" s="8" t="s">
        <v>1281</v>
      </c>
      <c r="B2132" s="8" t="s">
        <v>1276</v>
      </c>
      <c r="C2132" s="9">
        <v>3</v>
      </c>
      <c r="D2132" s="9">
        <v>0</v>
      </c>
      <c r="E2132" s="9">
        <v>0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9">
        <v>0</v>
      </c>
      <c r="R2132" s="9">
        <v>0</v>
      </c>
      <c r="S2132" s="9">
        <v>1</v>
      </c>
      <c r="T2132" s="9">
        <v>0</v>
      </c>
      <c r="U2132" s="9">
        <v>0</v>
      </c>
      <c r="V2132" s="9">
        <v>1</v>
      </c>
      <c r="W2132" s="9">
        <v>0</v>
      </c>
      <c r="X2132" s="9">
        <v>0</v>
      </c>
      <c r="AE2132" s="9">
        <f>IFERROR(VLOOKUP($A2132,pivot!$A:$G,計算式2026!AE$1,FALSE),0)</f>
        <v>0</v>
      </c>
      <c r="AF2132" s="9">
        <f>IFERROR(VLOOKUP($A2132,pivot!$A:$I,計算式2026!AF$1,FALSE),0)</f>
        <v>0</v>
      </c>
      <c r="AI2132" s="9">
        <f>IFERROR(VLOOKUP($A2132,pivot!$A:$I,計算式2026!AI$1,FALSE),0)</f>
        <v>0</v>
      </c>
      <c r="AJ2132" s="9">
        <f>IFERROR(VLOOKUP($A2132,pivot!$A:$I,計算式2026!AJ$1,FALSE),0)</f>
        <v>0</v>
      </c>
      <c r="AK2132" s="9">
        <f>IFERROR(VLOOKUP($A2132,pivot!$A:$I,計算式2026!AK$1,FALSE),0)</f>
        <v>0</v>
      </c>
      <c r="AL2132" s="9">
        <f>IFERROR(VLOOKUP($A2132,pivot!$A:$I,計算式2026!AL$1,FALSE),0)</f>
        <v>0</v>
      </c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</row>
    <row r="2133" spans="1:59" s="9" customFormat="1">
      <c r="A2133" s="8" t="s">
        <v>2437</v>
      </c>
      <c r="B2133" s="8" t="s">
        <v>1283</v>
      </c>
      <c r="C2133" s="9">
        <v>0</v>
      </c>
      <c r="D2133" s="9">
        <v>0</v>
      </c>
      <c r="E2133" s="9">
        <v>0</v>
      </c>
      <c r="F2133" s="9">
        <v>0</v>
      </c>
      <c r="G2133" s="9">
        <v>0</v>
      </c>
      <c r="H2133" s="9">
        <v>0</v>
      </c>
      <c r="I2133" s="9">
        <v>0</v>
      </c>
      <c r="J2133" s="9">
        <v>0</v>
      </c>
      <c r="K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1</v>
      </c>
      <c r="W2133" s="9">
        <v>0</v>
      </c>
      <c r="X2133" s="9">
        <v>1</v>
      </c>
      <c r="AE2133" s="9">
        <f>IFERROR(VLOOKUP($A2133,pivot!$A:$G,計算式2026!AE$1,FALSE),0)</f>
        <v>0</v>
      </c>
      <c r="AF2133" s="9">
        <f>IFERROR(VLOOKUP($A2133,pivot!$A:$I,計算式2026!AF$1,FALSE),0)</f>
        <v>0</v>
      </c>
      <c r="AI2133" s="9">
        <f>IFERROR(VLOOKUP($A2133,pivot!$A:$I,計算式2026!AI$1,FALSE),0)</f>
        <v>0</v>
      </c>
      <c r="AJ2133" s="9">
        <f>IFERROR(VLOOKUP($A2133,pivot!$A:$I,計算式2026!AJ$1,FALSE),0)</f>
        <v>0</v>
      </c>
      <c r="AK2133" s="9">
        <f>IFERROR(VLOOKUP($A2133,pivot!$A:$I,計算式2026!AK$1,FALSE),0)</f>
        <v>0</v>
      </c>
      <c r="AL2133" s="9">
        <f>IFERROR(VLOOKUP($A2133,pivot!$A:$I,計算式2026!AL$1,FALSE),0)</f>
        <v>0</v>
      </c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</row>
    <row r="2134" spans="1:59" s="9" customFormat="1">
      <c r="A2134" s="8" t="s">
        <v>2438</v>
      </c>
      <c r="B2134" s="8" t="s">
        <v>1283</v>
      </c>
      <c r="C2134" s="9">
        <v>0</v>
      </c>
      <c r="D2134" s="9">
        <v>0</v>
      </c>
      <c r="E2134" s="9">
        <v>0</v>
      </c>
      <c r="F2134" s="9">
        <v>0</v>
      </c>
      <c r="G2134" s="9">
        <v>0</v>
      </c>
      <c r="H2134" s="9">
        <v>0</v>
      </c>
      <c r="I2134" s="9">
        <v>0</v>
      </c>
      <c r="J2134" s="9">
        <v>0</v>
      </c>
      <c r="K2134" s="9">
        <v>0</v>
      </c>
      <c r="R2134" s="9">
        <v>0</v>
      </c>
      <c r="S2134" s="9">
        <v>0</v>
      </c>
      <c r="T2134" s="9">
        <v>1</v>
      </c>
      <c r="U2134" s="9">
        <v>0</v>
      </c>
      <c r="V2134" s="9">
        <v>1</v>
      </c>
      <c r="W2134" s="9">
        <v>0</v>
      </c>
      <c r="X2134" s="9">
        <v>1</v>
      </c>
      <c r="AE2134" s="9">
        <f>IFERROR(VLOOKUP($A2134,pivot!$A:$G,計算式2026!AE$1,FALSE),0)</f>
        <v>0</v>
      </c>
      <c r="AF2134" s="9">
        <f>IFERROR(VLOOKUP($A2134,pivot!$A:$I,計算式2026!AF$1,FALSE),0)</f>
        <v>0</v>
      </c>
      <c r="AI2134" s="9">
        <f>IFERROR(VLOOKUP($A2134,pivot!$A:$I,計算式2026!AI$1,FALSE),0)</f>
        <v>0</v>
      </c>
      <c r="AJ2134" s="9">
        <f>IFERROR(VLOOKUP($A2134,pivot!$A:$I,計算式2026!AJ$1,FALSE),0)</f>
        <v>0</v>
      </c>
      <c r="AK2134" s="9">
        <f>IFERROR(VLOOKUP($A2134,pivot!$A:$I,計算式2026!AK$1,FALSE),0)</f>
        <v>0</v>
      </c>
      <c r="AL2134" s="9">
        <f>IFERROR(VLOOKUP($A2134,pivot!$A:$I,計算式2026!AL$1,FALSE),0)</f>
        <v>0</v>
      </c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</row>
    <row r="2135" spans="1:59" s="9" customFormat="1">
      <c r="A2135" s="8" t="s">
        <v>2439</v>
      </c>
      <c r="B2135" s="8" t="s">
        <v>1283</v>
      </c>
      <c r="C2135" s="9">
        <v>0</v>
      </c>
      <c r="D2135" s="9">
        <v>0</v>
      </c>
      <c r="E2135" s="9">
        <v>0</v>
      </c>
      <c r="F2135" s="9">
        <v>0</v>
      </c>
      <c r="G2135" s="9">
        <v>0</v>
      </c>
      <c r="H2135" s="9">
        <v>0</v>
      </c>
      <c r="I2135" s="9">
        <v>0</v>
      </c>
      <c r="J2135" s="9">
        <v>0</v>
      </c>
      <c r="K2135" s="9">
        <v>0</v>
      </c>
      <c r="R2135" s="9">
        <v>0</v>
      </c>
      <c r="S2135" s="9">
        <v>1</v>
      </c>
      <c r="T2135" s="9">
        <v>0</v>
      </c>
      <c r="U2135" s="9">
        <v>0</v>
      </c>
      <c r="V2135" s="9">
        <v>0</v>
      </c>
      <c r="W2135" s="9">
        <v>0</v>
      </c>
      <c r="X2135" s="9">
        <v>1</v>
      </c>
      <c r="AE2135" s="9">
        <f>IFERROR(VLOOKUP($A2135,pivot!$A:$G,計算式2026!AE$1,FALSE),0)</f>
        <v>0</v>
      </c>
      <c r="AF2135" s="9">
        <f>IFERROR(VLOOKUP($A2135,pivot!$A:$I,計算式2026!AF$1,FALSE),0)</f>
        <v>0</v>
      </c>
      <c r="AI2135" s="9">
        <f>IFERROR(VLOOKUP($A2135,pivot!$A:$I,計算式2026!AI$1,FALSE),0)</f>
        <v>0</v>
      </c>
      <c r="AJ2135" s="9">
        <f>IFERROR(VLOOKUP($A2135,pivot!$A:$I,計算式2026!AJ$1,FALSE),0)</f>
        <v>0</v>
      </c>
      <c r="AK2135" s="9">
        <f>IFERROR(VLOOKUP($A2135,pivot!$A:$I,計算式2026!AK$1,FALSE),0)</f>
        <v>0</v>
      </c>
      <c r="AL2135" s="9">
        <f>IFERROR(VLOOKUP($A2135,pivot!$A:$I,計算式2026!AL$1,FALSE),0)</f>
        <v>0</v>
      </c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</row>
    <row r="2136" spans="1:59" s="9" customFormat="1">
      <c r="A2136" s="8" t="s">
        <v>1282</v>
      </c>
      <c r="B2136" s="8" t="s">
        <v>1283</v>
      </c>
      <c r="C2136" s="9">
        <v>0</v>
      </c>
      <c r="D2136" s="9">
        <v>0</v>
      </c>
      <c r="E2136" s="9">
        <v>0</v>
      </c>
      <c r="F2136" s="9">
        <v>0</v>
      </c>
      <c r="G2136" s="9">
        <v>0</v>
      </c>
      <c r="H2136" s="9">
        <v>0</v>
      </c>
      <c r="I2136" s="9">
        <v>0</v>
      </c>
      <c r="J2136" s="9">
        <v>0</v>
      </c>
      <c r="K2136" s="9">
        <v>0</v>
      </c>
      <c r="R2136" s="9">
        <v>0</v>
      </c>
      <c r="S2136" s="9">
        <v>0</v>
      </c>
      <c r="T2136" s="9">
        <v>1</v>
      </c>
      <c r="U2136" s="9">
        <v>0</v>
      </c>
      <c r="V2136" s="9">
        <v>0</v>
      </c>
      <c r="W2136" s="9">
        <v>0</v>
      </c>
      <c r="X2136" s="9">
        <v>1</v>
      </c>
      <c r="AE2136" s="9">
        <f>IFERROR(VLOOKUP($A2136,pivot!$A:$G,計算式2026!AE$1,FALSE),0)</f>
        <v>0</v>
      </c>
      <c r="AF2136" s="9">
        <f>IFERROR(VLOOKUP($A2136,pivot!$A:$I,計算式2026!AF$1,FALSE),0)</f>
        <v>0</v>
      </c>
      <c r="AI2136" s="9">
        <f>IFERROR(VLOOKUP($A2136,pivot!$A:$I,計算式2026!AI$1,FALSE),0)</f>
        <v>0</v>
      </c>
      <c r="AJ2136" s="9">
        <f>IFERROR(VLOOKUP($A2136,pivot!$A:$I,計算式2026!AJ$1,FALSE),0)</f>
        <v>0</v>
      </c>
      <c r="AK2136" s="9">
        <f>IFERROR(VLOOKUP($A2136,pivot!$A:$I,計算式2026!AK$1,FALSE),0)</f>
        <v>0</v>
      </c>
      <c r="AL2136" s="9">
        <f>IFERROR(VLOOKUP($A2136,pivot!$A:$I,計算式2026!AL$1,FALSE),0)</f>
        <v>0</v>
      </c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</row>
    <row r="2137" spans="1:59" s="9" customFormat="1">
      <c r="A2137" s="8" t="s">
        <v>1284</v>
      </c>
      <c r="B2137" s="8" t="s">
        <v>1283</v>
      </c>
      <c r="C2137" s="9">
        <v>2</v>
      </c>
      <c r="D2137" s="9">
        <v>0</v>
      </c>
      <c r="E2137" s="9">
        <v>0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R2137" s="9">
        <v>0</v>
      </c>
      <c r="S2137" s="9">
        <v>1</v>
      </c>
      <c r="T2137" s="9">
        <v>1</v>
      </c>
      <c r="U2137" s="9">
        <v>0</v>
      </c>
      <c r="V2137" s="9">
        <v>3</v>
      </c>
      <c r="W2137" s="9">
        <v>0</v>
      </c>
      <c r="X2137" s="9">
        <v>1</v>
      </c>
      <c r="AE2137" s="9">
        <f>IFERROR(VLOOKUP($A2137,pivot!$A:$G,計算式2026!AE$1,FALSE),0)</f>
        <v>0</v>
      </c>
      <c r="AF2137" s="9">
        <f>IFERROR(VLOOKUP($A2137,pivot!$A:$I,計算式2026!AF$1,FALSE),0)</f>
        <v>0</v>
      </c>
      <c r="AI2137" s="9">
        <f>IFERROR(VLOOKUP($A2137,pivot!$A:$I,計算式2026!AI$1,FALSE),0)</f>
        <v>0</v>
      </c>
      <c r="AJ2137" s="9">
        <f>IFERROR(VLOOKUP($A2137,pivot!$A:$I,計算式2026!AJ$1,FALSE),0)</f>
        <v>0</v>
      </c>
      <c r="AK2137" s="9">
        <f>IFERROR(VLOOKUP($A2137,pivot!$A:$I,計算式2026!AK$1,FALSE),0)</f>
        <v>0</v>
      </c>
      <c r="AL2137" s="9">
        <f>IFERROR(VLOOKUP($A2137,pivot!$A:$I,計算式2026!AL$1,FALSE),0)</f>
        <v>0</v>
      </c>
      <c r="AR2137" s="8"/>
      <c r="AS2137" s="8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</row>
    <row r="2138" spans="1:59" s="9" customFormat="1">
      <c r="A2138" s="8" t="s">
        <v>1285</v>
      </c>
      <c r="B2138" s="8" t="s">
        <v>1283</v>
      </c>
      <c r="C2138" s="9">
        <v>0</v>
      </c>
      <c r="D2138" s="9">
        <v>0</v>
      </c>
      <c r="E2138" s="9">
        <v>0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R2138" s="9">
        <v>0</v>
      </c>
      <c r="S2138" s="9">
        <v>0</v>
      </c>
      <c r="T2138" s="9">
        <v>1</v>
      </c>
      <c r="U2138" s="9">
        <v>0</v>
      </c>
      <c r="V2138" s="9">
        <v>0</v>
      </c>
      <c r="W2138" s="9">
        <v>0</v>
      </c>
      <c r="X2138" s="9">
        <v>1</v>
      </c>
      <c r="AE2138" s="9">
        <f>IFERROR(VLOOKUP($A2138,pivot!$A:$G,計算式2026!AE$1,FALSE),0)</f>
        <v>0</v>
      </c>
      <c r="AF2138" s="9">
        <f>IFERROR(VLOOKUP($A2138,pivot!$A:$I,計算式2026!AF$1,FALSE),0)</f>
        <v>0</v>
      </c>
      <c r="AI2138" s="9">
        <f>IFERROR(VLOOKUP($A2138,pivot!$A:$I,計算式2026!AI$1,FALSE),0)</f>
        <v>0</v>
      </c>
      <c r="AJ2138" s="9">
        <f>IFERROR(VLOOKUP($A2138,pivot!$A:$I,計算式2026!AJ$1,FALSE),0)</f>
        <v>0</v>
      </c>
      <c r="AK2138" s="9">
        <f>IFERROR(VLOOKUP($A2138,pivot!$A:$I,計算式2026!AK$1,FALSE),0)</f>
        <v>0</v>
      </c>
      <c r="AL2138" s="9">
        <f>IFERROR(VLOOKUP($A2138,pivot!$A:$I,計算式2026!AL$1,FALSE),0)</f>
        <v>0</v>
      </c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</row>
    <row r="2139" spans="1:59" s="9" customFormat="1">
      <c r="A2139" s="8" t="s">
        <v>1286</v>
      </c>
      <c r="B2139" s="8" t="s">
        <v>1283</v>
      </c>
      <c r="C2139" s="9">
        <v>0</v>
      </c>
      <c r="D2139" s="9">
        <v>0</v>
      </c>
      <c r="E2139" s="9">
        <v>0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R2139" s="9">
        <v>0</v>
      </c>
      <c r="S2139" s="9">
        <v>0</v>
      </c>
      <c r="T2139" s="9">
        <v>1</v>
      </c>
      <c r="U2139" s="9">
        <v>0</v>
      </c>
      <c r="V2139" s="9">
        <v>1</v>
      </c>
      <c r="W2139" s="9">
        <v>0</v>
      </c>
      <c r="X2139" s="9">
        <v>1</v>
      </c>
      <c r="AE2139" s="9">
        <f>IFERROR(VLOOKUP($A2139,pivot!$A:$G,計算式2026!AE$1,FALSE),0)</f>
        <v>0</v>
      </c>
      <c r="AF2139" s="9">
        <f>IFERROR(VLOOKUP($A2139,pivot!$A:$I,計算式2026!AF$1,FALSE),0)</f>
        <v>0</v>
      </c>
      <c r="AI2139" s="9">
        <f>IFERROR(VLOOKUP($A2139,pivot!$A:$I,計算式2026!AI$1,FALSE),0)</f>
        <v>0</v>
      </c>
      <c r="AJ2139" s="9">
        <f>IFERROR(VLOOKUP($A2139,pivot!$A:$I,計算式2026!AJ$1,FALSE),0)</f>
        <v>0</v>
      </c>
      <c r="AK2139" s="9">
        <f>IFERROR(VLOOKUP($A2139,pivot!$A:$I,計算式2026!AK$1,FALSE),0)</f>
        <v>0</v>
      </c>
      <c r="AL2139" s="9">
        <f>IFERROR(VLOOKUP($A2139,pivot!$A:$I,計算式2026!AL$1,FALSE),0)</f>
        <v>0</v>
      </c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</row>
    <row r="2140" spans="1:59" s="9" customFormat="1">
      <c r="A2140" s="8" t="s">
        <v>1287</v>
      </c>
      <c r="B2140" s="8" t="s">
        <v>1283</v>
      </c>
      <c r="C2140" s="9">
        <v>0</v>
      </c>
      <c r="D2140" s="9">
        <v>0</v>
      </c>
      <c r="E2140" s="9">
        <v>0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  <c r="K2140" s="9">
        <v>0</v>
      </c>
      <c r="R2140" s="9">
        <v>0</v>
      </c>
      <c r="S2140" s="9">
        <v>0</v>
      </c>
      <c r="T2140" s="9">
        <v>1</v>
      </c>
      <c r="U2140" s="9">
        <v>0</v>
      </c>
      <c r="V2140" s="9">
        <v>0</v>
      </c>
      <c r="W2140" s="9">
        <v>0</v>
      </c>
      <c r="X2140" s="9">
        <v>0</v>
      </c>
      <c r="AE2140" s="9">
        <f>IFERROR(VLOOKUP($A2140,pivot!$A:$G,計算式2026!AE$1,FALSE),0)</f>
        <v>0</v>
      </c>
      <c r="AF2140" s="9">
        <f>IFERROR(VLOOKUP($A2140,pivot!$A:$I,計算式2026!AF$1,FALSE),0)</f>
        <v>0</v>
      </c>
      <c r="AI2140" s="9">
        <f>IFERROR(VLOOKUP($A2140,pivot!$A:$I,計算式2026!AI$1,FALSE),0)</f>
        <v>0</v>
      </c>
      <c r="AJ2140" s="9">
        <f>IFERROR(VLOOKUP($A2140,pivot!$A:$I,計算式2026!AJ$1,FALSE),0)</f>
        <v>0</v>
      </c>
      <c r="AK2140" s="9">
        <f>IFERROR(VLOOKUP($A2140,pivot!$A:$I,計算式2026!AK$1,FALSE),0)</f>
        <v>0</v>
      </c>
      <c r="AL2140" s="9">
        <f>IFERROR(VLOOKUP($A2140,pivot!$A:$I,計算式2026!AL$1,FALSE),0)</f>
        <v>0</v>
      </c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</row>
    <row r="2141" spans="1:59" s="9" customFormat="1">
      <c r="A2141" s="8" t="s">
        <v>1288</v>
      </c>
      <c r="B2141" s="8" t="s">
        <v>1283</v>
      </c>
      <c r="C2141" s="9">
        <v>0</v>
      </c>
      <c r="D2141" s="9">
        <v>0</v>
      </c>
      <c r="E2141" s="9">
        <v>0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R2141" s="9">
        <v>0</v>
      </c>
      <c r="S2141" s="9">
        <v>0</v>
      </c>
      <c r="T2141" s="9">
        <v>1</v>
      </c>
      <c r="U2141" s="9">
        <v>0</v>
      </c>
      <c r="V2141" s="9">
        <v>0</v>
      </c>
      <c r="W2141" s="9">
        <v>0</v>
      </c>
      <c r="X2141" s="9">
        <v>0</v>
      </c>
      <c r="AE2141" s="9">
        <f>IFERROR(VLOOKUP($A2141,pivot!$A:$G,計算式2026!AE$1,FALSE),0)</f>
        <v>0</v>
      </c>
      <c r="AF2141" s="9">
        <f>IFERROR(VLOOKUP($A2141,pivot!$A:$I,計算式2026!AF$1,FALSE),0)</f>
        <v>0</v>
      </c>
      <c r="AI2141" s="9">
        <f>IFERROR(VLOOKUP($A2141,pivot!$A:$I,計算式2026!AI$1,FALSE),0)</f>
        <v>0</v>
      </c>
      <c r="AJ2141" s="9">
        <f>IFERROR(VLOOKUP($A2141,pivot!$A:$I,計算式2026!AJ$1,FALSE),0)</f>
        <v>0</v>
      </c>
      <c r="AK2141" s="9">
        <f>IFERROR(VLOOKUP($A2141,pivot!$A:$I,計算式2026!AK$1,FALSE),0)</f>
        <v>0</v>
      </c>
      <c r="AL2141" s="9">
        <f>IFERROR(VLOOKUP($A2141,pivot!$A:$I,計算式2026!AL$1,FALSE),0)</f>
        <v>0</v>
      </c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</row>
    <row r="2142" spans="1:59" s="9" customFormat="1">
      <c r="A2142" s="8" t="s">
        <v>1289</v>
      </c>
      <c r="B2142" s="8" t="s">
        <v>1290</v>
      </c>
      <c r="C2142" s="9">
        <v>3</v>
      </c>
      <c r="D2142" s="9">
        <v>0</v>
      </c>
      <c r="E2142" s="9">
        <v>0</v>
      </c>
      <c r="F2142" s="9">
        <v>0</v>
      </c>
      <c r="G2142" s="9">
        <v>0</v>
      </c>
      <c r="H2142" s="9">
        <v>0</v>
      </c>
      <c r="I2142" s="9">
        <v>0</v>
      </c>
      <c r="J2142" s="9">
        <v>0</v>
      </c>
      <c r="K2142" s="9">
        <v>0</v>
      </c>
      <c r="R2142" s="9">
        <v>0</v>
      </c>
      <c r="S2142" s="9">
        <v>1</v>
      </c>
      <c r="T2142" s="9">
        <v>1</v>
      </c>
      <c r="U2142" s="9">
        <v>0</v>
      </c>
      <c r="V2142" s="9">
        <v>2</v>
      </c>
      <c r="W2142" s="9">
        <v>0</v>
      </c>
      <c r="X2142" s="9">
        <v>1</v>
      </c>
      <c r="AE2142" s="9">
        <f>IFERROR(VLOOKUP($A2142,pivot!$A:$G,計算式2026!AE$1,FALSE),0)</f>
        <v>0</v>
      </c>
      <c r="AF2142" s="9">
        <f>IFERROR(VLOOKUP($A2142,pivot!$A:$I,計算式2026!AF$1,FALSE),0)</f>
        <v>0</v>
      </c>
      <c r="AI2142" s="9">
        <f>IFERROR(VLOOKUP($A2142,pivot!$A:$I,計算式2026!AI$1,FALSE),0)</f>
        <v>0</v>
      </c>
      <c r="AJ2142" s="9">
        <f>IFERROR(VLOOKUP($A2142,pivot!$A:$I,計算式2026!AJ$1,FALSE),0)</f>
        <v>0</v>
      </c>
      <c r="AK2142" s="9">
        <f>IFERROR(VLOOKUP($A2142,pivot!$A:$I,計算式2026!AK$1,FALSE),0)</f>
        <v>0</v>
      </c>
      <c r="AL2142" s="9">
        <f>IFERROR(VLOOKUP($A2142,pivot!$A:$I,計算式2026!AL$1,FALSE),0)</f>
        <v>0</v>
      </c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</row>
    <row r="2143" spans="1:59" s="9" customFormat="1">
      <c r="A2143" s="8" t="s">
        <v>1291</v>
      </c>
      <c r="B2143" s="8" t="s">
        <v>1290</v>
      </c>
      <c r="C2143" s="9">
        <v>0</v>
      </c>
      <c r="D2143" s="9">
        <v>0</v>
      </c>
      <c r="E2143" s="9">
        <v>0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R2143" s="9">
        <v>0</v>
      </c>
      <c r="S2143" s="9">
        <v>0</v>
      </c>
      <c r="T2143" s="9">
        <v>1</v>
      </c>
      <c r="U2143" s="9">
        <v>0</v>
      </c>
      <c r="V2143" s="9">
        <v>2</v>
      </c>
      <c r="W2143" s="9">
        <v>0</v>
      </c>
      <c r="X2143" s="9">
        <v>0</v>
      </c>
      <c r="AE2143" s="9">
        <f>IFERROR(VLOOKUP($A2143,pivot!$A:$G,計算式2026!AE$1,FALSE),0)</f>
        <v>0</v>
      </c>
      <c r="AF2143" s="9">
        <f>IFERROR(VLOOKUP($A2143,pivot!$A:$I,計算式2026!AF$1,FALSE),0)</f>
        <v>0</v>
      </c>
      <c r="AI2143" s="9">
        <f>IFERROR(VLOOKUP($A2143,pivot!$A:$I,計算式2026!AI$1,FALSE),0)</f>
        <v>0</v>
      </c>
      <c r="AJ2143" s="9">
        <f>IFERROR(VLOOKUP($A2143,pivot!$A:$I,計算式2026!AJ$1,FALSE),0)</f>
        <v>0</v>
      </c>
      <c r="AK2143" s="9">
        <f>IFERROR(VLOOKUP($A2143,pivot!$A:$I,計算式2026!AK$1,FALSE),0)</f>
        <v>0</v>
      </c>
      <c r="AL2143" s="9">
        <f>IFERROR(VLOOKUP($A2143,pivot!$A:$I,計算式2026!AL$1,FALSE),0)</f>
        <v>0</v>
      </c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</row>
    <row r="2144" spans="1:59" s="9" customFormat="1">
      <c r="A2144" s="8" t="s">
        <v>1292</v>
      </c>
      <c r="B2144" s="8" t="s">
        <v>1290</v>
      </c>
      <c r="C2144" s="9">
        <v>0</v>
      </c>
      <c r="D2144" s="9">
        <v>0</v>
      </c>
      <c r="E2144" s="9">
        <v>0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  <c r="K2144" s="9">
        <v>0</v>
      </c>
      <c r="R2144" s="9">
        <v>0</v>
      </c>
      <c r="S2144" s="9">
        <v>1</v>
      </c>
      <c r="T2144" s="9">
        <v>1</v>
      </c>
      <c r="U2144" s="9">
        <v>0</v>
      </c>
      <c r="V2144" s="9">
        <v>1</v>
      </c>
      <c r="W2144" s="9">
        <v>0</v>
      </c>
      <c r="X2144" s="9">
        <v>1</v>
      </c>
      <c r="AE2144" s="9">
        <f>IFERROR(VLOOKUP($A2144,pivot!$A:$G,計算式2026!AE$1,FALSE),0)</f>
        <v>0</v>
      </c>
      <c r="AF2144" s="9">
        <f>IFERROR(VLOOKUP($A2144,pivot!$A:$I,計算式2026!AF$1,FALSE),0)</f>
        <v>0</v>
      </c>
      <c r="AI2144" s="9">
        <f>IFERROR(VLOOKUP($A2144,pivot!$A:$I,計算式2026!AI$1,FALSE),0)</f>
        <v>0</v>
      </c>
      <c r="AJ2144" s="9">
        <f>IFERROR(VLOOKUP($A2144,pivot!$A:$I,計算式2026!AJ$1,FALSE),0)</f>
        <v>0</v>
      </c>
      <c r="AK2144" s="9">
        <f>IFERROR(VLOOKUP($A2144,pivot!$A:$I,計算式2026!AK$1,FALSE),0)</f>
        <v>0</v>
      </c>
      <c r="AL2144" s="9">
        <f>IFERROR(VLOOKUP($A2144,pivot!$A:$I,計算式2026!AL$1,FALSE),0)</f>
        <v>0</v>
      </c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</row>
    <row r="2145" spans="1:59" s="9" customFormat="1">
      <c r="A2145" s="8" t="s">
        <v>1293</v>
      </c>
      <c r="B2145" s="8" t="s">
        <v>1290</v>
      </c>
      <c r="C2145" s="9">
        <v>0</v>
      </c>
      <c r="D2145" s="9">
        <v>0</v>
      </c>
      <c r="E2145" s="9">
        <v>0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1</v>
      </c>
      <c r="W2145" s="9">
        <v>0</v>
      </c>
      <c r="X2145" s="9">
        <v>1</v>
      </c>
      <c r="AE2145" s="9">
        <f>IFERROR(VLOOKUP($A2145,pivot!$A:$G,計算式2026!AE$1,FALSE),0)</f>
        <v>0</v>
      </c>
      <c r="AF2145" s="9">
        <f>IFERROR(VLOOKUP($A2145,pivot!$A:$I,計算式2026!AF$1,FALSE),0)</f>
        <v>0</v>
      </c>
      <c r="AI2145" s="9">
        <f>IFERROR(VLOOKUP($A2145,pivot!$A:$I,計算式2026!AI$1,FALSE),0)</f>
        <v>0</v>
      </c>
      <c r="AJ2145" s="9">
        <f>IFERROR(VLOOKUP($A2145,pivot!$A:$I,計算式2026!AJ$1,FALSE),0)</f>
        <v>0</v>
      </c>
      <c r="AK2145" s="9">
        <f>IFERROR(VLOOKUP($A2145,pivot!$A:$I,計算式2026!AK$1,FALSE),0)</f>
        <v>0</v>
      </c>
      <c r="AL2145" s="9">
        <f>IFERROR(VLOOKUP($A2145,pivot!$A:$I,計算式2026!AL$1,FALSE),0)</f>
        <v>0</v>
      </c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</row>
    <row r="2146" spans="1:59" s="9" customFormat="1">
      <c r="A2146" s="8" t="s">
        <v>1294</v>
      </c>
      <c r="B2146" s="8" t="s">
        <v>1290</v>
      </c>
      <c r="C2146" s="9">
        <v>0</v>
      </c>
      <c r="D2146" s="9">
        <v>0</v>
      </c>
      <c r="E2146" s="9">
        <v>0</v>
      </c>
      <c r="F2146" s="9">
        <v>0</v>
      </c>
      <c r="G2146" s="9">
        <v>0</v>
      </c>
      <c r="H2146" s="9">
        <v>0</v>
      </c>
      <c r="I2146" s="9">
        <v>0</v>
      </c>
      <c r="J2146" s="9">
        <v>0</v>
      </c>
      <c r="K2146" s="9">
        <v>0</v>
      </c>
      <c r="R2146" s="9">
        <v>0</v>
      </c>
      <c r="S2146" s="9">
        <v>1</v>
      </c>
      <c r="T2146" s="9">
        <v>1</v>
      </c>
      <c r="U2146" s="9">
        <v>0</v>
      </c>
      <c r="V2146" s="9">
        <v>0</v>
      </c>
      <c r="W2146" s="9">
        <v>0</v>
      </c>
      <c r="X2146" s="9">
        <v>0</v>
      </c>
      <c r="AE2146" s="9">
        <f>IFERROR(VLOOKUP($A2146,pivot!$A:$G,計算式2026!AE$1,FALSE),0)</f>
        <v>0</v>
      </c>
      <c r="AF2146" s="9">
        <f>IFERROR(VLOOKUP($A2146,pivot!$A:$I,計算式2026!AF$1,FALSE),0)</f>
        <v>0</v>
      </c>
      <c r="AI2146" s="9">
        <f>IFERROR(VLOOKUP($A2146,pivot!$A:$I,計算式2026!AI$1,FALSE),0)</f>
        <v>0</v>
      </c>
      <c r="AJ2146" s="9">
        <f>IFERROR(VLOOKUP($A2146,pivot!$A:$I,計算式2026!AJ$1,FALSE),0)</f>
        <v>0</v>
      </c>
      <c r="AK2146" s="9">
        <f>IFERROR(VLOOKUP($A2146,pivot!$A:$I,計算式2026!AK$1,FALSE),0)</f>
        <v>0</v>
      </c>
      <c r="AL2146" s="9">
        <f>IFERROR(VLOOKUP($A2146,pivot!$A:$I,計算式2026!AL$1,FALSE),0)</f>
        <v>0</v>
      </c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</row>
    <row r="2147" spans="1:59" s="9" customFormat="1">
      <c r="A2147" s="8" t="s">
        <v>1295</v>
      </c>
      <c r="B2147" s="8" t="s">
        <v>1290</v>
      </c>
      <c r="C2147" s="9">
        <v>0</v>
      </c>
      <c r="D2147" s="9">
        <v>0</v>
      </c>
      <c r="E2147" s="9">
        <v>0</v>
      </c>
      <c r="F2147" s="9">
        <v>0</v>
      </c>
      <c r="G2147" s="9">
        <v>0</v>
      </c>
      <c r="H2147" s="9">
        <v>0</v>
      </c>
      <c r="I2147" s="9">
        <v>0</v>
      </c>
      <c r="J2147" s="9">
        <v>0</v>
      </c>
      <c r="K2147" s="9">
        <v>0</v>
      </c>
      <c r="R2147" s="9">
        <v>0</v>
      </c>
      <c r="S2147" s="9">
        <v>0</v>
      </c>
      <c r="T2147" s="9">
        <v>1</v>
      </c>
      <c r="U2147" s="9">
        <v>0</v>
      </c>
      <c r="V2147" s="9">
        <v>1</v>
      </c>
      <c r="W2147" s="9">
        <v>0</v>
      </c>
      <c r="X2147" s="9">
        <v>1</v>
      </c>
      <c r="AE2147" s="9">
        <f>IFERROR(VLOOKUP($A2147,pivot!$A:$G,計算式2026!AE$1,FALSE),0)</f>
        <v>0</v>
      </c>
      <c r="AF2147" s="9">
        <f>IFERROR(VLOOKUP($A2147,pivot!$A:$I,計算式2026!AF$1,FALSE),0)</f>
        <v>0</v>
      </c>
      <c r="AI2147" s="9">
        <f>IFERROR(VLOOKUP($A2147,pivot!$A:$I,計算式2026!AI$1,FALSE),0)</f>
        <v>0</v>
      </c>
      <c r="AJ2147" s="9">
        <f>IFERROR(VLOOKUP($A2147,pivot!$A:$I,計算式2026!AJ$1,FALSE),0)</f>
        <v>0</v>
      </c>
      <c r="AK2147" s="9">
        <f>IFERROR(VLOOKUP($A2147,pivot!$A:$I,計算式2026!AK$1,FALSE),0)</f>
        <v>0</v>
      </c>
      <c r="AL2147" s="9">
        <f>IFERROR(VLOOKUP($A2147,pivot!$A:$I,計算式2026!AL$1,FALSE),0)</f>
        <v>0</v>
      </c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</row>
    <row r="2148" spans="1:59" s="9" customFormat="1">
      <c r="A2148" s="8" t="s">
        <v>1296</v>
      </c>
      <c r="B2148" s="8" t="s">
        <v>1290</v>
      </c>
      <c r="C2148" s="9">
        <v>4</v>
      </c>
      <c r="D2148" s="9">
        <v>0</v>
      </c>
      <c r="E2148" s="9">
        <v>0</v>
      </c>
      <c r="F2148" s="9">
        <v>0</v>
      </c>
      <c r="G2148" s="9">
        <v>0</v>
      </c>
      <c r="H2148" s="9">
        <v>0</v>
      </c>
      <c r="I2148" s="9">
        <v>0</v>
      </c>
      <c r="J2148" s="9">
        <v>0</v>
      </c>
      <c r="K2148" s="9">
        <v>0</v>
      </c>
      <c r="R2148" s="9">
        <v>0</v>
      </c>
      <c r="S2148" s="9">
        <v>1</v>
      </c>
      <c r="T2148" s="9">
        <v>1</v>
      </c>
      <c r="U2148" s="9">
        <v>0</v>
      </c>
      <c r="V2148" s="9">
        <v>1</v>
      </c>
      <c r="W2148" s="9">
        <v>0</v>
      </c>
      <c r="X2148" s="9">
        <v>1</v>
      </c>
      <c r="AE2148" s="9">
        <f>IFERROR(VLOOKUP($A2148,pivot!$A:$G,計算式2026!AE$1,FALSE),0)</f>
        <v>0</v>
      </c>
      <c r="AF2148" s="9">
        <f>IFERROR(VLOOKUP($A2148,pivot!$A:$I,計算式2026!AF$1,FALSE),0)</f>
        <v>0</v>
      </c>
      <c r="AI2148" s="9">
        <f>IFERROR(VLOOKUP($A2148,pivot!$A:$I,計算式2026!AI$1,FALSE),0)</f>
        <v>0</v>
      </c>
      <c r="AJ2148" s="9">
        <f>IFERROR(VLOOKUP($A2148,pivot!$A:$I,計算式2026!AJ$1,FALSE),0)</f>
        <v>0</v>
      </c>
      <c r="AK2148" s="9">
        <f>IFERROR(VLOOKUP($A2148,pivot!$A:$I,計算式2026!AK$1,FALSE),0)</f>
        <v>0</v>
      </c>
      <c r="AL2148" s="9">
        <f>IFERROR(VLOOKUP($A2148,pivot!$A:$I,計算式2026!AL$1,FALSE),0)</f>
        <v>0</v>
      </c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</row>
    <row r="2149" spans="1:59" s="9" customFormat="1">
      <c r="A2149" s="8" t="s">
        <v>1297</v>
      </c>
      <c r="B2149" s="8" t="s">
        <v>1290</v>
      </c>
      <c r="C2149" s="9">
        <v>0</v>
      </c>
      <c r="D2149" s="9">
        <v>0</v>
      </c>
      <c r="E2149" s="9">
        <v>0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  <c r="K2149" s="9">
        <v>0</v>
      </c>
      <c r="R2149" s="9">
        <v>0</v>
      </c>
      <c r="S2149" s="9">
        <v>1</v>
      </c>
      <c r="T2149" s="9">
        <v>0</v>
      </c>
      <c r="U2149" s="9">
        <v>0</v>
      </c>
      <c r="V2149" s="9">
        <v>1</v>
      </c>
      <c r="W2149" s="9">
        <v>0</v>
      </c>
      <c r="X2149" s="9">
        <v>0</v>
      </c>
      <c r="AE2149" s="9">
        <f>IFERROR(VLOOKUP($A2149,pivot!$A:$G,計算式2026!AE$1,FALSE),0)</f>
        <v>0</v>
      </c>
      <c r="AF2149" s="9">
        <f>IFERROR(VLOOKUP($A2149,pivot!$A:$I,計算式2026!AF$1,FALSE),0)</f>
        <v>0</v>
      </c>
      <c r="AI2149" s="9">
        <f>IFERROR(VLOOKUP($A2149,pivot!$A:$I,計算式2026!AI$1,FALSE),0)</f>
        <v>0</v>
      </c>
      <c r="AJ2149" s="9">
        <f>IFERROR(VLOOKUP($A2149,pivot!$A:$I,計算式2026!AJ$1,FALSE),0)</f>
        <v>0</v>
      </c>
      <c r="AK2149" s="9">
        <f>IFERROR(VLOOKUP($A2149,pivot!$A:$I,計算式2026!AK$1,FALSE),0)</f>
        <v>0</v>
      </c>
      <c r="AL2149" s="9">
        <f>IFERROR(VLOOKUP($A2149,pivot!$A:$I,計算式2026!AL$1,FALSE),0)</f>
        <v>0</v>
      </c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</row>
    <row r="2150" spans="1:59" s="9" customFormat="1">
      <c r="A2150" s="8" t="s">
        <v>1298</v>
      </c>
      <c r="B2150" s="8" t="s">
        <v>1290</v>
      </c>
      <c r="C2150" s="9">
        <v>0</v>
      </c>
      <c r="D2150" s="9">
        <v>0</v>
      </c>
      <c r="E2150" s="9">
        <v>0</v>
      </c>
      <c r="F2150" s="9">
        <v>0</v>
      </c>
      <c r="G2150" s="9">
        <v>0</v>
      </c>
      <c r="H2150" s="9">
        <v>0</v>
      </c>
      <c r="I2150" s="9">
        <v>0</v>
      </c>
      <c r="J2150" s="9">
        <v>0</v>
      </c>
      <c r="K2150" s="9">
        <v>0</v>
      </c>
      <c r="R2150" s="9">
        <v>0</v>
      </c>
      <c r="S2150" s="9">
        <v>0</v>
      </c>
      <c r="T2150" s="9">
        <v>1</v>
      </c>
      <c r="U2150" s="9">
        <v>0</v>
      </c>
      <c r="V2150" s="9">
        <v>2</v>
      </c>
      <c r="W2150" s="9">
        <v>0</v>
      </c>
      <c r="X2150" s="9">
        <v>1</v>
      </c>
      <c r="AE2150" s="9">
        <f>IFERROR(VLOOKUP($A2150,pivot!$A:$G,計算式2026!AE$1,FALSE),0)</f>
        <v>0</v>
      </c>
      <c r="AF2150" s="9">
        <f>IFERROR(VLOOKUP($A2150,pivot!$A:$I,計算式2026!AF$1,FALSE),0)</f>
        <v>0</v>
      </c>
      <c r="AI2150" s="9">
        <f>IFERROR(VLOOKUP($A2150,pivot!$A:$I,計算式2026!AI$1,FALSE),0)</f>
        <v>0</v>
      </c>
      <c r="AJ2150" s="9">
        <f>IFERROR(VLOOKUP($A2150,pivot!$A:$I,計算式2026!AJ$1,FALSE),0)</f>
        <v>0</v>
      </c>
      <c r="AK2150" s="9">
        <f>IFERROR(VLOOKUP($A2150,pivot!$A:$I,計算式2026!AK$1,FALSE),0)</f>
        <v>0</v>
      </c>
      <c r="AL2150" s="9">
        <f>IFERROR(VLOOKUP($A2150,pivot!$A:$I,計算式2026!AL$1,FALSE),0)</f>
        <v>0</v>
      </c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</row>
    <row r="2151" spans="1:59" s="9" customFormat="1">
      <c r="A2151" s="8" t="s">
        <v>1299</v>
      </c>
      <c r="B2151" s="8" t="s">
        <v>1290</v>
      </c>
      <c r="C2151" s="9">
        <v>0</v>
      </c>
      <c r="D2151" s="9">
        <v>0</v>
      </c>
      <c r="E2151" s="9">
        <v>0</v>
      </c>
      <c r="F2151" s="9">
        <v>0</v>
      </c>
      <c r="G2151" s="9">
        <v>0</v>
      </c>
      <c r="H2151" s="9">
        <v>0</v>
      </c>
      <c r="I2151" s="9">
        <v>0</v>
      </c>
      <c r="J2151" s="9">
        <v>0</v>
      </c>
      <c r="K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1</v>
      </c>
      <c r="W2151" s="9">
        <v>0</v>
      </c>
      <c r="X2151" s="9">
        <v>0</v>
      </c>
      <c r="AE2151" s="9">
        <f>IFERROR(VLOOKUP($A2151,pivot!$A:$G,計算式2026!AE$1,FALSE),0)</f>
        <v>0</v>
      </c>
      <c r="AF2151" s="9">
        <f>IFERROR(VLOOKUP($A2151,pivot!$A:$I,計算式2026!AF$1,FALSE),0)</f>
        <v>0</v>
      </c>
      <c r="AI2151" s="9">
        <f>IFERROR(VLOOKUP($A2151,pivot!$A:$I,計算式2026!AI$1,FALSE),0)</f>
        <v>0</v>
      </c>
      <c r="AJ2151" s="9">
        <f>IFERROR(VLOOKUP($A2151,pivot!$A:$I,計算式2026!AJ$1,FALSE),0)</f>
        <v>0</v>
      </c>
      <c r="AK2151" s="9">
        <f>IFERROR(VLOOKUP($A2151,pivot!$A:$I,計算式2026!AK$1,FALSE),0)</f>
        <v>0</v>
      </c>
      <c r="AL2151" s="9">
        <f>IFERROR(VLOOKUP($A2151,pivot!$A:$I,計算式2026!AL$1,FALSE),0)</f>
        <v>0</v>
      </c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</row>
    <row r="2152" spans="1:59" s="9" customFormat="1">
      <c r="A2152" s="8" t="s">
        <v>2440</v>
      </c>
      <c r="B2152" s="8" t="s">
        <v>2441</v>
      </c>
      <c r="C2152" s="9">
        <v>0</v>
      </c>
      <c r="D2152" s="9">
        <v>0</v>
      </c>
      <c r="E2152" s="9">
        <v>0</v>
      </c>
      <c r="F2152" s="9">
        <v>0</v>
      </c>
      <c r="G2152" s="9">
        <v>0</v>
      </c>
      <c r="H2152" s="9">
        <v>0</v>
      </c>
      <c r="I2152" s="9">
        <v>0</v>
      </c>
      <c r="J2152" s="9">
        <v>0</v>
      </c>
      <c r="K2152" s="9">
        <v>0</v>
      </c>
      <c r="R2152" s="9">
        <v>0</v>
      </c>
      <c r="S2152" s="9">
        <v>0</v>
      </c>
      <c r="T2152" s="9">
        <v>1</v>
      </c>
      <c r="U2152" s="9">
        <v>0</v>
      </c>
      <c r="V2152" s="9">
        <v>1</v>
      </c>
      <c r="W2152" s="9">
        <v>0</v>
      </c>
      <c r="X2152" s="9">
        <v>1</v>
      </c>
      <c r="AE2152" s="9">
        <f>IFERROR(VLOOKUP($A2152,pivot!$A:$G,計算式2026!AE$1,FALSE),0)</f>
        <v>0</v>
      </c>
      <c r="AF2152" s="9">
        <f>IFERROR(VLOOKUP($A2152,pivot!$A:$I,計算式2026!AF$1,FALSE),0)</f>
        <v>0</v>
      </c>
      <c r="AI2152" s="9">
        <f>IFERROR(VLOOKUP($A2152,pivot!$A:$I,計算式2026!AI$1,FALSE),0)</f>
        <v>0</v>
      </c>
      <c r="AJ2152" s="9">
        <f>IFERROR(VLOOKUP($A2152,pivot!$A:$I,計算式2026!AJ$1,FALSE),0)</f>
        <v>0</v>
      </c>
      <c r="AK2152" s="9">
        <f>IFERROR(VLOOKUP($A2152,pivot!$A:$I,計算式2026!AK$1,FALSE),0)</f>
        <v>0</v>
      </c>
      <c r="AL2152" s="9">
        <f>IFERROR(VLOOKUP($A2152,pivot!$A:$I,計算式2026!AL$1,FALSE),0)</f>
        <v>0</v>
      </c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</row>
    <row r="2153" spans="1:59" s="9" customFormat="1">
      <c r="A2153" s="8" t="s">
        <v>2442</v>
      </c>
      <c r="B2153" s="8" t="s">
        <v>2441</v>
      </c>
      <c r="C2153" s="9">
        <v>0</v>
      </c>
      <c r="D2153" s="9">
        <v>0</v>
      </c>
      <c r="E2153" s="9">
        <v>0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R2153" s="9">
        <v>1</v>
      </c>
      <c r="S2153" s="9">
        <v>1</v>
      </c>
      <c r="T2153" s="9">
        <v>1</v>
      </c>
      <c r="U2153" s="9">
        <v>0</v>
      </c>
      <c r="V2153" s="9">
        <v>1</v>
      </c>
      <c r="W2153" s="9">
        <v>0</v>
      </c>
      <c r="X2153" s="9">
        <v>1</v>
      </c>
      <c r="AE2153" s="9">
        <f>IFERROR(VLOOKUP($A2153,pivot!$A:$G,計算式2026!AE$1,FALSE),0)</f>
        <v>0</v>
      </c>
      <c r="AF2153" s="9">
        <f>IFERROR(VLOOKUP($A2153,pivot!$A:$I,計算式2026!AF$1,FALSE),0)</f>
        <v>0</v>
      </c>
      <c r="AI2153" s="9">
        <f>IFERROR(VLOOKUP($A2153,pivot!$A:$I,計算式2026!AI$1,FALSE),0)</f>
        <v>0</v>
      </c>
      <c r="AJ2153" s="9">
        <f>IFERROR(VLOOKUP($A2153,pivot!$A:$I,計算式2026!AJ$1,FALSE),0)</f>
        <v>0</v>
      </c>
      <c r="AK2153" s="9">
        <f>IFERROR(VLOOKUP($A2153,pivot!$A:$I,計算式2026!AK$1,FALSE),0)</f>
        <v>0</v>
      </c>
      <c r="AL2153" s="9">
        <f>IFERROR(VLOOKUP($A2153,pivot!$A:$I,計算式2026!AL$1,FALSE),0)</f>
        <v>0</v>
      </c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</row>
    <row r="2154" spans="1:59" s="9" customFormat="1">
      <c r="A2154" s="8" t="s">
        <v>2443</v>
      </c>
      <c r="B2154" s="8" t="s">
        <v>2441</v>
      </c>
      <c r="C2154" s="9">
        <v>0</v>
      </c>
      <c r="D2154" s="9">
        <v>0</v>
      </c>
      <c r="E2154" s="9">
        <v>0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1</v>
      </c>
      <c r="W2154" s="9">
        <v>0</v>
      </c>
      <c r="X2154" s="9">
        <v>1</v>
      </c>
      <c r="AE2154" s="9">
        <f>IFERROR(VLOOKUP($A2154,pivot!$A:$G,計算式2026!AE$1,FALSE),0)</f>
        <v>0</v>
      </c>
      <c r="AF2154" s="9">
        <f>IFERROR(VLOOKUP($A2154,pivot!$A:$I,計算式2026!AF$1,FALSE),0)</f>
        <v>0</v>
      </c>
      <c r="AI2154" s="9">
        <f>IFERROR(VLOOKUP($A2154,pivot!$A:$I,計算式2026!AI$1,FALSE),0)</f>
        <v>0</v>
      </c>
      <c r="AJ2154" s="9">
        <f>IFERROR(VLOOKUP($A2154,pivot!$A:$I,計算式2026!AJ$1,FALSE),0)</f>
        <v>0</v>
      </c>
      <c r="AK2154" s="9">
        <f>IFERROR(VLOOKUP($A2154,pivot!$A:$I,計算式2026!AK$1,FALSE),0)</f>
        <v>0</v>
      </c>
      <c r="AL2154" s="9">
        <f>IFERROR(VLOOKUP($A2154,pivot!$A:$I,計算式2026!AL$1,FALSE),0)</f>
        <v>0</v>
      </c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</row>
    <row r="2155" spans="1:59" s="9" customFormat="1">
      <c r="A2155" s="8" t="s">
        <v>2444</v>
      </c>
      <c r="B2155" s="8" t="s">
        <v>2441</v>
      </c>
      <c r="C2155" s="9">
        <v>0</v>
      </c>
      <c r="D2155" s="9">
        <v>0</v>
      </c>
      <c r="E2155" s="9">
        <v>0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AE2155" s="9">
        <f>IFERROR(VLOOKUP($A2155,pivot!$A:$G,計算式2026!AE$1,FALSE),0)</f>
        <v>0</v>
      </c>
      <c r="AF2155" s="9">
        <f>IFERROR(VLOOKUP($A2155,pivot!$A:$I,計算式2026!AF$1,FALSE),0)</f>
        <v>0</v>
      </c>
      <c r="AI2155" s="9">
        <f>IFERROR(VLOOKUP($A2155,pivot!$A:$I,計算式2026!AI$1,FALSE),0)</f>
        <v>0</v>
      </c>
      <c r="AJ2155" s="9">
        <f>IFERROR(VLOOKUP($A2155,pivot!$A:$I,計算式2026!AJ$1,FALSE),0)</f>
        <v>0</v>
      </c>
      <c r="AK2155" s="9">
        <f>IFERROR(VLOOKUP($A2155,pivot!$A:$I,計算式2026!AK$1,FALSE),0)</f>
        <v>0</v>
      </c>
      <c r="AL2155" s="9">
        <f>IFERROR(VLOOKUP($A2155,pivot!$A:$I,計算式2026!AL$1,FALSE),0)</f>
        <v>0</v>
      </c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</row>
    <row r="2156" spans="1:59" s="9" customFormat="1">
      <c r="A2156" s="8" t="s">
        <v>2445</v>
      </c>
      <c r="B2156" s="8" t="s">
        <v>2446</v>
      </c>
      <c r="C2156" s="9">
        <v>1</v>
      </c>
      <c r="D2156" s="9">
        <v>0</v>
      </c>
      <c r="E2156" s="9">
        <v>0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1</v>
      </c>
      <c r="W2156" s="9">
        <v>0</v>
      </c>
      <c r="X2156" s="9">
        <v>1</v>
      </c>
      <c r="AE2156" s="9">
        <f>IFERROR(VLOOKUP($A2156,pivot!$A:$G,計算式2026!AE$1,FALSE),0)</f>
        <v>0</v>
      </c>
      <c r="AF2156" s="9">
        <f>IFERROR(VLOOKUP($A2156,pivot!$A:$I,計算式2026!AF$1,FALSE),0)</f>
        <v>0</v>
      </c>
      <c r="AI2156" s="9">
        <f>IFERROR(VLOOKUP($A2156,pivot!$A:$I,計算式2026!AI$1,FALSE),0)</f>
        <v>0</v>
      </c>
      <c r="AJ2156" s="9">
        <f>IFERROR(VLOOKUP($A2156,pivot!$A:$I,計算式2026!AJ$1,FALSE),0)</f>
        <v>0</v>
      </c>
      <c r="AK2156" s="9">
        <f>IFERROR(VLOOKUP($A2156,pivot!$A:$I,計算式2026!AK$1,FALSE),0)</f>
        <v>0</v>
      </c>
      <c r="AL2156" s="9">
        <f>IFERROR(VLOOKUP($A2156,pivot!$A:$I,計算式2026!AL$1,FALSE),0)</f>
        <v>0</v>
      </c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</row>
    <row r="2157" spans="1:59" s="9" customFormat="1">
      <c r="A2157" s="8" t="s">
        <v>2447</v>
      </c>
      <c r="B2157" s="8" t="s">
        <v>2446</v>
      </c>
      <c r="C2157" s="9">
        <v>0</v>
      </c>
      <c r="D2157" s="9">
        <v>0</v>
      </c>
      <c r="E2157" s="9">
        <v>0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  <c r="K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1</v>
      </c>
      <c r="W2157" s="9">
        <v>0</v>
      </c>
      <c r="X2157" s="9">
        <v>1</v>
      </c>
      <c r="AE2157" s="9">
        <f>IFERROR(VLOOKUP($A2157,pivot!$A:$G,計算式2026!AE$1,FALSE),0)</f>
        <v>0</v>
      </c>
      <c r="AF2157" s="9">
        <f>IFERROR(VLOOKUP($A2157,pivot!$A:$I,計算式2026!AF$1,FALSE),0)</f>
        <v>0</v>
      </c>
      <c r="AI2157" s="9">
        <f>IFERROR(VLOOKUP($A2157,pivot!$A:$I,計算式2026!AI$1,FALSE),0)</f>
        <v>0</v>
      </c>
      <c r="AJ2157" s="9">
        <f>IFERROR(VLOOKUP($A2157,pivot!$A:$I,計算式2026!AJ$1,FALSE),0)</f>
        <v>0</v>
      </c>
      <c r="AK2157" s="9">
        <f>IFERROR(VLOOKUP($A2157,pivot!$A:$I,計算式2026!AK$1,FALSE),0)</f>
        <v>0</v>
      </c>
      <c r="AL2157" s="9">
        <f>IFERROR(VLOOKUP($A2157,pivot!$A:$I,計算式2026!AL$1,FALSE),0)</f>
        <v>0</v>
      </c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</row>
    <row r="2158" spans="1:59" s="9" customFormat="1">
      <c r="A2158" s="8" t="s">
        <v>2448</v>
      </c>
      <c r="B2158" s="8" t="s">
        <v>2446</v>
      </c>
      <c r="C2158" s="9">
        <v>0</v>
      </c>
      <c r="D2158" s="9">
        <v>0</v>
      </c>
      <c r="E2158" s="9">
        <v>0</v>
      </c>
      <c r="F2158" s="9">
        <v>0</v>
      </c>
      <c r="G2158" s="9">
        <v>0</v>
      </c>
      <c r="H2158" s="9">
        <v>0</v>
      </c>
      <c r="I2158" s="9">
        <v>0</v>
      </c>
      <c r="J2158" s="9">
        <v>0</v>
      </c>
      <c r="K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1</v>
      </c>
      <c r="W2158" s="9">
        <v>0</v>
      </c>
      <c r="X2158" s="9">
        <v>1</v>
      </c>
      <c r="AE2158" s="9">
        <f>IFERROR(VLOOKUP($A2158,pivot!$A:$G,計算式2026!AE$1,FALSE),0)</f>
        <v>0</v>
      </c>
      <c r="AF2158" s="9">
        <f>IFERROR(VLOOKUP($A2158,pivot!$A:$I,計算式2026!AF$1,FALSE),0)</f>
        <v>0</v>
      </c>
      <c r="AI2158" s="9">
        <f>IFERROR(VLOOKUP($A2158,pivot!$A:$I,計算式2026!AI$1,FALSE),0)</f>
        <v>0</v>
      </c>
      <c r="AJ2158" s="9">
        <f>IFERROR(VLOOKUP($A2158,pivot!$A:$I,計算式2026!AJ$1,FALSE),0)</f>
        <v>0</v>
      </c>
      <c r="AK2158" s="9">
        <f>IFERROR(VLOOKUP($A2158,pivot!$A:$I,計算式2026!AK$1,FALSE),0)</f>
        <v>0</v>
      </c>
      <c r="AL2158" s="9">
        <f>IFERROR(VLOOKUP($A2158,pivot!$A:$I,計算式2026!AL$1,FALSE),0)</f>
        <v>0</v>
      </c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</row>
    <row r="2159" spans="1:59" s="9" customFormat="1">
      <c r="A2159" s="8" t="s">
        <v>1300</v>
      </c>
      <c r="B2159" s="8" t="s">
        <v>1301</v>
      </c>
      <c r="C2159" s="9">
        <v>0</v>
      </c>
      <c r="D2159" s="9">
        <v>0</v>
      </c>
      <c r="E2159" s="9">
        <v>0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  <c r="K2159" s="9">
        <v>0</v>
      </c>
      <c r="R2159" s="9">
        <v>1</v>
      </c>
      <c r="S2159" s="9">
        <v>1</v>
      </c>
      <c r="T2159" s="9">
        <v>1</v>
      </c>
      <c r="U2159" s="9">
        <v>0</v>
      </c>
      <c r="V2159" s="9">
        <v>0</v>
      </c>
      <c r="W2159" s="9">
        <v>0</v>
      </c>
      <c r="X2159" s="9">
        <v>1</v>
      </c>
      <c r="AE2159" s="9">
        <f>IFERROR(VLOOKUP($A2159,pivot!$A:$G,計算式2026!AE$1,FALSE),0)</f>
        <v>0</v>
      </c>
      <c r="AF2159" s="9">
        <f>IFERROR(VLOOKUP($A2159,pivot!$A:$I,計算式2026!AF$1,FALSE),0)</f>
        <v>0</v>
      </c>
      <c r="AI2159" s="9">
        <f>IFERROR(VLOOKUP($A2159,pivot!$A:$I,計算式2026!AI$1,FALSE),0)</f>
        <v>0</v>
      </c>
      <c r="AJ2159" s="9">
        <f>IFERROR(VLOOKUP($A2159,pivot!$A:$I,計算式2026!AJ$1,FALSE),0)</f>
        <v>0</v>
      </c>
      <c r="AK2159" s="9">
        <f>IFERROR(VLOOKUP($A2159,pivot!$A:$I,計算式2026!AK$1,FALSE),0)</f>
        <v>0</v>
      </c>
      <c r="AL2159" s="9">
        <f>IFERROR(VLOOKUP($A2159,pivot!$A:$I,計算式2026!AL$1,FALSE),0)</f>
        <v>0</v>
      </c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</row>
    <row r="2160" spans="1:59" s="9" customFormat="1">
      <c r="A2160" s="8" t="s">
        <v>1302</v>
      </c>
      <c r="B2160" s="8" t="s">
        <v>1301</v>
      </c>
      <c r="C2160" s="9">
        <v>0</v>
      </c>
      <c r="D2160" s="9">
        <v>0</v>
      </c>
      <c r="E2160" s="9">
        <v>0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  <c r="K2160" s="9">
        <v>0</v>
      </c>
      <c r="R2160" s="9">
        <v>1</v>
      </c>
      <c r="S2160" s="9">
        <v>0</v>
      </c>
      <c r="T2160" s="9">
        <v>1</v>
      </c>
      <c r="U2160" s="9">
        <v>0</v>
      </c>
      <c r="V2160" s="9">
        <v>0</v>
      </c>
      <c r="W2160" s="9">
        <v>0</v>
      </c>
      <c r="X2160" s="9">
        <v>1</v>
      </c>
      <c r="AE2160" s="9">
        <f>IFERROR(VLOOKUP($A2160,pivot!$A:$G,計算式2026!AE$1,FALSE),0)</f>
        <v>0</v>
      </c>
      <c r="AF2160" s="9">
        <f>IFERROR(VLOOKUP($A2160,pivot!$A:$I,計算式2026!AF$1,FALSE),0)</f>
        <v>0</v>
      </c>
      <c r="AI2160" s="9">
        <f>IFERROR(VLOOKUP($A2160,pivot!$A:$I,計算式2026!AI$1,FALSE),0)</f>
        <v>0</v>
      </c>
      <c r="AJ2160" s="9">
        <f>IFERROR(VLOOKUP($A2160,pivot!$A:$I,計算式2026!AJ$1,FALSE),0)</f>
        <v>0</v>
      </c>
      <c r="AK2160" s="9">
        <f>IFERROR(VLOOKUP($A2160,pivot!$A:$I,計算式2026!AK$1,FALSE),0)</f>
        <v>0</v>
      </c>
      <c r="AL2160" s="9">
        <f>IFERROR(VLOOKUP($A2160,pivot!$A:$I,計算式2026!AL$1,FALSE),0)</f>
        <v>0</v>
      </c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</row>
    <row r="2161" spans="1:59" s="9" customFormat="1">
      <c r="A2161" s="8" t="s">
        <v>1303</v>
      </c>
      <c r="B2161" s="8" t="s">
        <v>1301</v>
      </c>
      <c r="C2161" s="9">
        <v>0</v>
      </c>
      <c r="D2161" s="9">
        <v>0</v>
      </c>
      <c r="E2161" s="9">
        <v>0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0</v>
      </c>
      <c r="R2161" s="9">
        <v>1</v>
      </c>
      <c r="S2161" s="9">
        <v>1</v>
      </c>
      <c r="T2161" s="9">
        <v>1</v>
      </c>
      <c r="U2161" s="9">
        <v>0</v>
      </c>
      <c r="V2161" s="9">
        <v>1</v>
      </c>
      <c r="W2161" s="9">
        <v>0</v>
      </c>
      <c r="X2161" s="9">
        <v>1</v>
      </c>
      <c r="AE2161" s="9">
        <f>IFERROR(VLOOKUP($A2161,pivot!$A:$G,計算式2026!AE$1,FALSE),0)</f>
        <v>0</v>
      </c>
      <c r="AF2161" s="9">
        <f>IFERROR(VLOOKUP($A2161,pivot!$A:$I,計算式2026!AF$1,FALSE),0)</f>
        <v>0</v>
      </c>
      <c r="AI2161" s="9">
        <f>IFERROR(VLOOKUP($A2161,pivot!$A:$I,計算式2026!AI$1,FALSE),0)</f>
        <v>0</v>
      </c>
      <c r="AJ2161" s="9">
        <f>IFERROR(VLOOKUP($A2161,pivot!$A:$I,計算式2026!AJ$1,FALSE),0)</f>
        <v>0</v>
      </c>
      <c r="AK2161" s="9">
        <f>IFERROR(VLOOKUP($A2161,pivot!$A:$I,計算式2026!AK$1,FALSE),0)</f>
        <v>0</v>
      </c>
      <c r="AL2161" s="9">
        <f>IFERROR(VLOOKUP($A2161,pivot!$A:$I,計算式2026!AL$1,FALSE),0)</f>
        <v>0</v>
      </c>
      <c r="AR2161" s="8"/>
      <c r="AS2161" s="8"/>
      <c r="AT2161" s="8"/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</row>
    <row r="2162" spans="1:59" s="9" customFormat="1">
      <c r="A2162" s="8" t="s">
        <v>1304</v>
      </c>
      <c r="B2162" s="8" t="s">
        <v>1301</v>
      </c>
      <c r="C2162" s="9">
        <v>0</v>
      </c>
      <c r="D2162" s="9">
        <v>0</v>
      </c>
      <c r="E2162" s="9">
        <v>0</v>
      </c>
      <c r="F2162" s="9">
        <v>0</v>
      </c>
      <c r="G2162" s="9">
        <v>0</v>
      </c>
      <c r="H2162" s="9">
        <v>0</v>
      </c>
      <c r="I2162" s="9">
        <v>0</v>
      </c>
      <c r="J2162" s="9">
        <v>0</v>
      </c>
      <c r="K2162" s="9">
        <v>0</v>
      </c>
      <c r="R2162" s="9">
        <v>0</v>
      </c>
      <c r="S2162" s="9">
        <v>2</v>
      </c>
      <c r="T2162" s="9">
        <v>0</v>
      </c>
      <c r="U2162" s="9">
        <v>0</v>
      </c>
      <c r="V2162" s="9">
        <v>0</v>
      </c>
      <c r="W2162" s="9">
        <v>0</v>
      </c>
      <c r="X2162" s="9">
        <v>1</v>
      </c>
      <c r="AE2162" s="9">
        <f>IFERROR(VLOOKUP($A2162,pivot!$A:$G,計算式2026!AE$1,FALSE),0)</f>
        <v>0</v>
      </c>
      <c r="AF2162" s="9">
        <f>IFERROR(VLOOKUP($A2162,pivot!$A:$I,計算式2026!AF$1,FALSE),0)</f>
        <v>0</v>
      </c>
      <c r="AI2162" s="9">
        <f>IFERROR(VLOOKUP($A2162,pivot!$A:$I,計算式2026!AI$1,FALSE),0)</f>
        <v>0</v>
      </c>
      <c r="AJ2162" s="9">
        <f>IFERROR(VLOOKUP($A2162,pivot!$A:$I,計算式2026!AJ$1,FALSE),0)</f>
        <v>0</v>
      </c>
      <c r="AK2162" s="9">
        <f>IFERROR(VLOOKUP($A2162,pivot!$A:$I,計算式2026!AK$1,FALSE),0)</f>
        <v>0</v>
      </c>
      <c r="AL2162" s="9">
        <f>IFERROR(VLOOKUP($A2162,pivot!$A:$I,計算式2026!AL$1,FALSE),0)</f>
        <v>0</v>
      </c>
      <c r="AR2162" s="8"/>
      <c r="AS2162" s="8"/>
      <c r="AT2162" s="8"/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</row>
    <row r="2163" spans="1:59" s="9" customFormat="1">
      <c r="A2163" s="8" t="s">
        <v>1305</v>
      </c>
      <c r="B2163" s="8" t="s">
        <v>1301</v>
      </c>
      <c r="C2163" s="9">
        <v>0</v>
      </c>
      <c r="D2163" s="9">
        <v>0</v>
      </c>
      <c r="E2163" s="9">
        <v>0</v>
      </c>
      <c r="F2163" s="9">
        <v>0</v>
      </c>
      <c r="G2163" s="9">
        <v>0</v>
      </c>
      <c r="H2163" s="9">
        <v>0</v>
      </c>
      <c r="I2163" s="9">
        <v>0</v>
      </c>
      <c r="J2163" s="9">
        <v>0</v>
      </c>
      <c r="K2163" s="9">
        <v>0</v>
      </c>
      <c r="R2163" s="9">
        <v>1</v>
      </c>
      <c r="S2163" s="9">
        <v>2</v>
      </c>
      <c r="T2163" s="9">
        <v>0</v>
      </c>
      <c r="U2163" s="9">
        <v>0</v>
      </c>
      <c r="V2163" s="9">
        <v>1</v>
      </c>
      <c r="W2163" s="9">
        <v>0</v>
      </c>
      <c r="X2163" s="9">
        <v>1</v>
      </c>
      <c r="AE2163" s="9">
        <f>IFERROR(VLOOKUP($A2163,pivot!$A:$G,計算式2026!AE$1,FALSE),0)</f>
        <v>0</v>
      </c>
      <c r="AF2163" s="9">
        <f>IFERROR(VLOOKUP($A2163,pivot!$A:$I,計算式2026!AF$1,FALSE),0)</f>
        <v>0</v>
      </c>
      <c r="AI2163" s="9">
        <f>IFERROR(VLOOKUP($A2163,pivot!$A:$I,計算式2026!AI$1,FALSE),0)</f>
        <v>0</v>
      </c>
      <c r="AJ2163" s="9">
        <f>IFERROR(VLOOKUP($A2163,pivot!$A:$I,計算式2026!AJ$1,FALSE),0)</f>
        <v>0</v>
      </c>
      <c r="AK2163" s="9">
        <f>IFERROR(VLOOKUP($A2163,pivot!$A:$I,計算式2026!AK$1,FALSE),0)</f>
        <v>0</v>
      </c>
      <c r="AL2163" s="9">
        <f>IFERROR(VLOOKUP($A2163,pivot!$A:$I,計算式2026!AL$1,FALSE),0)</f>
        <v>0</v>
      </c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</row>
    <row r="2164" spans="1:59" s="9" customFormat="1">
      <c r="A2164" s="8" t="s">
        <v>1306</v>
      </c>
      <c r="B2164" s="8" t="s">
        <v>1301</v>
      </c>
      <c r="C2164" s="9">
        <v>0</v>
      </c>
      <c r="D2164" s="9">
        <v>0</v>
      </c>
      <c r="E2164" s="9">
        <v>0</v>
      </c>
      <c r="F2164" s="9">
        <v>0</v>
      </c>
      <c r="G2164" s="9">
        <v>0</v>
      </c>
      <c r="H2164" s="9">
        <v>0</v>
      </c>
      <c r="I2164" s="9">
        <v>0</v>
      </c>
      <c r="J2164" s="9">
        <v>0</v>
      </c>
      <c r="K2164" s="9">
        <v>0</v>
      </c>
      <c r="R2164" s="9">
        <v>1</v>
      </c>
      <c r="S2164" s="9">
        <v>0</v>
      </c>
      <c r="T2164" s="9">
        <v>1</v>
      </c>
      <c r="U2164" s="9">
        <v>0</v>
      </c>
      <c r="V2164" s="9">
        <v>0</v>
      </c>
      <c r="W2164" s="9">
        <v>0</v>
      </c>
      <c r="X2164" s="9">
        <v>1</v>
      </c>
      <c r="AE2164" s="9">
        <f>IFERROR(VLOOKUP($A2164,pivot!$A:$G,計算式2026!AE$1,FALSE),0)</f>
        <v>0</v>
      </c>
      <c r="AF2164" s="9">
        <f>IFERROR(VLOOKUP($A2164,pivot!$A:$I,計算式2026!AF$1,FALSE),0)</f>
        <v>0</v>
      </c>
      <c r="AI2164" s="9">
        <f>IFERROR(VLOOKUP($A2164,pivot!$A:$I,計算式2026!AI$1,FALSE),0)</f>
        <v>0</v>
      </c>
      <c r="AJ2164" s="9">
        <f>IFERROR(VLOOKUP($A2164,pivot!$A:$I,計算式2026!AJ$1,FALSE),0)</f>
        <v>0</v>
      </c>
      <c r="AK2164" s="9">
        <f>IFERROR(VLOOKUP($A2164,pivot!$A:$I,計算式2026!AK$1,FALSE),0)</f>
        <v>0</v>
      </c>
      <c r="AL2164" s="9">
        <f>IFERROR(VLOOKUP($A2164,pivot!$A:$I,計算式2026!AL$1,FALSE),0)</f>
        <v>0</v>
      </c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</row>
    <row r="2165" spans="1:59" s="9" customFormat="1">
      <c r="A2165" s="8" t="s">
        <v>1307</v>
      </c>
      <c r="B2165" s="8" t="s">
        <v>1301</v>
      </c>
      <c r="C2165" s="9">
        <v>0</v>
      </c>
      <c r="D2165" s="9">
        <v>0</v>
      </c>
      <c r="E2165" s="9">
        <v>0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1</v>
      </c>
      <c r="W2165" s="9">
        <v>0</v>
      </c>
      <c r="X2165" s="9">
        <v>1</v>
      </c>
      <c r="AE2165" s="9">
        <f>IFERROR(VLOOKUP($A2165,pivot!$A:$G,計算式2026!AE$1,FALSE),0)</f>
        <v>0</v>
      </c>
      <c r="AF2165" s="9">
        <f>IFERROR(VLOOKUP($A2165,pivot!$A:$I,計算式2026!AF$1,FALSE),0)</f>
        <v>0</v>
      </c>
      <c r="AI2165" s="9">
        <f>IFERROR(VLOOKUP($A2165,pivot!$A:$I,計算式2026!AI$1,FALSE),0)</f>
        <v>0</v>
      </c>
      <c r="AJ2165" s="9">
        <f>IFERROR(VLOOKUP($A2165,pivot!$A:$I,計算式2026!AJ$1,FALSE),0)</f>
        <v>0</v>
      </c>
      <c r="AK2165" s="9">
        <f>IFERROR(VLOOKUP($A2165,pivot!$A:$I,計算式2026!AK$1,FALSE),0)</f>
        <v>0</v>
      </c>
      <c r="AL2165" s="9">
        <f>IFERROR(VLOOKUP($A2165,pivot!$A:$I,計算式2026!AL$1,FALSE),0)</f>
        <v>0</v>
      </c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</row>
    <row r="2166" spans="1:59" s="9" customFormat="1">
      <c r="A2166" s="8" t="s">
        <v>1308</v>
      </c>
      <c r="B2166" s="8" t="s">
        <v>1301</v>
      </c>
      <c r="C2166" s="9">
        <v>0</v>
      </c>
      <c r="D2166" s="9">
        <v>0</v>
      </c>
      <c r="E2166" s="9">
        <v>0</v>
      </c>
      <c r="F2166" s="9">
        <v>0</v>
      </c>
      <c r="G2166" s="9">
        <v>0</v>
      </c>
      <c r="H2166" s="9">
        <v>0</v>
      </c>
      <c r="I2166" s="9">
        <v>0</v>
      </c>
      <c r="J2166" s="9">
        <v>0</v>
      </c>
      <c r="K2166" s="9">
        <v>0</v>
      </c>
      <c r="R2166" s="9">
        <v>0</v>
      </c>
      <c r="S2166" s="9">
        <v>0</v>
      </c>
      <c r="T2166" s="9">
        <v>1</v>
      </c>
      <c r="U2166" s="9">
        <v>0</v>
      </c>
      <c r="V2166" s="9">
        <v>1</v>
      </c>
      <c r="W2166" s="9">
        <v>0</v>
      </c>
      <c r="X2166" s="9">
        <v>1</v>
      </c>
      <c r="AE2166" s="9">
        <f>IFERROR(VLOOKUP($A2166,pivot!$A:$G,計算式2026!AE$1,FALSE),0)</f>
        <v>0</v>
      </c>
      <c r="AF2166" s="9">
        <f>IFERROR(VLOOKUP($A2166,pivot!$A:$I,計算式2026!AF$1,FALSE),0)</f>
        <v>0</v>
      </c>
      <c r="AI2166" s="9">
        <f>IFERROR(VLOOKUP($A2166,pivot!$A:$I,計算式2026!AI$1,FALSE),0)</f>
        <v>0</v>
      </c>
      <c r="AJ2166" s="9">
        <f>IFERROR(VLOOKUP($A2166,pivot!$A:$I,計算式2026!AJ$1,FALSE),0)</f>
        <v>0</v>
      </c>
      <c r="AK2166" s="9">
        <f>IFERROR(VLOOKUP($A2166,pivot!$A:$I,計算式2026!AK$1,FALSE),0)</f>
        <v>0</v>
      </c>
      <c r="AL2166" s="9">
        <f>IFERROR(VLOOKUP($A2166,pivot!$A:$I,計算式2026!AL$1,FALSE),0)</f>
        <v>0</v>
      </c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</row>
    <row r="2167" spans="1:59" s="9" customFormat="1">
      <c r="A2167" s="8" t="s">
        <v>1309</v>
      </c>
      <c r="B2167" s="8" t="s">
        <v>1301</v>
      </c>
      <c r="C2167" s="9">
        <v>0</v>
      </c>
      <c r="D2167" s="9">
        <v>0</v>
      </c>
      <c r="E2167" s="9">
        <v>0</v>
      </c>
      <c r="F2167" s="9">
        <v>0</v>
      </c>
      <c r="G2167" s="9">
        <v>0</v>
      </c>
      <c r="H2167" s="9">
        <v>0</v>
      </c>
      <c r="I2167" s="9">
        <v>0</v>
      </c>
      <c r="J2167" s="9">
        <v>0</v>
      </c>
      <c r="K2167" s="9">
        <v>0</v>
      </c>
      <c r="R2167" s="9">
        <v>1</v>
      </c>
      <c r="S2167" s="9">
        <v>1</v>
      </c>
      <c r="T2167" s="9">
        <v>1</v>
      </c>
      <c r="U2167" s="9">
        <v>0</v>
      </c>
      <c r="V2167" s="9">
        <v>0</v>
      </c>
      <c r="W2167" s="9">
        <v>0</v>
      </c>
      <c r="X2167" s="9">
        <v>1</v>
      </c>
      <c r="AE2167" s="9">
        <f>IFERROR(VLOOKUP($A2167,pivot!$A:$G,計算式2026!AE$1,FALSE),0)</f>
        <v>0</v>
      </c>
      <c r="AF2167" s="9">
        <f>IFERROR(VLOOKUP($A2167,pivot!$A:$I,計算式2026!AF$1,FALSE),0)</f>
        <v>0</v>
      </c>
      <c r="AI2167" s="9">
        <f>IFERROR(VLOOKUP($A2167,pivot!$A:$I,計算式2026!AI$1,FALSE),0)</f>
        <v>0</v>
      </c>
      <c r="AJ2167" s="9">
        <f>IFERROR(VLOOKUP($A2167,pivot!$A:$I,計算式2026!AJ$1,FALSE),0)</f>
        <v>0</v>
      </c>
      <c r="AK2167" s="9">
        <f>IFERROR(VLOOKUP($A2167,pivot!$A:$I,計算式2026!AK$1,FALSE),0)</f>
        <v>0</v>
      </c>
      <c r="AL2167" s="9">
        <f>IFERROR(VLOOKUP($A2167,pivot!$A:$I,計算式2026!AL$1,FALSE),0)</f>
        <v>0</v>
      </c>
      <c r="AR2167" s="8"/>
      <c r="AS2167" s="8"/>
      <c r="AT2167" s="8"/>
      <c r="AU2167" s="8"/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</row>
    <row r="2168" spans="1:59" s="9" customFormat="1">
      <c r="A2168" s="8" t="s">
        <v>1310</v>
      </c>
      <c r="B2168" s="8" t="s">
        <v>1301</v>
      </c>
      <c r="C2168" s="9">
        <v>0</v>
      </c>
      <c r="D2168" s="9">
        <v>0</v>
      </c>
      <c r="E2168" s="9">
        <v>0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R2168" s="9">
        <v>1</v>
      </c>
      <c r="S2168" s="9">
        <v>2</v>
      </c>
      <c r="T2168" s="9">
        <v>1</v>
      </c>
      <c r="U2168" s="9">
        <v>0</v>
      </c>
      <c r="V2168" s="9">
        <v>1</v>
      </c>
      <c r="W2168" s="9">
        <v>0</v>
      </c>
      <c r="X2168" s="9">
        <v>1</v>
      </c>
      <c r="AE2168" s="9">
        <f>IFERROR(VLOOKUP($A2168,pivot!$A:$G,計算式2026!AE$1,FALSE),0)</f>
        <v>0</v>
      </c>
      <c r="AF2168" s="9">
        <f>IFERROR(VLOOKUP($A2168,pivot!$A:$I,計算式2026!AF$1,FALSE),0)</f>
        <v>0</v>
      </c>
      <c r="AI2168" s="9">
        <f>IFERROR(VLOOKUP($A2168,pivot!$A:$I,計算式2026!AI$1,FALSE),0)</f>
        <v>0</v>
      </c>
      <c r="AJ2168" s="9">
        <f>IFERROR(VLOOKUP($A2168,pivot!$A:$I,計算式2026!AJ$1,FALSE),0)</f>
        <v>0</v>
      </c>
      <c r="AK2168" s="9">
        <f>IFERROR(VLOOKUP($A2168,pivot!$A:$I,計算式2026!AK$1,FALSE),0)</f>
        <v>0</v>
      </c>
      <c r="AL2168" s="9">
        <f>IFERROR(VLOOKUP($A2168,pivot!$A:$I,計算式2026!AL$1,FALSE),0)</f>
        <v>0</v>
      </c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</row>
    <row r="2169" spans="1:59" s="9" customFormat="1">
      <c r="A2169" s="8" t="s">
        <v>1311</v>
      </c>
      <c r="B2169" s="8" t="s">
        <v>1301</v>
      </c>
      <c r="C2169" s="9">
        <v>0</v>
      </c>
      <c r="D2169" s="9">
        <v>0</v>
      </c>
      <c r="E2169" s="9">
        <v>0</v>
      </c>
      <c r="F2169" s="9">
        <v>0</v>
      </c>
      <c r="G2169" s="9">
        <v>0</v>
      </c>
      <c r="H2169" s="9">
        <v>0</v>
      </c>
      <c r="I2169" s="9">
        <v>0</v>
      </c>
      <c r="J2169" s="9">
        <v>0</v>
      </c>
      <c r="K2169" s="9">
        <v>0</v>
      </c>
      <c r="R2169" s="9">
        <v>2</v>
      </c>
      <c r="S2169" s="9">
        <v>0</v>
      </c>
      <c r="T2169" s="9">
        <v>1</v>
      </c>
      <c r="U2169" s="9">
        <v>0</v>
      </c>
      <c r="V2169" s="9">
        <v>2</v>
      </c>
      <c r="W2169" s="9">
        <v>0</v>
      </c>
      <c r="X2169" s="9">
        <v>1</v>
      </c>
      <c r="AE2169" s="9">
        <f>IFERROR(VLOOKUP($A2169,pivot!$A:$G,計算式2026!AE$1,FALSE),0)</f>
        <v>0</v>
      </c>
      <c r="AF2169" s="9">
        <f>IFERROR(VLOOKUP($A2169,pivot!$A:$I,計算式2026!AF$1,FALSE),0)</f>
        <v>0</v>
      </c>
      <c r="AI2169" s="9">
        <f>IFERROR(VLOOKUP($A2169,pivot!$A:$I,計算式2026!AI$1,FALSE),0)</f>
        <v>0</v>
      </c>
      <c r="AJ2169" s="9">
        <f>IFERROR(VLOOKUP($A2169,pivot!$A:$I,計算式2026!AJ$1,FALSE),0)</f>
        <v>0</v>
      </c>
      <c r="AK2169" s="9">
        <f>IFERROR(VLOOKUP($A2169,pivot!$A:$I,計算式2026!AK$1,FALSE),0)</f>
        <v>0</v>
      </c>
      <c r="AL2169" s="9">
        <f>IFERROR(VLOOKUP($A2169,pivot!$A:$I,計算式2026!AL$1,FALSE),0)</f>
        <v>0</v>
      </c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</row>
    <row r="2170" spans="1:59" s="9" customFormat="1">
      <c r="A2170" s="8" t="s">
        <v>1312</v>
      </c>
      <c r="B2170" s="8" t="s">
        <v>1301</v>
      </c>
      <c r="C2170" s="9">
        <v>0</v>
      </c>
      <c r="D2170" s="9">
        <v>0</v>
      </c>
      <c r="E2170" s="9">
        <v>0</v>
      </c>
      <c r="F2170" s="9">
        <v>0</v>
      </c>
      <c r="G2170" s="9">
        <v>0</v>
      </c>
      <c r="H2170" s="9">
        <v>0</v>
      </c>
      <c r="I2170" s="9">
        <v>0</v>
      </c>
      <c r="J2170" s="9">
        <v>0</v>
      </c>
      <c r="K2170" s="9">
        <v>0</v>
      </c>
      <c r="R2170" s="9">
        <v>1</v>
      </c>
      <c r="S2170" s="9">
        <v>1</v>
      </c>
      <c r="T2170" s="9">
        <v>1</v>
      </c>
      <c r="U2170" s="9">
        <v>0</v>
      </c>
      <c r="V2170" s="9">
        <v>1</v>
      </c>
      <c r="W2170" s="9">
        <v>0</v>
      </c>
      <c r="X2170" s="9">
        <v>1</v>
      </c>
      <c r="AE2170" s="9">
        <f>IFERROR(VLOOKUP($A2170,pivot!$A:$G,計算式2026!AE$1,FALSE),0)</f>
        <v>0</v>
      </c>
      <c r="AF2170" s="9">
        <f>IFERROR(VLOOKUP($A2170,pivot!$A:$I,計算式2026!AF$1,FALSE),0)</f>
        <v>0</v>
      </c>
      <c r="AI2170" s="9">
        <f>IFERROR(VLOOKUP($A2170,pivot!$A:$I,計算式2026!AI$1,FALSE),0)</f>
        <v>0</v>
      </c>
      <c r="AJ2170" s="9">
        <f>IFERROR(VLOOKUP($A2170,pivot!$A:$I,計算式2026!AJ$1,FALSE),0)</f>
        <v>0</v>
      </c>
      <c r="AK2170" s="9">
        <f>IFERROR(VLOOKUP($A2170,pivot!$A:$I,計算式2026!AK$1,FALSE),0)</f>
        <v>0</v>
      </c>
      <c r="AL2170" s="9">
        <f>IFERROR(VLOOKUP($A2170,pivot!$A:$I,計算式2026!AL$1,FALSE),0)</f>
        <v>0</v>
      </c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</row>
    <row r="2171" spans="1:59" s="9" customFormat="1">
      <c r="A2171" s="8" t="s">
        <v>1313</v>
      </c>
      <c r="B2171" s="8" t="s">
        <v>1301</v>
      </c>
      <c r="C2171" s="9">
        <v>0</v>
      </c>
      <c r="D2171" s="9">
        <v>0</v>
      </c>
      <c r="E2171" s="9">
        <v>0</v>
      </c>
      <c r="F2171" s="9">
        <v>0</v>
      </c>
      <c r="G2171" s="9">
        <v>0</v>
      </c>
      <c r="H2171" s="9">
        <v>0</v>
      </c>
      <c r="I2171" s="9">
        <v>0</v>
      </c>
      <c r="J2171" s="9">
        <v>0</v>
      </c>
      <c r="K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1</v>
      </c>
      <c r="AE2171" s="9">
        <f>IFERROR(VLOOKUP($A2171,pivot!$A:$G,計算式2026!AE$1,FALSE),0)</f>
        <v>0</v>
      </c>
      <c r="AF2171" s="9">
        <f>IFERROR(VLOOKUP($A2171,pivot!$A:$I,計算式2026!AF$1,FALSE),0)</f>
        <v>0</v>
      </c>
      <c r="AI2171" s="9">
        <f>IFERROR(VLOOKUP($A2171,pivot!$A:$I,計算式2026!AI$1,FALSE),0)</f>
        <v>0</v>
      </c>
      <c r="AJ2171" s="9">
        <f>IFERROR(VLOOKUP($A2171,pivot!$A:$I,計算式2026!AJ$1,FALSE),0)</f>
        <v>0</v>
      </c>
      <c r="AK2171" s="9">
        <f>IFERROR(VLOOKUP($A2171,pivot!$A:$I,計算式2026!AK$1,FALSE),0)</f>
        <v>0</v>
      </c>
      <c r="AL2171" s="9">
        <f>IFERROR(VLOOKUP($A2171,pivot!$A:$I,計算式2026!AL$1,FALSE),0)</f>
        <v>0</v>
      </c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</row>
    <row r="2172" spans="1:59" s="9" customFormat="1">
      <c r="A2172" s="8" t="s">
        <v>1314</v>
      </c>
      <c r="B2172" s="8" t="s">
        <v>1301</v>
      </c>
      <c r="C2172" s="9">
        <v>0</v>
      </c>
      <c r="D2172" s="9">
        <v>0</v>
      </c>
      <c r="E2172" s="9">
        <v>0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9">
        <v>0</v>
      </c>
      <c r="R2172" s="9">
        <v>1</v>
      </c>
      <c r="S2172" s="9">
        <v>0</v>
      </c>
      <c r="T2172" s="9">
        <v>1</v>
      </c>
      <c r="U2172" s="9">
        <v>0</v>
      </c>
      <c r="V2172" s="9">
        <v>1</v>
      </c>
      <c r="W2172" s="9">
        <v>0</v>
      </c>
      <c r="X2172" s="9">
        <v>1</v>
      </c>
      <c r="AE2172" s="9">
        <f>IFERROR(VLOOKUP($A2172,pivot!$A:$G,計算式2026!AE$1,FALSE),0)</f>
        <v>0</v>
      </c>
      <c r="AF2172" s="9">
        <f>IFERROR(VLOOKUP($A2172,pivot!$A:$I,計算式2026!AF$1,FALSE),0)</f>
        <v>0</v>
      </c>
      <c r="AI2172" s="9">
        <f>IFERROR(VLOOKUP($A2172,pivot!$A:$I,計算式2026!AI$1,FALSE),0)</f>
        <v>0</v>
      </c>
      <c r="AJ2172" s="9">
        <f>IFERROR(VLOOKUP($A2172,pivot!$A:$I,計算式2026!AJ$1,FALSE),0)</f>
        <v>0</v>
      </c>
      <c r="AK2172" s="9">
        <f>IFERROR(VLOOKUP($A2172,pivot!$A:$I,計算式2026!AK$1,FALSE),0)</f>
        <v>0</v>
      </c>
      <c r="AL2172" s="9">
        <f>IFERROR(VLOOKUP($A2172,pivot!$A:$I,計算式2026!AL$1,FALSE),0)</f>
        <v>0</v>
      </c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</row>
    <row r="2173" spans="1:59" s="9" customFormat="1">
      <c r="A2173" s="8" t="s">
        <v>1315</v>
      </c>
      <c r="B2173" s="8" t="s">
        <v>1301</v>
      </c>
      <c r="C2173" s="9">
        <v>0</v>
      </c>
      <c r="D2173" s="9">
        <v>0</v>
      </c>
      <c r="E2173" s="9">
        <v>0</v>
      </c>
      <c r="F2173" s="9">
        <v>0</v>
      </c>
      <c r="G2173" s="9">
        <v>0</v>
      </c>
      <c r="H2173" s="9">
        <v>0</v>
      </c>
      <c r="I2173" s="9">
        <v>0</v>
      </c>
      <c r="J2173" s="9">
        <v>0</v>
      </c>
      <c r="K2173" s="9">
        <v>0</v>
      </c>
      <c r="R2173" s="9">
        <v>0</v>
      </c>
      <c r="S2173" s="9">
        <v>0</v>
      </c>
      <c r="T2173" s="9">
        <v>1</v>
      </c>
      <c r="U2173" s="9">
        <v>0</v>
      </c>
      <c r="V2173" s="9">
        <v>0</v>
      </c>
      <c r="W2173" s="9">
        <v>0</v>
      </c>
      <c r="X2173" s="9">
        <v>1</v>
      </c>
      <c r="AE2173" s="9">
        <f>IFERROR(VLOOKUP($A2173,pivot!$A:$G,計算式2026!AE$1,FALSE),0)</f>
        <v>0</v>
      </c>
      <c r="AF2173" s="9">
        <f>IFERROR(VLOOKUP($A2173,pivot!$A:$I,計算式2026!AF$1,FALSE),0)</f>
        <v>0</v>
      </c>
      <c r="AI2173" s="9">
        <f>IFERROR(VLOOKUP($A2173,pivot!$A:$I,計算式2026!AI$1,FALSE),0)</f>
        <v>0</v>
      </c>
      <c r="AJ2173" s="9">
        <f>IFERROR(VLOOKUP($A2173,pivot!$A:$I,計算式2026!AJ$1,FALSE),0)</f>
        <v>0</v>
      </c>
      <c r="AK2173" s="9">
        <f>IFERROR(VLOOKUP($A2173,pivot!$A:$I,計算式2026!AK$1,FALSE),0)</f>
        <v>0</v>
      </c>
      <c r="AL2173" s="9">
        <f>IFERROR(VLOOKUP($A2173,pivot!$A:$I,計算式2026!AL$1,FALSE),0)</f>
        <v>0</v>
      </c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</row>
    <row r="2174" spans="1:59" s="9" customFormat="1">
      <c r="A2174" s="8" t="s">
        <v>1317</v>
      </c>
      <c r="B2174" s="8" t="s">
        <v>1316</v>
      </c>
      <c r="C2174" s="9">
        <v>0</v>
      </c>
      <c r="D2174" s="9">
        <v>0</v>
      </c>
      <c r="E2174" s="9">
        <v>0</v>
      </c>
      <c r="F2174" s="9">
        <v>0</v>
      </c>
      <c r="G2174" s="9">
        <v>0</v>
      </c>
      <c r="H2174" s="9">
        <v>0</v>
      </c>
      <c r="I2174" s="9">
        <v>0</v>
      </c>
      <c r="J2174" s="9">
        <v>0</v>
      </c>
      <c r="K2174" s="9">
        <v>0</v>
      </c>
      <c r="R2174" s="9">
        <v>2</v>
      </c>
      <c r="S2174" s="9">
        <v>1</v>
      </c>
      <c r="T2174" s="9">
        <v>0</v>
      </c>
      <c r="U2174" s="9">
        <v>0</v>
      </c>
      <c r="V2174" s="9">
        <v>1</v>
      </c>
      <c r="W2174" s="9">
        <v>0</v>
      </c>
      <c r="X2174" s="9">
        <v>0</v>
      </c>
      <c r="AE2174" s="9">
        <f>IFERROR(VLOOKUP($A2174,pivot!$A:$G,計算式2026!AE$1,FALSE),0)</f>
        <v>0</v>
      </c>
      <c r="AF2174" s="9">
        <f>IFERROR(VLOOKUP($A2174,pivot!$A:$I,計算式2026!AF$1,FALSE),0)</f>
        <v>0</v>
      </c>
      <c r="AI2174" s="9">
        <f>IFERROR(VLOOKUP($A2174,pivot!$A:$I,計算式2026!AI$1,FALSE),0)</f>
        <v>0</v>
      </c>
      <c r="AJ2174" s="9">
        <f>IFERROR(VLOOKUP($A2174,pivot!$A:$I,計算式2026!AJ$1,FALSE),0)</f>
        <v>0</v>
      </c>
      <c r="AK2174" s="9">
        <f>IFERROR(VLOOKUP($A2174,pivot!$A:$I,計算式2026!AK$1,FALSE),0)</f>
        <v>0</v>
      </c>
      <c r="AL2174" s="9">
        <f>IFERROR(VLOOKUP($A2174,pivot!$A:$I,計算式2026!AL$1,FALSE),0)</f>
        <v>0</v>
      </c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</row>
    <row r="2175" spans="1:59" s="9" customFormat="1">
      <c r="A2175" s="8" t="s">
        <v>1318</v>
      </c>
      <c r="B2175" s="8" t="s">
        <v>1316</v>
      </c>
      <c r="C2175" s="9">
        <v>0</v>
      </c>
      <c r="D2175" s="9">
        <v>0</v>
      </c>
      <c r="E2175" s="9">
        <v>0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9">
        <v>0</v>
      </c>
      <c r="R2175" s="9">
        <v>1</v>
      </c>
      <c r="S2175" s="9">
        <v>2</v>
      </c>
      <c r="T2175" s="9">
        <v>0</v>
      </c>
      <c r="U2175" s="9">
        <v>0</v>
      </c>
      <c r="V2175" s="9">
        <v>2</v>
      </c>
      <c r="W2175" s="9">
        <v>0</v>
      </c>
      <c r="X2175" s="9">
        <v>0</v>
      </c>
      <c r="AE2175" s="9">
        <f>IFERROR(VLOOKUP($A2175,pivot!$A:$G,計算式2026!AE$1,FALSE),0)</f>
        <v>0</v>
      </c>
      <c r="AF2175" s="9">
        <f>IFERROR(VLOOKUP($A2175,pivot!$A:$I,計算式2026!AF$1,FALSE),0)</f>
        <v>0</v>
      </c>
      <c r="AI2175" s="9">
        <f>IFERROR(VLOOKUP($A2175,pivot!$A:$I,計算式2026!AI$1,FALSE),0)</f>
        <v>0</v>
      </c>
      <c r="AJ2175" s="9">
        <f>IFERROR(VLOOKUP($A2175,pivot!$A:$I,計算式2026!AJ$1,FALSE),0)</f>
        <v>0</v>
      </c>
      <c r="AK2175" s="9">
        <f>IFERROR(VLOOKUP($A2175,pivot!$A:$I,計算式2026!AK$1,FALSE),0)</f>
        <v>0</v>
      </c>
      <c r="AL2175" s="9">
        <f>IFERROR(VLOOKUP($A2175,pivot!$A:$I,計算式2026!AL$1,FALSE),0)</f>
        <v>0</v>
      </c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</row>
    <row r="2176" spans="1:59" s="9" customFormat="1">
      <c r="A2176" s="8" t="s">
        <v>1319</v>
      </c>
      <c r="B2176" s="8" t="s">
        <v>1316</v>
      </c>
      <c r="C2176" s="9">
        <v>0</v>
      </c>
      <c r="D2176" s="9">
        <v>0</v>
      </c>
      <c r="E2176" s="9">
        <v>0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9">
        <v>0</v>
      </c>
      <c r="R2176" s="9">
        <v>1</v>
      </c>
      <c r="S2176" s="9">
        <v>1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AE2176" s="9">
        <f>IFERROR(VLOOKUP($A2176,pivot!$A:$G,計算式2026!AE$1,FALSE),0)</f>
        <v>0</v>
      </c>
      <c r="AF2176" s="9">
        <f>IFERROR(VLOOKUP($A2176,pivot!$A:$I,計算式2026!AF$1,FALSE),0)</f>
        <v>0</v>
      </c>
      <c r="AI2176" s="9">
        <f>IFERROR(VLOOKUP($A2176,pivot!$A:$I,計算式2026!AI$1,FALSE),0)</f>
        <v>0</v>
      </c>
      <c r="AJ2176" s="9">
        <f>IFERROR(VLOOKUP($A2176,pivot!$A:$I,計算式2026!AJ$1,FALSE),0)</f>
        <v>0</v>
      </c>
      <c r="AK2176" s="9">
        <f>IFERROR(VLOOKUP($A2176,pivot!$A:$I,計算式2026!AK$1,FALSE),0)</f>
        <v>0</v>
      </c>
      <c r="AL2176" s="9">
        <f>IFERROR(VLOOKUP($A2176,pivot!$A:$I,計算式2026!AL$1,FALSE),0)</f>
        <v>0</v>
      </c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</row>
    <row r="2177" spans="1:59" s="9" customFormat="1">
      <c r="A2177" s="8" t="s">
        <v>1320</v>
      </c>
      <c r="B2177" s="8" t="s">
        <v>1316</v>
      </c>
      <c r="C2177" s="9">
        <v>0</v>
      </c>
      <c r="D2177" s="9">
        <v>0</v>
      </c>
      <c r="E2177" s="9">
        <v>0</v>
      </c>
      <c r="F2177" s="9">
        <v>0</v>
      </c>
      <c r="G2177" s="9">
        <v>0</v>
      </c>
      <c r="H2177" s="9">
        <v>0</v>
      </c>
      <c r="I2177" s="9">
        <v>0</v>
      </c>
      <c r="J2177" s="9">
        <v>0</v>
      </c>
      <c r="K2177" s="9">
        <v>0</v>
      </c>
      <c r="R2177" s="9">
        <v>1</v>
      </c>
      <c r="S2177" s="9">
        <v>1</v>
      </c>
      <c r="T2177" s="9">
        <v>0</v>
      </c>
      <c r="U2177" s="9">
        <v>0</v>
      </c>
      <c r="V2177" s="9">
        <v>2</v>
      </c>
      <c r="W2177" s="9">
        <v>0</v>
      </c>
      <c r="X2177" s="9">
        <v>0</v>
      </c>
      <c r="AE2177" s="9">
        <f>IFERROR(VLOOKUP($A2177,pivot!$A:$G,計算式2026!AE$1,FALSE),0)</f>
        <v>0</v>
      </c>
      <c r="AF2177" s="9">
        <f>IFERROR(VLOOKUP($A2177,pivot!$A:$I,計算式2026!AF$1,FALSE),0)</f>
        <v>0</v>
      </c>
      <c r="AI2177" s="9">
        <f>IFERROR(VLOOKUP($A2177,pivot!$A:$I,計算式2026!AI$1,FALSE),0)</f>
        <v>0</v>
      </c>
      <c r="AJ2177" s="9">
        <f>IFERROR(VLOOKUP($A2177,pivot!$A:$I,計算式2026!AJ$1,FALSE),0)</f>
        <v>0</v>
      </c>
      <c r="AK2177" s="9">
        <f>IFERROR(VLOOKUP($A2177,pivot!$A:$I,計算式2026!AK$1,FALSE),0)</f>
        <v>0</v>
      </c>
      <c r="AL2177" s="9">
        <f>IFERROR(VLOOKUP($A2177,pivot!$A:$I,計算式2026!AL$1,FALSE),0)</f>
        <v>0</v>
      </c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</row>
    <row r="2178" spans="1:59" s="9" customFormat="1">
      <c r="A2178" s="8" t="s">
        <v>1321</v>
      </c>
      <c r="B2178" s="8" t="s">
        <v>1322</v>
      </c>
      <c r="C2178" s="9">
        <v>0</v>
      </c>
      <c r="D2178" s="9">
        <v>0</v>
      </c>
      <c r="E2178" s="9">
        <v>0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9">
        <v>0</v>
      </c>
      <c r="R2178" s="9">
        <v>0</v>
      </c>
      <c r="S2178" s="9">
        <v>1</v>
      </c>
      <c r="T2178" s="9">
        <v>0</v>
      </c>
      <c r="U2178" s="9">
        <v>0</v>
      </c>
      <c r="V2178" s="9">
        <v>0</v>
      </c>
      <c r="W2178" s="9">
        <v>0</v>
      </c>
      <c r="X2178" s="9">
        <v>1</v>
      </c>
      <c r="AE2178" s="9">
        <f>IFERROR(VLOOKUP($A2178,pivot!$A:$G,計算式2026!AE$1,FALSE),0)</f>
        <v>0</v>
      </c>
      <c r="AF2178" s="9">
        <f>IFERROR(VLOOKUP($A2178,pivot!$A:$I,計算式2026!AF$1,FALSE),0)</f>
        <v>0</v>
      </c>
      <c r="AI2178" s="9">
        <f>IFERROR(VLOOKUP($A2178,pivot!$A:$I,計算式2026!AI$1,FALSE),0)</f>
        <v>0</v>
      </c>
      <c r="AJ2178" s="9">
        <f>IFERROR(VLOOKUP($A2178,pivot!$A:$I,計算式2026!AJ$1,FALSE),0)</f>
        <v>0</v>
      </c>
      <c r="AK2178" s="9">
        <f>IFERROR(VLOOKUP($A2178,pivot!$A:$I,計算式2026!AK$1,FALSE),0)</f>
        <v>0</v>
      </c>
      <c r="AL2178" s="9">
        <f>IFERROR(VLOOKUP($A2178,pivot!$A:$I,計算式2026!AL$1,FALSE),0)</f>
        <v>0</v>
      </c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</row>
    <row r="2179" spans="1:59" s="9" customFormat="1">
      <c r="A2179" s="8" t="s">
        <v>1323</v>
      </c>
      <c r="B2179" s="8" t="s">
        <v>1322</v>
      </c>
      <c r="C2179" s="9">
        <v>0</v>
      </c>
      <c r="D2179" s="9">
        <v>0</v>
      </c>
      <c r="E2179" s="9">
        <v>0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R2179" s="9">
        <v>1</v>
      </c>
      <c r="S2179" s="9">
        <v>2</v>
      </c>
      <c r="T2179" s="9">
        <v>0</v>
      </c>
      <c r="U2179" s="9">
        <v>0</v>
      </c>
      <c r="V2179" s="9">
        <v>2</v>
      </c>
      <c r="W2179" s="9">
        <v>0</v>
      </c>
      <c r="X2179" s="9">
        <v>2</v>
      </c>
      <c r="AE2179" s="9">
        <f>IFERROR(VLOOKUP($A2179,pivot!$A:$G,計算式2026!AE$1,FALSE),0)</f>
        <v>0</v>
      </c>
      <c r="AF2179" s="9">
        <f>IFERROR(VLOOKUP($A2179,pivot!$A:$I,計算式2026!AF$1,FALSE),0)</f>
        <v>0</v>
      </c>
      <c r="AI2179" s="9">
        <f>IFERROR(VLOOKUP($A2179,pivot!$A:$I,計算式2026!AI$1,FALSE),0)</f>
        <v>0</v>
      </c>
      <c r="AJ2179" s="9">
        <f>IFERROR(VLOOKUP($A2179,pivot!$A:$I,計算式2026!AJ$1,FALSE),0)</f>
        <v>0</v>
      </c>
      <c r="AK2179" s="9">
        <f>IFERROR(VLOOKUP($A2179,pivot!$A:$I,計算式2026!AK$1,FALSE),0)</f>
        <v>0</v>
      </c>
      <c r="AL2179" s="9">
        <f>IFERROR(VLOOKUP($A2179,pivot!$A:$I,計算式2026!AL$1,FALSE),0)</f>
        <v>0</v>
      </c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</row>
    <row r="2180" spans="1:59" s="9" customFormat="1">
      <c r="A2180" s="8" t="s">
        <v>1324</v>
      </c>
      <c r="B2180" s="8" t="s">
        <v>1322</v>
      </c>
      <c r="C2180" s="9">
        <v>0</v>
      </c>
      <c r="D2180" s="9">
        <v>0</v>
      </c>
      <c r="E2180" s="9">
        <v>0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1</v>
      </c>
      <c r="AE2180" s="9">
        <f>IFERROR(VLOOKUP($A2180,pivot!$A:$G,計算式2026!AE$1,FALSE),0)</f>
        <v>0</v>
      </c>
      <c r="AF2180" s="9">
        <f>IFERROR(VLOOKUP($A2180,pivot!$A:$I,計算式2026!AF$1,FALSE),0)</f>
        <v>0</v>
      </c>
      <c r="AI2180" s="9">
        <f>IFERROR(VLOOKUP($A2180,pivot!$A:$I,計算式2026!AI$1,FALSE),0)</f>
        <v>0</v>
      </c>
      <c r="AJ2180" s="9">
        <f>IFERROR(VLOOKUP($A2180,pivot!$A:$I,計算式2026!AJ$1,FALSE),0)</f>
        <v>0</v>
      </c>
      <c r="AK2180" s="9">
        <f>IFERROR(VLOOKUP($A2180,pivot!$A:$I,計算式2026!AK$1,FALSE),0)</f>
        <v>0</v>
      </c>
      <c r="AL2180" s="9">
        <f>IFERROR(VLOOKUP($A2180,pivot!$A:$I,計算式2026!AL$1,FALSE),0)</f>
        <v>0</v>
      </c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</row>
    <row r="2181" spans="1:59" s="9" customFormat="1">
      <c r="A2181" s="8" t="s">
        <v>1325</v>
      </c>
      <c r="B2181" s="8" t="s">
        <v>1322</v>
      </c>
      <c r="C2181" s="9">
        <v>0</v>
      </c>
      <c r="D2181" s="9">
        <v>0</v>
      </c>
      <c r="E2181" s="9">
        <v>0</v>
      </c>
      <c r="F2181" s="9">
        <v>0</v>
      </c>
      <c r="G2181" s="9">
        <v>0</v>
      </c>
      <c r="H2181" s="9">
        <v>0</v>
      </c>
      <c r="I2181" s="9">
        <v>0</v>
      </c>
      <c r="J2181" s="9">
        <v>0</v>
      </c>
      <c r="K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1</v>
      </c>
      <c r="AE2181" s="9">
        <f>IFERROR(VLOOKUP($A2181,pivot!$A:$G,計算式2026!AE$1,FALSE),0)</f>
        <v>0</v>
      </c>
      <c r="AF2181" s="9">
        <f>IFERROR(VLOOKUP($A2181,pivot!$A:$I,計算式2026!AF$1,FALSE),0)</f>
        <v>0</v>
      </c>
      <c r="AI2181" s="9">
        <f>IFERROR(VLOOKUP($A2181,pivot!$A:$I,計算式2026!AI$1,FALSE),0)</f>
        <v>0</v>
      </c>
      <c r="AJ2181" s="9">
        <f>IFERROR(VLOOKUP($A2181,pivot!$A:$I,計算式2026!AJ$1,FALSE),0)</f>
        <v>0</v>
      </c>
      <c r="AK2181" s="9">
        <f>IFERROR(VLOOKUP($A2181,pivot!$A:$I,計算式2026!AK$1,FALSE),0)</f>
        <v>0</v>
      </c>
      <c r="AL2181" s="9">
        <f>IFERROR(VLOOKUP($A2181,pivot!$A:$I,計算式2026!AL$1,FALSE),0)</f>
        <v>0</v>
      </c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</row>
    <row r="2182" spans="1:59" s="9" customFormat="1">
      <c r="A2182" s="8" t="s">
        <v>2449</v>
      </c>
      <c r="B2182" s="8" t="s">
        <v>1322</v>
      </c>
      <c r="C2182" s="9">
        <v>0</v>
      </c>
      <c r="D2182" s="9">
        <v>0</v>
      </c>
      <c r="E2182" s="9">
        <v>0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R2182" s="9">
        <v>0</v>
      </c>
      <c r="S2182" s="9">
        <v>0</v>
      </c>
      <c r="T2182" s="9">
        <v>1</v>
      </c>
      <c r="U2182" s="9">
        <v>0</v>
      </c>
      <c r="V2182" s="9">
        <v>0</v>
      </c>
      <c r="W2182" s="9">
        <v>0</v>
      </c>
      <c r="X2182" s="9">
        <v>1</v>
      </c>
      <c r="AE2182" s="9">
        <f>IFERROR(VLOOKUP($A2182,pivot!$A:$G,計算式2026!AE$1,FALSE),0)</f>
        <v>0</v>
      </c>
      <c r="AF2182" s="9">
        <f>IFERROR(VLOOKUP($A2182,pivot!$A:$I,計算式2026!AF$1,FALSE),0)</f>
        <v>0</v>
      </c>
      <c r="AI2182" s="9">
        <f>IFERROR(VLOOKUP($A2182,pivot!$A:$I,計算式2026!AI$1,FALSE),0)</f>
        <v>0</v>
      </c>
      <c r="AJ2182" s="9">
        <f>IFERROR(VLOOKUP($A2182,pivot!$A:$I,計算式2026!AJ$1,FALSE),0)</f>
        <v>0</v>
      </c>
      <c r="AK2182" s="9">
        <f>IFERROR(VLOOKUP($A2182,pivot!$A:$I,計算式2026!AK$1,FALSE),0)</f>
        <v>0</v>
      </c>
      <c r="AL2182" s="9">
        <f>IFERROR(VLOOKUP($A2182,pivot!$A:$I,計算式2026!AL$1,FALSE),0)</f>
        <v>0</v>
      </c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</row>
    <row r="2183" spans="1:59" s="9" customFormat="1">
      <c r="A2183" s="8" t="s">
        <v>2450</v>
      </c>
      <c r="B2183" s="8" t="s">
        <v>1322</v>
      </c>
      <c r="C2183" s="9">
        <v>0</v>
      </c>
      <c r="D2183" s="9">
        <v>0</v>
      </c>
      <c r="E2183" s="9">
        <v>0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0</v>
      </c>
      <c r="R2183" s="9">
        <v>0</v>
      </c>
      <c r="S2183" s="9">
        <v>0</v>
      </c>
      <c r="T2183" s="9">
        <v>1</v>
      </c>
      <c r="U2183" s="9">
        <v>0</v>
      </c>
      <c r="V2183" s="9">
        <v>2</v>
      </c>
      <c r="W2183" s="9">
        <v>0</v>
      </c>
      <c r="X2183" s="9">
        <v>1</v>
      </c>
      <c r="AE2183" s="9">
        <f>IFERROR(VLOOKUP($A2183,pivot!$A:$G,計算式2026!AE$1,FALSE),0)</f>
        <v>0</v>
      </c>
      <c r="AF2183" s="9">
        <f>IFERROR(VLOOKUP($A2183,pivot!$A:$I,計算式2026!AF$1,FALSE),0)</f>
        <v>0</v>
      </c>
      <c r="AI2183" s="9">
        <f>IFERROR(VLOOKUP($A2183,pivot!$A:$I,計算式2026!AI$1,FALSE),0)</f>
        <v>0</v>
      </c>
      <c r="AJ2183" s="9">
        <f>IFERROR(VLOOKUP($A2183,pivot!$A:$I,計算式2026!AJ$1,FALSE),0)</f>
        <v>0</v>
      </c>
      <c r="AK2183" s="9">
        <f>IFERROR(VLOOKUP($A2183,pivot!$A:$I,計算式2026!AK$1,FALSE),0)</f>
        <v>0</v>
      </c>
      <c r="AL2183" s="9">
        <f>IFERROR(VLOOKUP($A2183,pivot!$A:$I,計算式2026!AL$1,FALSE),0)</f>
        <v>0</v>
      </c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</row>
    <row r="2184" spans="1:59" s="9" customFormat="1">
      <c r="A2184" s="8" t="s">
        <v>2451</v>
      </c>
      <c r="B2184" s="8" t="s">
        <v>1322</v>
      </c>
      <c r="C2184" s="9">
        <v>0</v>
      </c>
      <c r="D2184" s="9">
        <v>0</v>
      </c>
      <c r="E2184" s="9">
        <v>0</v>
      </c>
      <c r="F2184" s="9">
        <v>0</v>
      </c>
      <c r="G2184" s="9">
        <v>0</v>
      </c>
      <c r="H2184" s="9">
        <v>0</v>
      </c>
      <c r="I2184" s="9">
        <v>0</v>
      </c>
      <c r="J2184" s="9">
        <v>0</v>
      </c>
      <c r="K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1</v>
      </c>
      <c r="W2184" s="9">
        <v>0</v>
      </c>
      <c r="X2184" s="9">
        <v>0</v>
      </c>
      <c r="AE2184" s="9">
        <f>IFERROR(VLOOKUP($A2184,pivot!$A:$G,計算式2026!AE$1,FALSE),0)</f>
        <v>0</v>
      </c>
      <c r="AF2184" s="9">
        <f>IFERROR(VLOOKUP($A2184,pivot!$A:$I,計算式2026!AF$1,FALSE),0)</f>
        <v>0</v>
      </c>
      <c r="AI2184" s="9">
        <f>IFERROR(VLOOKUP($A2184,pivot!$A:$I,計算式2026!AI$1,FALSE),0)</f>
        <v>0</v>
      </c>
      <c r="AJ2184" s="9">
        <f>IFERROR(VLOOKUP($A2184,pivot!$A:$I,計算式2026!AJ$1,FALSE),0)</f>
        <v>0</v>
      </c>
      <c r="AK2184" s="9">
        <f>IFERROR(VLOOKUP($A2184,pivot!$A:$I,計算式2026!AK$1,FALSE),0)</f>
        <v>0</v>
      </c>
      <c r="AL2184" s="9">
        <f>IFERROR(VLOOKUP($A2184,pivot!$A:$I,計算式2026!AL$1,FALSE),0)</f>
        <v>0</v>
      </c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</row>
    <row r="2185" spans="1:59" s="9" customFormat="1">
      <c r="A2185" s="8" t="s">
        <v>2452</v>
      </c>
      <c r="B2185" s="8" t="s">
        <v>1322</v>
      </c>
      <c r="C2185" s="9">
        <v>0</v>
      </c>
      <c r="D2185" s="9">
        <v>0</v>
      </c>
      <c r="E2185" s="9">
        <v>0</v>
      </c>
      <c r="F2185" s="9">
        <v>0</v>
      </c>
      <c r="G2185" s="9">
        <v>0</v>
      </c>
      <c r="H2185" s="9">
        <v>0</v>
      </c>
      <c r="I2185" s="9">
        <v>0</v>
      </c>
      <c r="J2185" s="9">
        <v>0</v>
      </c>
      <c r="K2185" s="9">
        <v>0</v>
      </c>
      <c r="R2185" s="9">
        <v>0</v>
      </c>
      <c r="S2185" s="9">
        <v>0</v>
      </c>
      <c r="T2185" s="9">
        <v>1</v>
      </c>
      <c r="U2185" s="9">
        <v>0</v>
      </c>
      <c r="V2185" s="9">
        <v>0</v>
      </c>
      <c r="W2185" s="9">
        <v>0</v>
      </c>
      <c r="X2185" s="9">
        <v>1</v>
      </c>
      <c r="AE2185" s="9">
        <f>IFERROR(VLOOKUP($A2185,pivot!$A:$G,計算式2026!AE$1,FALSE),0)</f>
        <v>0</v>
      </c>
      <c r="AF2185" s="9">
        <f>IFERROR(VLOOKUP($A2185,pivot!$A:$I,計算式2026!AF$1,FALSE),0)</f>
        <v>0</v>
      </c>
      <c r="AI2185" s="9">
        <f>IFERROR(VLOOKUP($A2185,pivot!$A:$I,計算式2026!AI$1,FALSE),0)</f>
        <v>0</v>
      </c>
      <c r="AJ2185" s="9">
        <f>IFERROR(VLOOKUP($A2185,pivot!$A:$I,計算式2026!AJ$1,FALSE),0)</f>
        <v>0</v>
      </c>
      <c r="AK2185" s="9">
        <f>IFERROR(VLOOKUP($A2185,pivot!$A:$I,計算式2026!AK$1,FALSE),0)</f>
        <v>0</v>
      </c>
      <c r="AL2185" s="9">
        <f>IFERROR(VLOOKUP($A2185,pivot!$A:$I,計算式2026!AL$1,FALSE),0)</f>
        <v>0</v>
      </c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</row>
    <row r="2186" spans="1:59" s="9" customFormat="1">
      <c r="A2186" s="8" t="s">
        <v>2453</v>
      </c>
      <c r="B2186" s="8" t="s">
        <v>1322</v>
      </c>
      <c r="C2186" s="9">
        <v>0</v>
      </c>
      <c r="D2186" s="9">
        <v>0</v>
      </c>
      <c r="E2186" s="9">
        <v>0</v>
      </c>
      <c r="F2186" s="9">
        <v>0</v>
      </c>
      <c r="G2186" s="9">
        <v>0</v>
      </c>
      <c r="H2186" s="9">
        <v>0</v>
      </c>
      <c r="I2186" s="9">
        <v>0</v>
      </c>
      <c r="J2186" s="9">
        <v>0</v>
      </c>
      <c r="K2186" s="9">
        <v>0</v>
      </c>
      <c r="R2186" s="9">
        <v>0</v>
      </c>
      <c r="S2186" s="9">
        <v>1</v>
      </c>
      <c r="T2186" s="9">
        <v>1</v>
      </c>
      <c r="U2186" s="9">
        <v>0</v>
      </c>
      <c r="V2186" s="9">
        <v>2</v>
      </c>
      <c r="W2186" s="9">
        <v>0</v>
      </c>
      <c r="X2186" s="9">
        <v>1</v>
      </c>
      <c r="AE2186" s="9">
        <f>IFERROR(VLOOKUP($A2186,pivot!$A:$G,計算式2026!AE$1,FALSE),0)</f>
        <v>0</v>
      </c>
      <c r="AF2186" s="9">
        <f>IFERROR(VLOOKUP($A2186,pivot!$A:$I,計算式2026!AF$1,FALSE),0)</f>
        <v>0</v>
      </c>
      <c r="AI2186" s="9">
        <f>IFERROR(VLOOKUP($A2186,pivot!$A:$I,計算式2026!AI$1,FALSE),0)</f>
        <v>0</v>
      </c>
      <c r="AJ2186" s="9">
        <f>IFERROR(VLOOKUP($A2186,pivot!$A:$I,計算式2026!AJ$1,FALSE),0)</f>
        <v>0</v>
      </c>
      <c r="AK2186" s="9">
        <f>IFERROR(VLOOKUP($A2186,pivot!$A:$I,計算式2026!AK$1,FALSE),0)</f>
        <v>0</v>
      </c>
      <c r="AL2186" s="9">
        <f>IFERROR(VLOOKUP($A2186,pivot!$A:$I,計算式2026!AL$1,FALSE),0)</f>
        <v>0</v>
      </c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</row>
    <row r="2187" spans="1:59" s="9" customFormat="1">
      <c r="A2187" s="8" t="s">
        <v>2454</v>
      </c>
      <c r="B2187" s="8" t="s">
        <v>1322</v>
      </c>
      <c r="C2187" s="9">
        <v>0</v>
      </c>
      <c r="D2187" s="9">
        <v>0</v>
      </c>
      <c r="E2187" s="9">
        <v>0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1</v>
      </c>
      <c r="W2187" s="9">
        <v>0</v>
      </c>
      <c r="X2187" s="9">
        <v>0</v>
      </c>
      <c r="AE2187" s="9">
        <f>IFERROR(VLOOKUP($A2187,pivot!$A:$G,計算式2026!AE$1,FALSE),0)</f>
        <v>0</v>
      </c>
      <c r="AF2187" s="9">
        <f>IFERROR(VLOOKUP($A2187,pivot!$A:$I,計算式2026!AF$1,FALSE),0)</f>
        <v>0</v>
      </c>
      <c r="AI2187" s="9">
        <f>IFERROR(VLOOKUP($A2187,pivot!$A:$I,計算式2026!AI$1,FALSE),0)</f>
        <v>0</v>
      </c>
      <c r="AJ2187" s="9">
        <f>IFERROR(VLOOKUP($A2187,pivot!$A:$I,計算式2026!AJ$1,FALSE),0)</f>
        <v>0</v>
      </c>
      <c r="AK2187" s="9">
        <f>IFERROR(VLOOKUP($A2187,pivot!$A:$I,計算式2026!AK$1,FALSE),0)</f>
        <v>0</v>
      </c>
      <c r="AL2187" s="9">
        <f>IFERROR(VLOOKUP($A2187,pivot!$A:$I,計算式2026!AL$1,FALSE),0)</f>
        <v>0</v>
      </c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</row>
    <row r="2188" spans="1:59" s="9" customFormat="1">
      <c r="A2188" s="8">
        <v>8963421736</v>
      </c>
      <c r="B2188" s="8" t="s">
        <v>2455</v>
      </c>
      <c r="C2188" s="9">
        <v>0</v>
      </c>
      <c r="D2188" s="9">
        <v>0</v>
      </c>
      <c r="E2188" s="9">
        <v>0</v>
      </c>
      <c r="F2188" s="9">
        <v>0</v>
      </c>
      <c r="G2188" s="9">
        <v>0</v>
      </c>
      <c r="H2188" s="9">
        <v>0</v>
      </c>
      <c r="I2188" s="9">
        <v>0</v>
      </c>
      <c r="J2188" s="9">
        <v>0</v>
      </c>
      <c r="K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1</v>
      </c>
      <c r="AE2188" s="9">
        <f>IFERROR(VLOOKUP($A2188,pivot!$A:$G,計算式2026!AE$1,FALSE),0)</f>
        <v>0</v>
      </c>
      <c r="AF2188" s="9">
        <f>IFERROR(VLOOKUP($A2188,pivot!$A:$I,計算式2026!AF$1,FALSE),0)</f>
        <v>0</v>
      </c>
      <c r="AI2188" s="9">
        <f>IFERROR(VLOOKUP($A2188,pivot!$A:$I,計算式2026!AI$1,FALSE),0)</f>
        <v>0</v>
      </c>
      <c r="AJ2188" s="9">
        <f>IFERROR(VLOOKUP($A2188,pivot!$A:$I,計算式2026!AJ$1,FALSE),0)</f>
        <v>0</v>
      </c>
      <c r="AK2188" s="9">
        <f>IFERROR(VLOOKUP($A2188,pivot!$A:$I,計算式2026!AK$1,FALSE),0)</f>
        <v>0</v>
      </c>
      <c r="AL2188" s="9">
        <f>IFERROR(VLOOKUP($A2188,pivot!$A:$I,計算式2026!AL$1,FALSE),0)</f>
        <v>0</v>
      </c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</row>
    <row r="2189" spans="1:59" s="9" customFormat="1">
      <c r="A2189" s="8">
        <v>8963421738</v>
      </c>
      <c r="B2189" s="8" t="s">
        <v>2455</v>
      </c>
      <c r="C2189" s="9">
        <v>0</v>
      </c>
      <c r="D2189" s="9">
        <v>0</v>
      </c>
      <c r="E2189" s="9">
        <v>0</v>
      </c>
      <c r="F2189" s="9">
        <v>0</v>
      </c>
      <c r="G2189" s="9">
        <v>0</v>
      </c>
      <c r="H2189" s="9">
        <v>0</v>
      </c>
      <c r="I2189" s="9">
        <v>0</v>
      </c>
      <c r="J2189" s="9">
        <v>0</v>
      </c>
      <c r="K2189" s="9">
        <v>0</v>
      </c>
      <c r="R2189" s="9">
        <v>0</v>
      </c>
      <c r="S2189" s="9">
        <v>0</v>
      </c>
      <c r="T2189" s="9">
        <v>1</v>
      </c>
      <c r="U2189" s="9">
        <v>0</v>
      </c>
      <c r="V2189" s="9">
        <v>0</v>
      </c>
      <c r="W2189" s="9">
        <v>0</v>
      </c>
      <c r="X2189" s="9">
        <v>1</v>
      </c>
      <c r="AE2189" s="9">
        <f>IFERROR(VLOOKUP($A2189,pivot!$A:$G,計算式2026!AE$1,FALSE),0)</f>
        <v>0</v>
      </c>
      <c r="AF2189" s="9">
        <f>IFERROR(VLOOKUP($A2189,pivot!$A:$I,計算式2026!AF$1,FALSE),0)</f>
        <v>0</v>
      </c>
      <c r="AI2189" s="9">
        <f>IFERROR(VLOOKUP($A2189,pivot!$A:$I,計算式2026!AI$1,FALSE),0)</f>
        <v>0</v>
      </c>
      <c r="AJ2189" s="9">
        <f>IFERROR(VLOOKUP($A2189,pivot!$A:$I,計算式2026!AJ$1,FALSE),0)</f>
        <v>0</v>
      </c>
      <c r="AK2189" s="9">
        <f>IFERROR(VLOOKUP($A2189,pivot!$A:$I,計算式2026!AK$1,FALSE),0)</f>
        <v>0</v>
      </c>
      <c r="AL2189" s="9">
        <f>IFERROR(VLOOKUP($A2189,pivot!$A:$I,計算式2026!AL$1,FALSE),0)</f>
        <v>0</v>
      </c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</row>
    <row r="2190" spans="1:59" s="9" customFormat="1">
      <c r="A2190" s="8">
        <v>8963456036</v>
      </c>
      <c r="B2190" s="8" t="s">
        <v>2455</v>
      </c>
      <c r="C2190" s="9">
        <v>1</v>
      </c>
      <c r="D2190" s="9">
        <v>0</v>
      </c>
      <c r="E2190" s="9">
        <v>0</v>
      </c>
      <c r="F2190" s="9">
        <v>0</v>
      </c>
      <c r="G2190" s="9">
        <v>0</v>
      </c>
      <c r="H2190" s="9">
        <v>0</v>
      </c>
      <c r="I2190" s="9">
        <v>0</v>
      </c>
      <c r="J2190" s="9">
        <v>0</v>
      </c>
      <c r="K2190" s="9">
        <v>0</v>
      </c>
      <c r="R2190" s="9">
        <v>0</v>
      </c>
      <c r="S2190" s="9">
        <v>0</v>
      </c>
      <c r="T2190" s="9">
        <v>1</v>
      </c>
      <c r="U2190" s="9">
        <v>0</v>
      </c>
      <c r="V2190" s="9">
        <v>0</v>
      </c>
      <c r="W2190" s="9">
        <v>0</v>
      </c>
      <c r="X2190" s="9">
        <v>0</v>
      </c>
      <c r="AE2190" s="9">
        <f>IFERROR(VLOOKUP($A2190,pivot!$A:$G,計算式2026!AE$1,FALSE),0)</f>
        <v>0</v>
      </c>
      <c r="AF2190" s="9">
        <f>IFERROR(VLOOKUP($A2190,pivot!$A:$I,計算式2026!AF$1,FALSE),0)</f>
        <v>0</v>
      </c>
      <c r="AI2190" s="9">
        <f>IFERROR(VLOOKUP($A2190,pivot!$A:$I,計算式2026!AI$1,FALSE),0)</f>
        <v>0</v>
      </c>
      <c r="AJ2190" s="9">
        <f>IFERROR(VLOOKUP($A2190,pivot!$A:$I,計算式2026!AJ$1,FALSE),0)</f>
        <v>0</v>
      </c>
      <c r="AK2190" s="9">
        <f>IFERROR(VLOOKUP($A2190,pivot!$A:$I,計算式2026!AK$1,FALSE),0)</f>
        <v>0</v>
      </c>
      <c r="AL2190" s="9">
        <f>IFERROR(VLOOKUP($A2190,pivot!$A:$I,計算式2026!AL$1,FALSE),0)</f>
        <v>0</v>
      </c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</row>
    <row r="2191" spans="1:59" s="9" customFormat="1">
      <c r="A2191" s="8">
        <v>8963456038</v>
      </c>
      <c r="B2191" s="8" t="s">
        <v>2455</v>
      </c>
      <c r="C2191" s="9">
        <v>0</v>
      </c>
      <c r="D2191" s="9">
        <v>0</v>
      </c>
      <c r="E2191" s="9">
        <v>0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1</v>
      </c>
      <c r="AE2191" s="9">
        <f>IFERROR(VLOOKUP($A2191,pivot!$A:$G,計算式2026!AE$1,FALSE),0)</f>
        <v>0</v>
      </c>
      <c r="AF2191" s="9">
        <f>IFERROR(VLOOKUP($A2191,pivot!$A:$I,計算式2026!AF$1,FALSE),0)</f>
        <v>0</v>
      </c>
      <c r="AI2191" s="9">
        <f>IFERROR(VLOOKUP($A2191,pivot!$A:$I,計算式2026!AI$1,FALSE),0)</f>
        <v>0</v>
      </c>
      <c r="AJ2191" s="9">
        <f>IFERROR(VLOOKUP($A2191,pivot!$A:$I,計算式2026!AJ$1,FALSE),0)</f>
        <v>0</v>
      </c>
      <c r="AK2191" s="9">
        <f>IFERROR(VLOOKUP($A2191,pivot!$A:$I,計算式2026!AK$1,FALSE),0)</f>
        <v>0</v>
      </c>
      <c r="AL2191" s="9">
        <f>IFERROR(VLOOKUP($A2191,pivot!$A:$I,計算式2026!AL$1,FALSE),0)</f>
        <v>0</v>
      </c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</row>
    <row r="2192" spans="1:59" s="9" customFormat="1">
      <c r="A2192" s="8" t="s">
        <v>1327</v>
      </c>
      <c r="B2192" s="8" t="s">
        <v>1326</v>
      </c>
      <c r="C2192" s="9">
        <v>0</v>
      </c>
      <c r="D2192" s="9">
        <v>0</v>
      </c>
      <c r="E2192" s="9">
        <v>0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0</v>
      </c>
      <c r="R2192" s="9">
        <v>0</v>
      </c>
      <c r="S2192" s="9">
        <v>1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AE2192" s="9">
        <f>IFERROR(VLOOKUP($A2192,pivot!$A:$G,計算式2026!AE$1,FALSE),0)</f>
        <v>0</v>
      </c>
      <c r="AF2192" s="9">
        <f>IFERROR(VLOOKUP($A2192,pivot!$A:$I,計算式2026!AF$1,FALSE),0)</f>
        <v>0</v>
      </c>
      <c r="AI2192" s="9">
        <f>IFERROR(VLOOKUP($A2192,pivot!$A:$I,計算式2026!AI$1,FALSE),0)</f>
        <v>0</v>
      </c>
      <c r="AJ2192" s="9">
        <f>IFERROR(VLOOKUP($A2192,pivot!$A:$I,計算式2026!AJ$1,FALSE),0)</f>
        <v>0</v>
      </c>
      <c r="AK2192" s="9">
        <f>IFERROR(VLOOKUP($A2192,pivot!$A:$I,計算式2026!AK$1,FALSE),0)</f>
        <v>0</v>
      </c>
      <c r="AL2192" s="9">
        <f>IFERROR(VLOOKUP($A2192,pivot!$A:$I,計算式2026!AL$1,FALSE),0)</f>
        <v>0</v>
      </c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</row>
    <row r="2193" spans="1:59" s="9" customFormat="1">
      <c r="A2193" s="8" t="s">
        <v>1328</v>
      </c>
      <c r="B2193" s="8" t="s">
        <v>1329</v>
      </c>
      <c r="C2193" s="9">
        <v>0</v>
      </c>
      <c r="D2193" s="9">
        <v>0</v>
      </c>
      <c r="E2193" s="9">
        <v>0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1</v>
      </c>
      <c r="AE2193" s="9">
        <f>IFERROR(VLOOKUP($A2193,pivot!$A:$G,計算式2026!AE$1,FALSE),0)</f>
        <v>0</v>
      </c>
      <c r="AF2193" s="9">
        <f>IFERROR(VLOOKUP($A2193,pivot!$A:$I,計算式2026!AF$1,FALSE),0)</f>
        <v>0</v>
      </c>
      <c r="AI2193" s="9">
        <f>IFERROR(VLOOKUP($A2193,pivot!$A:$I,計算式2026!AI$1,FALSE),0)</f>
        <v>0</v>
      </c>
      <c r="AJ2193" s="9">
        <f>IFERROR(VLOOKUP($A2193,pivot!$A:$I,計算式2026!AJ$1,FALSE),0)</f>
        <v>0</v>
      </c>
      <c r="AK2193" s="9">
        <f>IFERROR(VLOOKUP($A2193,pivot!$A:$I,計算式2026!AK$1,FALSE),0)</f>
        <v>0</v>
      </c>
      <c r="AL2193" s="9">
        <f>IFERROR(VLOOKUP($A2193,pivot!$A:$I,計算式2026!AL$1,FALSE),0)</f>
        <v>0</v>
      </c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</row>
    <row r="2194" spans="1:59" s="9" customFormat="1">
      <c r="A2194" s="8" t="s">
        <v>1330</v>
      </c>
      <c r="B2194" s="8" t="s">
        <v>1329</v>
      </c>
      <c r="C2194" s="9">
        <v>0</v>
      </c>
      <c r="D2194" s="9">
        <v>0</v>
      </c>
      <c r="E2194" s="9">
        <v>0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  <c r="K2194" s="9">
        <v>0</v>
      </c>
      <c r="R2194" s="9">
        <v>0</v>
      </c>
      <c r="S2194" s="9">
        <v>0</v>
      </c>
      <c r="T2194" s="9">
        <v>1</v>
      </c>
      <c r="U2194" s="9">
        <v>0</v>
      </c>
      <c r="V2194" s="9">
        <v>0</v>
      </c>
      <c r="W2194" s="9">
        <v>0</v>
      </c>
      <c r="X2194" s="9">
        <v>1</v>
      </c>
      <c r="AE2194" s="9">
        <f>IFERROR(VLOOKUP($A2194,pivot!$A:$G,計算式2026!AE$1,FALSE),0)</f>
        <v>0</v>
      </c>
      <c r="AF2194" s="9">
        <f>IFERROR(VLOOKUP($A2194,pivot!$A:$I,計算式2026!AF$1,FALSE),0)</f>
        <v>0</v>
      </c>
      <c r="AI2194" s="9">
        <f>IFERROR(VLOOKUP($A2194,pivot!$A:$I,計算式2026!AI$1,FALSE),0)</f>
        <v>0</v>
      </c>
      <c r="AJ2194" s="9">
        <f>IFERROR(VLOOKUP($A2194,pivot!$A:$I,計算式2026!AJ$1,FALSE),0)</f>
        <v>0</v>
      </c>
      <c r="AK2194" s="9">
        <f>IFERROR(VLOOKUP($A2194,pivot!$A:$I,計算式2026!AK$1,FALSE),0)</f>
        <v>0</v>
      </c>
      <c r="AL2194" s="9">
        <f>IFERROR(VLOOKUP($A2194,pivot!$A:$I,計算式2026!AL$1,FALSE),0)</f>
        <v>0</v>
      </c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</row>
    <row r="2195" spans="1:59" s="9" customFormat="1">
      <c r="A2195" s="8" t="s">
        <v>1331</v>
      </c>
      <c r="B2195" s="8" t="s">
        <v>1329</v>
      </c>
      <c r="C2195" s="9">
        <v>0</v>
      </c>
      <c r="D2195" s="9">
        <v>0</v>
      </c>
      <c r="E2195" s="9">
        <v>0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9">
        <v>0</v>
      </c>
      <c r="R2195" s="9">
        <v>0</v>
      </c>
      <c r="S2195" s="9">
        <v>0</v>
      </c>
      <c r="T2195" s="9">
        <v>1</v>
      </c>
      <c r="U2195" s="9">
        <v>0</v>
      </c>
      <c r="V2195" s="9">
        <v>0</v>
      </c>
      <c r="W2195" s="9">
        <v>0</v>
      </c>
      <c r="X2195" s="9">
        <v>1</v>
      </c>
      <c r="AE2195" s="9">
        <f>IFERROR(VLOOKUP($A2195,pivot!$A:$G,計算式2026!AE$1,FALSE),0)</f>
        <v>0</v>
      </c>
      <c r="AF2195" s="9">
        <f>IFERROR(VLOOKUP($A2195,pivot!$A:$I,計算式2026!AF$1,FALSE),0)</f>
        <v>0</v>
      </c>
      <c r="AI2195" s="9">
        <f>IFERROR(VLOOKUP($A2195,pivot!$A:$I,計算式2026!AI$1,FALSE),0)</f>
        <v>0</v>
      </c>
      <c r="AJ2195" s="9">
        <f>IFERROR(VLOOKUP($A2195,pivot!$A:$I,計算式2026!AJ$1,FALSE),0)</f>
        <v>0</v>
      </c>
      <c r="AK2195" s="9">
        <f>IFERROR(VLOOKUP($A2195,pivot!$A:$I,計算式2026!AK$1,FALSE),0)</f>
        <v>0</v>
      </c>
      <c r="AL2195" s="9">
        <f>IFERROR(VLOOKUP($A2195,pivot!$A:$I,計算式2026!AL$1,FALSE),0)</f>
        <v>0</v>
      </c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</row>
    <row r="2196" spans="1:59" s="9" customFormat="1">
      <c r="A2196" s="8" t="s">
        <v>1332</v>
      </c>
      <c r="B2196" s="8" t="s">
        <v>1329</v>
      </c>
      <c r="C2196" s="9">
        <v>0</v>
      </c>
      <c r="D2196" s="9">
        <v>0</v>
      </c>
      <c r="E2196" s="9">
        <v>0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R2196" s="9">
        <v>0</v>
      </c>
      <c r="S2196" s="9">
        <v>0</v>
      </c>
      <c r="T2196" s="9">
        <v>1</v>
      </c>
      <c r="U2196" s="9">
        <v>0</v>
      </c>
      <c r="V2196" s="9">
        <v>0</v>
      </c>
      <c r="W2196" s="9">
        <v>0</v>
      </c>
      <c r="X2196" s="9">
        <v>1</v>
      </c>
      <c r="AE2196" s="9">
        <f>IFERROR(VLOOKUP($A2196,pivot!$A:$G,計算式2026!AE$1,FALSE),0)</f>
        <v>0</v>
      </c>
      <c r="AF2196" s="9">
        <f>IFERROR(VLOOKUP($A2196,pivot!$A:$I,計算式2026!AF$1,FALSE),0)</f>
        <v>0</v>
      </c>
      <c r="AI2196" s="9">
        <f>IFERROR(VLOOKUP($A2196,pivot!$A:$I,計算式2026!AI$1,FALSE),0)</f>
        <v>0</v>
      </c>
      <c r="AJ2196" s="9">
        <f>IFERROR(VLOOKUP($A2196,pivot!$A:$I,計算式2026!AJ$1,FALSE),0)</f>
        <v>0</v>
      </c>
      <c r="AK2196" s="9">
        <f>IFERROR(VLOOKUP($A2196,pivot!$A:$I,計算式2026!AK$1,FALSE),0)</f>
        <v>0</v>
      </c>
      <c r="AL2196" s="9">
        <f>IFERROR(VLOOKUP($A2196,pivot!$A:$I,計算式2026!AL$1,FALSE),0)</f>
        <v>0</v>
      </c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</row>
    <row r="2197" spans="1:59" s="9" customFormat="1">
      <c r="A2197" s="8" t="s">
        <v>1333</v>
      </c>
      <c r="B2197" s="8" t="s">
        <v>1329</v>
      </c>
      <c r="C2197" s="9">
        <v>0</v>
      </c>
      <c r="D2197" s="9">
        <v>0</v>
      </c>
      <c r="E2197" s="9">
        <v>0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0</v>
      </c>
      <c r="R2197" s="9">
        <v>0</v>
      </c>
      <c r="S2197" s="9">
        <v>0</v>
      </c>
      <c r="T2197" s="9">
        <v>1</v>
      </c>
      <c r="U2197" s="9">
        <v>0</v>
      </c>
      <c r="V2197" s="9">
        <v>0</v>
      </c>
      <c r="W2197" s="9">
        <v>0</v>
      </c>
      <c r="X2197" s="9">
        <v>1</v>
      </c>
      <c r="AE2197" s="9">
        <f>IFERROR(VLOOKUP($A2197,pivot!$A:$G,計算式2026!AE$1,FALSE),0)</f>
        <v>0</v>
      </c>
      <c r="AF2197" s="9">
        <f>IFERROR(VLOOKUP($A2197,pivot!$A:$I,計算式2026!AF$1,FALSE),0)</f>
        <v>0</v>
      </c>
      <c r="AI2197" s="9">
        <f>IFERROR(VLOOKUP($A2197,pivot!$A:$I,計算式2026!AI$1,FALSE),0)</f>
        <v>0</v>
      </c>
      <c r="AJ2197" s="9">
        <f>IFERROR(VLOOKUP($A2197,pivot!$A:$I,計算式2026!AJ$1,FALSE),0)</f>
        <v>0</v>
      </c>
      <c r="AK2197" s="9">
        <f>IFERROR(VLOOKUP($A2197,pivot!$A:$I,計算式2026!AK$1,FALSE),0)</f>
        <v>0</v>
      </c>
      <c r="AL2197" s="9">
        <f>IFERROR(VLOOKUP($A2197,pivot!$A:$I,計算式2026!AL$1,FALSE),0)</f>
        <v>0</v>
      </c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</row>
    <row r="2198" spans="1:59" s="9" customFormat="1">
      <c r="A2198" s="8" t="s">
        <v>1334</v>
      </c>
      <c r="B2198" s="8" t="s">
        <v>1329</v>
      </c>
      <c r="C2198" s="9">
        <v>0</v>
      </c>
      <c r="D2198" s="9">
        <v>0</v>
      </c>
      <c r="E2198" s="9">
        <v>0</v>
      </c>
      <c r="F2198" s="9">
        <v>0</v>
      </c>
      <c r="G2198" s="9">
        <v>0</v>
      </c>
      <c r="H2198" s="9">
        <v>0</v>
      </c>
      <c r="I2198" s="9">
        <v>0</v>
      </c>
      <c r="J2198" s="9">
        <v>0</v>
      </c>
      <c r="K2198" s="9">
        <v>0</v>
      </c>
      <c r="R2198" s="9">
        <v>0</v>
      </c>
      <c r="S2198" s="9">
        <v>0</v>
      </c>
      <c r="T2198" s="9">
        <v>1</v>
      </c>
      <c r="U2198" s="9">
        <v>0</v>
      </c>
      <c r="V2198" s="9">
        <v>0</v>
      </c>
      <c r="W2198" s="9">
        <v>0</v>
      </c>
      <c r="X2198" s="9">
        <v>1</v>
      </c>
      <c r="AE2198" s="9">
        <f>IFERROR(VLOOKUP($A2198,pivot!$A:$G,計算式2026!AE$1,FALSE),0)</f>
        <v>0</v>
      </c>
      <c r="AF2198" s="9">
        <f>IFERROR(VLOOKUP($A2198,pivot!$A:$I,計算式2026!AF$1,FALSE),0)</f>
        <v>0</v>
      </c>
      <c r="AI2198" s="9">
        <f>IFERROR(VLOOKUP($A2198,pivot!$A:$I,計算式2026!AI$1,FALSE),0)</f>
        <v>0</v>
      </c>
      <c r="AJ2198" s="9">
        <f>IFERROR(VLOOKUP($A2198,pivot!$A:$I,計算式2026!AJ$1,FALSE),0)</f>
        <v>0</v>
      </c>
      <c r="AK2198" s="9">
        <f>IFERROR(VLOOKUP($A2198,pivot!$A:$I,計算式2026!AK$1,FALSE),0)</f>
        <v>0</v>
      </c>
      <c r="AL2198" s="9">
        <f>IFERROR(VLOOKUP($A2198,pivot!$A:$I,計算式2026!AL$1,FALSE),0)</f>
        <v>0</v>
      </c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</row>
    <row r="2199" spans="1:59" s="9" customFormat="1">
      <c r="A2199" s="8" t="s">
        <v>1335</v>
      </c>
      <c r="B2199" s="8" t="s">
        <v>1329</v>
      </c>
      <c r="C2199" s="9">
        <v>0</v>
      </c>
      <c r="D2199" s="9">
        <v>0</v>
      </c>
      <c r="E2199" s="9">
        <v>0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9">
        <v>0</v>
      </c>
      <c r="R2199" s="9">
        <v>0</v>
      </c>
      <c r="S2199" s="9">
        <v>1</v>
      </c>
      <c r="T2199" s="9">
        <v>1</v>
      </c>
      <c r="U2199" s="9">
        <v>0</v>
      </c>
      <c r="V2199" s="9">
        <v>1</v>
      </c>
      <c r="W2199" s="9">
        <v>0</v>
      </c>
      <c r="X2199" s="9">
        <v>1</v>
      </c>
      <c r="AE2199" s="9">
        <f>IFERROR(VLOOKUP($A2199,pivot!$A:$G,計算式2026!AE$1,FALSE),0)</f>
        <v>0</v>
      </c>
      <c r="AF2199" s="9">
        <f>IFERROR(VLOOKUP($A2199,pivot!$A:$I,計算式2026!AF$1,FALSE),0)</f>
        <v>0</v>
      </c>
      <c r="AI2199" s="9">
        <f>IFERROR(VLOOKUP($A2199,pivot!$A:$I,計算式2026!AI$1,FALSE),0)</f>
        <v>0</v>
      </c>
      <c r="AJ2199" s="9">
        <f>IFERROR(VLOOKUP($A2199,pivot!$A:$I,計算式2026!AJ$1,FALSE),0)</f>
        <v>0</v>
      </c>
      <c r="AK2199" s="9">
        <f>IFERROR(VLOOKUP($A2199,pivot!$A:$I,計算式2026!AK$1,FALSE),0)</f>
        <v>0</v>
      </c>
      <c r="AL2199" s="9">
        <f>IFERROR(VLOOKUP($A2199,pivot!$A:$I,計算式2026!AL$1,FALSE),0)</f>
        <v>0</v>
      </c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</row>
    <row r="2200" spans="1:59" s="9" customFormat="1">
      <c r="A2200" s="8" t="s">
        <v>1336</v>
      </c>
      <c r="B2200" s="8" t="s">
        <v>1329</v>
      </c>
      <c r="C2200" s="9">
        <v>0</v>
      </c>
      <c r="D2200" s="9">
        <v>0</v>
      </c>
      <c r="E2200" s="9">
        <v>0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9">
        <v>0</v>
      </c>
      <c r="R2200" s="9">
        <v>1</v>
      </c>
      <c r="S2200" s="9">
        <v>0</v>
      </c>
      <c r="T2200" s="9">
        <v>1</v>
      </c>
      <c r="U2200" s="9">
        <v>0</v>
      </c>
      <c r="V2200" s="9">
        <v>0</v>
      </c>
      <c r="W2200" s="9">
        <v>0</v>
      </c>
      <c r="X2200" s="9">
        <v>1</v>
      </c>
      <c r="AE2200" s="9">
        <f>IFERROR(VLOOKUP($A2200,pivot!$A:$G,計算式2026!AE$1,FALSE),0)</f>
        <v>0</v>
      </c>
      <c r="AF2200" s="9">
        <f>IFERROR(VLOOKUP($A2200,pivot!$A:$I,計算式2026!AF$1,FALSE),0)</f>
        <v>0</v>
      </c>
      <c r="AI2200" s="9">
        <f>IFERROR(VLOOKUP($A2200,pivot!$A:$I,計算式2026!AI$1,FALSE),0)</f>
        <v>0</v>
      </c>
      <c r="AJ2200" s="9">
        <f>IFERROR(VLOOKUP($A2200,pivot!$A:$I,計算式2026!AJ$1,FALSE),0)</f>
        <v>0</v>
      </c>
      <c r="AK2200" s="9">
        <f>IFERROR(VLOOKUP($A2200,pivot!$A:$I,計算式2026!AK$1,FALSE),0)</f>
        <v>0</v>
      </c>
      <c r="AL2200" s="9">
        <f>IFERROR(VLOOKUP($A2200,pivot!$A:$I,計算式2026!AL$1,FALSE),0)</f>
        <v>0</v>
      </c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</row>
    <row r="2201" spans="1:59" s="9" customFormat="1">
      <c r="A2201" s="8" t="s">
        <v>1337</v>
      </c>
      <c r="B2201" s="8" t="s">
        <v>1329</v>
      </c>
      <c r="C2201" s="9">
        <v>0</v>
      </c>
      <c r="D2201" s="9">
        <v>0</v>
      </c>
      <c r="E2201" s="9">
        <v>0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  <c r="K2201" s="9">
        <v>0</v>
      </c>
      <c r="R2201" s="9">
        <v>0</v>
      </c>
      <c r="S2201" s="9">
        <v>0</v>
      </c>
      <c r="T2201" s="9">
        <v>1</v>
      </c>
      <c r="U2201" s="9">
        <v>0</v>
      </c>
      <c r="V2201" s="9">
        <v>0</v>
      </c>
      <c r="W2201" s="9">
        <v>0</v>
      </c>
      <c r="X2201" s="9">
        <v>1</v>
      </c>
      <c r="AE2201" s="9">
        <f>IFERROR(VLOOKUP($A2201,pivot!$A:$G,計算式2026!AE$1,FALSE),0)</f>
        <v>0</v>
      </c>
      <c r="AF2201" s="9">
        <f>IFERROR(VLOOKUP($A2201,pivot!$A:$I,計算式2026!AF$1,FALSE),0)</f>
        <v>0</v>
      </c>
      <c r="AI2201" s="9">
        <f>IFERROR(VLOOKUP($A2201,pivot!$A:$I,計算式2026!AI$1,FALSE),0)</f>
        <v>0</v>
      </c>
      <c r="AJ2201" s="9">
        <f>IFERROR(VLOOKUP($A2201,pivot!$A:$I,計算式2026!AJ$1,FALSE),0)</f>
        <v>0</v>
      </c>
      <c r="AK2201" s="9">
        <f>IFERROR(VLOOKUP($A2201,pivot!$A:$I,計算式2026!AK$1,FALSE),0)</f>
        <v>0</v>
      </c>
      <c r="AL2201" s="9">
        <f>IFERROR(VLOOKUP($A2201,pivot!$A:$I,計算式2026!AL$1,FALSE),0)</f>
        <v>0</v>
      </c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</row>
    <row r="2202" spans="1:59" s="9" customFormat="1">
      <c r="A2202" s="8" t="s">
        <v>1338</v>
      </c>
      <c r="B2202" s="8" t="s">
        <v>1329</v>
      </c>
      <c r="C2202" s="9">
        <v>0</v>
      </c>
      <c r="D2202" s="9">
        <v>0</v>
      </c>
      <c r="E2202" s="9">
        <v>0</v>
      </c>
      <c r="F2202" s="9">
        <v>0</v>
      </c>
      <c r="G2202" s="9">
        <v>0</v>
      </c>
      <c r="H2202" s="9">
        <v>0</v>
      </c>
      <c r="I2202" s="9">
        <v>0</v>
      </c>
      <c r="J2202" s="9">
        <v>0</v>
      </c>
      <c r="K2202" s="9">
        <v>0</v>
      </c>
      <c r="R2202" s="9">
        <v>0</v>
      </c>
      <c r="S2202" s="9">
        <v>0</v>
      </c>
      <c r="T2202" s="9">
        <v>1</v>
      </c>
      <c r="U2202" s="9">
        <v>0</v>
      </c>
      <c r="V2202" s="9">
        <v>0</v>
      </c>
      <c r="W2202" s="9">
        <v>0</v>
      </c>
      <c r="X2202" s="9">
        <v>1</v>
      </c>
      <c r="AE2202" s="9">
        <f>IFERROR(VLOOKUP($A2202,pivot!$A:$G,計算式2026!AE$1,FALSE),0)</f>
        <v>0</v>
      </c>
      <c r="AF2202" s="9">
        <f>IFERROR(VLOOKUP($A2202,pivot!$A:$I,計算式2026!AF$1,FALSE),0)</f>
        <v>0</v>
      </c>
      <c r="AI2202" s="9">
        <f>IFERROR(VLOOKUP($A2202,pivot!$A:$I,計算式2026!AI$1,FALSE),0)</f>
        <v>0</v>
      </c>
      <c r="AJ2202" s="9">
        <f>IFERROR(VLOOKUP($A2202,pivot!$A:$I,計算式2026!AJ$1,FALSE),0)</f>
        <v>0</v>
      </c>
      <c r="AK2202" s="9">
        <f>IFERROR(VLOOKUP($A2202,pivot!$A:$I,計算式2026!AK$1,FALSE),0)</f>
        <v>0</v>
      </c>
      <c r="AL2202" s="9">
        <f>IFERROR(VLOOKUP($A2202,pivot!$A:$I,計算式2026!AL$1,FALSE),0)</f>
        <v>0</v>
      </c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</row>
    <row r="2203" spans="1:59" s="9" customFormat="1">
      <c r="A2203" s="8" t="s">
        <v>1339</v>
      </c>
      <c r="B2203" s="8" t="s">
        <v>1329</v>
      </c>
      <c r="C2203" s="9">
        <v>0</v>
      </c>
      <c r="D2203" s="9">
        <v>0</v>
      </c>
      <c r="E2203" s="9">
        <v>0</v>
      </c>
      <c r="F2203" s="9">
        <v>0</v>
      </c>
      <c r="G2203" s="9">
        <v>0</v>
      </c>
      <c r="H2203" s="9">
        <v>0</v>
      </c>
      <c r="I2203" s="9">
        <v>0</v>
      </c>
      <c r="J2203" s="9">
        <v>0</v>
      </c>
      <c r="K2203" s="9">
        <v>0</v>
      </c>
      <c r="R2203" s="9">
        <v>0</v>
      </c>
      <c r="S2203" s="9">
        <v>0</v>
      </c>
      <c r="T2203" s="9">
        <v>1</v>
      </c>
      <c r="U2203" s="9">
        <v>0</v>
      </c>
      <c r="V2203" s="9">
        <v>0</v>
      </c>
      <c r="W2203" s="9">
        <v>0</v>
      </c>
      <c r="X2203" s="9">
        <v>1</v>
      </c>
      <c r="AE2203" s="9">
        <f>IFERROR(VLOOKUP($A2203,pivot!$A:$G,計算式2026!AE$1,FALSE),0)</f>
        <v>0</v>
      </c>
      <c r="AF2203" s="9">
        <f>IFERROR(VLOOKUP($A2203,pivot!$A:$I,計算式2026!AF$1,FALSE),0)</f>
        <v>0</v>
      </c>
      <c r="AI2203" s="9">
        <f>IFERROR(VLOOKUP($A2203,pivot!$A:$I,計算式2026!AI$1,FALSE),0)</f>
        <v>0</v>
      </c>
      <c r="AJ2203" s="9">
        <f>IFERROR(VLOOKUP($A2203,pivot!$A:$I,計算式2026!AJ$1,FALSE),0)</f>
        <v>0</v>
      </c>
      <c r="AK2203" s="9">
        <f>IFERROR(VLOOKUP($A2203,pivot!$A:$I,計算式2026!AK$1,FALSE),0)</f>
        <v>0</v>
      </c>
      <c r="AL2203" s="9">
        <f>IFERROR(VLOOKUP($A2203,pivot!$A:$I,計算式2026!AL$1,FALSE),0)</f>
        <v>0</v>
      </c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</row>
    <row r="2204" spans="1:59" s="9" customFormat="1">
      <c r="A2204" s="8" t="s">
        <v>1340</v>
      </c>
      <c r="B2204" s="8" t="s">
        <v>1329</v>
      </c>
      <c r="C2204" s="9">
        <v>0</v>
      </c>
      <c r="D2204" s="9">
        <v>0</v>
      </c>
      <c r="E2204" s="9">
        <v>0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9">
        <v>0</v>
      </c>
      <c r="R2204" s="9">
        <v>0</v>
      </c>
      <c r="S2204" s="9">
        <v>0</v>
      </c>
      <c r="T2204" s="9">
        <v>1</v>
      </c>
      <c r="U2204" s="9">
        <v>0</v>
      </c>
      <c r="V2204" s="9">
        <v>0</v>
      </c>
      <c r="W2204" s="9">
        <v>0</v>
      </c>
      <c r="X2204" s="9">
        <v>1</v>
      </c>
      <c r="AE2204" s="9">
        <f>IFERROR(VLOOKUP($A2204,pivot!$A:$G,計算式2026!AE$1,FALSE),0)</f>
        <v>0</v>
      </c>
      <c r="AF2204" s="9">
        <f>IFERROR(VLOOKUP($A2204,pivot!$A:$I,計算式2026!AF$1,FALSE),0)</f>
        <v>0</v>
      </c>
      <c r="AI2204" s="9">
        <f>IFERROR(VLOOKUP($A2204,pivot!$A:$I,計算式2026!AI$1,FALSE),0)</f>
        <v>0</v>
      </c>
      <c r="AJ2204" s="9">
        <f>IFERROR(VLOOKUP($A2204,pivot!$A:$I,計算式2026!AJ$1,FALSE),0)</f>
        <v>0</v>
      </c>
      <c r="AK2204" s="9">
        <f>IFERROR(VLOOKUP($A2204,pivot!$A:$I,計算式2026!AK$1,FALSE),0)</f>
        <v>0</v>
      </c>
      <c r="AL2204" s="9">
        <f>IFERROR(VLOOKUP($A2204,pivot!$A:$I,計算式2026!AL$1,FALSE),0)</f>
        <v>0</v>
      </c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</row>
    <row r="2205" spans="1:59" s="9" customFormat="1">
      <c r="A2205" s="8" t="s">
        <v>1341</v>
      </c>
      <c r="B2205" s="8" t="s">
        <v>1342</v>
      </c>
      <c r="C2205" s="9">
        <v>1</v>
      </c>
      <c r="D2205" s="9">
        <v>0</v>
      </c>
      <c r="E2205" s="9">
        <v>0</v>
      </c>
      <c r="F2205" s="9">
        <v>0</v>
      </c>
      <c r="G2205" s="9">
        <v>0</v>
      </c>
      <c r="H2205" s="9">
        <v>0</v>
      </c>
      <c r="I2205" s="9">
        <v>0</v>
      </c>
      <c r="J2205" s="9">
        <v>0</v>
      </c>
      <c r="K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1</v>
      </c>
      <c r="AE2205" s="9">
        <f>IFERROR(VLOOKUP($A2205,pivot!$A:$G,計算式2026!AE$1,FALSE),0)</f>
        <v>0</v>
      </c>
      <c r="AF2205" s="9">
        <f>IFERROR(VLOOKUP($A2205,pivot!$A:$I,計算式2026!AF$1,FALSE),0)</f>
        <v>0</v>
      </c>
      <c r="AI2205" s="9">
        <f>IFERROR(VLOOKUP($A2205,pivot!$A:$I,計算式2026!AI$1,FALSE),0)</f>
        <v>0</v>
      </c>
      <c r="AJ2205" s="9">
        <f>IFERROR(VLOOKUP($A2205,pivot!$A:$I,計算式2026!AJ$1,FALSE),0)</f>
        <v>0</v>
      </c>
      <c r="AK2205" s="9">
        <f>IFERROR(VLOOKUP($A2205,pivot!$A:$I,計算式2026!AK$1,FALSE),0)</f>
        <v>0</v>
      </c>
      <c r="AL2205" s="9">
        <f>IFERROR(VLOOKUP($A2205,pivot!$A:$I,計算式2026!AL$1,FALSE),0)</f>
        <v>0</v>
      </c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</row>
    <row r="2206" spans="1:59" s="9" customFormat="1">
      <c r="A2206" s="8" t="s">
        <v>1343</v>
      </c>
      <c r="B2206" s="8" t="s">
        <v>1342</v>
      </c>
      <c r="C2206" s="9">
        <v>8</v>
      </c>
      <c r="D2206" s="9">
        <v>0</v>
      </c>
      <c r="E2206" s="9">
        <v>0</v>
      </c>
      <c r="F2206" s="9">
        <v>0</v>
      </c>
      <c r="G2206" s="9">
        <v>0</v>
      </c>
      <c r="H2206" s="9">
        <v>0</v>
      </c>
      <c r="I2206" s="9">
        <v>0</v>
      </c>
      <c r="J2206" s="9">
        <v>0</v>
      </c>
      <c r="K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1</v>
      </c>
      <c r="AE2206" s="9">
        <f>IFERROR(VLOOKUP($A2206,pivot!$A:$G,計算式2026!AE$1,FALSE),0)</f>
        <v>0</v>
      </c>
      <c r="AF2206" s="9">
        <f>IFERROR(VLOOKUP($A2206,pivot!$A:$I,計算式2026!AF$1,FALSE),0)</f>
        <v>0</v>
      </c>
      <c r="AI2206" s="9">
        <f>IFERROR(VLOOKUP($A2206,pivot!$A:$I,計算式2026!AI$1,FALSE),0)</f>
        <v>0</v>
      </c>
      <c r="AJ2206" s="9">
        <f>IFERROR(VLOOKUP($A2206,pivot!$A:$I,計算式2026!AJ$1,FALSE),0)</f>
        <v>0</v>
      </c>
      <c r="AK2206" s="9">
        <f>IFERROR(VLOOKUP($A2206,pivot!$A:$I,計算式2026!AK$1,FALSE),0)</f>
        <v>0</v>
      </c>
      <c r="AL2206" s="9">
        <f>IFERROR(VLOOKUP($A2206,pivot!$A:$I,計算式2026!AL$1,FALSE),0)</f>
        <v>0</v>
      </c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</row>
    <row r="2207" spans="1:59" s="9" customFormat="1">
      <c r="A2207" s="8" t="s">
        <v>1344</v>
      </c>
      <c r="B2207" s="8" t="s">
        <v>1342</v>
      </c>
      <c r="C2207" s="9">
        <v>5</v>
      </c>
      <c r="D2207" s="9">
        <v>0</v>
      </c>
      <c r="E2207" s="9">
        <v>0</v>
      </c>
      <c r="F2207" s="9">
        <v>0</v>
      </c>
      <c r="G2207" s="9">
        <v>0</v>
      </c>
      <c r="H2207" s="9">
        <v>0</v>
      </c>
      <c r="I2207" s="9">
        <v>0</v>
      </c>
      <c r="J2207" s="9">
        <v>0</v>
      </c>
      <c r="K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1</v>
      </c>
      <c r="AE2207" s="9">
        <f>IFERROR(VLOOKUP($A2207,pivot!$A:$G,計算式2026!AE$1,FALSE),0)</f>
        <v>0</v>
      </c>
      <c r="AF2207" s="9">
        <f>IFERROR(VLOOKUP($A2207,pivot!$A:$I,計算式2026!AF$1,FALSE),0)</f>
        <v>0</v>
      </c>
      <c r="AI2207" s="9">
        <f>IFERROR(VLOOKUP($A2207,pivot!$A:$I,計算式2026!AI$1,FALSE),0)</f>
        <v>0</v>
      </c>
      <c r="AJ2207" s="9">
        <f>IFERROR(VLOOKUP($A2207,pivot!$A:$I,計算式2026!AJ$1,FALSE),0)</f>
        <v>0</v>
      </c>
      <c r="AK2207" s="9">
        <f>IFERROR(VLOOKUP($A2207,pivot!$A:$I,計算式2026!AK$1,FALSE),0)</f>
        <v>0</v>
      </c>
      <c r="AL2207" s="9">
        <f>IFERROR(VLOOKUP($A2207,pivot!$A:$I,計算式2026!AL$1,FALSE),0)</f>
        <v>0</v>
      </c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</row>
    <row r="2208" spans="1:59" s="9" customFormat="1">
      <c r="A2208" s="8" t="s">
        <v>1345</v>
      </c>
      <c r="B2208" s="8" t="s">
        <v>1342</v>
      </c>
      <c r="C2208" s="9">
        <v>1</v>
      </c>
      <c r="D2208" s="9">
        <v>0</v>
      </c>
      <c r="E2208" s="9">
        <v>0</v>
      </c>
      <c r="F2208" s="9">
        <v>0</v>
      </c>
      <c r="G2208" s="9">
        <v>0</v>
      </c>
      <c r="H2208" s="9">
        <v>0</v>
      </c>
      <c r="I2208" s="9">
        <v>0</v>
      </c>
      <c r="J2208" s="9">
        <v>0</v>
      </c>
      <c r="K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1</v>
      </c>
      <c r="AE2208" s="9">
        <f>IFERROR(VLOOKUP($A2208,pivot!$A:$G,計算式2026!AE$1,FALSE),0)</f>
        <v>0</v>
      </c>
      <c r="AF2208" s="9">
        <f>IFERROR(VLOOKUP($A2208,pivot!$A:$I,計算式2026!AF$1,FALSE),0)</f>
        <v>0</v>
      </c>
      <c r="AI2208" s="9">
        <f>IFERROR(VLOOKUP($A2208,pivot!$A:$I,計算式2026!AI$1,FALSE),0)</f>
        <v>0</v>
      </c>
      <c r="AJ2208" s="9">
        <f>IFERROR(VLOOKUP($A2208,pivot!$A:$I,計算式2026!AJ$1,FALSE),0)</f>
        <v>0</v>
      </c>
      <c r="AK2208" s="9">
        <f>IFERROR(VLOOKUP($A2208,pivot!$A:$I,計算式2026!AK$1,FALSE),0)</f>
        <v>0</v>
      </c>
      <c r="AL2208" s="9">
        <f>IFERROR(VLOOKUP($A2208,pivot!$A:$I,計算式2026!AL$1,FALSE),0)</f>
        <v>0</v>
      </c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</row>
    <row r="2209" spans="1:59" s="9" customFormat="1">
      <c r="A2209" s="8" t="s">
        <v>1346</v>
      </c>
      <c r="B2209" s="8" t="s">
        <v>1342</v>
      </c>
      <c r="C2209" s="9">
        <v>8</v>
      </c>
      <c r="D2209" s="9">
        <v>0</v>
      </c>
      <c r="E2209" s="9">
        <v>0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1</v>
      </c>
      <c r="AE2209" s="9">
        <f>IFERROR(VLOOKUP($A2209,pivot!$A:$G,計算式2026!AE$1,FALSE),0)</f>
        <v>0</v>
      </c>
      <c r="AF2209" s="9">
        <f>IFERROR(VLOOKUP($A2209,pivot!$A:$I,計算式2026!AF$1,FALSE),0)</f>
        <v>0</v>
      </c>
      <c r="AI2209" s="9">
        <f>IFERROR(VLOOKUP($A2209,pivot!$A:$I,計算式2026!AI$1,FALSE),0)</f>
        <v>0</v>
      </c>
      <c r="AJ2209" s="9">
        <f>IFERROR(VLOOKUP($A2209,pivot!$A:$I,計算式2026!AJ$1,FALSE),0)</f>
        <v>0</v>
      </c>
      <c r="AK2209" s="9">
        <f>IFERROR(VLOOKUP($A2209,pivot!$A:$I,計算式2026!AK$1,FALSE),0)</f>
        <v>0</v>
      </c>
      <c r="AL2209" s="9">
        <f>IFERROR(VLOOKUP($A2209,pivot!$A:$I,計算式2026!AL$1,FALSE),0)</f>
        <v>0</v>
      </c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</row>
    <row r="2210" spans="1:59" s="9" customFormat="1">
      <c r="A2210" s="8" t="s">
        <v>1347</v>
      </c>
      <c r="B2210" s="8" t="s">
        <v>1342</v>
      </c>
      <c r="C2210" s="9">
        <v>4</v>
      </c>
      <c r="D2210" s="9">
        <v>0</v>
      </c>
      <c r="E2210" s="9">
        <v>0</v>
      </c>
      <c r="F2210" s="9">
        <v>0</v>
      </c>
      <c r="G2210" s="9">
        <v>0</v>
      </c>
      <c r="H2210" s="9">
        <v>0</v>
      </c>
      <c r="I2210" s="9">
        <v>0</v>
      </c>
      <c r="J2210" s="9">
        <v>0</v>
      </c>
      <c r="K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1</v>
      </c>
      <c r="AE2210" s="9">
        <f>IFERROR(VLOOKUP($A2210,pivot!$A:$G,計算式2026!AE$1,FALSE),0)</f>
        <v>0</v>
      </c>
      <c r="AF2210" s="9">
        <f>IFERROR(VLOOKUP($A2210,pivot!$A:$I,計算式2026!AF$1,FALSE),0)</f>
        <v>0</v>
      </c>
      <c r="AI2210" s="9">
        <f>IFERROR(VLOOKUP($A2210,pivot!$A:$I,計算式2026!AI$1,FALSE),0)</f>
        <v>0</v>
      </c>
      <c r="AJ2210" s="9">
        <f>IFERROR(VLOOKUP($A2210,pivot!$A:$I,計算式2026!AJ$1,FALSE),0)</f>
        <v>0</v>
      </c>
      <c r="AK2210" s="9">
        <f>IFERROR(VLOOKUP($A2210,pivot!$A:$I,計算式2026!AK$1,FALSE),0)</f>
        <v>0</v>
      </c>
      <c r="AL2210" s="9">
        <f>IFERROR(VLOOKUP($A2210,pivot!$A:$I,計算式2026!AL$1,FALSE),0)</f>
        <v>0</v>
      </c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</row>
    <row r="2211" spans="1:59" s="9" customFormat="1">
      <c r="A2211" s="8" t="s">
        <v>1348</v>
      </c>
      <c r="B2211" s="8" t="s">
        <v>1349</v>
      </c>
      <c r="C2211" s="9">
        <v>0</v>
      </c>
      <c r="D2211" s="9">
        <v>0</v>
      </c>
      <c r="E2211" s="9">
        <v>0</v>
      </c>
      <c r="F2211" s="9">
        <v>0</v>
      </c>
      <c r="G2211" s="9">
        <v>0</v>
      </c>
      <c r="H2211" s="9">
        <v>0</v>
      </c>
      <c r="I2211" s="9">
        <v>0</v>
      </c>
      <c r="J2211" s="9">
        <v>0</v>
      </c>
      <c r="K2211" s="9">
        <v>0</v>
      </c>
      <c r="R2211" s="9">
        <v>0</v>
      </c>
      <c r="S2211" s="9">
        <v>0</v>
      </c>
      <c r="T2211" s="9">
        <v>1</v>
      </c>
      <c r="U2211" s="9">
        <v>0</v>
      </c>
      <c r="V2211" s="9">
        <v>0</v>
      </c>
      <c r="W2211" s="9">
        <v>0</v>
      </c>
      <c r="X2211" s="9">
        <v>1</v>
      </c>
      <c r="AE2211" s="9">
        <f>IFERROR(VLOOKUP($A2211,pivot!$A:$G,計算式2026!AE$1,FALSE),0)</f>
        <v>0</v>
      </c>
      <c r="AF2211" s="9">
        <f>IFERROR(VLOOKUP($A2211,pivot!$A:$I,計算式2026!AF$1,FALSE),0)</f>
        <v>0</v>
      </c>
      <c r="AI2211" s="9">
        <f>IFERROR(VLOOKUP($A2211,pivot!$A:$I,計算式2026!AI$1,FALSE),0)</f>
        <v>0</v>
      </c>
      <c r="AJ2211" s="9">
        <f>IFERROR(VLOOKUP($A2211,pivot!$A:$I,計算式2026!AJ$1,FALSE),0)</f>
        <v>0</v>
      </c>
      <c r="AK2211" s="9">
        <f>IFERROR(VLOOKUP($A2211,pivot!$A:$I,計算式2026!AK$1,FALSE),0)</f>
        <v>0</v>
      </c>
      <c r="AL2211" s="9">
        <f>IFERROR(VLOOKUP($A2211,pivot!$A:$I,計算式2026!AL$1,FALSE),0)</f>
        <v>0</v>
      </c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</row>
    <row r="2212" spans="1:59" s="9" customFormat="1">
      <c r="A2212" s="8" t="s">
        <v>1350</v>
      </c>
      <c r="B2212" s="8" t="s">
        <v>1349</v>
      </c>
      <c r="C2212" s="9">
        <v>8</v>
      </c>
      <c r="D2212" s="9">
        <v>0</v>
      </c>
      <c r="E2212" s="9">
        <v>0</v>
      </c>
      <c r="F2212" s="9">
        <v>0</v>
      </c>
      <c r="G2212" s="9">
        <v>0</v>
      </c>
      <c r="H2212" s="9">
        <v>0</v>
      </c>
      <c r="I2212" s="9">
        <v>0</v>
      </c>
      <c r="J2212" s="9">
        <v>0</v>
      </c>
      <c r="K2212" s="9">
        <v>0</v>
      </c>
      <c r="R2212" s="9">
        <v>0</v>
      </c>
      <c r="S2212" s="9">
        <v>0</v>
      </c>
      <c r="T2212" s="9">
        <v>1</v>
      </c>
      <c r="U2212" s="9">
        <v>0</v>
      </c>
      <c r="V2212" s="9">
        <v>0</v>
      </c>
      <c r="W2212" s="9">
        <v>0</v>
      </c>
      <c r="X2212" s="9">
        <v>1</v>
      </c>
      <c r="AE2212" s="9">
        <f>IFERROR(VLOOKUP($A2212,pivot!$A:$G,計算式2026!AE$1,FALSE),0)</f>
        <v>0</v>
      </c>
      <c r="AF2212" s="9">
        <f>IFERROR(VLOOKUP($A2212,pivot!$A:$I,計算式2026!AF$1,FALSE),0)</f>
        <v>0</v>
      </c>
      <c r="AI2212" s="9">
        <f>IFERROR(VLOOKUP($A2212,pivot!$A:$I,計算式2026!AI$1,FALSE),0)</f>
        <v>0</v>
      </c>
      <c r="AJ2212" s="9">
        <f>IFERROR(VLOOKUP($A2212,pivot!$A:$I,計算式2026!AJ$1,FALSE),0)</f>
        <v>0</v>
      </c>
      <c r="AK2212" s="9">
        <f>IFERROR(VLOOKUP($A2212,pivot!$A:$I,計算式2026!AK$1,FALSE),0)</f>
        <v>0</v>
      </c>
      <c r="AL2212" s="9">
        <f>IFERROR(VLOOKUP($A2212,pivot!$A:$I,計算式2026!AL$1,FALSE),0)</f>
        <v>0</v>
      </c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</row>
    <row r="2213" spans="1:59" s="9" customFormat="1">
      <c r="A2213" s="8" t="s">
        <v>1351</v>
      </c>
      <c r="B2213" s="8" t="s">
        <v>1349</v>
      </c>
      <c r="C2213" s="9">
        <v>5</v>
      </c>
      <c r="D2213" s="9">
        <v>0</v>
      </c>
      <c r="E2213" s="9">
        <v>0</v>
      </c>
      <c r="F2213" s="9">
        <v>0</v>
      </c>
      <c r="G2213" s="9">
        <v>0</v>
      </c>
      <c r="H2213" s="9">
        <v>0</v>
      </c>
      <c r="I2213" s="9">
        <v>0</v>
      </c>
      <c r="J2213" s="9">
        <v>0</v>
      </c>
      <c r="K2213" s="9">
        <v>0</v>
      </c>
      <c r="R2213" s="9">
        <v>0</v>
      </c>
      <c r="S2213" s="9">
        <v>0</v>
      </c>
      <c r="T2213" s="9">
        <v>1</v>
      </c>
      <c r="U2213" s="9">
        <v>0</v>
      </c>
      <c r="V2213" s="9">
        <v>0</v>
      </c>
      <c r="W2213" s="9">
        <v>0</v>
      </c>
      <c r="X2213" s="9">
        <v>1</v>
      </c>
      <c r="AE2213" s="9">
        <f>IFERROR(VLOOKUP($A2213,pivot!$A:$G,計算式2026!AE$1,FALSE),0)</f>
        <v>0</v>
      </c>
      <c r="AF2213" s="9">
        <f>IFERROR(VLOOKUP($A2213,pivot!$A:$I,計算式2026!AF$1,FALSE),0)</f>
        <v>0</v>
      </c>
      <c r="AI2213" s="9">
        <f>IFERROR(VLOOKUP($A2213,pivot!$A:$I,計算式2026!AI$1,FALSE),0)</f>
        <v>0</v>
      </c>
      <c r="AJ2213" s="9">
        <f>IFERROR(VLOOKUP($A2213,pivot!$A:$I,計算式2026!AJ$1,FALSE),0)</f>
        <v>0</v>
      </c>
      <c r="AK2213" s="9">
        <f>IFERROR(VLOOKUP($A2213,pivot!$A:$I,計算式2026!AK$1,FALSE),0)</f>
        <v>0</v>
      </c>
      <c r="AL2213" s="9">
        <f>IFERROR(VLOOKUP($A2213,pivot!$A:$I,計算式2026!AL$1,FALSE),0)</f>
        <v>0</v>
      </c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</row>
    <row r="2214" spans="1:59" s="9" customFormat="1">
      <c r="A2214" s="8" t="s">
        <v>1352</v>
      </c>
      <c r="B2214" s="8" t="s">
        <v>1349</v>
      </c>
      <c r="C2214" s="9">
        <v>3</v>
      </c>
      <c r="D2214" s="9">
        <v>0</v>
      </c>
      <c r="E2214" s="9">
        <v>0</v>
      </c>
      <c r="F2214" s="9">
        <v>0</v>
      </c>
      <c r="G2214" s="9">
        <v>0</v>
      </c>
      <c r="H2214" s="9">
        <v>0</v>
      </c>
      <c r="I2214" s="9">
        <v>0</v>
      </c>
      <c r="J2214" s="9">
        <v>0</v>
      </c>
      <c r="K2214" s="9">
        <v>0</v>
      </c>
      <c r="R2214" s="9">
        <v>0</v>
      </c>
      <c r="S2214" s="9">
        <v>0</v>
      </c>
      <c r="T2214" s="9">
        <v>1</v>
      </c>
      <c r="U2214" s="9">
        <v>0</v>
      </c>
      <c r="V2214" s="9">
        <v>0</v>
      </c>
      <c r="W2214" s="9">
        <v>0</v>
      </c>
      <c r="X2214" s="9">
        <v>1</v>
      </c>
      <c r="AE2214" s="9">
        <f>IFERROR(VLOOKUP($A2214,pivot!$A:$G,計算式2026!AE$1,FALSE),0)</f>
        <v>0</v>
      </c>
      <c r="AF2214" s="9">
        <f>IFERROR(VLOOKUP($A2214,pivot!$A:$I,計算式2026!AF$1,FALSE),0)</f>
        <v>0</v>
      </c>
      <c r="AI2214" s="9">
        <f>IFERROR(VLOOKUP($A2214,pivot!$A:$I,計算式2026!AI$1,FALSE),0)</f>
        <v>0</v>
      </c>
      <c r="AJ2214" s="9">
        <f>IFERROR(VLOOKUP($A2214,pivot!$A:$I,計算式2026!AJ$1,FALSE),0)</f>
        <v>0</v>
      </c>
      <c r="AK2214" s="9">
        <f>IFERROR(VLOOKUP($A2214,pivot!$A:$I,計算式2026!AK$1,FALSE),0)</f>
        <v>0</v>
      </c>
      <c r="AL2214" s="9">
        <f>IFERROR(VLOOKUP($A2214,pivot!$A:$I,計算式2026!AL$1,FALSE),0)</f>
        <v>0</v>
      </c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</row>
    <row r="2215" spans="1:59" s="9" customFormat="1">
      <c r="A2215" s="8" t="s">
        <v>1353</v>
      </c>
      <c r="B2215" s="8" t="s">
        <v>1349</v>
      </c>
      <c r="C2215" s="9">
        <v>7</v>
      </c>
      <c r="D2215" s="9">
        <v>0</v>
      </c>
      <c r="E2215" s="9">
        <v>0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9">
        <v>0</v>
      </c>
      <c r="R2215" s="9">
        <v>0</v>
      </c>
      <c r="S2215" s="9">
        <v>0</v>
      </c>
      <c r="T2215" s="9">
        <v>2</v>
      </c>
      <c r="U2215" s="9">
        <v>0</v>
      </c>
      <c r="V2215" s="9">
        <v>0</v>
      </c>
      <c r="W2215" s="9">
        <v>0</v>
      </c>
      <c r="X2215" s="9">
        <v>1</v>
      </c>
      <c r="AE2215" s="9">
        <f>IFERROR(VLOOKUP($A2215,pivot!$A:$G,計算式2026!AE$1,FALSE),0)</f>
        <v>0</v>
      </c>
      <c r="AF2215" s="9">
        <f>IFERROR(VLOOKUP($A2215,pivot!$A:$I,計算式2026!AF$1,FALSE),0)</f>
        <v>0</v>
      </c>
      <c r="AI2215" s="9">
        <f>IFERROR(VLOOKUP($A2215,pivot!$A:$I,計算式2026!AI$1,FALSE),0)</f>
        <v>0</v>
      </c>
      <c r="AJ2215" s="9">
        <f>IFERROR(VLOOKUP($A2215,pivot!$A:$I,計算式2026!AJ$1,FALSE),0)</f>
        <v>0</v>
      </c>
      <c r="AK2215" s="9">
        <f>IFERROR(VLOOKUP($A2215,pivot!$A:$I,計算式2026!AK$1,FALSE),0)</f>
        <v>0</v>
      </c>
      <c r="AL2215" s="9">
        <f>IFERROR(VLOOKUP($A2215,pivot!$A:$I,計算式2026!AL$1,FALSE),0)</f>
        <v>0</v>
      </c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</row>
    <row r="2216" spans="1:59" s="9" customFormat="1">
      <c r="A2216" s="8" t="s">
        <v>1354</v>
      </c>
      <c r="B2216" s="8" t="s">
        <v>1349</v>
      </c>
      <c r="C2216" s="9">
        <v>5</v>
      </c>
      <c r="D2216" s="9">
        <v>0</v>
      </c>
      <c r="E2216" s="9">
        <v>0</v>
      </c>
      <c r="F2216" s="9">
        <v>0</v>
      </c>
      <c r="G2216" s="9">
        <v>0</v>
      </c>
      <c r="H2216" s="9">
        <v>0</v>
      </c>
      <c r="I2216" s="9">
        <v>0</v>
      </c>
      <c r="J2216" s="9">
        <v>0</v>
      </c>
      <c r="K2216" s="9">
        <v>0</v>
      </c>
      <c r="R2216" s="9">
        <v>0</v>
      </c>
      <c r="S2216" s="9">
        <v>0</v>
      </c>
      <c r="T2216" s="9">
        <v>1</v>
      </c>
      <c r="U2216" s="9">
        <v>0</v>
      </c>
      <c r="V2216" s="9">
        <v>0</v>
      </c>
      <c r="W2216" s="9">
        <v>0</v>
      </c>
      <c r="X2216" s="9">
        <v>1</v>
      </c>
      <c r="AE2216" s="9">
        <f>IFERROR(VLOOKUP($A2216,pivot!$A:$G,計算式2026!AE$1,FALSE),0)</f>
        <v>0</v>
      </c>
      <c r="AF2216" s="9">
        <f>IFERROR(VLOOKUP($A2216,pivot!$A:$I,計算式2026!AF$1,FALSE),0)</f>
        <v>0</v>
      </c>
      <c r="AI2216" s="9">
        <f>IFERROR(VLOOKUP($A2216,pivot!$A:$I,計算式2026!AI$1,FALSE),0)</f>
        <v>0</v>
      </c>
      <c r="AJ2216" s="9">
        <f>IFERROR(VLOOKUP($A2216,pivot!$A:$I,計算式2026!AJ$1,FALSE),0)</f>
        <v>0</v>
      </c>
      <c r="AK2216" s="9">
        <f>IFERROR(VLOOKUP($A2216,pivot!$A:$I,計算式2026!AK$1,FALSE),0)</f>
        <v>0</v>
      </c>
      <c r="AL2216" s="9">
        <f>IFERROR(VLOOKUP($A2216,pivot!$A:$I,計算式2026!AL$1,FALSE),0)</f>
        <v>0</v>
      </c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</row>
    <row r="2217" spans="1:59" s="9" customFormat="1">
      <c r="A2217" s="8" t="s">
        <v>1355</v>
      </c>
      <c r="B2217" s="8" t="s">
        <v>1356</v>
      </c>
      <c r="C2217" s="9">
        <v>1</v>
      </c>
      <c r="D2217" s="9">
        <v>0</v>
      </c>
      <c r="E2217" s="9">
        <v>0</v>
      </c>
      <c r="F2217" s="9">
        <v>0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AE2217" s="9">
        <f>IFERROR(VLOOKUP($A2217,pivot!$A:$G,計算式2026!AE$1,FALSE),0)</f>
        <v>0</v>
      </c>
      <c r="AF2217" s="9">
        <f>IFERROR(VLOOKUP($A2217,pivot!$A:$I,計算式2026!AF$1,FALSE),0)</f>
        <v>0</v>
      </c>
      <c r="AI2217" s="9">
        <f>IFERROR(VLOOKUP($A2217,pivot!$A:$I,計算式2026!AI$1,FALSE),0)</f>
        <v>0</v>
      </c>
      <c r="AJ2217" s="9">
        <f>IFERROR(VLOOKUP($A2217,pivot!$A:$I,計算式2026!AJ$1,FALSE),0)</f>
        <v>0</v>
      </c>
      <c r="AK2217" s="9">
        <f>IFERROR(VLOOKUP($A2217,pivot!$A:$I,計算式2026!AK$1,FALSE),0)</f>
        <v>0</v>
      </c>
      <c r="AL2217" s="9">
        <f>IFERROR(VLOOKUP($A2217,pivot!$A:$I,計算式2026!AL$1,FALSE),0)</f>
        <v>0</v>
      </c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</row>
    <row r="2218" spans="1:59" s="9" customFormat="1">
      <c r="A2218" s="8" t="s">
        <v>1357</v>
      </c>
      <c r="B2218" s="8" t="s">
        <v>1356</v>
      </c>
      <c r="C2218" s="9">
        <v>1</v>
      </c>
      <c r="D2218" s="9">
        <v>0</v>
      </c>
      <c r="E2218" s="9">
        <v>0</v>
      </c>
      <c r="F2218" s="9">
        <v>0</v>
      </c>
      <c r="G2218" s="9">
        <v>0</v>
      </c>
      <c r="H2218" s="9">
        <v>0</v>
      </c>
      <c r="I2218" s="9">
        <v>0</v>
      </c>
      <c r="J2218" s="9">
        <v>0</v>
      </c>
      <c r="K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AE2218" s="9">
        <f>IFERROR(VLOOKUP($A2218,pivot!$A:$G,計算式2026!AE$1,FALSE),0)</f>
        <v>0</v>
      </c>
      <c r="AF2218" s="9">
        <f>IFERROR(VLOOKUP($A2218,pivot!$A:$I,計算式2026!AF$1,FALSE),0)</f>
        <v>0</v>
      </c>
      <c r="AI2218" s="9">
        <f>IFERROR(VLOOKUP($A2218,pivot!$A:$I,計算式2026!AI$1,FALSE),0)</f>
        <v>0</v>
      </c>
      <c r="AJ2218" s="9">
        <f>IFERROR(VLOOKUP($A2218,pivot!$A:$I,計算式2026!AJ$1,FALSE),0)</f>
        <v>0</v>
      </c>
      <c r="AK2218" s="9">
        <f>IFERROR(VLOOKUP($A2218,pivot!$A:$I,計算式2026!AK$1,FALSE),0)</f>
        <v>0</v>
      </c>
      <c r="AL2218" s="9">
        <f>IFERROR(VLOOKUP($A2218,pivot!$A:$I,計算式2026!AL$1,FALSE),0)</f>
        <v>0</v>
      </c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</row>
    <row r="2219" spans="1:59" s="9" customFormat="1">
      <c r="A2219" s="8" t="s">
        <v>1358</v>
      </c>
      <c r="B2219" s="8" t="s">
        <v>1356</v>
      </c>
      <c r="C2219" s="9">
        <v>1</v>
      </c>
      <c r="D2219" s="9">
        <v>0</v>
      </c>
      <c r="E2219" s="9">
        <v>0</v>
      </c>
      <c r="F2219" s="9">
        <v>0</v>
      </c>
      <c r="G2219" s="9">
        <v>0</v>
      </c>
      <c r="H2219" s="9">
        <v>0</v>
      </c>
      <c r="I2219" s="9">
        <v>0</v>
      </c>
      <c r="J2219" s="9">
        <v>0</v>
      </c>
      <c r="K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AE2219" s="9">
        <f>IFERROR(VLOOKUP($A2219,pivot!$A:$G,計算式2026!AE$1,FALSE),0)</f>
        <v>0</v>
      </c>
      <c r="AF2219" s="9">
        <f>IFERROR(VLOOKUP($A2219,pivot!$A:$I,計算式2026!AF$1,FALSE),0)</f>
        <v>0</v>
      </c>
      <c r="AI2219" s="9">
        <f>IFERROR(VLOOKUP($A2219,pivot!$A:$I,計算式2026!AI$1,FALSE),0)</f>
        <v>0</v>
      </c>
      <c r="AJ2219" s="9">
        <f>IFERROR(VLOOKUP($A2219,pivot!$A:$I,計算式2026!AJ$1,FALSE),0)</f>
        <v>0</v>
      </c>
      <c r="AK2219" s="9">
        <f>IFERROR(VLOOKUP($A2219,pivot!$A:$I,計算式2026!AK$1,FALSE),0)</f>
        <v>0</v>
      </c>
      <c r="AL2219" s="9">
        <f>IFERROR(VLOOKUP($A2219,pivot!$A:$I,計算式2026!AL$1,FALSE),0)</f>
        <v>0</v>
      </c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</row>
    <row r="2220" spans="1:59" s="9" customFormat="1">
      <c r="A2220" s="8" t="s">
        <v>1359</v>
      </c>
      <c r="B2220" s="8" t="s">
        <v>1356</v>
      </c>
      <c r="C2220" s="9">
        <v>1</v>
      </c>
      <c r="D2220" s="9">
        <v>0</v>
      </c>
      <c r="E2220" s="9">
        <v>0</v>
      </c>
      <c r="F2220" s="9">
        <v>0</v>
      </c>
      <c r="G2220" s="9">
        <v>0</v>
      </c>
      <c r="H2220" s="9">
        <v>0</v>
      </c>
      <c r="I2220" s="9">
        <v>0</v>
      </c>
      <c r="J2220" s="9">
        <v>0</v>
      </c>
      <c r="K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AE2220" s="9">
        <f>IFERROR(VLOOKUP($A2220,pivot!$A:$G,計算式2026!AE$1,FALSE),0)</f>
        <v>0</v>
      </c>
      <c r="AF2220" s="9">
        <f>IFERROR(VLOOKUP($A2220,pivot!$A:$I,計算式2026!AF$1,FALSE),0)</f>
        <v>0</v>
      </c>
      <c r="AI2220" s="9">
        <f>IFERROR(VLOOKUP($A2220,pivot!$A:$I,計算式2026!AI$1,FALSE),0)</f>
        <v>0</v>
      </c>
      <c r="AJ2220" s="9">
        <f>IFERROR(VLOOKUP($A2220,pivot!$A:$I,計算式2026!AJ$1,FALSE),0)</f>
        <v>0</v>
      </c>
      <c r="AK2220" s="9">
        <f>IFERROR(VLOOKUP($A2220,pivot!$A:$I,計算式2026!AK$1,FALSE),0)</f>
        <v>0</v>
      </c>
      <c r="AL2220" s="9">
        <f>IFERROR(VLOOKUP($A2220,pivot!$A:$I,計算式2026!AL$1,FALSE),0)</f>
        <v>0</v>
      </c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</row>
    <row r="2221" spans="1:59" s="9" customFormat="1">
      <c r="A2221" s="8" t="s">
        <v>1360</v>
      </c>
      <c r="B2221" s="8" t="s">
        <v>1356</v>
      </c>
      <c r="C2221" s="9">
        <v>3</v>
      </c>
      <c r="D2221" s="9">
        <v>0</v>
      </c>
      <c r="E2221" s="9">
        <v>0</v>
      </c>
      <c r="F2221" s="9">
        <v>0</v>
      </c>
      <c r="G2221" s="9">
        <v>0</v>
      </c>
      <c r="H2221" s="9">
        <v>0</v>
      </c>
      <c r="I2221" s="9">
        <v>0</v>
      </c>
      <c r="J2221" s="9">
        <v>0</v>
      </c>
      <c r="K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AE2221" s="9">
        <f>IFERROR(VLOOKUP($A2221,pivot!$A:$G,計算式2026!AE$1,FALSE),0)</f>
        <v>0</v>
      </c>
      <c r="AF2221" s="9">
        <f>IFERROR(VLOOKUP($A2221,pivot!$A:$I,計算式2026!AF$1,FALSE),0)</f>
        <v>0</v>
      </c>
      <c r="AI2221" s="9">
        <f>IFERROR(VLOOKUP($A2221,pivot!$A:$I,計算式2026!AI$1,FALSE),0)</f>
        <v>0</v>
      </c>
      <c r="AJ2221" s="9">
        <f>IFERROR(VLOOKUP($A2221,pivot!$A:$I,計算式2026!AJ$1,FALSE),0)</f>
        <v>0</v>
      </c>
      <c r="AK2221" s="9">
        <f>IFERROR(VLOOKUP($A2221,pivot!$A:$I,計算式2026!AK$1,FALSE),0)</f>
        <v>0</v>
      </c>
      <c r="AL2221" s="9">
        <f>IFERROR(VLOOKUP($A2221,pivot!$A:$I,計算式2026!AL$1,FALSE),0)</f>
        <v>0</v>
      </c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</row>
    <row r="2222" spans="1:59" s="9" customFormat="1">
      <c r="A2222" s="8" t="s">
        <v>1361</v>
      </c>
      <c r="B2222" s="8" t="s">
        <v>1356</v>
      </c>
      <c r="C2222" s="9">
        <v>4</v>
      </c>
      <c r="D2222" s="9">
        <v>0</v>
      </c>
      <c r="E2222" s="9">
        <v>0</v>
      </c>
      <c r="F2222" s="9">
        <v>0</v>
      </c>
      <c r="G2222" s="9">
        <v>0</v>
      </c>
      <c r="H2222" s="9">
        <v>0</v>
      </c>
      <c r="I2222" s="9">
        <v>0</v>
      </c>
      <c r="J2222" s="9">
        <v>0</v>
      </c>
      <c r="K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AE2222" s="9">
        <f>IFERROR(VLOOKUP($A2222,pivot!$A:$G,計算式2026!AE$1,FALSE),0)</f>
        <v>0</v>
      </c>
      <c r="AF2222" s="9">
        <f>IFERROR(VLOOKUP($A2222,pivot!$A:$I,計算式2026!AF$1,FALSE),0)</f>
        <v>0</v>
      </c>
      <c r="AI2222" s="9">
        <f>IFERROR(VLOOKUP($A2222,pivot!$A:$I,計算式2026!AI$1,FALSE),0)</f>
        <v>0</v>
      </c>
      <c r="AJ2222" s="9">
        <f>IFERROR(VLOOKUP($A2222,pivot!$A:$I,計算式2026!AJ$1,FALSE),0)</f>
        <v>0</v>
      </c>
      <c r="AK2222" s="9">
        <f>IFERROR(VLOOKUP($A2222,pivot!$A:$I,計算式2026!AK$1,FALSE),0)</f>
        <v>0</v>
      </c>
      <c r="AL2222" s="9">
        <f>IFERROR(VLOOKUP($A2222,pivot!$A:$I,計算式2026!AL$1,FALSE),0)</f>
        <v>0</v>
      </c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</row>
    <row r="2223" spans="1:59" s="9" customFormat="1">
      <c r="A2223" s="8" t="s">
        <v>1362</v>
      </c>
      <c r="B2223" s="8" t="s">
        <v>1356</v>
      </c>
      <c r="C2223" s="9">
        <v>2</v>
      </c>
      <c r="D2223" s="9">
        <v>0</v>
      </c>
      <c r="E2223" s="9">
        <v>0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AE2223" s="9">
        <f>IFERROR(VLOOKUP($A2223,pivot!$A:$G,計算式2026!AE$1,FALSE),0)</f>
        <v>0</v>
      </c>
      <c r="AF2223" s="9">
        <f>IFERROR(VLOOKUP($A2223,pivot!$A:$I,計算式2026!AF$1,FALSE),0)</f>
        <v>0</v>
      </c>
      <c r="AI2223" s="9">
        <f>IFERROR(VLOOKUP($A2223,pivot!$A:$I,計算式2026!AI$1,FALSE),0)</f>
        <v>0</v>
      </c>
      <c r="AJ2223" s="9">
        <f>IFERROR(VLOOKUP($A2223,pivot!$A:$I,計算式2026!AJ$1,FALSE),0)</f>
        <v>0</v>
      </c>
      <c r="AK2223" s="9">
        <f>IFERROR(VLOOKUP($A2223,pivot!$A:$I,計算式2026!AK$1,FALSE),0)</f>
        <v>0</v>
      </c>
      <c r="AL2223" s="9">
        <f>IFERROR(VLOOKUP($A2223,pivot!$A:$I,計算式2026!AL$1,FALSE),0)</f>
        <v>0</v>
      </c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</row>
    <row r="2224" spans="1:59" s="9" customFormat="1">
      <c r="A2224" s="8" t="s">
        <v>1363</v>
      </c>
      <c r="B2224" s="8" t="s">
        <v>1364</v>
      </c>
      <c r="C2224" s="9">
        <v>0</v>
      </c>
      <c r="D2224" s="9">
        <v>0</v>
      </c>
      <c r="E2224" s="9">
        <v>0</v>
      </c>
      <c r="F2224" s="9">
        <v>0</v>
      </c>
      <c r="G2224" s="9">
        <v>0</v>
      </c>
      <c r="H2224" s="9">
        <v>0</v>
      </c>
      <c r="I2224" s="9">
        <v>0</v>
      </c>
      <c r="J2224" s="9">
        <v>0</v>
      </c>
      <c r="K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1</v>
      </c>
      <c r="W2224" s="9">
        <v>0</v>
      </c>
      <c r="X2224" s="9">
        <v>0</v>
      </c>
      <c r="AE2224" s="9">
        <f>IFERROR(VLOOKUP($A2224,pivot!$A:$G,計算式2026!AE$1,FALSE),0)</f>
        <v>0</v>
      </c>
      <c r="AF2224" s="9">
        <f>IFERROR(VLOOKUP($A2224,pivot!$A:$I,計算式2026!AF$1,FALSE),0)</f>
        <v>0</v>
      </c>
      <c r="AI2224" s="9">
        <f>IFERROR(VLOOKUP($A2224,pivot!$A:$I,計算式2026!AI$1,FALSE),0)</f>
        <v>0</v>
      </c>
      <c r="AJ2224" s="9">
        <f>IFERROR(VLOOKUP($A2224,pivot!$A:$I,計算式2026!AJ$1,FALSE),0)</f>
        <v>0</v>
      </c>
      <c r="AK2224" s="9">
        <f>IFERROR(VLOOKUP($A2224,pivot!$A:$I,計算式2026!AK$1,FALSE),0)</f>
        <v>0</v>
      </c>
      <c r="AL2224" s="9">
        <f>IFERROR(VLOOKUP($A2224,pivot!$A:$I,計算式2026!AL$1,FALSE),0)</f>
        <v>0</v>
      </c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</row>
    <row r="2225" spans="1:59" s="9" customFormat="1">
      <c r="A2225" s="8" t="s">
        <v>1726</v>
      </c>
      <c r="B2225" s="8" t="s">
        <v>1366</v>
      </c>
      <c r="C2225" s="9">
        <v>0</v>
      </c>
      <c r="D2225" s="9">
        <v>0</v>
      </c>
      <c r="E2225" s="9">
        <v>0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1</v>
      </c>
      <c r="AE2225" s="9">
        <f>IFERROR(VLOOKUP($A2225,pivot!$A:$G,計算式2026!AE$1,FALSE),0)</f>
        <v>0</v>
      </c>
      <c r="AF2225" s="9">
        <f>IFERROR(VLOOKUP($A2225,pivot!$A:$I,計算式2026!AF$1,FALSE),0)</f>
        <v>0</v>
      </c>
      <c r="AI2225" s="9">
        <f>IFERROR(VLOOKUP($A2225,pivot!$A:$I,計算式2026!AI$1,FALSE),0)</f>
        <v>0</v>
      </c>
      <c r="AJ2225" s="9">
        <f>IFERROR(VLOOKUP($A2225,pivot!$A:$I,計算式2026!AJ$1,FALSE),0)</f>
        <v>0</v>
      </c>
      <c r="AK2225" s="9">
        <f>IFERROR(VLOOKUP($A2225,pivot!$A:$I,計算式2026!AK$1,FALSE),0)</f>
        <v>0</v>
      </c>
      <c r="AL2225" s="9">
        <f>IFERROR(VLOOKUP($A2225,pivot!$A:$I,計算式2026!AL$1,FALSE),0)</f>
        <v>0</v>
      </c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</row>
    <row r="2226" spans="1:59" s="9" customFormat="1">
      <c r="A2226" s="8" t="s">
        <v>1727</v>
      </c>
      <c r="B2226" s="8" t="s">
        <v>1366</v>
      </c>
      <c r="C2226" s="9">
        <v>0</v>
      </c>
      <c r="D2226" s="9">
        <v>0</v>
      </c>
      <c r="E2226" s="9">
        <v>0</v>
      </c>
      <c r="F2226" s="9">
        <v>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1</v>
      </c>
      <c r="AE2226" s="9">
        <f>IFERROR(VLOOKUP($A2226,pivot!$A:$G,計算式2026!AE$1,FALSE),0)</f>
        <v>0</v>
      </c>
      <c r="AF2226" s="9">
        <f>IFERROR(VLOOKUP($A2226,pivot!$A:$I,計算式2026!AF$1,FALSE),0)</f>
        <v>0</v>
      </c>
      <c r="AI2226" s="9">
        <f>IFERROR(VLOOKUP($A2226,pivot!$A:$I,計算式2026!AI$1,FALSE),0)</f>
        <v>0</v>
      </c>
      <c r="AJ2226" s="9">
        <f>IFERROR(VLOOKUP($A2226,pivot!$A:$I,計算式2026!AJ$1,FALSE),0)</f>
        <v>0</v>
      </c>
      <c r="AK2226" s="9">
        <f>IFERROR(VLOOKUP($A2226,pivot!$A:$I,計算式2026!AK$1,FALSE),0)</f>
        <v>0</v>
      </c>
      <c r="AL2226" s="9">
        <f>IFERROR(VLOOKUP($A2226,pivot!$A:$I,計算式2026!AL$1,FALSE),0)</f>
        <v>0</v>
      </c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</row>
    <row r="2227" spans="1:59" s="9" customFormat="1">
      <c r="A2227" s="8" t="s">
        <v>1728</v>
      </c>
      <c r="B2227" s="8" t="s">
        <v>1366</v>
      </c>
      <c r="C2227" s="9">
        <v>0</v>
      </c>
      <c r="D2227" s="9">
        <v>0</v>
      </c>
      <c r="E2227" s="9">
        <v>0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R2227" s="9">
        <v>0</v>
      </c>
      <c r="S2227" s="9">
        <v>1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AE2227" s="9">
        <f>IFERROR(VLOOKUP($A2227,pivot!$A:$G,計算式2026!AE$1,FALSE),0)</f>
        <v>0</v>
      </c>
      <c r="AF2227" s="9">
        <f>IFERROR(VLOOKUP($A2227,pivot!$A:$I,計算式2026!AF$1,FALSE),0)</f>
        <v>0</v>
      </c>
      <c r="AI2227" s="9">
        <f>IFERROR(VLOOKUP($A2227,pivot!$A:$I,計算式2026!AI$1,FALSE),0)</f>
        <v>0</v>
      </c>
      <c r="AJ2227" s="9">
        <f>IFERROR(VLOOKUP($A2227,pivot!$A:$I,計算式2026!AJ$1,FALSE),0)</f>
        <v>0</v>
      </c>
      <c r="AK2227" s="9">
        <f>IFERROR(VLOOKUP($A2227,pivot!$A:$I,計算式2026!AK$1,FALSE),0)</f>
        <v>0</v>
      </c>
      <c r="AL2227" s="9">
        <f>IFERROR(VLOOKUP($A2227,pivot!$A:$I,計算式2026!AL$1,FALSE),0)</f>
        <v>0</v>
      </c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</row>
    <row r="2228" spans="1:59" s="9" customFormat="1">
      <c r="A2228" s="8" t="s">
        <v>1365</v>
      </c>
      <c r="B2228" s="8" t="s">
        <v>1366</v>
      </c>
      <c r="C2228" s="9">
        <v>0</v>
      </c>
      <c r="D2228" s="9">
        <v>0</v>
      </c>
      <c r="E2228" s="9">
        <v>0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R2228" s="9">
        <v>0</v>
      </c>
      <c r="S2228" s="9">
        <v>0</v>
      </c>
      <c r="T2228" s="9">
        <v>2</v>
      </c>
      <c r="U2228" s="9">
        <v>0</v>
      </c>
      <c r="V2228" s="9">
        <v>1</v>
      </c>
      <c r="W2228" s="9">
        <v>0</v>
      </c>
      <c r="X2228" s="9">
        <v>1</v>
      </c>
      <c r="AE2228" s="9">
        <f>IFERROR(VLOOKUP($A2228,pivot!$A:$G,計算式2026!AE$1,FALSE),0)</f>
        <v>0</v>
      </c>
      <c r="AF2228" s="9">
        <f>IFERROR(VLOOKUP($A2228,pivot!$A:$I,計算式2026!AF$1,FALSE),0)</f>
        <v>0</v>
      </c>
      <c r="AI2228" s="9">
        <f>IFERROR(VLOOKUP($A2228,pivot!$A:$I,計算式2026!AI$1,FALSE),0)</f>
        <v>0</v>
      </c>
      <c r="AJ2228" s="9">
        <f>IFERROR(VLOOKUP($A2228,pivot!$A:$I,計算式2026!AJ$1,FALSE),0)</f>
        <v>0</v>
      </c>
      <c r="AK2228" s="9">
        <f>IFERROR(VLOOKUP($A2228,pivot!$A:$I,計算式2026!AK$1,FALSE),0)</f>
        <v>0</v>
      </c>
      <c r="AL2228" s="9">
        <f>IFERROR(VLOOKUP($A2228,pivot!$A:$I,計算式2026!AL$1,FALSE),0)</f>
        <v>0</v>
      </c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</row>
    <row r="2229" spans="1:59" s="9" customFormat="1">
      <c r="A2229" s="8" t="s">
        <v>1367</v>
      </c>
      <c r="B2229" s="8" t="s">
        <v>1366</v>
      </c>
      <c r="C2229" s="9">
        <v>0</v>
      </c>
      <c r="D2229" s="9">
        <v>0</v>
      </c>
      <c r="E2229" s="9">
        <v>0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R2229" s="9">
        <v>0</v>
      </c>
      <c r="S2229" s="9">
        <v>0</v>
      </c>
      <c r="T2229" s="9">
        <v>2</v>
      </c>
      <c r="U2229" s="9">
        <v>0</v>
      </c>
      <c r="V2229" s="9">
        <v>1</v>
      </c>
      <c r="W2229" s="9">
        <v>0</v>
      </c>
      <c r="X2229" s="9">
        <v>0</v>
      </c>
      <c r="AE2229" s="9">
        <f>IFERROR(VLOOKUP($A2229,pivot!$A:$G,計算式2026!AE$1,FALSE),0)</f>
        <v>0</v>
      </c>
      <c r="AF2229" s="9">
        <f>IFERROR(VLOOKUP($A2229,pivot!$A:$I,計算式2026!AF$1,FALSE),0)</f>
        <v>0</v>
      </c>
      <c r="AI2229" s="9">
        <f>IFERROR(VLOOKUP($A2229,pivot!$A:$I,計算式2026!AI$1,FALSE),0)</f>
        <v>0</v>
      </c>
      <c r="AJ2229" s="9">
        <f>IFERROR(VLOOKUP($A2229,pivot!$A:$I,計算式2026!AJ$1,FALSE),0)</f>
        <v>0</v>
      </c>
      <c r="AK2229" s="9">
        <f>IFERROR(VLOOKUP($A2229,pivot!$A:$I,計算式2026!AK$1,FALSE),0)</f>
        <v>0</v>
      </c>
      <c r="AL2229" s="9">
        <f>IFERROR(VLOOKUP($A2229,pivot!$A:$I,計算式2026!AL$1,FALSE),0)</f>
        <v>0</v>
      </c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</row>
    <row r="2230" spans="1:59" s="9" customFormat="1">
      <c r="A2230" s="8" t="s">
        <v>1368</v>
      </c>
      <c r="B2230" s="8" t="s">
        <v>1369</v>
      </c>
      <c r="C2230" s="9">
        <v>0</v>
      </c>
      <c r="D2230" s="9">
        <v>0</v>
      </c>
      <c r="E2230" s="9">
        <v>0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R2230" s="9">
        <v>1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1</v>
      </c>
      <c r="AE2230" s="9">
        <f>IFERROR(VLOOKUP($A2230,pivot!$A:$G,計算式2026!AE$1,FALSE),0)</f>
        <v>0</v>
      </c>
      <c r="AF2230" s="9">
        <f>IFERROR(VLOOKUP($A2230,pivot!$A:$I,計算式2026!AF$1,FALSE),0)</f>
        <v>0</v>
      </c>
      <c r="AI2230" s="9">
        <f>IFERROR(VLOOKUP($A2230,pivot!$A:$I,計算式2026!AI$1,FALSE),0)</f>
        <v>0</v>
      </c>
      <c r="AJ2230" s="9">
        <f>IFERROR(VLOOKUP($A2230,pivot!$A:$I,計算式2026!AJ$1,FALSE),0)</f>
        <v>0</v>
      </c>
      <c r="AK2230" s="9">
        <f>IFERROR(VLOOKUP($A2230,pivot!$A:$I,計算式2026!AK$1,FALSE),0)</f>
        <v>0</v>
      </c>
      <c r="AL2230" s="9">
        <f>IFERROR(VLOOKUP($A2230,pivot!$A:$I,計算式2026!AL$1,FALSE),0)</f>
        <v>0</v>
      </c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</row>
    <row r="2231" spans="1:59" s="9" customFormat="1">
      <c r="A2231" s="8" t="s">
        <v>1370</v>
      </c>
      <c r="B2231" s="8" t="s">
        <v>1369</v>
      </c>
      <c r="C2231" s="9">
        <v>0</v>
      </c>
      <c r="D2231" s="9">
        <v>0</v>
      </c>
      <c r="E2231" s="9">
        <v>0</v>
      </c>
      <c r="F2231" s="9">
        <v>0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R2231" s="9">
        <v>0</v>
      </c>
      <c r="S2231" s="9">
        <v>1</v>
      </c>
      <c r="T2231" s="9">
        <v>1</v>
      </c>
      <c r="U2231" s="9">
        <v>0</v>
      </c>
      <c r="V2231" s="9">
        <v>1</v>
      </c>
      <c r="W2231" s="9">
        <v>0</v>
      </c>
      <c r="X2231" s="9">
        <v>1</v>
      </c>
      <c r="AE2231" s="9">
        <f>IFERROR(VLOOKUP($A2231,pivot!$A:$G,計算式2026!AE$1,FALSE),0)</f>
        <v>0</v>
      </c>
      <c r="AF2231" s="9">
        <f>IFERROR(VLOOKUP($A2231,pivot!$A:$I,計算式2026!AF$1,FALSE),0)</f>
        <v>0</v>
      </c>
      <c r="AI2231" s="9">
        <f>IFERROR(VLOOKUP($A2231,pivot!$A:$I,計算式2026!AI$1,FALSE),0)</f>
        <v>0</v>
      </c>
      <c r="AJ2231" s="9">
        <f>IFERROR(VLOOKUP($A2231,pivot!$A:$I,計算式2026!AJ$1,FALSE),0)</f>
        <v>0</v>
      </c>
      <c r="AK2231" s="9">
        <f>IFERROR(VLOOKUP($A2231,pivot!$A:$I,計算式2026!AK$1,FALSE),0)</f>
        <v>0</v>
      </c>
      <c r="AL2231" s="9">
        <f>IFERROR(VLOOKUP($A2231,pivot!$A:$I,計算式2026!AL$1,FALSE),0)</f>
        <v>0</v>
      </c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</row>
    <row r="2232" spans="1:59" s="9" customFormat="1">
      <c r="A2232" s="8" t="s">
        <v>1371</v>
      </c>
      <c r="B2232" s="8" t="s">
        <v>1369</v>
      </c>
      <c r="C2232" s="9">
        <v>0</v>
      </c>
      <c r="D2232" s="9">
        <v>0</v>
      </c>
      <c r="E2232" s="9">
        <v>0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R2232" s="9">
        <v>2</v>
      </c>
      <c r="S2232" s="9">
        <v>1</v>
      </c>
      <c r="T2232" s="9">
        <v>1</v>
      </c>
      <c r="U2232" s="9">
        <v>0</v>
      </c>
      <c r="V2232" s="9">
        <v>2</v>
      </c>
      <c r="W2232" s="9">
        <v>0</v>
      </c>
      <c r="X2232" s="9">
        <v>1</v>
      </c>
      <c r="AE2232" s="9">
        <f>IFERROR(VLOOKUP($A2232,pivot!$A:$G,計算式2026!AE$1,FALSE),0)</f>
        <v>0</v>
      </c>
      <c r="AF2232" s="9">
        <f>IFERROR(VLOOKUP($A2232,pivot!$A:$I,計算式2026!AF$1,FALSE),0)</f>
        <v>0</v>
      </c>
      <c r="AI2232" s="9">
        <f>IFERROR(VLOOKUP($A2232,pivot!$A:$I,計算式2026!AI$1,FALSE),0)</f>
        <v>0</v>
      </c>
      <c r="AJ2232" s="9">
        <f>IFERROR(VLOOKUP($A2232,pivot!$A:$I,計算式2026!AJ$1,FALSE),0)</f>
        <v>0</v>
      </c>
      <c r="AK2232" s="9">
        <f>IFERROR(VLOOKUP($A2232,pivot!$A:$I,計算式2026!AK$1,FALSE),0)</f>
        <v>0</v>
      </c>
      <c r="AL2232" s="9">
        <f>IFERROR(VLOOKUP($A2232,pivot!$A:$I,計算式2026!AL$1,FALSE),0)</f>
        <v>0</v>
      </c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</row>
    <row r="2233" spans="1:59" s="9" customFormat="1">
      <c r="A2233" s="8" t="s">
        <v>1372</v>
      </c>
      <c r="B2233" s="8" t="s">
        <v>1369</v>
      </c>
      <c r="C2233" s="9">
        <v>0</v>
      </c>
      <c r="D2233" s="9">
        <v>0</v>
      </c>
      <c r="E2233" s="9">
        <v>0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R2233" s="9">
        <v>0</v>
      </c>
      <c r="S2233" s="9">
        <v>0</v>
      </c>
      <c r="T2233" s="9">
        <v>1</v>
      </c>
      <c r="U2233" s="9">
        <v>0</v>
      </c>
      <c r="V2233" s="9">
        <v>1</v>
      </c>
      <c r="W2233" s="9">
        <v>0</v>
      </c>
      <c r="X2233" s="9">
        <v>1</v>
      </c>
      <c r="AE2233" s="9">
        <f>IFERROR(VLOOKUP($A2233,pivot!$A:$G,計算式2026!AE$1,FALSE),0)</f>
        <v>0</v>
      </c>
      <c r="AF2233" s="9">
        <f>IFERROR(VLOOKUP($A2233,pivot!$A:$I,計算式2026!AF$1,FALSE),0)</f>
        <v>0</v>
      </c>
      <c r="AI2233" s="9">
        <f>IFERROR(VLOOKUP($A2233,pivot!$A:$I,計算式2026!AI$1,FALSE),0)</f>
        <v>0</v>
      </c>
      <c r="AJ2233" s="9">
        <f>IFERROR(VLOOKUP($A2233,pivot!$A:$I,計算式2026!AJ$1,FALSE),0)</f>
        <v>0</v>
      </c>
      <c r="AK2233" s="9">
        <f>IFERROR(VLOOKUP($A2233,pivot!$A:$I,計算式2026!AK$1,FALSE),0)</f>
        <v>0</v>
      </c>
      <c r="AL2233" s="9">
        <f>IFERROR(VLOOKUP($A2233,pivot!$A:$I,計算式2026!AL$1,FALSE),0)</f>
        <v>0</v>
      </c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</row>
    <row r="2234" spans="1:59" s="9" customFormat="1">
      <c r="A2234" s="8">
        <v>8972755536</v>
      </c>
      <c r="B2234" s="8" t="s">
        <v>1373</v>
      </c>
      <c r="C2234" s="9">
        <v>3</v>
      </c>
      <c r="D2234" s="9">
        <v>0</v>
      </c>
      <c r="E2234" s="9">
        <v>0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AE2234" s="9">
        <f>IFERROR(VLOOKUP($A2234,pivot!$A:$G,計算式2026!AE$1,FALSE),0)</f>
        <v>0</v>
      </c>
      <c r="AF2234" s="9">
        <f>IFERROR(VLOOKUP($A2234,pivot!$A:$I,計算式2026!AF$1,FALSE),0)</f>
        <v>0</v>
      </c>
      <c r="AI2234" s="9">
        <f>IFERROR(VLOOKUP($A2234,pivot!$A:$I,計算式2026!AI$1,FALSE),0)</f>
        <v>0</v>
      </c>
      <c r="AJ2234" s="9">
        <f>IFERROR(VLOOKUP($A2234,pivot!$A:$I,計算式2026!AJ$1,FALSE),0)</f>
        <v>0</v>
      </c>
      <c r="AK2234" s="9">
        <f>IFERROR(VLOOKUP($A2234,pivot!$A:$I,計算式2026!AK$1,FALSE),0)</f>
        <v>0</v>
      </c>
      <c r="AL2234" s="9">
        <f>IFERROR(VLOOKUP($A2234,pivot!$A:$I,計算式2026!AL$1,FALSE),0)</f>
        <v>0</v>
      </c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</row>
    <row r="2235" spans="1:59" s="9" customFormat="1">
      <c r="A2235" s="8">
        <v>8972755538</v>
      </c>
      <c r="B2235" s="8" t="s">
        <v>1373</v>
      </c>
      <c r="C2235" s="9">
        <v>4</v>
      </c>
      <c r="D2235" s="9">
        <v>0</v>
      </c>
      <c r="E2235" s="9">
        <v>0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AE2235" s="9">
        <f>IFERROR(VLOOKUP($A2235,pivot!$A:$G,計算式2026!AE$1,FALSE),0)</f>
        <v>0</v>
      </c>
      <c r="AF2235" s="9">
        <f>IFERROR(VLOOKUP($A2235,pivot!$A:$I,計算式2026!AF$1,FALSE),0)</f>
        <v>0</v>
      </c>
      <c r="AI2235" s="9">
        <f>IFERROR(VLOOKUP($A2235,pivot!$A:$I,計算式2026!AI$1,FALSE),0)</f>
        <v>0</v>
      </c>
      <c r="AJ2235" s="9">
        <f>IFERROR(VLOOKUP($A2235,pivot!$A:$I,計算式2026!AJ$1,FALSE),0)</f>
        <v>0</v>
      </c>
      <c r="AK2235" s="9">
        <f>IFERROR(VLOOKUP($A2235,pivot!$A:$I,計算式2026!AK$1,FALSE),0)</f>
        <v>0</v>
      </c>
      <c r="AL2235" s="9">
        <f>IFERROR(VLOOKUP($A2235,pivot!$A:$I,計算式2026!AL$1,FALSE),0)</f>
        <v>0</v>
      </c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</row>
    <row r="2236" spans="1:59" s="9" customFormat="1">
      <c r="A2236" s="8">
        <v>8973003236</v>
      </c>
      <c r="B2236" s="8" t="s">
        <v>2456</v>
      </c>
      <c r="C2236" s="9">
        <v>0</v>
      </c>
      <c r="D2236" s="9">
        <v>0</v>
      </c>
      <c r="E2236" s="9">
        <v>0</v>
      </c>
      <c r="F2236" s="9">
        <v>0</v>
      </c>
      <c r="G2236" s="9">
        <v>0</v>
      </c>
      <c r="H2236" s="9">
        <v>0</v>
      </c>
      <c r="I2236" s="9">
        <v>0</v>
      </c>
      <c r="J2236" s="9">
        <v>0</v>
      </c>
      <c r="K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1</v>
      </c>
      <c r="AE2236" s="9">
        <f>IFERROR(VLOOKUP($A2236,pivot!$A:$G,計算式2026!AE$1,FALSE),0)</f>
        <v>0</v>
      </c>
      <c r="AF2236" s="9">
        <f>IFERROR(VLOOKUP($A2236,pivot!$A:$I,計算式2026!AF$1,FALSE),0)</f>
        <v>0</v>
      </c>
      <c r="AI2236" s="9">
        <f>IFERROR(VLOOKUP($A2236,pivot!$A:$I,計算式2026!AI$1,FALSE),0)</f>
        <v>0</v>
      </c>
      <c r="AJ2236" s="9">
        <f>IFERROR(VLOOKUP($A2236,pivot!$A:$I,計算式2026!AJ$1,FALSE),0)</f>
        <v>0</v>
      </c>
      <c r="AK2236" s="9">
        <f>IFERROR(VLOOKUP($A2236,pivot!$A:$I,計算式2026!AK$1,FALSE),0)</f>
        <v>0</v>
      </c>
      <c r="AL2236" s="9">
        <f>IFERROR(VLOOKUP($A2236,pivot!$A:$I,計算式2026!AL$1,FALSE),0)</f>
        <v>0</v>
      </c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</row>
    <row r="2237" spans="1:59" s="9" customFormat="1">
      <c r="A2237" s="8">
        <v>8973003238</v>
      </c>
      <c r="B2237" s="8" t="s">
        <v>2456</v>
      </c>
      <c r="C2237" s="9">
        <v>0</v>
      </c>
      <c r="D2237" s="9">
        <v>0</v>
      </c>
      <c r="E2237" s="9">
        <v>0</v>
      </c>
      <c r="F2237" s="9">
        <v>0</v>
      </c>
      <c r="G2237" s="9">
        <v>0</v>
      </c>
      <c r="H2237" s="9">
        <v>0</v>
      </c>
      <c r="I2237" s="9">
        <v>0</v>
      </c>
      <c r="J2237" s="9">
        <v>0</v>
      </c>
      <c r="K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AE2237" s="9">
        <f>IFERROR(VLOOKUP($A2237,pivot!$A:$G,計算式2026!AE$1,FALSE),0)</f>
        <v>0</v>
      </c>
      <c r="AF2237" s="9">
        <f>IFERROR(VLOOKUP($A2237,pivot!$A:$I,計算式2026!AF$1,FALSE),0)</f>
        <v>0</v>
      </c>
      <c r="AI2237" s="9">
        <f>IFERROR(VLOOKUP($A2237,pivot!$A:$I,計算式2026!AI$1,FALSE),0)</f>
        <v>0</v>
      </c>
      <c r="AJ2237" s="9">
        <f>IFERROR(VLOOKUP($A2237,pivot!$A:$I,計算式2026!AJ$1,FALSE),0)</f>
        <v>0</v>
      </c>
      <c r="AK2237" s="9">
        <f>IFERROR(VLOOKUP($A2237,pivot!$A:$I,計算式2026!AK$1,FALSE),0)</f>
        <v>0</v>
      </c>
      <c r="AL2237" s="9">
        <f>IFERROR(VLOOKUP($A2237,pivot!$A:$I,計算式2026!AL$1,FALSE),0)</f>
        <v>0</v>
      </c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</row>
    <row r="2238" spans="1:59" s="9" customFormat="1">
      <c r="A2238" s="8">
        <v>8973025536</v>
      </c>
      <c r="B2238" s="8" t="s">
        <v>2456</v>
      </c>
      <c r="C2238" s="9">
        <v>0</v>
      </c>
      <c r="D2238" s="9">
        <v>0</v>
      </c>
      <c r="E2238" s="9">
        <v>0</v>
      </c>
      <c r="F2238" s="9">
        <v>0</v>
      </c>
      <c r="G2238" s="9">
        <v>0</v>
      </c>
      <c r="H2238" s="9">
        <v>0</v>
      </c>
      <c r="I2238" s="9">
        <v>0</v>
      </c>
      <c r="J2238" s="9">
        <v>0</v>
      </c>
      <c r="K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1</v>
      </c>
      <c r="W2238" s="9">
        <v>0</v>
      </c>
      <c r="X2238" s="9">
        <v>1</v>
      </c>
      <c r="AE2238" s="9">
        <f>IFERROR(VLOOKUP($A2238,pivot!$A:$G,計算式2026!AE$1,FALSE),0)</f>
        <v>0</v>
      </c>
      <c r="AF2238" s="9">
        <f>IFERROR(VLOOKUP($A2238,pivot!$A:$I,計算式2026!AF$1,FALSE),0)</f>
        <v>0</v>
      </c>
      <c r="AI2238" s="9">
        <f>IFERROR(VLOOKUP($A2238,pivot!$A:$I,計算式2026!AI$1,FALSE),0)</f>
        <v>0</v>
      </c>
      <c r="AJ2238" s="9">
        <f>IFERROR(VLOOKUP($A2238,pivot!$A:$I,計算式2026!AJ$1,FALSE),0)</f>
        <v>0</v>
      </c>
      <c r="AK2238" s="9">
        <f>IFERROR(VLOOKUP($A2238,pivot!$A:$I,計算式2026!AK$1,FALSE),0)</f>
        <v>0</v>
      </c>
      <c r="AL2238" s="9">
        <f>IFERROR(VLOOKUP($A2238,pivot!$A:$I,計算式2026!AL$1,FALSE),0)</f>
        <v>0</v>
      </c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8"/>
      <c r="BG2238" s="8"/>
    </row>
    <row r="2239" spans="1:59" s="9" customFormat="1">
      <c r="A2239" s="8">
        <v>8973052036</v>
      </c>
      <c r="B2239" s="8" t="s">
        <v>2456</v>
      </c>
      <c r="C2239" s="9">
        <v>0</v>
      </c>
      <c r="D2239" s="9">
        <v>0</v>
      </c>
      <c r="E2239" s="9">
        <v>0</v>
      </c>
      <c r="F2239" s="9">
        <v>0</v>
      </c>
      <c r="G2239" s="9">
        <v>0</v>
      </c>
      <c r="H2239" s="9">
        <v>0</v>
      </c>
      <c r="I2239" s="9">
        <v>0</v>
      </c>
      <c r="J2239" s="9">
        <v>0</v>
      </c>
      <c r="K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1</v>
      </c>
      <c r="W2239" s="9">
        <v>0</v>
      </c>
      <c r="X2239" s="9">
        <v>1</v>
      </c>
      <c r="AE2239" s="9">
        <f>IFERROR(VLOOKUP($A2239,pivot!$A:$G,計算式2026!AE$1,FALSE),0)</f>
        <v>0</v>
      </c>
      <c r="AF2239" s="9">
        <f>IFERROR(VLOOKUP($A2239,pivot!$A:$I,計算式2026!AF$1,FALSE),0)</f>
        <v>0</v>
      </c>
      <c r="AI2239" s="9">
        <f>IFERROR(VLOOKUP($A2239,pivot!$A:$I,計算式2026!AI$1,FALSE),0)</f>
        <v>0</v>
      </c>
      <c r="AJ2239" s="9">
        <f>IFERROR(VLOOKUP($A2239,pivot!$A:$I,計算式2026!AJ$1,FALSE),0)</f>
        <v>0</v>
      </c>
      <c r="AK2239" s="9">
        <f>IFERROR(VLOOKUP($A2239,pivot!$A:$I,計算式2026!AK$1,FALSE),0)</f>
        <v>0</v>
      </c>
      <c r="AL2239" s="9">
        <f>IFERROR(VLOOKUP($A2239,pivot!$A:$I,計算式2026!AL$1,FALSE),0)</f>
        <v>0</v>
      </c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</row>
    <row r="2240" spans="1:59" s="9" customFormat="1">
      <c r="A2240" s="8" t="s">
        <v>2457</v>
      </c>
      <c r="B2240" s="8" t="s">
        <v>2458</v>
      </c>
      <c r="C2240" s="9">
        <v>0</v>
      </c>
      <c r="D2240" s="9">
        <v>0</v>
      </c>
      <c r="E2240" s="9">
        <v>0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R2240" s="9">
        <v>0</v>
      </c>
      <c r="S2240" s="9">
        <v>0</v>
      </c>
      <c r="T2240" s="9">
        <v>1</v>
      </c>
      <c r="U2240" s="9">
        <v>0</v>
      </c>
      <c r="V2240" s="9">
        <v>0</v>
      </c>
      <c r="W2240" s="9">
        <v>0</v>
      </c>
      <c r="X2240" s="9">
        <v>1</v>
      </c>
      <c r="AE2240" s="9">
        <f>IFERROR(VLOOKUP($A2240,pivot!$A:$G,計算式2026!AE$1,FALSE),0)</f>
        <v>0</v>
      </c>
      <c r="AF2240" s="9">
        <f>IFERROR(VLOOKUP($A2240,pivot!$A:$I,計算式2026!AF$1,FALSE),0)</f>
        <v>0</v>
      </c>
      <c r="AI2240" s="9">
        <f>IFERROR(VLOOKUP($A2240,pivot!$A:$I,計算式2026!AI$1,FALSE),0)</f>
        <v>0</v>
      </c>
      <c r="AJ2240" s="9">
        <f>IFERROR(VLOOKUP($A2240,pivot!$A:$I,計算式2026!AJ$1,FALSE),0)</f>
        <v>0</v>
      </c>
      <c r="AK2240" s="9">
        <f>IFERROR(VLOOKUP($A2240,pivot!$A:$I,計算式2026!AK$1,FALSE),0)</f>
        <v>0</v>
      </c>
      <c r="AL2240" s="9">
        <f>IFERROR(VLOOKUP($A2240,pivot!$A:$I,計算式2026!AL$1,FALSE),0)</f>
        <v>0</v>
      </c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8"/>
      <c r="BG2240" s="8"/>
    </row>
    <row r="2241" spans="1:59" s="9" customFormat="1">
      <c r="A2241" s="8" t="s">
        <v>2459</v>
      </c>
      <c r="B2241" s="8" t="s">
        <v>2458</v>
      </c>
      <c r="C2241" s="9">
        <v>0</v>
      </c>
      <c r="D2241" s="9">
        <v>0</v>
      </c>
      <c r="E2241" s="9">
        <v>0</v>
      </c>
      <c r="F2241" s="9">
        <v>0</v>
      </c>
      <c r="G2241" s="9">
        <v>0</v>
      </c>
      <c r="H2241" s="9">
        <v>0</v>
      </c>
      <c r="I2241" s="9">
        <v>0</v>
      </c>
      <c r="J2241" s="9">
        <v>0</v>
      </c>
      <c r="K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1</v>
      </c>
      <c r="W2241" s="9">
        <v>0</v>
      </c>
      <c r="X2241" s="9">
        <v>1</v>
      </c>
      <c r="AE2241" s="9">
        <f>IFERROR(VLOOKUP($A2241,pivot!$A:$G,計算式2026!AE$1,FALSE),0)</f>
        <v>0</v>
      </c>
      <c r="AF2241" s="9">
        <f>IFERROR(VLOOKUP($A2241,pivot!$A:$I,計算式2026!AF$1,FALSE),0)</f>
        <v>0</v>
      </c>
      <c r="AI2241" s="9">
        <f>IFERROR(VLOOKUP($A2241,pivot!$A:$I,計算式2026!AI$1,FALSE),0)</f>
        <v>0</v>
      </c>
      <c r="AJ2241" s="9">
        <f>IFERROR(VLOOKUP($A2241,pivot!$A:$I,計算式2026!AJ$1,FALSE),0)</f>
        <v>0</v>
      </c>
      <c r="AK2241" s="9">
        <f>IFERROR(VLOOKUP($A2241,pivot!$A:$I,計算式2026!AK$1,FALSE),0)</f>
        <v>0</v>
      </c>
      <c r="AL2241" s="9">
        <f>IFERROR(VLOOKUP($A2241,pivot!$A:$I,計算式2026!AL$1,FALSE),0)</f>
        <v>0</v>
      </c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8"/>
      <c r="BG2241" s="8"/>
    </row>
    <row r="2242" spans="1:59" s="9" customFormat="1">
      <c r="A2242" s="8" t="s">
        <v>2460</v>
      </c>
      <c r="B2242" s="8" t="s">
        <v>2458</v>
      </c>
      <c r="C2242" s="9">
        <v>0</v>
      </c>
      <c r="D2242" s="9">
        <v>0</v>
      </c>
      <c r="E2242" s="9">
        <v>0</v>
      </c>
      <c r="F2242" s="9">
        <v>0</v>
      </c>
      <c r="G2242" s="9">
        <v>0</v>
      </c>
      <c r="H2242" s="9">
        <v>0</v>
      </c>
      <c r="I2242" s="9">
        <v>0</v>
      </c>
      <c r="J2242" s="9">
        <v>0</v>
      </c>
      <c r="K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1</v>
      </c>
      <c r="W2242" s="9">
        <v>0</v>
      </c>
      <c r="X2242" s="9">
        <v>0</v>
      </c>
      <c r="AE2242" s="9">
        <f>IFERROR(VLOOKUP($A2242,pivot!$A:$G,計算式2026!AE$1,FALSE),0)</f>
        <v>0</v>
      </c>
      <c r="AF2242" s="9">
        <f>IFERROR(VLOOKUP($A2242,pivot!$A:$I,計算式2026!AF$1,FALSE),0)</f>
        <v>0</v>
      </c>
      <c r="AI2242" s="9">
        <f>IFERROR(VLOOKUP($A2242,pivot!$A:$I,計算式2026!AI$1,FALSE),0)</f>
        <v>0</v>
      </c>
      <c r="AJ2242" s="9">
        <f>IFERROR(VLOOKUP($A2242,pivot!$A:$I,計算式2026!AJ$1,FALSE),0)</f>
        <v>0</v>
      </c>
      <c r="AK2242" s="9">
        <f>IFERROR(VLOOKUP($A2242,pivot!$A:$I,計算式2026!AK$1,FALSE),0)</f>
        <v>0</v>
      </c>
      <c r="AL2242" s="9">
        <f>IFERROR(VLOOKUP($A2242,pivot!$A:$I,計算式2026!AL$1,FALSE),0)</f>
        <v>0</v>
      </c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</row>
    <row r="2243" spans="1:59" s="9" customFormat="1">
      <c r="A2243" s="8" t="s">
        <v>2461</v>
      </c>
      <c r="B2243" s="8" t="s">
        <v>2458</v>
      </c>
      <c r="C2243" s="9">
        <v>0</v>
      </c>
      <c r="D2243" s="9">
        <v>0</v>
      </c>
      <c r="E2243" s="9">
        <v>0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9">
        <v>0</v>
      </c>
      <c r="R2243" s="9">
        <v>0</v>
      </c>
      <c r="S2243" s="9">
        <v>0</v>
      </c>
      <c r="T2243" s="9">
        <v>1</v>
      </c>
      <c r="U2243" s="9">
        <v>0</v>
      </c>
      <c r="V2243" s="9">
        <v>1</v>
      </c>
      <c r="W2243" s="9">
        <v>0</v>
      </c>
      <c r="X2243" s="9">
        <v>1</v>
      </c>
      <c r="AE2243" s="9">
        <f>IFERROR(VLOOKUP($A2243,pivot!$A:$G,計算式2026!AE$1,FALSE),0)</f>
        <v>0</v>
      </c>
      <c r="AF2243" s="9">
        <f>IFERROR(VLOOKUP($A2243,pivot!$A:$I,計算式2026!AF$1,FALSE),0)</f>
        <v>0</v>
      </c>
      <c r="AI2243" s="9">
        <f>IFERROR(VLOOKUP($A2243,pivot!$A:$I,計算式2026!AI$1,FALSE),0)</f>
        <v>0</v>
      </c>
      <c r="AJ2243" s="9">
        <f>IFERROR(VLOOKUP($A2243,pivot!$A:$I,計算式2026!AJ$1,FALSE),0)</f>
        <v>0</v>
      </c>
      <c r="AK2243" s="9">
        <f>IFERROR(VLOOKUP($A2243,pivot!$A:$I,計算式2026!AK$1,FALSE),0)</f>
        <v>0</v>
      </c>
      <c r="AL2243" s="9">
        <f>IFERROR(VLOOKUP($A2243,pivot!$A:$I,計算式2026!AL$1,FALSE),0)</f>
        <v>0</v>
      </c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</row>
    <row r="2244" spans="1:59" s="9" customFormat="1">
      <c r="A2244" s="8" t="s">
        <v>2462</v>
      </c>
      <c r="B2244" s="8" t="s">
        <v>2458</v>
      </c>
      <c r="C2244" s="9">
        <v>4</v>
      </c>
      <c r="D2244" s="9">
        <v>0</v>
      </c>
      <c r="E2244" s="9">
        <v>0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  <c r="K2244" s="9">
        <v>0</v>
      </c>
      <c r="R2244" s="9">
        <v>0</v>
      </c>
      <c r="S2244" s="9">
        <v>0</v>
      </c>
      <c r="T2244" s="9">
        <v>1</v>
      </c>
      <c r="U2244" s="9">
        <v>0</v>
      </c>
      <c r="V2244" s="9">
        <v>1</v>
      </c>
      <c r="W2244" s="9">
        <v>0</v>
      </c>
      <c r="X2244" s="9">
        <v>1</v>
      </c>
      <c r="AE2244" s="9">
        <f>IFERROR(VLOOKUP($A2244,pivot!$A:$G,計算式2026!AE$1,FALSE),0)</f>
        <v>0</v>
      </c>
      <c r="AF2244" s="9">
        <f>IFERROR(VLOOKUP($A2244,pivot!$A:$I,計算式2026!AF$1,FALSE),0)</f>
        <v>0</v>
      </c>
      <c r="AI2244" s="9">
        <f>IFERROR(VLOOKUP($A2244,pivot!$A:$I,計算式2026!AI$1,FALSE),0)</f>
        <v>0</v>
      </c>
      <c r="AJ2244" s="9">
        <f>IFERROR(VLOOKUP($A2244,pivot!$A:$I,計算式2026!AJ$1,FALSE),0)</f>
        <v>0</v>
      </c>
      <c r="AK2244" s="9">
        <f>IFERROR(VLOOKUP($A2244,pivot!$A:$I,計算式2026!AK$1,FALSE),0)</f>
        <v>0</v>
      </c>
      <c r="AL2244" s="9">
        <f>IFERROR(VLOOKUP($A2244,pivot!$A:$I,計算式2026!AL$1,FALSE),0)</f>
        <v>0</v>
      </c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</row>
    <row r="2245" spans="1:59" s="9" customFormat="1">
      <c r="A2245" s="8" t="s">
        <v>2463</v>
      </c>
      <c r="B2245" s="8" t="s">
        <v>2458</v>
      </c>
      <c r="C2245" s="9">
        <v>3</v>
      </c>
      <c r="D2245" s="9">
        <v>0</v>
      </c>
      <c r="E2245" s="9">
        <v>0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1</v>
      </c>
      <c r="W2245" s="9">
        <v>0</v>
      </c>
      <c r="X2245" s="9">
        <v>1</v>
      </c>
      <c r="AE2245" s="9">
        <f>IFERROR(VLOOKUP($A2245,pivot!$A:$G,計算式2026!AE$1,FALSE),0)</f>
        <v>0</v>
      </c>
      <c r="AF2245" s="9">
        <f>IFERROR(VLOOKUP($A2245,pivot!$A:$I,計算式2026!AF$1,FALSE),0)</f>
        <v>0</v>
      </c>
      <c r="AI2245" s="9">
        <f>IFERROR(VLOOKUP($A2245,pivot!$A:$I,計算式2026!AI$1,FALSE),0)</f>
        <v>0</v>
      </c>
      <c r="AJ2245" s="9">
        <f>IFERROR(VLOOKUP($A2245,pivot!$A:$I,計算式2026!AJ$1,FALSE),0)</f>
        <v>0</v>
      </c>
      <c r="AK2245" s="9">
        <f>IFERROR(VLOOKUP($A2245,pivot!$A:$I,計算式2026!AK$1,FALSE),0)</f>
        <v>0</v>
      </c>
      <c r="AL2245" s="9">
        <f>IFERROR(VLOOKUP($A2245,pivot!$A:$I,計算式2026!AL$1,FALSE),0)</f>
        <v>0</v>
      </c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</row>
    <row r="2246" spans="1:59" s="9" customFormat="1">
      <c r="A2246" s="8" t="s">
        <v>2885</v>
      </c>
      <c r="B2246" s="8" t="s">
        <v>2458</v>
      </c>
      <c r="C2246" s="9">
        <v>0</v>
      </c>
      <c r="D2246" s="9">
        <v>0</v>
      </c>
      <c r="E2246" s="9">
        <v>0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1</v>
      </c>
      <c r="AE2246" s="9">
        <f>IFERROR(VLOOKUP($A2246,pivot!$A:$G,計算式2026!AE$1,FALSE),0)</f>
        <v>0</v>
      </c>
      <c r="AF2246" s="9">
        <f>IFERROR(VLOOKUP($A2246,pivot!$A:$I,計算式2026!AF$1,FALSE),0)</f>
        <v>0</v>
      </c>
      <c r="AI2246" s="9">
        <f>IFERROR(VLOOKUP($A2246,pivot!$A:$I,計算式2026!AI$1,FALSE),0)</f>
        <v>0</v>
      </c>
      <c r="AJ2246" s="9">
        <f>IFERROR(VLOOKUP($A2246,pivot!$A:$I,計算式2026!AJ$1,FALSE),0)</f>
        <v>0</v>
      </c>
      <c r="AK2246" s="9">
        <f>IFERROR(VLOOKUP($A2246,pivot!$A:$I,計算式2026!AK$1,FALSE),0)</f>
        <v>0</v>
      </c>
      <c r="AL2246" s="9">
        <f>IFERROR(VLOOKUP($A2246,pivot!$A:$I,計算式2026!AL$1,FALSE),0)</f>
        <v>0</v>
      </c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</row>
    <row r="2247" spans="1:59" s="9" customFormat="1">
      <c r="A2247" s="8" t="s">
        <v>2465</v>
      </c>
      <c r="B2247" s="8" t="s">
        <v>2464</v>
      </c>
      <c r="C2247" s="9">
        <v>0</v>
      </c>
      <c r="D2247" s="9">
        <v>0</v>
      </c>
      <c r="E2247" s="9">
        <v>0</v>
      </c>
      <c r="F2247" s="9">
        <v>0</v>
      </c>
      <c r="G2247" s="9">
        <v>0</v>
      </c>
      <c r="H2247" s="9">
        <v>0</v>
      </c>
      <c r="I2247" s="9">
        <v>0</v>
      </c>
      <c r="J2247" s="9">
        <v>0</v>
      </c>
      <c r="K2247" s="9">
        <v>0</v>
      </c>
      <c r="R2247" s="9">
        <v>1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1</v>
      </c>
      <c r="AE2247" s="9">
        <f>IFERROR(VLOOKUP($A2247,pivot!$A:$G,計算式2026!AE$1,FALSE),0)</f>
        <v>0</v>
      </c>
      <c r="AF2247" s="9">
        <f>IFERROR(VLOOKUP($A2247,pivot!$A:$I,計算式2026!AF$1,FALSE),0)</f>
        <v>0</v>
      </c>
      <c r="AI2247" s="9">
        <f>IFERROR(VLOOKUP($A2247,pivot!$A:$I,計算式2026!AI$1,FALSE),0)</f>
        <v>0</v>
      </c>
      <c r="AJ2247" s="9">
        <f>IFERROR(VLOOKUP($A2247,pivot!$A:$I,計算式2026!AJ$1,FALSE),0)</f>
        <v>0</v>
      </c>
      <c r="AK2247" s="9">
        <f>IFERROR(VLOOKUP($A2247,pivot!$A:$I,計算式2026!AK$1,FALSE),0)</f>
        <v>0</v>
      </c>
      <c r="AL2247" s="9">
        <f>IFERROR(VLOOKUP($A2247,pivot!$A:$I,計算式2026!AL$1,FALSE),0)</f>
        <v>0</v>
      </c>
      <c r="AR2247" s="8"/>
      <c r="AS2247" s="8"/>
      <c r="AT2247" s="8"/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</row>
    <row r="2248" spans="1:59" s="9" customFormat="1">
      <c r="A2248" s="8" t="s">
        <v>2466</v>
      </c>
      <c r="B2248" s="8" t="s">
        <v>2464</v>
      </c>
      <c r="C2248" s="9">
        <v>0</v>
      </c>
      <c r="D2248" s="9">
        <v>0</v>
      </c>
      <c r="E2248" s="9">
        <v>0</v>
      </c>
      <c r="F2248" s="9">
        <v>0</v>
      </c>
      <c r="G2248" s="9">
        <v>0</v>
      </c>
      <c r="H2248" s="9">
        <v>0</v>
      </c>
      <c r="I2248" s="9">
        <v>0</v>
      </c>
      <c r="J2248" s="9">
        <v>0</v>
      </c>
      <c r="K2248" s="9">
        <v>0</v>
      </c>
      <c r="R2248" s="9">
        <v>1</v>
      </c>
      <c r="S2248" s="9">
        <v>1</v>
      </c>
      <c r="T2248" s="9">
        <v>0</v>
      </c>
      <c r="U2248" s="9">
        <v>0</v>
      </c>
      <c r="V2248" s="9">
        <v>0</v>
      </c>
      <c r="W2248" s="9">
        <v>0</v>
      </c>
      <c r="X2248" s="9">
        <v>1</v>
      </c>
      <c r="AE2248" s="9">
        <f>IFERROR(VLOOKUP($A2248,pivot!$A:$G,計算式2026!AE$1,FALSE),0)</f>
        <v>0</v>
      </c>
      <c r="AF2248" s="9">
        <f>IFERROR(VLOOKUP($A2248,pivot!$A:$I,計算式2026!AF$1,FALSE),0)</f>
        <v>0</v>
      </c>
      <c r="AI2248" s="9">
        <f>IFERROR(VLOOKUP($A2248,pivot!$A:$I,計算式2026!AI$1,FALSE),0)</f>
        <v>0</v>
      </c>
      <c r="AJ2248" s="9">
        <f>IFERROR(VLOOKUP($A2248,pivot!$A:$I,計算式2026!AJ$1,FALSE),0)</f>
        <v>0</v>
      </c>
      <c r="AK2248" s="9">
        <f>IFERROR(VLOOKUP($A2248,pivot!$A:$I,計算式2026!AK$1,FALSE),0)</f>
        <v>0</v>
      </c>
      <c r="AL2248" s="9">
        <f>IFERROR(VLOOKUP($A2248,pivot!$A:$I,計算式2026!AL$1,FALSE),0)</f>
        <v>0</v>
      </c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</row>
    <row r="2249" spans="1:59" s="9" customFormat="1">
      <c r="A2249" s="8" t="s">
        <v>2467</v>
      </c>
      <c r="B2249" s="8" t="s">
        <v>2464</v>
      </c>
      <c r="C2249" s="9">
        <v>1</v>
      </c>
      <c r="D2249" s="9">
        <v>0</v>
      </c>
      <c r="E2249" s="9">
        <v>0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R2249" s="9">
        <v>1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1</v>
      </c>
      <c r="AE2249" s="9">
        <f>IFERROR(VLOOKUP($A2249,pivot!$A:$G,計算式2026!AE$1,FALSE),0)</f>
        <v>0</v>
      </c>
      <c r="AF2249" s="9">
        <f>IFERROR(VLOOKUP($A2249,pivot!$A:$I,計算式2026!AF$1,FALSE),0)</f>
        <v>0</v>
      </c>
      <c r="AI2249" s="9">
        <f>IFERROR(VLOOKUP($A2249,pivot!$A:$I,計算式2026!AI$1,FALSE),0)</f>
        <v>0</v>
      </c>
      <c r="AJ2249" s="9">
        <f>IFERROR(VLOOKUP($A2249,pivot!$A:$I,計算式2026!AJ$1,FALSE),0)</f>
        <v>0</v>
      </c>
      <c r="AK2249" s="9">
        <f>IFERROR(VLOOKUP($A2249,pivot!$A:$I,計算式2026!AK$1,FALSE),0)</f>
        <v>0</v>
      </c>
      <c r="AL2249" s="9">
        <f>IFERROR(VLOOKUP($A2249,pivot!$A:$I,計算式2026!AL$1,FALSE),0)</f>
        <v>0</v>
      </c>
      <c r="AR2249" s="8"/>
      <c r="AS2249" s="8"/>
      <c r="AT2249" s="8"/>
      <c r="AU2249" s="8"/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</row>
    <row r="2250" spans="1:59" s="9" customFormat="1">
      <c r="A2250" s="8" t="s">
        <v>2468</v>
      </c>
      <c r="B2250" s="8" t="s">
        <v>2464</v>
      </c>
      <c r="C2250" s="9">
        <v>0</v>
      </c>
      <c r="D2250" s="9">
        <v>0</v>
      </c>
      <c r="E2250" s="9">
        <v>0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1</v>
      </c>
      <c r="AE2250" s="9">
        <f>IFERROR(VLOOKUP($A2250,pivot!$A:$G,計算式2026!AE$1,FALSE),0)</f>
        <v>0</v>
      </c>
      <c r="AF2250" s="9">
        <f>IFERROR(VLOOKUP($A2250,pivot!$A:$I,計算式2026!AF$1,FALSE),0)</f>
        <v>0</v>
      </c>
      <c r="AI2250" s="9">
        <f>IFERROR(VLOOKUP($A2250,pivot!$A:$I,計算式2026!AI$1,FALSE),0)</f>
        <v>0</v>
      </c>
      <c r="AJ2250" s="9">
        <f>IFERROR(VLOOKUP($A2250,pivot!$A:$I,計算式2026!AJ$1,FALSE),0)</f>
        <v>0</v>
      </c>
      <c r="AK2250" s="9">
        <f>IFERROR(VLOOKUP($A2250,pivot!$A:$I,計算式2026!AK$1,FALSE),0)</f>
        <v>0</v>
      </c>
      <c r="AL2250" s="9">
        <f>IFERROR(VLOOKUP($A2250,pivot!$A:$I,計算式2026!AL$1,FALSE),0)</f>
        <v>0</v>
      </c>
      <c r="AR2250" s="8"/>
      <c r="AS2250" s="8"/>
      <c r="AT2250" s="8"/>
      <c r="AU2250" s="8"/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</row>
    <row r="2251" spans="1:59" s="9" customFormat="1">
      <c r="A2251" s="8" t="s">
        <v>2469</v>
      </c>
      <c r="B2251" s="8" t="s">
        <v>2470</v>
      </c>
      <c r="C2251" s="9">
        <v>0</v>
      </c>
      <c r="D2251" s="9">
        <v>0</v>
      </c>
      <c r="E2251" s="9">
        <v>0</v>
      </c>
      <c r="F2251" s="9">
        <v>0</v>
      </c>
      <c r="G2251" s="9">
        <v>0</v>
      </c>
      <c r="H2251" s="9">
        <v>0</v>
      </c>
      <c r="I2251" s="9">
        <v>0</v>
      </c>
      <c r="J2251" s="9">
        <v>0</v>
      </c>
      <c r="K2251" s="9">
        <v>0</v>
      </c>
      <c r="R2251" s="9">
        <v>0</v>
      </c>
      <c r="S2251" s="9">
        <v>0</v>
      </c>
      <c r="T2251" s="9">
        <v>1</v>
      </c>
      <c r="U2251" s="9">
        <v>0</v>
      </c>
      <c r="V2251" s="9">
        <v>0</v>
      </c>
      <c r="W2251" s="9">
        <v>0</v>
      </c>
      <c r="X2251" s="9">
        <v>0</v>
      </c>
      <c r="AE2251" s="9">
        <f>IFERROR(VLOOKUP($A2251,pivot!$A:$G,計算式2026!AE$1,FALSE),0)</f>
        <v>0</v>
      </c>
      <c r="AF2251" s="9">
        <f>IFERROR(VLOOKUP($A2251,pivot!$A:$I,計算式2026!AF$1,FALSE),0)</f>
        <v>0</v>
      </c>
      <c r="AI2251" s="9">
        <f>IFERROR(VLOOKUP($A2251,pivot!$A:$I,計算式2026!AI$1,FALSE),0)</f>
        <v>0</v>
      </c>
      <c r="AJ2251" s="9">
        <f>IFERROR(VLOOKUP($A2251,pivot!$A:$I,計算式2026!AJ$1,FALSE),0)</f>
        <v>0</v>
      </c>
      <c r="AK2251" s="9">
        <f>IFERROR(VLOOKUP($A2251,pivot!$A:$I,計算式2026!AK$1,FALSE),0)</f>
        <v>0</v>
      </c>
      <c r="AL2251" s="9">
        <f>IFERROR(VLOOKUP($A2251,pivot!$A:$I,計算式2026!AL$1,FALSE),0)</f>
        <v>0</v>
      </c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</row>
    <row r="2252" spans="1:59" s="9" customFormat="1">
      <c r="A2252" s="8" t="s">
        <v>2471</v>
      </c>
      <c r="B2252" s="8" t="s">
        <v>2470</v>
      </c>
      <c r="C2252" s="9">
        <v>1</v>
      </c>
      <c r="D2252" s="9">
        <v>0</v>
      </c>
      <c r="E2252" s="9">
        <v>0</v>
      </c>
      <c r="F2252" s="9">
        <v>0</v>
      </c>
      <c r="G2252" s="9">
        <v>0</v>
      </c>
      <c r="H2252" s="9">
        <v>0</v>
      </c>
      <c r="I2252" s="9">
        <v>0</v>
      </c>
      <c r="J2252" s="9">
        <v>0</v>
      </c>
      <c r="K2252" s="9">
        <v>0</v>
      </c>
      <c r="R2252" s="9">
        <v>0</v>
      </c>
      <c r="S2252" s="9">
        <v>0</v>
      </c>
      <c r="T2252" s="9">
        <v>1</v>
      </c>
      <c r="U2252" s="9">
        <v>0</v>
      </c>
      <c r="V2252" s="9">
        <v>0</v>
      </c>
      <c r="W2252" s="9">
        <v>0</v>
      </c>
      <c r="X2252" s="9">
        <v>1</v>
      </c>
      <c r="AE2252" s="9">
        <f>IFERROR(VLOOKUP($A2252,pivot!$A:$G,計算式2026!AE$1,FALSE),0)</f>
        <v>0</v>
      </c>
      <c r="AF2252" s="9">
        <f>IFERROR(VLOOKUP($A2252,pivot!$A:$I,計算式2026!AF$1,FALSE),0)</f>
        <v>0</v>
      </c>
      <c r="AI2252" s="9">
        <f>IFERROR(VLOOKUP($A2252,pivot!$A:$I,計算式2026!AI$1,FALSE),0)</f>
        <v>0</v>
      </c>
      <c r="AJ2252" s="9">
        <f>IFERROR(VLOOKUP($A2252,pivot!$A:$I,計算式2026!AJ$1,FALSE),0)</f>
        <v>0</v>
      </c>
      <c r="AK2252" s="9">
        <f>IFERROR(VLOOKUP($A2252,pivot!$A:$I,計算式2026!AK$1,FALSE),0)</f>
        <v>0</v>
      </c>
      <c r="AL2252" s="9">
        <f>IFERROR(VLOOKUP($A2252,pivot!$A:$I,計算式2026!AL$1,FALSE),0)</f>
        <v>0</v>
      </c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8"/>
      <c r="BF2252" s="8"/>
      <c r="BG2252" s="8"/>
    </row>
    <row r="2253" spans="1:59" s="9" customFormat="1">
      <c r="A2253" s="8" t="s">
        <v>2472</v>
      </c>
      <c r="B2253" s="8" t="s">
        <v>2470</v>
      </c>
      <c r="C2253" s="9">
        <v>0</v>
      </c>
      <c r="D2253" s="9">
        <v>0</v>
      </c>
      <c r="E2253" s="9">
        <v>0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  <c r="K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1</v>
      </c>
      <c r="AE2253" s="9">
        <f>IFERROR(VLOOKUP($A2253,pivot!$A:$G,計算式2026!AE$1,FALSE),0)</f>
        <v>0</v>
      </c>
      <c r="AF2253" s="9">
        <f>IFERROR(VLOOKUP($A2253,pivot!$A:$I,計算式2026!AF$1,FALSE),0)</f>
        <v>0</v>
      </c>
      <c r="AI2253" s="9">
        <f>IFERROR(VLOOKUP($A2253,pivot!$A:$I,計算式2026!AI$1,FALSE),0)</f>
        <v>0</v>
      </c>
      <c r="AJ2253" s="9">
        <f>IFERROR(VLOOKUP($A2253,pivot!$A:$I,計算式2026!AJ$1,FALSE),0)</f>
        <v>0</v>
      </c>
      <c r="AK2253" s="9">
        <f>IFERROR(VLOOKUP($A2253,pivot!$A:$I,計算式2026!AK$1,FALSE),0)</f>
        <v>0</v>
      </c>
      <c r="AL2253" s="9">
        <f>IFERROR(VLOOKUP($A2253,pivot!$A:$I,計算式2026!AL$1,FALSE),0)</f>
        <v>0</v>
      </c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</row>
    <row r="2254" spans="1:59" s="9" customFormat="1">
      <c r="A2254" s="8" t="s">
        <v>2473</v>
      </c>
      <c r="B2254" s="8" t="s">
        <v>2470</v>
      </c>
      <c r="C2254" s="9">
        <v>0</v>
      </c>
      <c r="D2254" s="9">
        <v>0</v>
      </c>
      <c r="E2254" s="9">
        <v>0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  <c r="K2254" s="9">
        <v>0</v>
      </c>
      <c r="R2254" s="9">
        <v>0</v>
      </c>
      <c r="S2254" s="9">
        <v>0</v>
      </c>
      <c r="T2254" s="9">
        <v>1</v>
      </c>
      <c r="U2254" s="9">
        <v>0</v>
      </c>
      <c r="V2254" s="9">
        <v>0</v>
      </c>
      <c r="W2254" s="9">
        <v>0</v>
      </c>
      <c r="X2254" s="9">
        <v>1</v>
      </c>
      <c r="AE2254" s="9">
        <f>IFERROR(VLOOKUP($A2254,pivot!$A:$G,計算式2026!AE$1,FALSE),0)</f>
        <v>0</v>
      </c>
      <c r="AF2254" s="9">
        <f>IFERROR(VLOOKUP($A2254,pivot!$A:$I,計算式2026!AF$1,FALSE),0)</f>
        <v>0</v>
      </c>
      <c r="AI2254" s="9">
        <f>IFERROR(VLOOKUP($A2254,pivot!$A:$I,計算式2026!AI$1,FALSE),0)</f>
        <v>0</v>
      </c>
      <c r="AJ2254" s="9">
        <f>IFERROR(VLOOKUP($A2254,pivot!$A:$I,計算式2026!AJ$1,FALSE),0)</f>
        <v>0</v>
      </c>
      <c r="AK2254" s="9">
        <f>IFERROR(VLOOKUP($A2254,pivot!$A:$I,計算式2026!AK$1,FALSE),0)</f>
        <v>0</v>
      </c>
      <c r="AL2254" s="9">
        <f>IFERROR(VLOOKUP($A2254,pivot!$A:$I,計算式2026!AL$1,FALSE),0)</f>
        <v>0</v>
      </c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8"/>
      <c r="BF2254" s="8"/>
      <c r="BG2254" s="8"/>
    </row>
    <row r="2255" spans="1:59" s="9" customFormat="1">
      <c r="A2255" s="8" t="s">
        <v>2474</v>
      </c>
      <c r="B2255" s="8" t="s">
        <v>2470</v>
      </c>
      <c r="C2255" s="9">
        <v>2</v>
      </c>
      <c r="D2255" s="9">
        <v>0</v>
      </c>
      <c r="E2255" s="9">
        <v>0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9">
        <v>0</v>
      </c>
      <c r="R2255" s="9">
        <v>0</v>
      </c>
      <c r="S2255" s="9">
        <v>0</v>
      </c>
      <c r="T2255" s="9">
        <v>1</v>
      </c>
      <c r="U2255" s="9">
        <v>0</v>
      </c>
      <c r="V2255" s="9">
        <v>0</v>
      </c>
      <c r="W2255" s="9">
        <v>0</v>
      </c>
      <c r="X2255" s="9">
        <v>1</v>
      </c>
      <c r="AE2255" s="9">
        <f>IFERROR(VLOOKUP($A2255,pivot!$A:$G,計算式2026!AE$1,FALSE),0)</f>
        <v>0</v>
      </c>
      <c r="AF2255" s="9">
        <f>IFERROR(VLOOKUP($A2255,pivot!$A:$I,計算式2026!AF$1,FALSE),0)</f>
        <v>0</v>
      </c>
      <c r="AI2255" s="9">
        <f>IFERROR(VLOOKUP($A2255,pivot!$A:$I,計算式2026!AI$1,FALSE),0)</f>
        <v>0</v>
      </c>
      <c r="AJ2255" s="9">
        <f>IFERROR(VLOOKUP($A2255,pivot!$A:$I,計算式2026!AJ$1,FALSE),0)</f>
        <v>0</v>
      </c>
      <c r="AK2255" s="9">
        <f>IFERROR(VLOOKUP($A2255,pivot!$A:$I,計算式2026!AK$1,FALSE),0)</f>
        <v>0</v>
      </c>
      <c r="AL2255" s="9">
        <f>IFERROR(VLOOKUP($A2255,pivot!$A:$I,計算式2026!AL$1,FALSE),0)</f>
        <v>0</v>
      </c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</row>
    <row r="2256" spans="1:59" s="9" customFormat="1">
      <c r="A2256" s="8" t="s">
        <v>2475</v>
      </c>
      <c r="B2256" s="8" t="s">
        <v>2470</v>
      </c>
      <c r="C2256" s="9">
        <v>0</v>
      </c>
      <c r="D2256" s="9">
        <v>0</v>
      </c>
      <c r="E2256" s="9">
        <v>0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  <c r="K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1</v>
      </c>
      <c r="AE2256" s="9">
        <f>IFERROR(VLOOKUP($A2256,pivot!$A:$G,計算式2026!AE$1,FALSE),0)</f>
        <v>0</v>
      </c>
      <c r="AF2256" s="9">
        <f>IFERROR(VLOOKUP($A2256,pivot!$A:$I,計算式2026!AF$1,FALSE),0)</f>
        <v>0</v>
      </c>
      <c r="AI2256" s="9">
        <f>IFERROR(VLOOKUP($A2256,pivot!$A:$I,計算式2026!AI$1,FALSE),0)</f>
        <v>0</v>
      </c>
      <c r="AJ2256" s="9">
        <f>IFERROR(VLOOKUP($A2256,pivot!$A:$I,計算式2026!AJ$1,FALSE),0)</f>
        <v>0</v>
      </c>
      <c r="AK2256" s="9">
        <f>IFERROR(VLOOKUP($A2256,pivot!$A:$I,計算式2026!AK$1,FALSE),0)</f>
        <v>0</v>
      </c>
      <c r="AL2256" s="9">
        <f>IFERROR(VLOOKUP($A2256,pivot!$A:$I,計算式2026!AL$1,FALSE),0)</f>
        <v>0</v>
      </c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8"/>
      <c r="BG2256" s="8"/>
    </row>
    <row r="2257" spans="1:59" s="9" customFormat="1">
      <c r="A2257" s="8" t="s">
        <v>2476</v>
      </c>
      <c r="B2257" s="8" t="s">
        <v>2477</v>
      </c>
      <c r="C2257" s="9">
        <v>0</v>
      </c>
      <c r="D2257" s="9">
        <v>0</v>
      </c>
      <c r="E2257" s="9">
        <v>0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0</v>
      </c>
      <c r="R2257" s="9">
        <v>0</v>
      </c>
      <c r="S2257" s="9">
        <v>1</v>
      </c>
      <c r="T2257" s="9">
        <v>0</v>
      </c>
      <c r="U2257" s="9">
        <v>0</v>
      </c>
      <c r="V2257" s="9">
        <v>1</v>
      </c>
      <c r="W2257" s="9">
        <v>0</v>
      </c>
      <c r="X2257" s="9">
        <v>1</v>
      </c>
      <c r="AE2257" s="9">
        <f>IFERROR(VLOOKUP($A2257,pivot!$A:$G,計算式2026!AE$1,FALSE),0)</f>
        <v>0</v>
      </c>
      <c r="AF2257" s="9">
        <f>IFERROR(VLOOKUP($A2257,pivot!$A:$I,計算式2026!AF$1,FALSE),0)</f>
        <v>0</v>
      </c>
      <c r="AI2257" s="9">
        <f>IFERROR(VLOOKUP($A2257,pivot!$A:$I,計算式2026!AI$1,FALSE),0)</f>
        <v>0</v>
      </c>
      <c r="AJ2257" s="9">
        <f>IFERROR(VLOOKUP($A2257,pivot!$A:$I,計算式2026!AJ$1,FALSE),0)</f>
        <v>0</v>
      </c>
      <c r="AK2257" s="9">
        <f>IFERROR(VLOOKUP($A2257,pivot!$A:$I,計算式2026!AK$1,FALSE),0)</f>
        <v>0</v>
      </c>
      <c r="AL2257" s="9">
        <f>IFERROR(VLOOKUP($A2257,pivot!$A:$I,計算式2026!AL$1,FALSE),0)</f>
        <v>0</v>
      </c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</row>
    <row r="2258" spans="1:59" s="9" customFormat="1">
      <c r="A2258" s="8" t="s">
        <v>2478</v>
      </c>
      <c r="B2258" s="8" t="s">
        <v>2477</v>
      </c>
      <c r="C2258" s="9">
        <v>0</v>
      </c>
      <c r="D2258" s="9">
        <v>3</v>
      </c>
      <c r="E2258" s="9">
        <v>0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R2258" s="9">
        <v>0</v>
      </c>
      <c r="S2258" s="9">
        <v>1</v>
      </c>
      <c r="T2258" s="9">
        <v>0</v>
      </c>
      <c r="U2258" s="9">
        <v>0</v>
      </c>
      <c r="V2258" s="9">
        <v>1</v>
      </c>
      <c r="W2258" s="9">
        <v>0</v>
      </c>
      <c r="X2258" s="9">
        <v>1</v>
      </c>
      <c r="AE2258" s="9">
        <f>IFERROR(VLOOKUP($A2258,pivot!$A:$G,計算式2026!AE$1,FALSE),0)</f>
        <v>0</v>
      </c>
      <c r="AF2258" s="9">
        <f>IFERROR(VLOOKUP($A2258,pivot!$A:$I,計算式2026!AF$1,FALSE),0)</f>
        <v>0</v>
      </c>
      <c r="AI2258" s="9">
        <f>IFERROR(VLOOKUP($A2258,pivot!$A:$I,計算式2026!AI$1,FALSE),0)</f>
        <v>0</v>
      </c>
      <c r="AJ2258" s="9">
        <f>IFERROR(VLOOKUP($A2258,pivot!$A:$I,計算式2026!AJ$1,FALSE),0)</f>
        <v>0</v>
      </c>
      <c r="AK2258" s="9">
        <f>IFERROR(VLOOKUP($A2258,pivot!$A:$I,計算式2026!AK$1,FALSE),0)</f>
        <v>0</v>
      </c>
      <c r="AL2258" s="9">
        <f>IFERROR(VLOOKUP($A2258,pivot!$A:$I,計算式2026!AL$1,FALSE),0)</f>
        <v>0</v>
      </c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8"/>
      <c r="BG2258" s="8"/>
    </row>
    <row r="2259" spans="1:59" s="9" customFormat="1">
      <c r="A2259" s="8" t="s">
        <v>2479</v>
      </c>
      <c r="B2259" s="8" t="s">
        <v>2477</v>
      </c>
      <c r="C2259" s="9">
        <v>0</v>
      </c>
      <c r="D2259" s="9">
        <v>0</v>
      </c>
      <c r="E2259" s="9">
        <v>0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1</v>
      </c>
      <c r="W2259" s="9">
        <v>0</v>
      </c>
      <c r="X2259" s="9">
        <v>0</v>
      </c>
      <c r="AE2259" s="9">
        <f>IFERROR(VLOOKUP($A2259,pivot!$A:$G,計算式2026!AE$1,FALSE),0)</f>
        <v>0</v>
      </c>
      <c r="AF2259" s="9">
        <f>IFERROR(VLOOKUP($A2259,pivot!$A:$I,計算式2026!AF$1,FALSE),0)</f>
        <v>0</v>
      </c>
      <c r="AI2259" s="9">
        <f>IFERROR(VLOOKUP($A2259,pivot!$A:$I,計算式2026!AI$1,FALSE),0)</f>
        <v>0</v>
      </c>
      <c r="AJ2259" s="9">
        <f>IFERROR(VLOOKUP($A2259,pivot!$A:$I,計算式2026!AJ$1,FALSE),0)</f>
        <v>0</v>
      </c>
      <c r="AK2259" s="9">
        <f>IFERROR(VLOOKUP($A2259,pivot!$A:$I,計算式2026!AK$1,FALSE),0)</f>
        <v>0</v>
      </c>
      <c r="AL2259" s="9">
        <f>IFERROR(VLOOKUP($A2259,pivot!$A:$I,計算式2026!AL$1,FALSE),0)</f>
        <v>0</v>
      </c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8"/>
      <c r="BG2259" s="8"/>
    </row>
    <row r="2260" spans="1:59" s="9" customFormat="1">
      <c r="A2260" s="8" t="s">
        <v>2886</v>
      </c>
      <c r="B2260" s="8" t="s">
        <v>2481</v>
      </c>
      <c r="C2260" s="9">
        <v>1</v>
      </c>
      <c r="D2260" s="9">
        <v>0</v>
      </c>
      <c r="E2260" s="9">
        <v>0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AE2260" s="9">
        <f>IFERROR(VLOOKUP($A2260,pivot!$A:$G,計算式2026!AE$1,FALSE),0)</f>
        <v>0</v>
      </c>
      <c r="AF2260" s="9">
        <f>IFERROR(VLOOKUP($A2260,pivot!$A:$I,計算式2026!AF$1,FALSE),0)</f>
        <v>0</v>
      </c>
      <c r="AI2260" s="9">
        <f>IFERROR(VLOOKUP($A2260,pivot!$A:$I,計算式2026!AI$1,FALSE),0)</f>
        <v>0</v>
      </c>
      <c r="AJ2260" s="9">
        <f>IFERROR(VLOOKUP($A2260,pivot!$A:$I,計算式2026!AJ$1,FALSE),0)</f>
        <v>0</v>
      </c>
      <c r="AK2260" s="9">
        <f>IFERROR(VLOOKUP($A2260,pivot!$A:$I,計算式2026!AK$1,FALSE),0)</f>
        <v>0</v>
      </c>
      <c r="AL2260" s="9">
        <f>IFERROR(VLOOKUP($A2260,pivot!$A:$I,計算式2026!AL$1,FALSE),0)</f>
        <v>0</v>
      </c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</row>
    <row r="2261" spans="1:59" s="9" customFormat="1">
      <c r="A2261" s="8" t="s">
        <v>2480</v>
      </c>
      <c r="B2261" s="8" t="s">
        <v>2481</v>
      </c>
      <c r="C2261" s="9">
        <v>0</v>
      </c>
      <c r="D2261" s="9">
        <v>3</v>
      </c>
      <c r="E2261" s="9">
        <v>0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R2261" s="9">
        <v>0</v>
      </c>
      <c r="S2261" s="9">
        <v>1</v>
      </c>
      <c r="T2261" s="9">
        <v>0</v>
      </c>
      <c r="U2261" s="9">
        <v>0</v>
      </c>
      <c r="V2261" s="9">
        <v>1</v>
      </c>
      <c r="W2261" s="9">
        <v>0</v>
      </c>
      <c r="X2261" s="9">
        <v>1</v>
      </c>
      <c r="AE2261" s="9">
        <f>IFERROR(VLOOKUP($A2261,pivot!$A:$G,計算式2026!AE$1,FALSE),0)</f>
        <v>0</v>
      </c>
      <c r="AF2261" s="9">
        <f>IFERROR(VLOOKUP($A2261,pivot!$A:$I,計算式2026!AF$1,FALSE),0)</f>
        <v>0</v>
      </c>
      <c r="AI2261" s="9">
        <f>IFERROR(VLOOKUP($A2261,pivot!$A:$I,計算式2026!AI$1,FALSE),0)</f>
        <v>0</v>
      </c>
      <c r="AJ2261" s="9">
        <f>IFERROR(VLOOKUP($A2261,pivot!$A:$I,計算式2026!AJ$1,FALSE),0)</f>
        <v>0</v>
      </c>
      <c r="AK2261" s="9">
        <f>IFERROR(VLOOKUP($A2261,pivot!$A:$I,計算式2026!AK$1,FALSE),0)</f>
        <v>0</v>
      </c>
      <c r="AL2261" s="9">
        <f>IFERROR(VLOOKUP($A2261,pivot!$A:$I,計算式2026!AL$1,FALSE),0)</f>
        <v>0</v>
      </c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</row>
    <row r="2262" spans="1:59" s="9" customFormat="1">
      <c r="A2262" s="8" t="s">
        <v>2482</v>
      </c>
      <c r="B2262" s="8" t="s">
        <v>2481</v>
      </c>
      <c r="C2262" s="9">
        <v>0</v>
      </c>
      <c r="D2262" s="9">
        <v>4</v>
      </c>
      <c r="E2262" s="9">
        <v>0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9">
        <v>0</v>
      </c>
      <c r="R2262" s="9">
        <v>0</v>
      </c>
      <c r="S2262" s="9">
        <v>1</v>
      </c>
      <c r="T2262" s="9">
        <v>0</v>
      </c>
      <c r="U2262" s="9">
        <v>0</v>
      </c>
      <c r="V2262" s="9">
        <v>1</v>
      </c>
      <c r="W2262" s="9">
        <v>0</v>
      </c>
      <c r="X2262" s="9">
        <v>1</v>
      </c>
      <c r="AE2262" s="9">
        <f>IFERROR(VLOOKUP($A2262,pivot!$A:$G,計算式2026!AE$1,FALSE),0)</f>
        <v>0</v>
      </c>
      <c r="AF2262" s="9">
        <f>IFERROR(VLOOKUP($A2262,pivot!$A:$I,計算式2026!AF$1,FALSE),0)</f>
        <v>0</v>
      </c>
      <c r="AI2262" s="9">
        <f>IFERROR(VLOOKUP($A2262,pivot!$A:$I,計算式2026!AI$1,FALSE),0)</f>
        <v>0</v>
      </c>
      <c r="AJ2262" s="9">
        <f>IFERROR(VLOOKUP($A2262,pivot!$A:$I,計算式2026!AJ$1,FALSE),0)</f>
        <v>0</v>
      </c>
      <c r="AK2262" s="9">
        <f>IFERROR(VLOOKUP($A2262,pivot!$A:$I,計算式2026!AK$1,FALSE),0)</f>
        <v>0</v>
      </c>
      <c r="AL2262" s="9">
        <f>IFERROR(VLOOKUP($A2262,pivot!$A:$I,計算式2026!AL$1,FALSE),0)</f>
        <v>0</v>
      </c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8"/>
      <c r="BG2262" s="8"/>
    </row>
    <row r="2263" spans="1:59" s="9" customFormat="1">
      <c r="A2263" s="8" t="s">
        <v>2483</v>
      </c>
      <c r="B2263" s="8" t="s">
        <v>2481</v>
      </c>
      <c r="C2263" s="9">
        <v>0</v>
      </c>
      <c r="D2263" s="9">
        <v>0</v>
      </c>
      <c r="E2263" s="9">
        <v>0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1</v>
      </c>
      <c r="W2263" s="9">
        <v>0</v>
      </c>
      <c r="X2263" s="9">
        <v>0</v>
      </c>
      <c r="AE2263" s="9">
        <f>IFERROR(VLOOKUP($A2263,pivot!$A:$G,計算式2026!AE$1,FALSE),0)</f>
        <v>0</v>
      </c>
      <c r="AF2263" s="9">
        <f>IFERROR(VLOOKUP($A2263,pivot!$A:$I,計算式2026!AF$1,FALSE),0)</f>
        <v>0</v>
      </c>
      <c r="AI2263" s="9">
        <f>IFERROR(VLOOKUP($A2263,pivot!$A:$I,計算式2026!AI$1,FALSE),0)</f>
        <v>0</v>
      </c>
      <c r="AJ2263" s="9">
        <f>IFERROR(VLOOKUP($A2263,pivot!$A:$I,計算式2026!AJ$1,FALSE),0)</f>
        <v>0</v>
      </c>
      <c r="AK2263" s="9">
        <f>IFERROR(VLOOKUP($A2263,pivot!$A:$I,計算式2026!AK$1,FALSE),0)</f>
        <v>0</v>
      </c>
      <c r="AL2263" s="9">
        <f>IFERROR(VLOOKUP($A2263,pivot!$A:$I,計算式2026!AL$1,FALSE),0)</f>
        <v>0</v>
      </c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</row>
    <row r="2264" spans="1:59" s="9" customFormat="1">
      <c r="A2264" s="8" t="s">
        <v>1374</v>
      </c>
      <c r="B2264" s="8" t="s">
        <v>1375</v>
      </c>
      <c r="C2264" s="9">
        <v>0</v>
      </c>
      <c r="D2264" s="9">
        <v>0</v>
      </c>
      <c r="E2264" s="9">
        <v>0</v>
      </c>
      <c r="F2264" s="9">
        <v>0</v>
      </c>
      <c r="G2264" s="9">
        <v>0</v>
      </c>
      <c r="H2264" s="9">
        <v>0</v>
      </c>
      <c r="I2264" s="9">
        <v>0</v>
      </c>
      <c r="J2264" s="9">
        <v>0</v>
      </c>
      <c r="K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1</v>
      </c>
      <c r="AE2264" s="9">
        <f>IFERROR(VLOOKUP($A2264,pivot!$A:$G,計算式2026!AE$1,FALSE),0)</f>
        <v>0</v>
      </c>
      <c r="AF2264" s="9">
        <f>IFERROR(VLOOKUP($A2264,pivot!$A:$I,計算式2026!AF$1,FALSE),0)</f>
        <v>0</v>
      </c>
      <c r="AI2264" s="9">
        <f>IFERROR(VLOOKUP($A2264,pivot!$A:$I,計算式2026!AI$1,FALSE),0)</f>
        <v>0</v>
      </c>
      <c r="AJ2264" s="9">
        <f>IFERROR(VLOOKUP($A2264,pivot!$A:$I,計算式2026!AJ$1,FALSE),0)</f>
        <v>0</v>
      </c>
      <c r="AK2264" s="9">
        <f>IFERROR(VLOOKUP($A2264,pivot!$A:$I,計算式2026!AK$1,FALSE),0)</f>
        <v>0</v>
      </c>
      <c r="AL2264" s="9">
        <f>IFERROR(VLOOKUP($A2264,pivot!$A:$I,計算式2026!AL$1,FALSE),0)</f>
        <v>0</v>
      </c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</row>
    <row r="2265" spans="1:59" s="9" customFormat="1">
      <c r="A2265" s="8" t="s">
        <v>1376</v>
      </c>
      <c r="B2265" s="8" t="s">
        <v>1375</v>
      </c>
      <c r="C2265" s="9">
        <v>0</v>
      </c>
      <c r="D2265" s="9">
        <v>0</v>
      </c>
      <c r="E2265" s="9">
        <v>0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1</v>
      </c>
      <c r="AE2265" s="9">
        <f>IFERROR(VLOOKUP($A2265,pivot!$A:$G,計算式2026!AE$1,FALSE),0)</f>
        <v>0</v>
      </c>
      <c r="AF2265" s="9">
        <f>IFERROR(VLOOKUP($A2265,pivot!$A:$I,計算式2026!AF$1,FALSE),0)</f>
        <v>0</v>
      </c>
      <c r="AI2265" s="9">
        <f>IFERROR(VLOOKUP($A2265,pivot!$A:$I,計算式2026!AI$1,FALSE),0)</f>
        <v>0</v>
      </c>
      <c r="AJ2265" s="9">
        <f>IFERROR(VLOOKUP($A2265,pivot!$A:$I,計算式2026!AJ$1,FALSE),0)</f>
        <v>0</v>
      </c>
      <c r="AK2265" s="9">
        <f>IFERROR(VLOOKUP($A2265,pivot!$A:$I,計算式2026!AK$1,FALSE),0)</f>
        <v>0</v>
      </c>
      <c r="AL2265" s="9">
        <f>IFERROR(VLOOKUP($A2265,pivot!$A:$I,計算式2026!AL$1,FALSE),0)</f>
        <v>0</v>
      </c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</row>
    <row r="2266" spans="1:59" s="9" customFormat="1">
      <c r="A2266" s="8" t="s">
        <v>1377</v>
      </c>
      <c r="B2266" s="8" t="s">
        <v>1375</v>
      </c>
      <c r="C2266" s="9">
        <v>0</v>
      </c>
      <c r="D2266" s="9">
        <v>0</v>
      </c>
      <c r="E2266" s="9">
        <v>0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1</v>
      </c>
      <c r="AE2266" s="9">
        <f>IFERROR(VLOOKUP($A2266,pivot!$A:$G,計算式2026!AE$1,FALSE),0)</f>
        <v>0</v>
      </c>
      <c r="AF2266" s="9">
        <f>IFERROR(VLOOKUP($A2266,pivot!$A:$I,計算式2026!AF$1,FALSE),0)</f>
        <v>0</v>
      </c>
      <c r="AI2266" s="9">
        <f>IFERROR(VLOOKUP($A2266,pivot!$A:$I,計算式2026!AI$1,FALSE),0)</f>
        <v>0</v>
      </c>
      <c r="AJ2266" s="9">
        <f>IFERROR(VLOOKUP($A2266,pivot!$A:$I,計算式2026!AJ$1,FALSE),0)</f>
        <v>0</v>
      </c>
      <c r="AK2266" s="9">
        <f>IFERROR(VLOOKUP($A2266,pivot!$A:$I,計算式2026!AK$1,FALSE),0)</f>
        <v>0</v>
      </c>
      <c r="AL2266" s="9">
        <f>IFERROR(VLOOKUP($A2266,pivot!$A:$I,計算式2026!AL$1,FALSE),0)</f>
        <v>0</v>
      </c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8"/>
      <c r="BF2266" s="8"/>
      <c r="BG2266" s="8"/>
    </row>
    <row r="2267" spans="1:59" s="9" customFormat="1">
      <c r="A2267" s="8" t="s">
        <v>2484</v>
      </c>
      <c r="B2267" s="8" t="s">
        <v>1269</v>
      </c>
      <c r="C2267" s="9">
        <v>0</v>
      </c>
      <c r="D2267" s="9">
        <v>0</v>
      </c>
      <c r="E2267" s="9">
        <v>0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R2267" s="9">
        <v>0</v>
      </c>
      <c r="S2267" s="9">
        <v>1</v>
      </c>
      <c r="T2267" s="9">
        <v>0</v>
      </c>
      <c r="U2267" s="9">
        <v>0</v>
      </c>
      <c r="V2267" s="9">
        <v>1</v>
      </c>
      <c r="W2267" s="9">
        <v>0</v>
      </c>
      <c r="X2267" s="9">
        <v>1</v>
      </c>
      <c r="AE2267" s="9">
        <f>IFERROR(VLOOKUP($A2267,pivot!$A:$G,計算式2026!AE$1,FALSE),0)</f>
        <v>0</v>
      </c>
      <c r="AF2267" s="9">
        <f>IFERROR(VLOOKUP($A2267,pivot!$A:$I,計算式2026!AF$1,FALSE),0)</f>
        <v>0</v>
      </c>
      <c r="AI2267" s="9">
        <f>IFERROR(VLOOKUP($A2267,pivot!$A:$I,計算式2026!AI$1,FALSE),0)</f>
        <v>0</v>
      </c>
      <c r="AJ2267" s="9">
        <f>IFERROR(VLOOKUP($A2267,pivot!$A:$I,計算式2026!AJ$1,FALSE),0)</f>
        <v>0</v>
      </c>
      <c r="AK2267" s="9">
        <f>IFERROR(VLOOKUP($A2267,pivot!$A:$I,計算式2026!AK$1,FALSE),0)</f>
        <v>0</v>
      </c>
      <c r="AL2267" s="9">
        <f>IFERROR(VLOOKUP($A2267,pivot!$A:$I,計算式2026!AL$1,FALSE),0)</f>
        <v>0</v>
      </c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</row>
    <row r="2268" spans="1:59" s="9" customFormat="1">
      <c r="A2268" s="8" t="s">
        <v>2485</v>
      </c>
      <c r="B2268" s="8" t="s">
        <v>1269</v>
      </c>
      <c r="C2268" s="9">
        <v>0</v>
      </c>
      <c r="D2268" s="9">
        <v>0</v>
      </c>
      <c r="E2268" s="9">
        <v>0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  <c r="K2268" s="9">
        <v>0</v>
      </c>
      <c r="R2268" s="9">
        <v>0</v>
      </c>
      <c r="S2268" s="9">
        <v>2</v>
      </c>
      <c r="T2268" s="9">
        <v>0</v>
      </c>
      <c r="U2268" s="9">
        <v>0</v>
      </c>
      <c r="V2268" s="9">
        <v>0</v>
      </c>
      <c r="W2268" s="9">
        <v>0</v>
      </c>
      <c r="X2268" s="9">
        <v>1</v>
      </c>
      <c r="AE2268" s="9">
        <f>IFERROR(VLOOKUP($A2268,pivot!$A:$G,計算式2026!AE$1,FALSE),0)</f>
        <v>0</v>
      </c>
      <c r="AF2268" s="9">
        <f>IFERROR(VLOOKUP($A2268,pivot!$A:$I,計算式2026!AF$1,FALSE),0)</f>
        <v>0</v>
      </c>
      <c r="AI2268" s="9">
        <f>IFERROR(VLOOKUP($A2268,pivot!$A:$I,計算式2026!AI$1,FALSE),0)</f>
        <v>0</v>
      </c>
      <c r="AJ2268" s="9">
        <f>IFERROR(VLOOKUP($A2268,pivot!$A:$I,計算式2026!AJ$1,FALSE),0)</f>
        <v>0</v>
      </c>
      <c r="AK2268" s="9">
        <f>IFERROR(VLOOKUP($A2268,pivot!$A:$I,計算式2026!AK$1,FALSE),0)</f>
        <v>0</v>
      </c>
      <c r="AL2268" s="9">
        <f>IFERROR(VLOOKUP($A2268,pivot!$A:$I,計算式2026!AL$1,FALSE),0)</f>
        <v>0</v>
      </c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</row>
    <row r="2269" spans="1:59" s="9" customFormat="1">
      <c r="A2269" s="8" t="s">
        <v>1378</v>
      </c>
      <c r="B2269" s="8" t="s">
        <v>1269</v>
      </c>
      <c r="C2269" s="9">
        <v>0</v>
      </c>
      <c r="D2269" s="9">
        <v>0</v>
      </c>
      <c r="E2269" s="9">
        <v>0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  <c r="K2269" s="9">
        <v>0</v>
      </c>
      <c r="R2269" s="9">
        <v>1</v>
      </c>
      <c r="S2269" s="9">
        <v>2</v>
      </c>
      <c r="T2269" s="9">
        <v>0</v>
      </c>
      <c r="U2269" s="9">
        <v>1</v>
      </c>
      <c r="V2269" s="9">
        <v>1</v>
      </c>
      <c r="W2269" s="9">
        <v>0</v>
      </c>
      <c r="X2269" s="9">
        <v>1</v>
      </c>
      <c r="AE2269" s="9">
        <f>IFERROR(VLOOKUP($A2269,pivot!$A:$G,計算式2026!AE$1,FALSE),0)</f>
        <v>0</v>
      </c>
      <c r="AF2269" s="9">
        <f>IFERROR(VLOOKUP($A2269,pivot!$A:$I,計算式2026!AF$1,FALSE),0)</f>
        <v>0</v>
      </c>
      <c r="AI2269" s="9">
        <f>IFERROR(VLOOKUP($A2269,pivot!$A:$I,計算式2026!AI$1,FALSE),0)</f>
        <v>0</v>
      </c>
      <c r="AJ2269" s="9">
        <f>IFERROR(VLOOKUP($A2269,pivot!$A:$I,計算式2026!AJ$1,FALSE),0)</f>
        <v>0</v>
      </c>
      <c r="AK2269" s="9">
        <f>IFERROR(VLOOKUP($A2269,pivot!$A:$I,計算式2026!AK$1,FALSE),0)</f>
        <v>0</v>
      </c>
      <c r="AL2269" s="9">
        <f>IFERROR(VLOOKUP($A2269,pivot!$A:$I,計算式2026!AL$1,FALSE),0)</f>
        <v>0</v>
      </c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</row>
    <row r="2270" spans="1:59" s="9" customFormat="1">
      <c r="A2270" s="8" t="s">
        <v>1379</v>
      </c>
      <c r="B2270" s="8" t="s">
        <v>1269</v>
      </c>
      <c r="C2270" s="9">
        <v>0</v>
      </c>
      <c r="D2270" s="9">
        <v>0</v>
      </c>
      <c r="E2270" s="9">
        <v>0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R2270" s="9">
        <v>1</v>
      </c>
      <c r="S2270" s="9">
        <v>1</v>
      </c>
      <c r="T2270" s="9">
        <v>2</v>
      </c>
      <c r="U2270" s="9">
        <v>1</v>
      </c>
      <c r="V2270" s="9">
        <v>2</v>
      </c>
      <c r="W2270" s="9">
        <v>0</v>
      </c>
      <c r="X2270" s="9">
        <v>1</v>
      </c>
      <c r="AE2270" s="9">
        <f>IFERROR(VLOOKUP($A2270,pivot!$A:$G,計算式2026!AE$1,FALSE),0)</f>
        <v>0</v>
      </c>
      <c r="AF2270" s="9">
        <f>IFERROR(VLOOKUP($A2270,pivot!$A:$I,計算式2026!AF$1,FALSE),0)</f>
        <v>0</v>
      </c>
      <c r="AI2270" s="9">
        <f>IFERROR(VLOOKUP($A2270,pivot!$A:$I,計算式2026!AI$1,FALSE),0)</f>
        <v>0</v>
      </c>
      <c r="AJ2270" s="9">
        <f>IFERROR(VLOOKUP($A2270,pivot!$A:$I,計算式2026!AJ$1,FALSE),0)</f>
        <v>0</v>
      </c>
      <c r="AK2270" s="9">
        <f>IFERROR(VLOOKUP($A2270,pivot!$A:$I,計算式2026!AK$1,FALSE),0)</f>
        <v>0</v>
      </c>
      <c r="AL2270" s="9">
        <f>IFERROR(VLOOKUP($A2270,pivot!$A:$I,計算式2026!AL$1,FALSE),0)</f>
        <v>0</v>
      </c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</row>
    <row r="2271" spans="1:59" s="9" customFormat="1">
      <c r="A2271" s="8" t="s">
        <v>1380</v>
      </c>
      <c r="B2271" s="8" t="s">
        <v>1269</v>
      </c>
      <c r="C2271" s="9">
        <v>0</v>
      </c>
      <c r="D2271" s="9">
        <v>0</v>
      </c>
      <c r="E2271" s="9">
        <v>0</v>
      </c>
      <c r="F2271" s="9">
        <v>0</v>
      </c>
      <c r="G2271" s="9">
        <v>0</v>
      </c>
      <c r="H2271" s="9">
        <v>0</v>
      </c>
      <c r="I2271" s="9">
        <v>0</v>
      </c>
      <c r="J2271" s="9">
        <v>0</v>
      </c>
      <c r="K2271" s="9">
        <v>0</v>
      </c>
      <c r="R2271" s="9">
        <v>1</v>
      </c>
      <c r="S2271" s="9">
        <v>0</v>
      </c>
      <c r="T2271" s="9">
        <v>1</v>
      </c>
      <c r="U2271" s="9">
        <v>1</v>
      </c>
      <c r="V2271" s="9">
        <v>0</v>
      </c>
      <c r="W2271" s="9">
        <v>0</v>
      </c>
      <c r="X2271" s="9">
        <v>1</v>
      </c>
      <c r="AE2271" s="9">
        <f>IFERROR(VLOOKUP($A2271,pivot!$A:$G,計算式2026!AE$1,FALSE),0)</f>
        <v>0</v>
      </c>
      <c r="AF2271" s="9">
        <f>IFERROR(VLOOKUP($A2271,pivot!$A:$I,計算式2026!AF$1,FALSE),0)</f>
        <v>0</v>
      </c>
      <c r="AI2271" s="9">
        <f>IFERROR(VLOOKUP($A2271,pivot!$A:$I,計算式2026!AI$1,FALSE),0)</f>
        <v>0</v>
      </c>
      <c r="AJ2271" s="9">
        <f>IFERROR(VLOOKUP($A2271,pivot!$A:$I,計算式2026!AJ$1,FALSE),0)</f>
        <v>0</v>
      </c>
      <c r="AK2271" s="9">
        <f>IFERROR(VLOOKUP($A2271,pivot!$A:$I,計算式2026!AK$1,FALSE),0)</f>
        <v>0</v>
      </c>
      <c r="AL2271" s="9">
        <f>IFERROR(VLOOKUP($A2271,pivot!$A:$I,計算式2026!AL$1,FALSE),0)</f>
        <v>0</v>
      </c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</row>
    <row r="2272" spans="1:59" s="9" customFormat="1">
      <c r="A2272" s="8" t="s">
        <v>1381</v>
      </c>
      <c r="B2272" s="8" t="s">
        <v>1269</v>
      </c>
      <c r="C2272" s="9">
        <v>0</v>
      </c>
      <c r="D2272" s="9">
        <v>0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R2272" s="9">
        <v>1</v>
      </c>
      <c r="S2272" s="9">
        <v>2</v>
      </c>
      <c r="T2272" s="9">
        <v>0</v>
      </c>
      <c r="U2272" s="9">
        <v>1</v>
      </c>
      <c r="V2272" s="9">
        <v>2</v>
      </c>
      <c r="W2272" s="9">
        <v>0</v>
      </c>
      <c r="X2272" s="9">
        <v>1</v>
      </c>
      <c r="AE2272" s="9">
        <f>IFERROR(VLOOKUP($A2272,pivot!$A:$G,計算式2026!AE$1,FALSE),0)</f>
        <v>0</v>
      </c>
      <c r="AF2272" s="9">
        <f>IFERROR(VLOOKUP($A2272,pivot!$A:$I,計算式2026!AF$1,FALSE),0)</f>
        <v>0</v>
      </c>
      <c r="AI2272" s="9">
        <f>IFERROR(VLOOKUP($A2272,pivot!$A:$I,計算式2026!AI$1,FALSE),0)</f>
        <v>0</v>
      </c>
      <c r="AJ2272" s="9">
        <f>IFERROR(VLOOKUP($A2272,pivot!$A:$I,計算式2026!AJ$1,FALSE),0)</f>
        <v>0</v>
      </c>
      <c r="AK2272" s="9">
        <f>IFERROR(VLOOKUP($A2272,pivot!$A:$I,計算式2026!AK$1,FALSE),0)</f>
        <v>0</v>
      </c>
      <c r="AL2272" s="9">
        <f>IFERROR(VLOOKUP($A2272,pivot!$A:$I,計算式2026!AL$1,FALSE),0)</f>
        <v>0</v>
      </c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</row>
    <row r="2273" spans="1:59" s="9" customFormat="1">
      <c r="A2273" s="8" t="s">
        <v>1382</v>
      </c>
      <c r="B2273" s="8" t="s">
        <v>1269</v>
      </c>
      <c r="C2273" s="9">
        <v>0</v>
      </c>
      <c r="D2273" s="9">
        <v>0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9">
        <v>0</v>
      </c>
      <c r="R2273" s="9">
        <v>2</v>
      </c>
      <c r="S2273" s="9">
        <v>2</v>
      </c>
      <c r="T2273" s="9">
        <v>1</v>
      </c>
      <c r="U2273" s="9">
        <v>1</v>
      </c>
      <c r="V2273" s="9">
        <v>3</v>
      </c>
      <c r="W2273" s="9">
        <v>0</v>
      </c>
      <c r="X2273" s="9">
        <v>1</v>
      </c>
      <c r="AE2273" s="9">
        <f>IFERROR(VLOOKUP($A2273,pivot!$A:$G,計算式2026!AE$1,FALSE),0)</f>
        <v>0</v>
      </c>
      <c r="AF2273" s="9">
        <f>IFERROR(VLOOKUP($A2273,pivot!$A:$I,計算式2026!AF$1,FALSE),0)</f>
        <v>0</v>
      </c>
      <c r="AI2273" s="9">
        <f>IFERROR(VLOOKUP($A2273,pivot!$A:$I,計算式2026!AI$1,FALSE),0)</f>
        <v>0</v>
      </c>
      <c r="AJ2273" s="9">
        <f>IFERROR(VLOOKUP($A2273,pivot!$A:$I,計算式2026!AJ$1,FALSE),0)</f>
        <v>0</v>
      </c>
      <c r="AK2273" s="9">
        <f>IFERROR(VLOOKUP($A2273,pivot!$A:$I,計算式2026!AK$1,FALSE),0)</f>
        <v>0</v>
      </c>
      <c r="AL2273" s="9">
        <f>IFERROR(VLOOKUP($A2273,pivot!$A:$I,計算式2026!AL$1,FALSE),0)</f>
        <v>0</v>
      </c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</row>
    <row r="2274" spans="1:59" s="9" customFormat="1">
      <c r="A2274" s="8" t="s">
        <v>1383</v>
      </c>
      <c r="B2274" s="8" t="s">
        <v>1269</v>
      </c>
      <c r="C2274" s="9">
        <v>0</v>
      </c>
      <c r="D2274" s="9">
        <v>0</v>
      </c>
      <c r="E2274" s="9">
        <v>0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  <c r="K2274" s="9">
        <v>0</v>
      </c>
      <c r="R2274" s="9">
        <v>1</v>
      </c>
      <c r="S2274" s="9">
        <v>1</v>
      </c>
      <c r="T2274" s="9">
        <v>2</v>
      </c>
      <c r="U2274" s="9">
        <v>1</v>
      </c>
      <c r="V2274" s="9">
        <v>0</v>
      </c>
      <c r="W2274" s="9">
        <v>0</v>
      </c>
      <c r="X2274" s="9">
        <v>1</v>
      </c>
      <c r="AE2274" s="9">
        <f>IFERROR(VLOOKUP($A2274,pivot!$A:$G,計算式2026!AE$1,FALSE),0)</f>
        <v>0</v>
      </c>
      <c r="AF2274" s="9">
        <f>IFERROR(VLOOKUP($A2274,pivot!$A:$I,計算式2026!AF$1,FALSE),0)</f>
        <v>0</v>
      </c>
      <c r="AI2274" s="9">
        <f>IFERROR(VLOOKUP($A2274,pivot!$A:$I,計算式2026!AI$1,FALSE),0)</f>
        <v>0</v>
      </c>
      <c r="AJ2274" s="9">
        <f>IFERROR(VLOOKUP($A2274,pivot!$A:$I,計算式2026!AJ$1,FALSE),0)</f>
        <v>0</v>
      </c>
      <c r="AK2274" s="9">
        <f>IFERROR(VLOOKUP($A2274,pivot!$A:$I,計算式2026!AK$1,FALSE),0)</f>
        <v>0</v>
      </c>
      <c r="AL2274" s="9">
        <f>IFERROR(VLOOKUP($A2274,pivot!$A:$I,計算式2026!AL$1,FALSE),0)</f>
        <v>0</v>
      </c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</row>
    <row r="2275" spans="1:59" s="9" customFormat="1">
      <c r="A2275" s="8" t="s">
        <v>1385</v>
      </c>
      <c r="B2275" s="8" t="s">
        <v>1384</v>
      </c>
      <c r="C2275" s="9">
        <v>0</v>
      </c>
      <c r="D2275" s="9">
        <v>0</v>
      </c>
      <c r="E2275" s="9">
        <v>0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1</v>
      </c>
      <c r="AE2275" s="9">
        <f>IFERROR(VLOOKUP($A2275,pivot!$A:$G,計算式2026!AE$1,FALSE),0)</f>
        <v>0</v>
      </c>
      <c r="AF2275" s="9">
        <f>IFERROR(VLOOKUP($A2275,pivot!$A:$I,計算式2026!AF$1,FALSE),0)</f>
        <v>0</v>
      </c>
      <c r="AI2275" s="9">
        <f>IFERROR(VLOOKUP($A2275,pivot!$A:$I,計算式2026!AI$1,FALSE),0)</f>
        <v>0</v>
      </c>
      <c r="AJ2275" s="9">
        <f>IFERROR(VLOOKUP($A2275,pivot!$A:$I,計算式2026!AJ$1,FALSE),0)</f>
        <v>0</v>
      </c>
      <c r="AK2275" s="9">
        <f>IFERROR(VLOOKUP($A2275,pivot!$A:$I,計算式2026!AK$1,FALSE),0)</f>
        <v>0</v>
      </c>
      <c r="AL2275" s="9">
        <f>IFERROR(VLOOKUP($A2275,pivot!$A:$I,計算式2026!AL$1,FALSE),0)</f>
        <v>0</v>
      </c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</row>
    <row r="2276" spans="1:59" s="9" customFormat="1">
      <c r="A2276" s="8" t="s">
        <v>1386</v>
      </c>
      <c r="B2276" s="8" t="s">
        <v>1384</v>
      </c>
      <c r="C2276" s="9">
        <v>8</v>
      </c>
      <c r="D2276" s="9">
        <v>0</v>
      </c>
      <c r="E2276" s="9">
        <v>0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1</v>
      </c>
      <c r="AE2276" s="9">
        <f>IFERROR(VLOOKUP($A2276,pivot!$A:$G,計算式2026!AE$1,FALSE),0)</f>
        <v>0</v>
      </c>
      <c r="AF2276" s="9">
        <f>IFERROR(VLOOKUP($A2276,pivot!$A:$I,計算式2026!AF$1,FALSE),0)</f>
        <v>0</v>
      </c>
      <c r="AI2276" s="9">
        <f>IFERROR(VLOOKUP($A2276,pivot!$A:$I,計算式2026!AI$1,FALSE),0)</f>
        <v>0</v>
      </c>
      <c r="AJ2276" s="9">
        <f>IFERROR(VLOOKUP($A2276,pivot!$A:$I,計算式2026!AJ$1,FALSE),0)</f>
        <v>0</v>
      </c>
      <c r="AK2276" s="9">
        <f>IFERROR(VLOOKUP($A2276,pivot!$A:$I,計算式2026!AK$1,FALSE),0)</f>
        <v>0</v>
      </c>
      <c r="AL2276" s="9">
        <f>IFERROR(VLOOKUP($A2276,pivot!$A:$I,計算式2026!AL$1,FALSE),0)</f>
        <v>0</v>
      </c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</row>
    <row r="2277" spans="1:59" s="9" customFormat="1">
      <c r="A2277" s="8" t="s">
        <v>1387</v>
      </c>
      <c r="B2277" s="8" t="s">
        <v>1384</v>
      </c>
      <c r="C2277" s="9">
        <v>5</v>
      </c>
      <c r="D2277" s="9">
        <v>0</v>
      </c>
      <c r="E2277" s="9">
        <v>0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1</v>
      </c>
      <c r="AE2277" s="9">
        <f>IFERROR(VLOOKUP($A2277,pivot!$A:$G,計算式2026!AE$1,FALSE),0)</f>
        <v>0</v>
      </c>
      <c r="AF2277" s="9">
        <f>IFERROR(VLOOKUP($A2277,pivot!$A:$I,計算式2026!AF$1,FALSE),0)</f>
        <v>0</v>
      </c>
      <c r="AI2277" s="9">
        <f>IFERROR(VLOOKUP($A2277,pivot!$A:$I,計算式2026!AI$1,FALSE),0)</f>
        <v>0</v>
      </c>
      <c r="AJ2277" s="9">
        <f>IFERROR(VLOOKUP($A2277,pivot!$A:$I,計算式2026!AJ$1,FALSE),0)</f>
        <v>0</v>
      </c>
      <c r="AK2277" s="9">
        <f>IFERROR(VLOOKUP($A2277,pivot!$A:$I,計算式2026!AK$1,FALSE),0)</f>
        <v>0</v>
      </c>
      <c r="AL2277" s="9">
        <f>IFERROR(VLOOKUP($A2277,pivot!$A:$I,計算式2026!AL$1,FALSE),0)</f>
        <v>0</v>
      </c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</row>
    <row r="2278" spans="1:59" s="9" customFormat="1">
      <c r="A2278" s="8" t="s">
        <v>1388</v>
      </c>
      <c r="B2278" s="8" t="s">
        <v>1384</v>
      </c>
      <c r="C2278" s="9">
        <v>2</v>
      </c>
      <c r="D2278" s="9">
        <v>0</v>
      </c>
      <c r="E2278" s="9">
        <v>0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1</v>
      </c>
      <c r="AE2278" s="9">
        <f>IFERROR(VLOOKUP($A2278,pivot!$A:$G,計算式2026!AE$1,FALSE),0)</f>
        <v>0</v>
      </c>
      <c r="AF2278" s="9">
        <f>IFERROR(VLOOKUP($A2278,pivot!$A:$I,計算式2026!AF$1,FALSE),0)</f>
        <v>0</v>
      </c>
      <c r="AI2278" s="9">
        <f>IFERROR(VLOOKUP($A2278,pivot!$A:$I,計算式2026!AI$1,FALSE),0)</f>
        <v>0</v>
      </c>
      <c r="AJ2278" s="9">
        <f>IFERROR(VLOOKUP($A2278,pivot!$A:$I,計算式2026!AJ$1,FALSE),0)</f>
        <v>0</v>
      </c>
      <c r="AK2278" s="9">
        <f>IFERROR(VLOOKUP($A2278,pivot!$A:$I,計算式2026!AK$1,FALSE),0)</f>
        <v>0</v>
      </c>
      <c r="AL2278" s="9">
        <f>IFERROR(VLOOKUP($A2278,pivot!$A:$I,計算式2026!AL$1,FALSE),0)</f>
        <v>0</v>
      </c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</row>
    <row r="2279" spans="1:59" s="9" customFormat="1">
      <c r="A2279" s="8" t="s">
        <v>1389</v>
      </c>
      <c r="B2279" s="8" t="s">
        <v>1384</v>
      </c>
      <c r="C2279" s="9">
        <v>6</v>
      </c>
      <c r="D2279" s="9">
        <v>0</v>
      </c>
      <c r="E2279" s="9">
        <v>0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9">
        <v>0</v>
      </c>
      <c r="R2279" s="9">
        <v>0</v>
      </c>
      <c r="S2279" s="9">
        <v>0</v>
      </c>
      <c r="T2279" s="9">
        <v>1</v>
      </c>
      <c r="U2279" s="9">
        <v>0</v>
      </c>
      <c r="V2279" s="9">
        <v>0</v>
      </c>
      <c r="W2279" s="9">
        <v>0</v>
      </c>
      <c r="X2279" s="9">
        <v>1</v>
      </c>
      <c r="AE2279" s="9">
        <f>IFERROR(VLOOKUP($A2279,pivot!$A:$G,計算式2026!AE$1,FALSE),0)</f>
        <v>0</v>
      </c>
      <c r="AF2279" s="9">
        <f>IFERROR(VLOOKUP($A2279,pivot!$A:$I,計算式2026!AF$1,FALSE),0)</f>
        <v>0</v>
      </c>
      <c r="AI2279" s="9">
        <f>IFERROR(VLOOKUP($A2279,pivot!$A:$I,計算式2026!AI$1,FALSE),0)</f>
        <v>0</v>
      </c>
      <c r="AJ2279" s="9">
        <f>IFERROR(VLOOKUP($A2279,pivot!$A:$I,計算式2026!AJ$1,FALSE),0)</f>
        <v>0</v>
      </c>
      <c r="AK2279" s="9">
        <f>IFERROR(VLOOKUP($A2279,pivot!$A:$I,計算式2026!AK$1,FALSE),0)</f>
        <v>0</v>
      </c>
      <c r="AL2279" s="9">
        <f>IFERROR(VLOOKUP($A2279,pivot!$A:$I,計算式2026!AL$1,FALSE),0)</f>
        <v>0</v>
      </c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</row>
    <row r="2280" spans="1:59" s="9" customFormat="1">
      <c r="A2280" s="8" t="s">
        <v>1390</v>
      </c>
      <c r="B2280" s="8" t="s">
        <v>1384</v>
      </c>
      <c r="C2280" s="9">
        <v>1</v>
      </c>
      <c r="D2280" s="9">
        <v>0</v>
      </c>
      <c r="E2280" s="9">
        <v>0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  <c r="K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AE2280" s="9">
        <f>IFERROR(VLOOKUP($A2280,pivot!$A:$G,計算式2026!AE$1,FALSE),0)</f>
        <v>0</v>
      </c>
      <c r="AF2280" s="9">
        <f>IFERROR(VLOOKUP($A2280,pivot!$A:$I,計算式2026!AF$1,FALSE),0)</f>
        <v>0</v>
      </c>
      <c r="AI2280" s="9">
        <f>IFERROR(VLOOKUP($A2280,pivot!$A:$I,計算式2026!AI$1,FALSE),0)</f>
        <v>0</v>
      </c>
      <c r="AJ2280" s="9">
        <f>IFERROR(VLOOKUP($A2280,pivot!$A:$I,計算式2026!AJ$1,FALSE),0)</f>
        <v>0</v>
      </c>
      <c r="AK2280" s="9">
        <f>IFERROR(VLOOKUP($A2280,pivot!$A:$I,計算式2026!AK$1,FALSE),0)</f>
        <v>0</v>
      </c>
      <c r="AL2280" s="9">
        <f>IFERROR(VLOOKUP($A2280,pivot!$A:$I,計算式2026!AL$1,FALSE),0)</f>
        <v>0</v>
      </c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</row>
    <row r="2281" spans="1:59" s="9" customFormat="1">
      <c r="A2281" s="8" t="s">
        <v>1391</v>
      </c>
      <c r="B2281" s="8" t="s">
        <v>1392</v>
      </c>
      <c r="C2281" s="9">
        <v>1</v>
      </c>
      <c r="D2281" s="9">
        <v>0</v>
      </c>
      <c r="E2281" s="9">
        <v>0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0</v>
      </c>
      <c r="R2281" s="9">
        <v>0</v>
      </c>
      <c r="S2281" s="9">
        <v>0</v>
      </c>
      <c r="T2281" s="9">
        <v>1</v>
      </c>
      <c r="U2281" s="9">
        <v>0</v>
      </c>
      <c r="V2281" s="9">
        <v>0</v>
      </c>
      <c r="W2281" s="9">
        <v>0</v>
      </c>
      <c r="X2281" s="9">
        <v>1</v>
      </c>
      <c r="AE2281" s="9">
        <f>IFERROR(VLOOKUP($A2281,pivot!$A:$G,計算式2026!AE$1,FALSE),0)</f>
        <v>0</v>
      </c>
      <c r="AF2281" s="9">
        <f>IFERROR(VLOOKUP($A2281,pivot!$A:$I,計算式2026!AF$1,FALSE),0)</f>
        <v>0</v>
      </c>
      <c r="AI2281" s="9">
        <f>IFERROR(VLOOKUP($A2281,pivot!$A:$I,計算式2026!AI$1,FALSE),0)</f>
        <v>0</v>
      </c>
      <c r="AJ2281" s="9">
        <f>IFERROR(VLOOKUP($A2281,pivot!$A:$I,計算式2026!AJ$1,FALSE),0)</f>
        <v>0</v>
      </c>
      <c r="AK2281" s="9">
        <f>IFERROR(VLOOKUP($A2281,pivot!$A:$I,計算式2026!AK$1,FALSE),0)</f>
        <v>0</v>
      </c>
      <c r="AL2281" s="9">
        <f>IFERROR(VLOOKUP($A2281,pivot!$A:$I,計算式2026!AL$1,FALSE),0)</f>
        <v>0</v>
      </c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</row>
    <row r="2282" spans="1:59" s="9" customFormat="1">
      <c r="A2282" s="8" t="s">
        <v>1393</v>
      </c>
      <c r="B2282" s="8" t="s">
        <v>1392</v>
      </c>
      <c r="C2282" s="9">
        <v>1</v>
      </c>
      <c r="D2282" s="9">
        <v>0</v>
      </c>
      <c r="E2282" s="9">
        <v>0</v>
      </c>
      <c r="F2282" s="9">
        <v>0</v>
      </c>
      <c r="G2282" s="9">
        <v>0</v>
      </c>
      <c r="H2282" s="9">
        <v>0</v>
      </c>
      <c r="I2282" s="9">
        <v>0</v>
      </c>
      <c r="J2282" s="9">
        <v>0</v>
      </c>
      <c r="K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1</v>
      </c>
      <c r="AE2282" s="9">
        <f>IFERROR(VLOOKUP($A2282,pivot!$A:$G,計算式2026!AE$1,FALSE),0)</f>
        <v>0</v>
      </c>
      <c r="AF2282" s="9">
        <f>IFERROR(VLOOKUP($A2282,pivot!$A:$I,計算式2026!AF$1,FALSE),0)</f>
        <v>0</v>
      </c>
      <c r="AI2282" s="9">
        <f>IFERROR(VLOOKUP($A2282,pivot!$A:$I,計算式2026!AI$1,FALSE),0)</f>
        <v>0</v>
      </c>
      <c r="AJ2282" s="9">
        <f>IFERROR(VLOOKUP($A2282,pivot!$A:$I,計算式2026!AJ$1,FALSE),0)</f>
        <v>0</v>
      </c>
      <c r="AK2282" s="9">
        <f>IFERROR(VLOOKUP($A2282,pivot!$A:$I,計算式2026!AK$1,FALSE),0)</f>
        <v>0</v>
      </c>
      <c r="AL2282" s="9">
        <f>IFERROR(VLOOKUP($A2282,pivot!$A:$I,計算式2026!AL$1,FALSE),0)</f>
        <v>0</v>
      </c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</row>
    <row r="2283" spans="1:59" s="9" customFormat="1">
      <c r="A2283" s="8" t="s">
        <v>1394</v>
      </c>
      <c r="B2283" s="8" t="s">
        <v>1392</v>
      </c>
      <c r="C2283" s="9">
        <v>5</v>
      </c>
      <c r="D2283" s="9">
        <v>0</v>
      </c>
      <c r="E2283" s="9">
        <v>0</v>
      </c>
      <c r="F2283" s="9">
        <v>0</v>
      </c>
      <c r="G2283" s="9">
        <v>0</v>
      </c>
      <c r="H2283" s="9">
        <v>0</v>
      </c>
      <c r="I2283" s="9">
        <v>0</v>
      </c>
      <c r="J2283" s="9">
        <v>0</v>
      </c>
      <c r="K2283" s="9">
        <v>0</v>
      </c>
      <c r="R2283" s="9">
        <v>0</v>
      </c>
      <c r="S2283" s="9">
        <v>0</v>
      </c>
      <c r="T2283" s="9">
        <v>1</v>
      </c>
      <c r="U2283" s="9">
        <v>0</v>
      </c>
      <c r="V2283" s="9">
        <v>0</v>
      </c>
      <c r="W2283" s="9">
        <v>0</v>
      </c>
      <c r="X2283" s="9">
        <v>2</v>
      </c>
      <c r="AE2283" s="9">
        <f>IFERROR(VLOOKUP($A2283,pivot!$A:$G,計算式2026!AE$1,FALSE),0)</f>
        <v>0</v>
      </c>
      <c r="AF2283" s="9">
        <f>IFERROR(VLOOKUP($A2283,pivot!$A:$I,計算式2026!AF$1,FALSE),0)</f>
        <v>0</v>
      </c>
      <c r="AI2283" s="9">
        <f>IFERROR(VLOOKUP($A2283,pivot!$A:$I,計算式2026!AI$1,FALSE),0)</f>
        <v>0</v>
      </c>
      <c r="AJ2283" s="9">
        <f>IFERROR(VLOOKUP($A2283,pivot!$A:$I,計算式2026!AJ$1,FALSE),0)</f>
        <v>0</v>
      </c>
      <c r="AK2283" s="9">
        <f>IFERROR(VLOOKUP($A2283,pivot!$A:$I,計算式2026!AK$1,FALSE),0)</f>
        <v>0</v>
      </c>
      <c r="AL2283" s="9">
        <f>IFERROR(VLOOKUP($A2283,pivot!$A:$I,計算式2026!AL$1,FALSE),0)</f>
        <v>0</v>
      </c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</row>
    <row r="2284" spans="1:59" s="9" customFormat="1">
      <c r="A2284" s="8" t="s">
        <v>1395</v>
      </c>
      <c r="B2284" s="8" t="s">
        <v>1392</v>
      </c>
      <c r="C2284" s="9">
        <v>4</v>
      </c>
      <c r="D2284" s="9">
        <v>0</v>
      </c>
      <c r="E2284" s="9">
        <v>0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R2284" s="9">
        <v>0</v>
      </c>
      <c r="S2284" s="9">
        <v>0</v>
      </c>
      <c r="T2284" s="9">
        <v>1</v>
      </c>
      <c r="U2284" s="9">
        <v>0</v>
      </c>
      <c r="V2284" s="9">
        <v>0</v>
      </c>
      <c r="W2284" s="9">
        <v>0</v>
      </c>
      <c r="X2284" s="9">
        <v>2</v>
      </c>
      <c r="AE2284" s="9">
        <f>IFERROR(VLOOKUP($A2284,pivot!$A:$G,計算式2026!AE$1,FALSE),0)</f>
        <v>0</v>
      </c>
      <c r="AF2284" s="9">
        <f>IFERROR(VLOOKUP($A2284,pivot!$A:$I,計算式2026!AF$1,FALSE),0)</f>
        <v>0</v>
      </c>
      <c r="AI2284" s="9">
        <f>IFERROR(VLOOKUP($A2284,pivot!$A:$I,計算式2026!AI$1,FALSE),0)</f>
        <v>0</v>
      </c>
      <c r="AJ2284" s="9">
        <f>IFERROR(VLOOKUP($A2284,pivot!$A:$I,計算式2026!AJ$1,FALSE),0)</f>
        <v>0</v>
      </c>
      <c r="AK2284" s="9">
        <f>IFERROR(VLOOKUP($A2284,pivot!$A:$I,計算式2026!AK$1,FALSE),0)</f>
        <v>0</v>
      </c>
      <c r="AL2284" s="9">
        <f>IFERROR(VLOOKUP($A2284,pivot!$A:$I,計算式2026!AL$1,FALSE),0)</f>
        <v>0</v>
      </c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</row>
    <row r="2285" spans="1:59" s="9" customFormat="1">
      <c r="A2285" s="8" t="s">
        <v>1396</v>
      </c>
      <c r="B2285" s="8" t="s">
        <v>1392</v>
      </c>
      <c r="C2285" s="9">
        <v>2</v>
      </c>
      <c r="D2285" s="9">
        <v>0</v>
      </c>
      <c r="E2285" s="9">
        <v>0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1</v>
      </c>
      <c r="AE2285" s="9">
        <f>IFERROR(VLOOKUP($A2285,pivot!$A:$G,計算式2026!AE$1,FALSE),0)</f>
        <v>0</v>
      </c>
      <c r="AF2285" s="9">
        <f>IFERROR(VLOOKUP($A2285,pivot!$A:$I,計算式2026!AF$1,FALSE),0)</f>
        <v>0</v>
      </c>
      <c r="AI2285" s="9">
        <f>IFERROR(VLOOKUP($A2285,pivot!$A:$I,計算式2026!AI$1,FALSE),0)</f>
        <v>0</v>
      </c>
      <c r="AJ2285" s="9">
        <f>IFERROR(VLOOKUP($A2285,pivot!$A:$I,計算式2026!AJ$1,FALSE),0)</f>
        <v>0</v>
      </c>
      <c r="AK2285" s="9">
        <f>IFERROR(VLOOKUP($A2285,pivot!$A:$I,計算式2026!AK$1,FALSE),0)</f>
        <v>0</v>
      </c>
      <c r="AL2285" s="9">
        <f>IFERROR(VLOOKUP($A2285,pivot!$A:$I,計算式2026!AL$1,FALSE),0)</f>
        <v>0</v>
      </c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</row>
    <row r="2286" spans="1:59" s="9" customFormat="1">
      <c r="A2286" s="8" t="s">
        <v>2887</v>
      </c>
      <c r="B2286" s="8" t="s">
        <v>2888</v>
      </c>
      <c r="C2286" s="9">
        <v>0</v>
      </c>
      <c r="D2286" s="9">
        <v>0</v>
      </c>
      <c r="E2286" s="9">
        <v>0</v>
      </c>
      <c r="F2286" s="9">
        <v>0</v>
      </c>
      <c r="G2286" s="9">
        <v>0</v>
      </c>
      <c r="H2286" s="9">
        <v>0</v>
      </c>
      <c r="I2286" s="9">
        <v>0</v>
      </c>
      <c r="J2286" s="9">
        <v>0</v>
      </c>
      <c r="K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1</v>
      </c>
      <c r="W2286" s="9">
        <v>0</v>
      </c>
      <c r="X2286" s="9">
        <v>0</v>
      </c>
      <c r="AE2286" s="9">
        <f>IFERROR(VLOOKUP($A2286,pivot!$A:$G,計算式2026!AE$1,FALSE),0)</f>
        <v>0</v>
      </c>
      <c r="AF2286" s="9">
        <f>IFERROR(VLOOKUP($A2286,pivot!$A:$I,計算式2026!AF$1,FALSE),0)</f>
        <v>0</v>
      </c>
      <c r="AI2286" s="9">
        <f>IFERROR(VLOOKUP($A2286,pivot!$A:$I,計算式2026!AI$1,FALSE),0)</f>
        <v>0</v>
      </c>
      <c r="AJ2286" s="9">
        <f>IFERROR(VLOOKUP($A2286,pivot!$A:$I,計算式2026!AJ$1,FALSE),0)</f>
        <v>0</v>
      </c>
      <c r="AK2286" s="9">
        <f>IFERROR(VLOOKUP($A2286,pivot!$A:$I,計算式2026!AK$1,FALSE),0)</f>
        <v>0</v>
      </c>
      <c r="AL2286" s="9">
        <f>IFERROR(VLOOKUP($A2286,pivot!$A:$I,計算式2026!AL$1,FALSE),0)</f>
        <v>0</v>
      </c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</row>
    <row r="2287" spans="1:59" s="9" customFormat="1">
      <c r="A2287" s="8" t="s">
        <v>2889</v>
      </c>
      <c r="B2287" s="8" t="s">
        <v>2888</v>
      </c>
      <c r="C2287" s="9">
        <v>0</v>
      </c>
      <c r="D2287" s="9">
        <v>0</v>
      </c>
      <c r="E2287" s="9">
        <v>0</v>
      </c>
      <c r="F2287" s="9">
        <v>0</v>
      </c>
      <c r="G2287" s="9">
        <v>0</v>
      </c>
      <c r="H2287" s="9">
        <v>0</v>
      </c>
      <c r="I2287" s="9">
        <v>0</v>
      </c>
      <c r="J2287" s="9">
        <v>0</v>
      </c>
      <c r="K2287" s="9">
        <v>0</v>
      </c>
      <c r="R2287" s="9">
        <v>1</v>
      </c>
      <c r="S2287" s="9">
        <v>2</v>
      </c>
      <c r="T2287" s="9">
        <v>1</v>
      </c>
      <c r="U2287" s="9">
        <v>0</v>
      </c>
      <c r="V2287" s="9">
        <v>2</v>
      </c>
      <c r="W2287" s="9">
        <v>0</v>
      </c>
      <c r="X2287" s="9">
        <v>1</v>
      </c>
      <c r="AE2287" s="9">
        <f>IFERROR(VLOOKUP($A2287,pivot!$A:$G,計算式2026!AE$1,FALSE),0)</f>
        <v>0</v>
      </c>
      <c r="AF2287" s="9">
        <f>IFERROR(VLOOKUP($A2287,pivot!$A:$I,計算式2026!AF$1,FALSE),0)</f>
        <v>0</v>
      </c>
      <c r="AI2287" s="9">
        <f>IFERROR(VLOOKUP($A2287,pivot!$A:$I,計算式2026!AI$1,FALSE),0)</f>
        <v>0</v>
      </c>
      <c r="AJ2287" s="9">
        <f>IFERROR(VLOOKUP($A2287,pivot!$A:$I,計算式2026!AJ$1,FALSE),0)</f>
        <v>0</v>
      </c>
      <c r="AK2287" s="9">
        <f>IFERROR(VLOOKUP($A2287,pivot!$A:$I,計算式2026!AK$1,FALSE),0)</f>
        <v>0</v>
      </c>
      <c r="AL2287" s="9">
        <f>IFERROR(VLOOKUP($A2287,pivot!$A:$I,計算式2026!AL$1,FALSE),0)</f>
        <v>0</v>
      </c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</row>
    <row r="2288" spans="1:59" s="9" customFormat="1">
      <c r="A2288" s="8" t="s">
        <v>2890</v>
      </c>
      <c r="B2288" s="8" t="s">
        <v>2888</v>
      </c>
      <c r="C2288" s="9">
        <v>0</v>
      </c>
      <c r="D2288" s="9">
        <v>0</v>
      </c>
      <c r="E2288" s="9">
        <v>0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0</v>
      </c>
      <c r="R2288" s="9">
        <v>0</v>
      </c>
      <c r="S2288" s="9">
        <v>1</v>
      </c>
      <c r="T2288" s="9">
        <v>1</v>
      </c>
      <c r="U2288" s="9">
        <v>0</v>
      </c>
      <c r="V2288" s="9">
        <v>1</v>
      </c>
      <c r="W2288" s="9">
        <v>0</v>
      </c>
      <c r="X2288" s="9">
        <v>1</v>
      </c>
      <c r="AE2288" s="9">
        <f>IFERROR(VLOOKUP($A2288,pivot!$A:$G,計算式2026!AE$1,FALSE),0)</f>
        <v>0</v>
      </c>
      <c r="AF2288" s="9">
        <f>IFERROR(VLOOKUP($A2288,pivot!$A:$I,計算式2026!AF$1,FALSE),0)</f>
        <v>0</v>
      </c>
      <c r="AI2288" s="9">
        <f>IFERROR(VLOOKUP($A2288,pivot!$A:$I,計算式2026!AI$1,FALSE),0)</f>
        <v>0</v>
      </c>
      <c r="AJ2288" s="9">
        <f>IFERROR(VLOOKUP($A2288,pivot!$A:$I,計算式2026!AJ$1,FALSE),0)</f>
        <v>0</v>
      </c>
      <c r="AK2288" s="9">
        <f>IFERROR(VLOOKUP($A2288,pivot!$A:$I,計算式2026!AK$1,FALSE),0)</f>
        <v>0</v>
      </c>
      <c r="AL2288" s="9">
        <f>IFERROR(VLOOKUP($A2288,pivot!$A:$I,計算式2026!AL$1,FALSE),0)</f>
        <v>0</v>
      </c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</row>
    <row r="2289" spans="1:59" s="9" customFormat="1">
      <c r="A2289" s="8" t="s">
        <v>2891</v>
      </c>
      <c r="B2289" s="8" t="s">
        <v>2888</v>
      </c>
      <c r="C2289" s="9">
        <v>0</v>
      </c>
      <c r="D2289" s="9">
        <v>0</v>
      </c>
      <c r="E2289" s="9">
        <v>0</v>
      </c>
      <c r="F2289" s="9">
        <v>0</v>
      </c>
      <c r="G2289" s="9">
        <v>0</v>
      </c>
      <c r="H2289" s="9">
        <v>0</v>
      </c>
      <c r="I2289" s="9">
        <v>0</v>
      </c>
      <c r="J2289" s="9">
        <v>0</v>
      </c>
      <c r="K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1</v>
      </c>
      <c r="W2289" s="9">
        <v>0</v>
      </c>
      <c r="X2289" s="9">
        <v>1</v>
      </c>
      <c r="AE2289" s="9">
        <f>IFERROR(VLOOKUP($A2289,pivot!$A:$G,計算式2026!AE$1,FALSE),0)</f>
        <v>0</v>
      </c>
      <c r="AF2289" s="9">
        <f>IFERROR(VLOOKUP($A2289,pivot!$A:$I,計算式2026!AF$1,FALSE),0)</f>
        <v>0</v>
      </c>
      <c r="AI2289" s="9">
        <f>IFERROR(VLOOKUP($A2289,pivot!$A:$I,計算式2026!AI$1,FALSE),0)</f>
        <v>0</v>
      </c>
      <c r="AJ2289" s="9">
        <f>IFERROR(VLOOKUP($A2289,pivot!$A:$I,計算式2026!AJ$1,FALSE),0)</f>
        <v>0</v>
      </c>
      <c r="AK2289" s="9">
        <f>IFERROR(VLOOKUP($A2289,pivot!$A:$I,計算式2026!AK$1,FALSE),0)</f>
        <v>0</v>
      </c>
      <c r="AL2289" s="9">
        <f>IFERROR(VLOOKUP($A2289,pivot!$A:$I,計算式2026!AL$1,FALSE),0)</f>
        <v>0</v>
      </c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</row>
    <row r="2290" spans="1:59" s="9" customFormat="1">
      <c r="A2290" s="8" t="s">
        <v>2892</v>
      </c>
      <c r="B2290" s="8" t="s">
        <v>2888</v>
      </c>
      <c r="C2290" s="9">
        <v>0</v>
      </c>
      <c r="D2290" s="9">
        <v>0</v>
      </c>
      <c r="E2290" s="9">
        <v>0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R2290" s="9">
        <v>1</v>
      </c>
      <c r="S2290" s="9">
        <v>1</v>
      </c>
      <c r="T2290" s="9">
        <v>0</v>
      </c>
      <c r="U2290" s="9">
        <v>0</v>
      </c>
      <c r="V2290" s="9">
        <v>1</v>
      </c>
      <c r="W2290" s="9">
        <v>0</v>
      </c>
      <c r="X2290" s="9">
        <v>1</v>
      </c>
      <c r="AE2290" s="9">
        <f>IFERROR(VLOOKUP($A2290,pivot!$A:$G,計算式2026!AE$1,FALSE),0)</f>
        <v>0</v>
      </c>
      <c r="AF2290" s="9">
        <f>IFERROR(VLOOKUP($A2290,pivot!$A:$I,計算式2026!AF$1,FALSE),0)</f>
        <v>0</v>
      </c>
      <c r="AI2290" s="9">
        <f>IFERROR(VLOOKUP($A2290,pivot!$A:$I,計算式2026!AI$1,FALSE),0)</f>
        <v>0</v>
      </c>
      <c r="AJ2290" s="9">
        <f>IFERROR(VLOOKUP($A2290,pivot!$A:$I,計算式2026!AJ$1,FALSE),0)</f>
        <v>0</v>
      </c>
      <c r="AK2290" s="9">
        <f>IFERROR(VLOOKUP($A2290,pivot!$A:$I,計算式2026!AK$1,FALSE),0)</f>
        <v>0</v>
      </c>
      <c r="AL2290" s="9">
        <f>IFERROR(VLOOKUP($A2290,pivot!$A:$I,計算式2026!AL$1,FALSE),0)</f>
        <v>0</v>
      </c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8"/>
      <c r="BF2290" s="8"/>
      <c r="BG2290" s="8"/>
    </row>
    <row r="2291" spans="1:59" s="9" customFormat="1">
      <c r="A2291" s="8" t="s">
        <v>2893</v>
      </c>
      <c r="B2291" s="8" t="s">
        <v>2629</v>
      </c>
      <c r="C2291" s="9">
        <v>0</v>
      </c>
      <c r="D2291" s="9">
        <v>0</v>
      </c>
      <c r="E2291" s="9">
        <v>0</v>
      </c>
      <c r="F2291" s="9">
        <v>0</v>
      </c>
      <c r="G2291" s="9">
        <v>0</v>
      </c>
      <c r="H2291" s="9">
        <v>0</v>
      </c>
      <c r="I2291" s="9">
        <v>0</v>
      </c>
      <c r="J2291" s="9">
        <v>0</v>
      </c>
      <c r="K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1</v>
      </c>
      <c r="AE2291" s="9">
        <f>IFERROR(VLOOKUP($A2291,pivot!$A:$G,計算式2026!AE$1,FALSE),0)</f>
        <v>0</v>
      </c>
      <c r="AF2291" s="9">
        <f>IFERROR(VLOOKUP($A2291,pivot!$A:$I,計算式2026!AF$1,FALSE),0)</f>
        <v>0</v>
      </c>
      <c r="AI2291" s="9">
        <f>IFERROR(VLOOKUP($A2291,pivot!$A:$I,計算式2026!AI$1,FALSE),0)</f>
        <v>0</v>
      </c>
      <c r="AJ2291" s="9">
        <f>IFERROR(VLOOKUP($A2291,pivot!$A:$I,計算式2026!AJ$1,FALSE),0)</f>
        <v>0</v>
      </c>
      <c r="AK2291" s="9">
        <f>IFERROR(VLOOKUP($A2291,pivot!$A:$I,計算式2026!AK$1,FALSE),0)</f>
        <v>0</v>
      </c>
      <c r="AL2291" s="9">
        <f>IFERROR(VLOOKUP($A2291,pivot!$A:$I,計算式2026!AL$1,FALSE),0)</f>
        <v>0</v>
      </c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8"/>
      <c r="BF2291" s="8"/>
      <c r="BG2291" s="8"/>
    </row>
    <row r="2292" spans="1:59" s="9" customFormat="1">
      <c r="A2292" s="8" t="s">
        <v>2696</v>
      </c>
      <c r="B2292" s="8" t="s">
        <v>2629</v>
      </c>
      <c r="C2292" s="9">
        <v>0</v>
      </c>
      <c r="D2292" s="9">
        <v>0</v>
      </c>
      <c r="E2292" s="9">
        <v>0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R2292" s="9">
        <v>0</v>
      </c>
      <c r="S2292" s="9">
        <v>2</v>
      </c>
      <c r="T2292" s="9">
        <v>0</v>
      </c>
      <c r="U2292" s="9">
        <v>0</v>
      </c>
      <c r="V2292" s="9">
        <v>2</v>
      </c>
      <c r="W2292" s="9">
        <v>0</v>
      </c>
      <c r="X2292" s="9">
        <v>1</v>
      </c>
      <c r="AE2292" s="9">
        <f>IFERROR(VLOOKUP($A2292,pivot!$A:$G,計算式2026!AE$1,FALSE),0)</f>
        <v>0</v>
      </c>
      <c r="AF2292" s="9">
        <f>IFERROR(VLOOKUP($A2292,pivot!$A:$I,計算式2026!AF$1,FALSE),0)</f>
        <v>0</v>
      </c>
      <c r="AI2292" s="9">
        <f>IFERROR(VLOOKUP($A2292,pivot!$A:$I,計算式2026!AI$1,FALSE),0)</f>
        <v>0</v>
      </c>
      <c r="AJ2292" s="9">
        <f>IFERROR(VLOOKUP($A2292,pivot!$A:$I,計算式2026!AJ$1,FALSE),0)</f>
        <v>0</v>
      </c>
      <c r="AK2292" s="9">
        <f>IFERROR(VLOOKUP($A2292,pivot!$A:$I,計算式2026!AK$1,FALSE),0)</f>
        <v>0</v>
      </c>
      <c r="AL2292" s="9">
        <f>IFERROR(VLOOKUP($A2292,pivot!$A:$I,計算式2026!AL$1,FALSE),0)</f>
        <v>0</v>
      </c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8"/>
      <c r="BG2292" s="8"/>
    </row>
    <row r="2293" spans="1:59" s="9" customFormat="1">
      <c r="A2293" s="8" t="s">
        <v>2894</v>
      </c>
      <c r="B2293" s="8" t="s">
        <v>2629</v>
      </c>
      <c r="C2293" s="9">
        <v>0</v>
      </c>
      <c r="D2293" s="9">
        <v>0</v>
      </c>
      <c r="E2293" s="9">
        <v>0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0</v>
      </c>
      <c r="R2293" s="9">
        <v>0</v>
      </c>
      <c r="S2293" s="9">
        <v>1</v>
      </c>
      <c r="T2293" s="9">
        <v>0</v>
      </c>
      <c r="U2293" s="9">
        <v>0</v>
      </c>
      <c r="V2293" s="9">
        <v>1</v>
      </c>
      <c r="W2293" s="9">
        <v>0</v>
      </c>
      <c r="X2293" s="9">
        <v>0</v>
      </c>
      <c r="AE2293" s="9">
        <f>IFERROR(VLOOKUP($A2293,pivot!$A:$G,計算式2026!AE$1,FALSE),0)</f>
        <v>0</v>
      </c>
      <c r="AF2293" s="9">
        <f>IFERROR(VLOOKUP($A2293,pivot!$A:$I,計算式2026!AF$1,FALSE),0)</f>
        <v>0</v>
      </c>
      <c r="AI2293" s="9">
        <f>IFERROR(VLOOKUP($A2293,pivot!$A:$I,計算式2026!AI$1,FALSE),0)</f>
        <v>0</v>
      </c>
      <c r="AJ2293" s="9">
        <f>IFERROR(VLOOKUP($A2293,pivot!$A:$I,計算式2026!AJ$1,FALSE),0)</f>
        <v>0</v>
      </c>
      <c r="AK2293" s="9">
        <f>IFERROR(VLOOKUP($A2293,pivot!$A:$I,計算式2026!AK$1,FALSE),0)</f>
        <v>0</v>
      </c>
      <c r="AL2293" s="9">
        <f>IFERROR(VLOOKUP($A2293,pivot!$A:$I,計算式2026!AL$1,FALSE),0)</f>
        <v>0</v>
      </c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</row>
    <row r="2294" spans="1:59" s="9" customFormat="1">
      <c r="A2294" s="8" t="s">
        <v>2486</v>
      </c>
      <c r="B2294" s="8" t="s">
        <v>2487</v>
      </c>
      <c r="C2294" s="9">
        <v>0</v>
      </c>
      <c r="D2294" s="9">
        <v>0</v>
      </c>
      <c r="E2294" s="9">
        <v>0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1</v>
      </c>
      <c r="AE2294" s="9">
        <f>IFERROR(VLOOKUP($A2294,pivot!$A:$G,計算式2026!AE$1,FALSE),0)</f>
        <v>0</v>
      </c>
      <c r="AF2294" s="9">
        <f>IFERROR(VLOOKUP($A2294,pivot!$A:$I,計算式2026!AF$1,FALSE),0)</f>
        <v>0</v>
      </c>
      <c r="AI2294" s="9">
        <f>IFERROR(VLOOKUP($A2294,pivot!$A:$I,計算式2026!AI$1,FALSE),0)</f>
        <v>0</v>
      </c>
      <c r="AJ2294" s="9">
        <f>IFERROR(VLOOKUP($A2294,pivot!$A:$I,計算式2026!AJ$1,FALSE),0)</f>
        <v>0</v>
      </c>
      <c r="AK2294" s="9">
        <f>IFERROR(VLOOKUP($A2294,pivot!$A:$I,計算式2026!AK$1,FALSE),0)</f>
        <v>0</v>
      </c>
      <c r="AL2294" s="9">
        <f>IFERROR(VLOOKUP($A2294,pivot!$A:$I,計算式2026!AL$1,FALSE),0)</f>
        <v>0</v>
      </c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8"/>
      <c r="BF2294" s="8"/>
      <c r="BG2294" s="8"/>
    </row>
    <row r="2295" spans="1:59" s="9" customFormat="1">
      <c r="A2295" s="8" t="s">
        <v>2488</v>
      </c>
      <c r="B2295" s="8" t="s">
        <v>2487</v>
      </c>
      <c r="C2295" s="9">
        <v>4</v>
      </c>
      <c r="D2295" s="9">
        <v>0</v>
      </c>
      <c r="E2295" s="9">
        <v>0</v>
      </c>
      <c r="F2295" s="9">
        <v>0</v>
      </c>
      <c r="G2295" s="9">
        <v>0</v>
      </c>
      <c r="H2295" s="9">
        <v>0</v>
      </c>
      <c r="I2295" s="9">
        <v>0</v>
      </c>
      <c r="J2295" s="9">
        <v>0</v>
      </c>
      <c r="K2295" s="9">
        <v>0</v>
      </c>
      <c r="R2295" s="9">
        <v>0</v>
      </c>
      <c r="S2295" s="9">
        <v>1</v>
      </c>
      <c r="T2295" s="9">
        <v>1</v>
      </c>
      <c r="U2295" s="9">
        <v>0</v>
      </c>
      <c r="V2295" s="9">
        <v>1</v>
      </c>
      <c r="W2295" s="9">
        <v>0</v>
      </c>
      <c r="X2295" s="9">
        <v>1</v>
      </c>
      <c r="AE2295" s="9">
        <f>IFERROR(VLOOKUP($A2295,pivot!$A:$G,計算式2026!AE$1,FALSE),0)</f>
        <v>0</v>
      </c>
      <c r="AF2295" s="9">
        <f>IFERROR(VLOOKUP($A2295,pivot!$A:$I,計算式2026!AF$1,FALSE),0)</f>
        <v>0</v>
      </c>
      <c r="AI2295" s="9">
        <f>IFERROR(VLOOKUP($A2295,pivot!$A:$I,計算式2026!AI$1,FALSE),0)</f>
        <v>0</v>
      </c>
      <c r="AJ2295" s="9">
        <f>IFERROR(VLOOKUP($A2295,pivot!$A:$I,計算式2026!AJ$1,FALSE),0)</f>
        <v>0</v>
      </c>
      <c r="AK2295" s="9">
        <f>IFERROR(VLOOKUP($A2295,pivot!$A:$I,計算式2026!AK$1,FALSE),0)</f>
        <v>0</v>
      </c>
      <c r="AL2295" s="9">
        <f>IFERROR(VLOOKUP($A2295,pivot!$A:$I,計算式2026!AL$1,FALSE),0)</f>
        <v>0</v>
      </c>
      <c r="AR2295" s="8"/>
      <c r="AS2295" s="8"/>
      <c r="AT2295" s="8"/>
      <c r="AU2295" s="8"/>
      <c r="AV2295" s="8"/>
      <c r="AW2295" s="8"/>
      <c r="AX2295" s="8"/>
      <c r="AY2295" s="8"/>
      <c r="AZ2295" s="8"/>
      <c r="BA2295" s="8"/>
      <c r="BB2295" s="8"/>
      <c r="BC2295" s="8"/>
      <c r="BD2295" s="8"/>
      <c r="BE2295" s="8"/>
      <c r="BF2295" s="8"/>
      <c r="BG2295" s="8"/>
    </row>
    <row r="2296" spans="1:59" s="9" customFormat="1">
      <c r="A2296" s="8" t="s">
        <v>2489</v>
      </c>
      <c r="B2296" s="8" t="s">
        <v>2487</v>
      </c>
      <c r="C2296" s="9">
        <v>0</v>
      </c>
      <c r="D2296" s="9">
        <v>0</v>
      </c>
      <c r="E2296" s="9">
        <v>0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R2296" s="9">
        <v>0</v>
      </c>
      <c r="S2296" s="9">
        <v>0</v>
      </c>
      <c r="T2296" s="9">
        <v>1</v>
      </c>
      <c r="U2296" s="9">
        <v>0</v>
      </c>
      <c r="V2296" s="9">
        <v>1</v>
      </c>
      <c r="W2296" s="9">
        <v>0</v>
      </c>
      <c r="X2296" s="9">
        <v>1</v>
      </c>
      <c r="AE2296" s="9">
        <f>IFERROR(VLOOKUP($A2296,pivot!$A:$G,計算式2026!AE$1,FALSE),0)</f>
        <v>0</v>
      </c>
      <c r="AF2296" s="9">
        <f>IFERROR(VLOOKUP($A2296,pivot!$A:$I,計算式2026!AF$1,FALSE),0)</f>
        <v>0</v>
      </c>
      <c r="AI2296" s="9">
        <f>IFERROR(VLOOKUP($A2296,pivot!$A:$I,計算式2026!AI$1,FALSE),0)</f>
        <v>0</v>
      </c>
      <c r="AJ2296" s="9">
        <f>IFERROR(VLOOKUP($A2296,pivot!$A:$I,計算式2026!AJ$1,FALSE),0)</f>
        <v>0</v>
      </c>
      <c r="AK2296" s="9">
        <f>IFERROR(VLOOKUP($A2296,pivot!$A:$I,計算式2026!AK$1,FALSE),0)</f>
        <v>0</v>
      </c>
      <c r="AL2296" s="9">
        <f>IFERROR(VLOOKUP($A2296,pivot!$A:$I,計算式2026!AL$1,FALSE),0)</f>
        <v>0</v>
      </c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8"/>
      <c r="BF2296" s="8"/>
      <c r="BG2296" s="8"/>
    </row>
    <row r="2297" spans="1:59" s="9" customFormat="1">
      <c r="A2297" s="8">
        <v>8980955034</v>
      </c>
      <c r="B2297" s="8" t="s">
        <v>2895</v>
      </c>
      <c r="C2297" s="9">
        <v>0</v>
      </c>
      <c r="D2297" s="9">
        <v>0</v>
      </c>
      <c r="E2297" s="9">
        <v>0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R2297" s="9">
        <v>0</v>
      </c>
      <c r="S2297" s="9">
        <v>1</v>
      </c>
      <c r="T2297" s="9">
        <v>0</v>
      </c>
      <c r="U2297" s="9">
        <v>0</v>
      </c>
      <c r="V2297" s="9">
        <v>1</v>
      </c>
      <c r="W2297" s="9">
        <v>0</v>
      </c>
      <c r="X2297" s="9">
        <v>1</v>
      </c>
      <c r="AE2297" s="9">
        <f>IFERROR(VLOOKUP($A2297,pivot!$A:$G,計算式2026!AE$1,FALSE),0)</f>
        <v>0</v>
      </c>
      <c r="AF2297" s="9">
        <f>IFERROR(VLOOKUP($A2297,pivot!$A:$I,計算式2026!AF$1,FALSE),0)</f>
        <v>0</v>
      </c>
      <c r="AI2297" s="9">
        <f>IFERROR(VLOOKUP($A2297,pivot!$A:$I,計算式2026!AI$1,FALSE),0)</f>
        <v>0</v>
      </c>
      <c r="AJ2297" s="9">
        <f>IFERROR(VLOOKUP($A2297,pivot!$A:$I,計算式2026!AJ$1,FALSE),0)</f>
        <v>0</v>
      </c>
      <c r="AK2297" s="9">
        <f>IFERROR(VLOOKUP($A2297,pivot!$A:$I,計算式2026!AK$1,FALSE),0)</f>
        <v>0</v>
      </c>
      <c r="AL2297" s="9">
        <f>IFERROR(VLOOKUP($A2297,pivot!$A:$I,計算式2026!AL$1,FALSE),0)</f>
        <v>0</v>
      </c>
      <c r="AR2297" s="8"/>
      <c r="AS2297" s="8"/>
      <c r="AT2297" s="8"/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8"/>
      <c r="BF2297" s="8"/>
      <c r="BG2297" s="8"/>
    </row>
    <row r="2298" spans="1:59" s="9" customFormat="1">
      <c r="A2298" s="8">
        <v>8980955036</v>
      </c>
      <c r="B2298" s="8" t="s">
        <v>2895</v>
      </c>
      <c r="C2298" s="9">
        <v>0</v>
      </c>
      <c r="D2298" s="9">
        <v>2</v>
      </c>
      <c r="E2298" s="9">
        <v>0</v>
      </c>
      <c r="F2298" s="9">
        <v>0</v>
      </c>
      <c r="G2298" s="9">
        <v>0</v>
      </c>
      <c r="H2298" s="9">
        <v>0</v>
      </c>
      <c r="I2298" s="9">
        <v>0</v>
      </c>
      <c r="J2298" s="9">
        <v>0</v>
      </c>
      <c r="K2298" s="9">
        <v>0</v>
      </c>
      <c r="R2298" s="9">
        <v>0</v>
      </c>
      <c r="S2298" s="9">
        <v>1</v>
      </c>
      <c r="T2298" s="9">
        <v>1</v>
      </c>
      <c r="U2298" s="9">
        <v>0</v>
      </c>
      <c r="V2298" s="9">
        <v>2</v>
      </c>
      <c r="W2298" s="9">
        <v>0</v>
      </c>
      <c r="X2298" s="9">
        <v>1</v>
      </c>
      <c r="AE2298" s="9">
        <f>IFERROR(VLOOKUP($A2298,pivot!$A:$G,計算式2026!AE$1,FALSE),0)</f>
        <v>0</v>
      </c>
      <c r="AF2298" s="9">
        <f>IFERROR(VLOOKUP($A2298,pivot!$A:$I,計算式2026!AF$1,FALSE),0)</f>
        <v>0</v>
      </c>
      <c r="AI2298" s="9">
        <f>IFERROR(VLOOKUP($A2298,pivot!$A:$I,計算式2026!AI$1,FALSE),0)</f>
        <v>0</v>
      </c>
      <c r="AJ2298" s="9">
        <f>IFERROR(VLOOKUP($A2298,pivot!$A:$I,計算式2026!AJ$1,FALSE),0)</f>
        <v>0</v>
      </c>
      <c r="AK2298" s="9">
        <f>IFERROR(VLOOKUP($A2298,pivot!$A:$I,計算式2026!AK$1,FALSE),0)</f>
        <v>0</v>
      </c>
      <c r="AL2298" s="9">
        <f>IFERROR(VLOOKUP($A2298,pivot!$A:$I,計算式2026!AL$1,FALSE),0)</f>
        <v>0</v>
      </c>
      <c r="AR2298" s="8"/>
      <c r="AS2298" s="8"/>
      <c r="AT2298" s="8"/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8"/>
      <c r="BF2298" s="8"/>
      <c r="BG2298" s="8"/>
    </row>
    <row r="2299" spans="1:59" s="9" customFormat="1">
      <c r="A2299" s="8">
        <v>8980955038</v>
      </c>
      <c r="B2299" s="8" t="s">
        <v>2895</v>
      </c>
      <c r="C2299" s="9">
        <v>0</v>
      </c>
      <c r="D2299" s="9">
        <v>2</v>
      </c>
      <c r="E2299" s="9">
        <v>0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R2299" s="9">
        <v>0</v>
      </c>
      <c r="S2299" s="9">
        <v>2</v>
      </c>
      <c r="T2299" s="9">
        <v>1</v>
      </c>
      <c r="U2299" s="9">
        <v>0</v>
      </c>
      <c r="V2299" s="9">
        <v>2</v>
      </c>
      <c r="W2299" s="9">
        <v>0</v>
      </c>
      <c r="X2299" s="9">
        <v>1</v>
      </c>
      <c r="AE2299" s="9">
        <f>IFERROR(VLOOKUP($A2299,pivot!$A:$G,計算式2026!AE$1,FALSE),0)</f>
        <v>0</v>
      </c>
      <c r="AF2299" s="9">
        <f>IFERROR(VLOOKUP($A2299,pivot!$A:$I,計算式2026!AF$1,FALSE),0)</f>
        <v>0</v>
      </c>
      <c r="AI2299" s="9">
        <f>IFERROR(VLOOKUP($A2299,pivot!$A:$I,計算式2026!AI$1,FALSE),0)</f>
        <v>0</v>
      </c>
      <c r="AJ2299" s="9">
        <f>IFERROR(VLOOKUP($A2299,pivot!$A:$I,計算式2026!AJ$1,FALSE),0)</f>
        <v>0</v>
      </c>
      <c r="AK2299" s="9">
        <f>IFERROR(VLOOKUP($A2299,pivot!$A:$I,計算式2026!AK$1,FALSE),0)</f>
        <v>0</v>
      </c>
      <c r="AL2299" s="9">
        <f>IFERROR(VLOOKUP($A2299,pivot!$A:$I,計算式2026!AL$1,FALSE),0)</f>
        <v>0</v>
      </c>
      <c r="AR2299" s="8"/>
      <c r="AS2299" s="8"/>
      <c r="AT2299" s="8"/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8"/>
      <c r="BF2299" s="8"/>
      <c r="BG2299" s="8"/>
    </row>
    <row r="2300" spans="1:59" s="9" customFormat="1">
      <c r="A2300" s="8">
        <v>8980955040</v>
      </c>
      <c r="B2300" s="8" t="s">
        <v>2895</v>
      </c>
      <c r="C2300" s="9">
        <v>0</v>
      </c>
      <c r="D2300" s="9">
        <v>0</v>
      </c>
      <c r="E2300" s="9">
        <v>0</v>
      </c>
      <c r="F2300" s="9">
        <v>0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1</v>
      </c>
      <c r="W2300" s="9">
        <v>0</v>
      </c>
      <c r="X2300" s="9">
        <v>1</v>
      </c>
      <c r="AE2300" s="9">
        <f>IFERROR(VLOOKUP($A2300,pivot!$A:$G,計算式2026!AE$1,FALSE),0)</f>
        <v>0</v>
      </c>
      <c r="AF2300" s="9">
        <f>IFERROR(VLOOKUP($A2300,pivot!$A:$I,計算式2026!AF$1,FALSE),0)</f>
        <v>0</v>
      </c>
      <c r="AI2300" s="9">
        <f>IFERROR(VLOOKUP($A2300,pivot!$A:$I,計算式2026!AI$1,FALSE),0)</f>
        <v>0</v>
      </c>
      <c r="AJ2300" s="9">
        <f>IFERROR(VLOOKUP($A2300,pivot!$A:$I,計算式2026!AJ$1,FALSE),0)</f>
        <v>0</v>
      </c>
      <c r="AK2300" s="9">
        <f>IFERROR(VLOOKUP($A2300,pivot!$A:$I,計算式2026!AK$1,FALSE),0)</f>
        <v>0</v>
      </c>
      <c r="AL2300" s="9">
        <f>IFERROR(VLOOKUP($A2300,pivot!$A:$I,計算式2026!AL$1,FALSE),0)</f>
        <v>0</v>
      </c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8"/>
      <c r="BF2300" s="8"/>
      <c r="BG2300" s="8"/>
    </row>
    <row r="2301" spans="1:59" s="9" customFormat="1">
      <c r="A2301" s="8">
        <v>8980963334</v>
      </c>
      <c r="B2301" s="8" t="s">
        <v>2895</v>
      </c>
      <c r="C2301" s="9">
        <v>0</v>
      </c>
      <c r="D2301" s="9">
        <v>0</v>
      </c>
      <c r="E2301" s="9">
        <v>0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1</v>
      </c>
      <c r="AE2301" s="9">
        <f>IFERROR(VLOOKUP($A2301,pivot!$A:$G,計算式2026!AE$1,FALSE),0)</f>
        <v>0</v>
      </c>
      <c r="AF2301" s="9">
        <f>IFERROR(VLOOKUP($A2301,pivot!$A:$I,計算式2026!AF$1,FALSE),0)</f>
        <v>0</v>
      </c>
      <c r="AI2301" s="9">
        <f>IFERROR(VLOOKUP($A2301,pivot!$A:$I,計算式2026!AI$1,FALSE),0)</f>
        <v>0</v>
      </c>
      <c r="AJ2301" s="9">
        <f>IFERROR(VLOOKUP($A2301,pivot!$A:$I,計算式2026!AJ$1,FALSE),0)</f>
        <v>0</v>
      </c>
      <c r="AK2301" s="9">
        <f>IFERROR(VLOOKUP($A2301,pivot!$A:$I,計算式2026!AK$1,FALSE),0)</f>
        <v>0</v>
      </c>
      <c r="AL2301" s="9">
        <f>IFERROR(VLOOKUP($A2301,pivot!$A:$I,計算式2026!AL$1,FALSE),0)</f>
        <v>0</v>
      </c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8"/>
      <c r="BF2301" s="8"/>
      <c r="BG2301" s="8"/>
    </row>
    <row r="2302" spans="1:59" s="9" customFormat="1">
      <c r="A2302" s="8">
        <v>8980963336</v>
      </c>
      <c r="B2302" s="8" t="s">
        <v>2895</v>
      </c>
      <c r="C2302" s="9">
        <v>0</v>
      </c>
      <c r="D2302" s="9">
        <v>0</v>
      </c>
      <c r="E2302" s="9">
        <v>0</v>
      </c>
      <c r="F2302" s="9">
        <v>0</v>
      </c>
      <c r="G2302" s="9">
        <v>0</v>
      </c>
      <c r="H2302" s="9">
        <v>0</v>
      </c>
      <c r="I2302" s="9">
        <v>0</v>
      </c>
      <c r="J2302" s="9">
        <v>0</v>
      </c>
      <c r="K2302" s="9">
        <v>0</v>
      </c>
      <c r="R2302" s="9">
        <v>0</v>
      </c>
      <c r="S2302" s="9">
        <v>1</v>
      </c>
      <c r="T2302" s="9">
        <v>1</v>
      </c>
      <c r="U2302" s="9">
        <v>0</v>
      </c>
      <c r="V2302" s="9">
        <v>0</v>
      </c>
      <c r="W2302" s="9">
        <v>0</v>
      </c>
      <c r="X2302" s="9">
        <v>1</v>
      </c>
      <c r="AE2302" s="9">
        <f>IFERROR(VLOOKUP($A2302,pivot!$A:$G,計算式2026!AE$1,FALSE),0)</f>
        <v>0</v>
      </c>
      <c r="AF2302" s="9">
        <f>IFERROR(VLOOKUP($A2302,pivot!$A:$I,計算式2026!AF$1,FALSE),0)</f>
        <v>0</v>
      </c>
      <c r="AI2302" s="9">
        <f>IFERROR(VLOOKUP($A2302,pivot!$A:$I,計算式2026!AI$1,FALSE),0)</f>
        <v>0</v>
      </c>
      <c r="AJ2302" s="9">
        <f>IFERROR(VLOOKUP($A2302,pivot!$A:$I,計算式2026!AJ$1,FALSE),0)</f>
        <v>0</v>
      </c>
      <c r="AK2302" s="9">
        <f>IFERROR(VLOOKUP($A2302,pivot!$A:$I,計算式2026!AK$1,FALSE),0)</f>
        <v>0</v>
      </c>
      <c r="AL2302" s="9">
        <f>IFERROR(VLOOKUP($A2302,pivot!$A:$I,計算式2026!AL$1,FALSE),0)</f>
        <v>0</v>
      </c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8"/>
      <c r="BF2302" s="8"/>
      <c r="BG2302" s="8"/>
    </row>
    <row r="2303" spans="1:59" s="9" customFormat="1">
      <c r="A2303" s="8">
        <v>8980963338</v>
      </c>
      <c r="B2303" s="8" t="s">
        <v>2895</v>
      </c>
      <c r="C2303" s="9">
        <v>0</v>
      </c>
      <c r="D2303" s="9">
        <v>0</v>
      </c>
      <c r="E2303" s="9">
        <v>0</v>
      </c>
      <c r="F2303" s="9">
        <v>0</v>
      </c>
      <c r="G2303" s="9">
        <v>0</v>
      </c>
      <c r="H2303" s="9">
        <v>0</v>
      </c>
      <c r="I2303" s="9">
        <v>0</v>
      </c>
      <c r="J2303" s="9">
        <v>0</v>
      </c>
      <c r="K2303" s="9">
        <v>0</v>
      </c>
      <c r="R2303" s="9">
        <v>0</v>
      </c>
      <c r="S2303" s="9">
        <v>1</v>
      </c>
      <c r="T2303" s="9">
        <v>1</v>
      </c>
      <c r="U2303" s="9">
        <v>0</v>
      </c>
      <c r="V2303" s="9">
        <v>0</v>
      </c>
      <c r="W2303" s="9">
        <v>0</v>
      </c>
      <c r="X2303" s="9">
        <v>1</v>
      </c>
      <c r="AE2303" s="9">
        <f>IFERROR(VLOOKUP($A2303,pivot!$A:$G,計算式2026!AE$1,FALSE),0)</f>
        <v>0</v>
      </c>
      <c r="AF2303" s="9">
        <f>IFERROR(VLOOKUP($A2303,pivot!$A:$I,計算式2026!AF$1,FALSE),0)</f>
        <v>0</v>
      </c>
      <c r="AI2303" s="9">
        <f>IFERROR(VLOOKUP($A2303,pivot!$A:$I,計算式2026!AI$1,FALSE),0)</f>
        <v>0</v>
      </c>
      <c r="AJ2303" s="9">
        <f>IFERROR(VLOOKUP($A2303,pivot!$A:$I,計算式2026!AJ$1,FALSE),0)</f>
        <v>0</v>
      </c>
      <c r="AK2303" s="9">
        <f>IFERROR(VLOOKUP($A2303,pivot!$A:$I,計算式2026!AK$1,FALSE),0)</f>
        <v>0</v>
      </c>
      <c r="AL2303" s="9">
        <f>IFERROR(VLOOKUP($A2303,pivot!$A:$I,計算式2026!AL$1,FALSE),0)</f>
        <v>0</v>
      </c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8"/>
      <c r="BG2303" s="8"/>
    </row>
    <row r="2304" spans="1:59" s="9" customFormat="1">
      <c r="A2304" s="8">
        <v>8980963340</v>
      </c>
      <c r="B2304" s="8" t="s">
        <v>2895</v>
      </c>
      <c r="C2304" s="9">
        <v>0</v>
      </c>
      <c r="D2304" s="9">
        <v>0</v>
      </c>
      <c r="E2304" s="9">
        <v>0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1</v>
      </c>
      <c r="W2304" s="9">
        <v>0</v>
      </c>
      <c r="X2304" s="9">
        <v>1</v>
      </c>
      <c r="AE2304" s="9">
        <f>IFERROR(VLOOKUP($A2304,pivot!$A:$G,計算式2026!AE$1,FALSE),0)</f>
        <v>0</v>
      </c>
      <c r="AF2304" s="9">
        <f>IFERROR(VLOOKUP($A2304,pivot!$A:$I,計算式2026!AF$1,FALSE),0)</f>
        <v>0</v>
      </c>
      <c r="AI2304" s="9">
        <f>IFERROR(VLOOKUP($A2304,pivot!$A:$I,計算式2026!AI$1,FALSE),0)</f>
        <v>0</v>
      </c>
      <c r="AJ2304" s="9">
        <f>IFERROR(VLOOKUP($A2304,pivot!$A:$I,計算式2026!AJ$1,FALSE),0)</f>
        <v>0</v>
      </c>
      <c r="AK2304" s="9">
        <f>IFERROR(VLOOKUP($A2304,pivot!$A:$I,計算式2026!AK$1,FALSE),0)</f>
        <v>0</v>
      </c>
      <c r="AL2304" s="9">
        <f>IFERROR(VLOOKUP($A2304,pivot!$A:$I,計算式2026!AL$1,FALSE),0)</f>
        <v>0</v>
      </c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</row>
    <row r="2305" spans="1:59" s="9" customFormat="1">
      <c r="A2305" s="8" t="s">
        <v>1397</v>
      </c>
      <c r="B2305" s="8" t="s">
        <v>1398</v>
      </c>
      <c r="C2305" s="9">
        <v>0</v>
      </c>
      <c r="D2305" s="9">
        <v>0</v>
      </c>
      <c r="E2305" s="9">
        <v>0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R2305" s="9">
        <v>0</v>
      </c>
      <c r="S2305" s="9">
        <v>1</v>
      </c>
      <c r="T2305" s="9">
        <v>1</v>
      </c>
      <c r="U2305" s="9">
        <v>0</v>
      </c>
      <c r="V2305" s="9">
        <v>1</v>
      </c>
      <c r="W2305" s="9">
        <v>0</v>
      </c>
      <c r="X2305" s="9">
        <v>1</v>
      </c>
      <c r="AE2305" s="9">
        <f>IFERROR(VLOOKUP($A2305,pivot!$A:$G,計算式2026!AE$1,FALSE),0)</f>
        <v>0</v>
      </c>
      <c r="AF2305" s="9">
        <f>IFERROR(VLOOKUP($A2305,pivot!$A:$I,計算式2026!AF$1,FALSE),0)</f>
        <v>0</v>
      </c>
      <c r="AI2305" s="9">
        <f>IFERROR(VLOOKUP($A2305,pivot!$A:$I,計算式2026!AI$1,FALSE),0)</f>
        <v>0</v>
      </c>
      <c r="AJ2305" s="9">
        <f>IFERROR(VLOOKUP($A2305,pivot!$A:$I,計算式2026!AJ$1,FALSE),0)</f>
        <v>0</v>
      </c>
      <c r="AK2305" s="9">
        <f>IFERROR(VLOOKUP($A2305,pivot!$A:$I,計算式2026!AK$1,FALSE),0)</f>
        <v>0</v>
      </c>
      <c r="AL2305" s="9">
        <f>IFERROR(VLOOKUP($A2305,pivot!$A:$I,計算式2026!AL$1,FALSE),0)</f>
        <v>0</v>
      </c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8"/>
      <c r="BF2305" s="8"/>
      <c r="BG2305" s="8"/>
    </row>
    <row r="2306" spans="1:59" s="9" customFormat="1">
      <c r="A2306" s="8" t="s">
        <v>1399</v>
      </c>
      <c r="B2306" s="8" t="s">
        <v>1398</v>
      </c>
      <c r="C2306" s="9">
        <v>0</v>
      </c>
      <c r="D2306" s="9">
        <v>0</v>
      </c>
      <c r="E2306" s="9">
        <v>0</v>
      </c>
      <c r="F2306" s="9">
        <v>0</v>
      </c>
      <c r="G2306" s="9">
        <v>0</v>
      </c>
      <c r="H2306" s="9">
        <v>0</v>
      </c>
      <c r="I2306" s="9">
        <v>0</v>
      </c>
      <c r="J2306" s="9">
        <v>0</v>
      </c>
      <c r="K2306" s="9">
        <v>0</v>
      </c>
      <c r="R2306" s="9">
        <v>0</v>
      </c>
      <c r="S2306" s="9">
        <v>1</v>
      </c>
      <c r="T2306" s="9">
        <v>1</v>
      </c>
      <c r="U2306" s="9">
        <v>0</v>
      </c>
      <c r="V2306" s="9">
        <v>1</v>
      </c>
      <c r="W2306" s="9">
        <v>0</v>
      </c>
      <c r="X2306" s="9">
        <v>1</v>
      </c>
      <c r="AE2306" s="9">
        <f>IFERROR(VLOOKUP($A2306,pivot!$A:$G,計算式2026!AE$1,FALSE),0)</f>
        <v>0</v>
      </c>
      <c r="AF2306" s="9">
        <f>IFERROR(VLOOKUP($A2306,pivot!$A:$I,計算式2026!AF$1,FALSE),0)</f>
        <v>0</v>
      </c>
      <c r="AI2306" s="9">
        <f>IFERROR(VLOOKUP($A2306,pivot!$A:$I,計算式2026!AI$1,FALSE),0)</f>
        <v>0</v>
      </c>
      <c r="AJ2306" s="9">
        <f>IFERROR(VLOOKUP($A2306,pivot!$A:$I,計算式2026!AJ$1,FALSE),0)</f>
        <v>0</v>
      </c>
      <c r="AK2306" s="9">
        <f>IFERROR(VLOOKUP($A2306,pivot!$A:$I,計算式2026!AK$1,FALSE),0)</f>
        <v>0</v>
      </c>
      <c r="AL2306" s="9">
        <f>IFERROR(VLOOKUP($A2306,pivot!$A:$I,計算式2026!AL$1,FALSE),0)</f>
        <v>0</v>
      </c>
      <c r="AR2306" s="8"/>
      <c r="AS2306" s="8"/>
      <c r="AT2306" s="8"/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8"/>
      <c r="BF2306" s="8"/>
      <c r="BG2306" s="8"/>
    </row>
    <row r="2307" spans="1:59" s="9" customFormat="1">
      <c r="A2307" s="8" t="s">
        <v>1400</v>
      </c>
      <c r="B2307" s="8" t="s">
        <v>1398</v>
      </c>
      <c r="C2307" s="9">
        <v>0</v>
      </c>
      <c r="D2307" s="9">
        <v>0</v>
      </c>
      <c r="E2307" s="9">
        <v>0</v>
      </c>
      <c r="F2307" s="9">
        <v>0</v>
      </c>
      <c r="G2307" s="9">
        <v>0</v>
      </c>
      <c r="H2307" s="9">
        <v>0</v>
      </c>
      <c r="I2307" s="9">
        <v>0</v>
      </c>
      <c r="J2307" s="9">
        <v>0</v>
      </c>
      <c r="K2307" s="9">
        <v>0</v>
      </c>
      <c r="R2307" s="9">
        <v>0</v>
      </c>
      <c r="S2307" s="9">
        <v>1</v>
      </c>
      <c r="T2307" s="9">
        <v>1</v>
      </c>
      <c r="U2307" s="9">
        <v>0</v>
      </c>
      <c r="V2307" s="9">
        <v>0</v>
      </c>
      <c r="W2307" s="9">
        <v>0</v>
      </c>
      <c r="X2307" s="9">
        <v>1</v>
      </c>
      <c r="AE2307" s="9">
        <f>IFERROR(VLOOKUP($A2307,pivot!$A:$G,計算式2026!AE$1,FALSE),0)</f>
        <v>0</v>
      </c>
      <c r="AF2307" s="9">
        <f>IFERROR(VLOOKUP($A2307,pivot!$A:$I,計算式2026!AF$1,FALSE),0)</f>
        <v>0</v>
      </c>
      <c r="AI2307" s="9">
        <f>IFERROR(VLOOKUP($A2307,pivot!$A:$I,計算式2026!AI$1,FALSE),0)</f>
        <v>0</v>
      </c>
      <c r="AJ2307" s="9">
        <f>IFERROR(VLOOKUP($A2307,pivot!$A:$I,計算式2026!AJ$1,FALSE),0)</f>
        <v>0</v>
      </c>
      <c r="AK2307" s="9">
        <f>IFERROR(VLOOKUP($A2307,pivot!$A:$I,計算式2026!AK$1,FALSE),0)</f>
        <v>0</v>
      </c>
      <c r="AL2307" s="9">
        <f>IFERROR(VLOOKUP($A2307,pivot!$A:$I,計算式2026!AL$1,FALSE),0)</f>
        <v>0</v>
      </c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8"/>
      <c r="BG2307" s="8"/>
    </row>
    <row r="2308" spans="1:59" s="9" customFormat="1">
      <c r="A2308" s="8" t="s">
        <v>1401</v>
      </c>
      <c r="B2308" s="8" t="s">
        <v>1398</v>
      </c>
      <c r="C2308" s="9">
        <v>0</v>
      </c>
      <c r="D2308" s="9">
        <v>0</v>
      </c>
      <c r="E2308" s="9">
        <v>0</v>
      </c>
      <c r="F2308" s="9">
        <v>0</v>
      </c>
      <c r="G2308" s="9">
        <v>0</v>
      </c>
      <c r="H2308" s="9">
        <v>0</v>
      </c>
      <c r="I2308" s="9">
        <v>0</v>
      </c>
      <c r="J2308" s="9">
        <v>0</v>
      </c>
      <c r="K2308" s="9">
        <v>0</v>
      </c>
      <c r="R2308" s="9">
        <v>0</v>
      </c>
      <c r="S2308" s="9">
        <v>0</v>
      </c>
      <c r="T2308" s="9">
        <v>1</v>
      </c>
      <c r="U2308" s="9">
        <v>0</v>
      </c>
      <c r="V2308" s="9">
        <v>2</v>
      </c>
      <c r="W2308" s="9">
        <v>0</v>
      </c>
      <c r="X2308" s="9">
        <v>1</v>
      </c>
      <c r="AE2308" s="9">
        <f>IFERROR(VLOOKUP($A2308,pivot!$A:$G,計算式2026!AE$1,FALSE),0)</f>
        <v>0</v>
      </c>
      <c r="AF2308" s="9">
        <f>IFERROR(VLOOKUP($A2308,pivot!$A:$I,計算式2026!AF$1,FALSE),0)</f>
        <v>0</v>
      </c>
      <c r="AI2308" s="9">
        <f>IFERROR(VLOOKUP($A2308,pivot!$A:$I,計算式2026!AI$1,FALSE),0)</f>
        <v>0</v>
      </c>
      <c r="AJ2308" s="9">
        <f>IFERROR(VLOOKUP($A2308,pivot!$A:$I,計算式2026!AJ$1,FALSE),0)</f>
        <v>0</v>
      </c>
      <c r="AK2308" s="9">
        <f>IFERROR(VLOOKUP($A2308,pivot!$A:$I,計算式2026!AK$1,FALSE),0)</f>
        <v>0</v>
      </c>
      <c r="AL2308" s="9">
        <f>IFERROR(VLOOKUP($A2308,pivot!$A:$I,計算式2026!AL$1,FALSE),0)</f>
        <v>0</v>
      </c>
      <c r="AR2308" s="8"/>
      <c r="AS2308" s="8"/>
      <c r="AT2308" s="8"/>
      <c r="AU2308" s="8"/>
      <c r="AV2308" s="8"/>
      <c r="AW2308" s="8"/>
      <c r="AX2308" s="8"/>
      <c r="AY2308" s="8"/>
      <c r="AZ2308" s="8"/>
      <c r="BA2308" s="8"/>
      <c r="BB2308" s="8"/>
      <c r="BC2308" s="8"/>
      <c r="BD2308" s="8"/>
      <c r="BE2308" s="8"/>
      <c r="BF2308" s="8"/>
      <c r="BG2308" s="8"/>
    </row>
    <row r="2309" spans="1:59" s="9" customFormat="1">
      <c r="A2309" s="8" t="s">
        <v>1402</v>
      </c>
      <c r="B2309" s="8" t="s">
        <v>1398</v>
      </c>
      <c r="C2309" s="9">
        <v>0</v>
      </c>
      <c r="D2309" s="9">
        <v>0</v>
      </c>
      <c r="E2309" s="9">
        <v>0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R2309" s="9">
        <v>0</v>
      </c>
      <c r="S2309" s="9">
        <v>3</v>
      </c>
      <c r="T2309" s="9">
        <v>1</v>
      </c>
      <c r="U2309" s="9">
        <v>0</v>
      </c>
      <c r="V2309" s="9">
        <v>3</v>
      </c>
      <c r="W2309" s="9">
        <v>0</v>
      </c>
      <c r="X2309" s="9">
        <v>1</v>
      </c>
      <c r="AE2309" s="9">
        <f>IFERROR(VLOOKUP($A2309,pivot!$A:$G,計算式2026!AE$1,FALSE),0)</f>
        <v>0</v>
      </c>
      <c r="AF2309" s="9">
        <f>IFERROR(VLOOKUP($A2309,pivot!$A:$I,計算式2026!AF$1,FALSE),0)</f>
        <v>0</v>
      </c>
      <c r="AI2309" s="9">
        <f>IFERROR(VLOOKUP($A2309,pivot!$A:$I,計算式2026!AI$1,FALSE),0)</f>
        <v>0</v>
      </c>
      <c r="AJ2309" s="9">
        <f>IFERROR(VLOOKUP($A2309,pivot!$A:$I,計算式2026!AJ$1,FALSE),0)</f>
        <v>0</v>
      </c>
      <c r="AK2309" s="9">
        <f>IFERROR(VLOOKUP($A2309,pivot!$A:$I,計算式2026!AK$1,FALSE),0)</f>
        <v>0</v>
      </c>
      <c r="AL2309" s="9">
        <f>IFERROR(VLOOKUP($A2309,pivot!$A:$I,計算式2026!AL$1,FALSE),0)</f>
        <v>0</v>
      </c>
      <c r="AR2309" s="8"/>
      <c r="AS2309" s="8"/>
      <c r="AT2309" s="8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8"/>
      <c r="BG2309" s="8"/>
    </row>
    <row r="2310" spans="1:59" s="9" customFormat="1">
      <c r="A2310" s="8" t="s">
        <v>1403</v>
      </c>
      <c r="B2310" s="8" t="s">
        <v>1398</v>
      </c>
      <c r="C2310" s="9">
        <v>0</v>
      </c>
      <c r="D2310" s="9">
        <v>0</v>
      </c>
      <c r="E2310" s="9">
        <v>0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R2310" s="9">
        <v>0</v>
      </c>
      <c r="S2310" s="9">
        <v>1</v>
      </c>
      <c r="T2310" s="9">
        <v>1</v>
      </c>
      <c r="U2310" s="9">
        <v>0</v>
      </c>
      <c r="V2310" s="9">
        <v>1</v>
      </c>
      <c r="W2310" s="9">
        <v>0</v>
      </c>
      <c r="X2310" s="9">
        <v>1</v>
      </c>
      <c r="AE2310" s="9">
        <f>IFERROR(VLOOKUP($A2310,pivot!$A:$G,計算式2026!AE$1,FALSE),0)</f>
        <v>0</v>
      </c>
      <c r="AF2310" s="9">
        <f>IFERROR(VLOOKUP($A2310,pivot!$A:$I,計算式2026!AF$1,FALSE),0)</f>
        <v>0</v>
      </c>
      <c r="AI2310" s="9">
        <f>IFERROR(VLOOKUP($A2310,pivot!$A:$I,計算式2026!AI$1,FALSE),0)</f>
        <v>0</v>
      </c>
      <c r="AJ2310" s="9">
        <f>IFERROR(VLOOKUP($A2310,pivot!$A:$I,計算式2026!AJ$1,FALSE),0)</f>
        <v>0</v>
      </c>
      <c r="AK2310" s="9">
        <f>IFERROR(VLOOKUP($A2310,pivot!$A:$I,計算式2026!AK$1,FALSE),0)</f>
        <v>0</v>
      </c>
      <c r="AL2310" s="9">
        <f>IFERROR(VLOOKUP($A2310,pivot!$A:$I,計算式2026!AL$1,FALSE),0)</f>
        <v>0</v>
      </c>
      <c r="AR2310" s="8"/>
      <c r="AS2310" s="8"/>
      <c r="AT2310" s="8"/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8"/>
      <c r="BF2310" s="8"/>
      <c r="BG2310" s="8"/>
    </row>
    <row r="2311" spans="1:59" s="9" customFormat="1">
      <c r="A2311" s="8">
        <v>8981103034</v>
      </c>
      <c r="B2311" s="8" t="s">
        <v>1404</v>
      </c>
      <c r="C2311" s="9">
        <v>4</v>
      </c>
      <c r="D2311" s="9">
        <v>0</v>
      </c>
      <c r="E2311" s="9">
        <v>0</v>
      </c>
      <c r="F2311" s="9">
        <v>0</v>
      </c>
      <c r="G2311" s="9">
        <v>0</v>
      </c>
      <c r="H2311" s="9">
        <v>0</v>
      </c>
      <c r="I2311" s="9">
        <v>0</v>
      </c>
      <c r="J2311" s="9">
        <v>0</v>
      </c>
      <c r="K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1</v>
      </c>
      <c r="W2311" s="9">
        <v>0</v>
      </c>
      <c r="X2311" s="9">
        <v>1</v>
      </c>
      <c r="AE2311" s="9">
        <f>IFERROR(VLOOKUP($A2311,pivot!$A:$G,計算式2026!AE$1,FALSE),0)</f>
        <v>0</v>
      </c>
      <c r="AF2311" s="9">
        <f>IFERROR(VLOOKUP($A2311,pivot!$A:$I,計算式2026!AF$1,FALSE),0)</f>
        <v>0</v>
      </c>
      <c r="AI2311" s="9">
        <f>IFERROR(VLOOKUP($A2311,pivot!$A:$I,計算式2026!AI$1,FALSE),0)</f>
        <v>0</v>
      </c>
      <c r="AJ2311" s="9">
        <f>IFERROR(VLOOKUP($A2311,pivot!$A:$I,計算式2026!AJ$1,FALSE),0)</f>
        <v>0</v>
      </c>
      <c r="AK2311" s="9">
        <f>IFERROR(VLOOKUP($A2311,pivot!$A:$I,計算式2026!AK$1,FALSE),0)</f>
        <v>0</v>
      </c>
      <c r="AL2311" s="9">
        <f>IFERROR(VLOOKUP($A2311,pivot!$A:$I,計算式2026!AL$1,FALSE),0)</f>
        <v>0</v>
      </c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8"/>
      <c r="BG2311" s="8"/>
    </row>
    <row r="2312" spans="1:59" s="9" customFormat="1">
      <c r="A2312" s="8">
        <v>8981103036</v>
      </c>
      <c r="B2312" s="8" t="s">
        <v>1404</v>
      </c>
      <c r="C2312" s="9">
        <v>5</v>
      </c>
      <c r="D2312" s="9">
        <v>0</v>
      </c>
      <c r="E2312" s="9">
        <v>0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R2312" s="9">
        <v>0</v>
      </c>
      <c r="S2312" s="9">
        <v>0</v>
      </c>
      <c r="T2312" s="9">
        <v>1</v>
      </c>
      <c r="U2312" s="9">
        <v>0</v>
      </c>
      <c r="V2312" s="9">
        <v>1</v>
      </c>
      <c r="W2312" s="9">
        <v>0</v>
      </c>
      <c r="X2312" s="9">
        <v>1</v>
      </c>
      <c r="AE2312" s="9">
        <f>IFERROR(VLOOKUP($A2312,pivot!$A:$G,計算式2026!AE$1,FALSE),0)</f>
        <v>0</v>
      </c>
      <c r="AF2312" s="9">
        <f>IFERROR(VLOOKUP($A2312,pivot!$A:$I,計算式2026!AF$1,FALSE),0)</f>
        <v>0</v>
      </c>
      <c r="AI2312" s="9">
        <f>IFERROR(VLOOKUP($A2312,pivot!$A:$I,計算式2026!AI$1,FALSE),0)</f>
        <v>0</v>
      </c>
      <c r="AJ2312" s="9">
        <f>IFERROR(VLOOKUP($A2312,pivot!$A:$I,計算式2026!AJ$1,FALSE),0)</f>
        <v>0</v>
      </c>
      <c r="AK2312" s="9">
        <f>IFERROR(VLOOKUP($A2312,pivot!$A:$I,計算式2026!AK$1,FALSE),0)</f>
        <v>0</v>
      </c>
      <c r="AL2312" s="9">
        <f>IFERROR(VLOOKUP($A2312,pivot!$A:$I,計算式2026!AL$1,FALSE),0)</f>
        <v>0</v>
      </c>
      <c r="AR2312" s="8"/>
      <c r="AS2312" s="8"/>
      <c r="AT2312" s="8"/>
      <c r="AU2312" s="8"/>
      <c r="AV2312" s="8"/>
      <c r="AW2312" s="8"/>
      <c r="AX2312" s="8"/>
      <c r="AY2312" s="8"/>
      <c r="AZ2312" s="8"/>
      <c r="BA2312" s="8"/>
      <c r="BB2312" s="8"/>
      <c r="BC2312" s="8"/>
      <c r="BD2312" s="8"/>
      <c r="BE2312" s="8"/>
      <c r="BF2312" s="8"/>
      <c r="BG2312" s="8"/>
    </row>
    <row r="2313" spans="1:59" s="9" customFormat="1">
      <c r="A2313" s="8">
        <v>8981103038</v>
      </c>
      <c r="B2313" s="8" t="s">
        <v>1404</v>
      </c>
      <c r="C2313" s="9">
        <v>0</v>
      </c>
      <c r="D2313" s="9">
        <v>0</v>
      </c>
      <c r="E2313" s="9">
        <v>0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R2313" s="9">
        <v>0</v>
      </c>
      <c r="S2313" s="9">
        <v>0</v>
      </c>
      <c r="T2313" s="9">
        <v>1</v>
      </c>
      <c r="U2313" s="9">
        <v>0</v>
      </c>
      <c r="V2313" s="9">
        <v>1</v>
      </c>
      <c r="W2313" s="9">
        <v>0</v>
      </c>
      <c r="X2313" s="9">
        <v>1</v>
      </c>
      <c r="AE2313" s="9">
        <f>IFERROR(VLOOKUP($A2313,pivot!$A:$G,計算式2026!AE$1,FALSE),0)</f>
        <v>0</v>
      </c>
      <c r="AF2313" s="9">
        <f>IFERROR(VLOOKUP($A2313,pivot!$A:$I,計算式2026!AF$1,FALSE),0)</f>
        <v>0</v>
      </c>
      <c r="AI2313" s="9">
        <f>IFERROR(VLOOKUP($A2313,pivot!$A:$I,計算式2026!AI$1,FALSE),0)</f>
        <v>0</v>
      </c>
      <c r="AJ2313" s="9">
        <f>IFERROR(VLOOKUP($A2313,pivot!$A:$I,計算式2026!AJ$1,FALSE),0)</f>
        <v>0</v>
      </c>
      <c r="AK2313" s="9">
        <f>IFERROR(VLOOKUP($A2313,pivot!$A:$I,計算式2026!AK$1,FALSE),0)</f>
        <v>0</v>
      </c>
      <c r="AL2313" s="9">
        <f>IFERROR(VLOOKUP($A2313,pivot!$A:$I,計算式2026!AL$1,FALSE),0)</f>
        <v>0</v>
      </c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</row>
    <row r="2314" spans="1:59" s="9" customFormat="1">
      <c r="A2314" s="8">
        <v>8981121734</v>
      </c>
      <c r="B2314" s="8" t="s">
        <v>1404</v>
      </c>
      <c r="C2314" s="9">
        <v>11</v>
      </c>
      <c r="D2314" s="9">
        <v>0</v>
      </c>
      <c r="E2314" s="9">
        <v>0</v>
      </c>
      <c r="F2314" s="9">
        <v>0</v>
      </c>
      <c r="G2314" s="9">
        <v>0</v>
      </c>
      <c r="H2314" s="9">
        <v>0</v>
      </c>
      <c r="I2314" s="9">
        <v>0</v>
      </c>
      <c r="J2314" s="9">
        <v>0</v>
      </c>
      <c r="K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1</v>
      </c>
      <c r="W2314" s="9">
        <v>0</v>
      </c>
      <c r="X2314" s="9">
        <v>1</v>
      </c>
      <c r="AE2314" s="9">
        <f>IFERROR(VLOOKUP($A2314,pivot!$A:$G,計算式2026!AE$1,FALSE),0)</f>
        <v>0</v>
      </c>
      <c r="AF2314" s="9">
        <f>IFERROR(VLOOKUP($A2314,pivot!$A:$I,計算式2026!AF$1,FALSE),0)</f>
        <v>0</v>
      </c>
      <c r="AI2314" s="9">
        <f>IFERROR(VLOOKUP($A2314,pivot!$A:$I,計算式2026!AI$1,FALSE),0)</f>
        <v>0</v>
      </c>
      <c r="AJ2314" s="9">
        <f>IFERROR(VLOOKUP($A2314,pivot!$A:$I,計算式2026!AJ$1,FALSE),0)</f>
        <v>0</v>
      </c>
      <c r="AK2314" s="9">
        <f>IFERROR(VLOOKUP($A2314,pivot!$A:$I,計算式2026!AK$1,FALSE),0)</f>
        <v>0</v>
      </c>
      <c r="AL2314" s="9">
        <f>IFERROR(VLOOKUP($A2314,pivot!$A:$I,計算式2026!AL$1,FALSE),0)</f>
        <v>0</v>
      </c>
      <c r="AR2314" s="8"/>
      <c r="AS2314" s="8"/>
      <c r="AT2314" s="8"/>
      <c r="AU2314" s="8"/>
      <c r="AV2314" s="8"/>
      <c r="AW2314" s="8"/>
      <c r="AX2314" s="8"/>
      <c r="AY2314" s="8"/>
      <c r="AZ2314" s="8"/>
      <c r="BA2314" s="8"/>
      <c r="BB2314" s="8"/>
      <c r="BC2314" s="8"/>
      <c r="BD2314" s="8"/>
      <c r="BE2314" s="8"/>
      <c r="BF2314" s="8"/>
      <c r="BG2314" s="8"/>
    </row>
    <row r="2315" spans="1:59" s="9" customFormat="1">
      <c r="A2315" s="8">
        <v>8981121736</v>
      </c>
      <c r="B2315" s="8" t="s">
        <v>1404</v>
      </c>
      <c r="C2315" s="9">
        <v>4</v>
      </c>
      <c r="D2315" s="9">
        <v>0</v>
      </c>
      <c r="E2315" s="9">
        <v>0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1</v>
      </c>
      <c r="W2315" s="9">
        <v>0</v>
      </c>
      <c r="X2315" s="9">
        <v>1</v>
      </c>
      <c r="AE2315" s="9">
        <f>IFERROR(VLOOKUP($A2315,pivot!$A:$G,計算式2026!AE$1,FALSE),0)</f>
        <v>0</v>
      </c>
      <c r="AF2315" s="9">
        <f>IFERROR(VLOOKUP($A2315,pivot!$A:$I,計算式2026!AF$1,FALSE),0)</f>
        <v>0</v>
      </c>
      <c r="AI2315" s="9">
        <f>IFERROR(VLOOKUP($A2315,pivot!$A:$I,計算式2026!AI$1,FALSE),0)</f>
        <v>0</v>
      </c>
      <c r="AJ2315" s="9">
        <f>IFERROR(VLOOKUP($A2315,pivot!$A:$I,計算式2026!AJ$1,FALSE),0)</f>
        <v>0</v>
      </c>
      <c r="AK2315" s="9">
        <f>IFERROR(VLOOKUP($A2315,pivot!$A:$I,計算式2026!AK$1,FALSE),0)</f>
        <v>0</v>
      </c>
      <c r="AL2315" s="9">
        <f>IFERROR(VLOOKUP($A2315,pivot!$A:$I,計算式2026!AL$1,FALSE),0)</f>
        <v>0</v>
      </c>
      <c r="AR2315" s="8"/>
      <c r="AS2315" s="8"/>
      <c r="AT2315" s="8"/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8"/>
      <c r="BF2315" s="8"/>
      <c r="BG2315" s="8"/>
    </row>
    <row r="2316" spans="1:59" s="9" customFormat="1">
      <c r="A2316" s="8">
        <v>8981121738</v>
      </c>
      <c r="B2316" s="8" t="s">
        <v>1404</v>
      </c>
      <c r="C2316" s="9">
        <v>3</v>
      </c>
      <c r="D2316" s="9">
        <v>0</v>
      </c>
      <c r="E2316" s="9">
        <v>0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1</v>
      </c>
      <c r="W2316" s="9">
        <v>0</v>
      </c>
      <c r="X2316" s="9">
        <v>1</v>
      </c>
      <c r="AE2316" s="9">
        <f>IFERROR(VLOOKUP($A2316,pivot!$A:$G,計算式2026!AE$1,FALSE),0)</f>
        <v>0</v>
      </c>
      <c r="AF2316" s="9">
        <f>IFERROR(VLOOKUP($A2316,pivot!$A:$I,計算式2026!AF$1,FALSE),0)</f>
        <v>0</v>
      </c>
      <c r="AI2316" s="9">
        <f>IFERROR(VLOOKUP($A2316,pivot!$A:$I,計算式2026!AI$1,FALSE),0)</f>
        <v>0</v>
      </c>
      <c r="AJ2316" s="9">
        <f>IFERROR(VLOOKUP($A2316,pivot!$A:$I,計算式2026!AJ$1,FALSE),0)</f>
        <v>0</v>
      </c>
      <c r="AK2316" s="9">
        <f>IFERROR(VLOOKUP($A2316,pivot!$A:$I,計算式2026!AK$1,FALSE),0)</f>
        <v>0</v>
      </c>
      <c r="AL2316" s="9">
        <f>IFERROR(VLOOKUP($A2316,pivot!$A:$I,計算式2026!AL$1,FALSE),0)</f>
        <v>0</v>
      </c>
      <c r="AR2316" s="8"/>
      <c r="AS2316" s="8"/>
      <c r="AT2316" s="8"/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8"/>
      <c r="BF2316" s="8"/>
      <c r="BG2316" s="8"/>
    </row>
    <row r="2317" spans="1:59" s="9" customFormat="1">
      <c r="A2317" s="8">
        <v>8981123534</v>
      </c>
      <c r="B2317" s="8" t="s">
        <v>1404</v>
      </c>
      <c r="C2317" s="9">
        <v>16</v>
      </c>
      <c r="D2317" s="9">
        <v>4</v>
      </c>
      <c r="E2317" s="9">
        <v>0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1</v>
      </c>
      <c r="W2317" s="9">
        <v>0</v>
      </c>
      <c r="X2317" s="9">
        <v>1</v>
      </c>
      <c r="AE2317" s="9">
        <f>IFERROR(VLOOKUP($A2317,pivot!$A:$G,計算式2026!AE$1,FALSE),0)</f>
        <v>0</v>
      </c>
      <c r="AF2317" s="9">
        <f>IFERROR(VLOOKUP($A2317,pivot!$A:$I,計算式2026!AF$1,FALSE),0)</f>
        <v>0</v>
      </c>
      <c r="AI2317" s="9">
        <f>IFERROR(VLOOKUP($A2317,pivot!$A:$I,計算式2026!AI$1,FALSE),0)</f>
        <v>0</v>
      </c>
      <c r="AJ2317" s="9">
        <f>IFERROR(VLOOKUP($A2317,pivot!$A:$I,計算式2026!AJ$1,FALSE),0)</f>
        <v>0</v>
      </c>
      <c r="AK2317" s="9">
        <f>IFERROR(VLOOKUP($A2317,pivot!$A:$I,計算式2026!AK$1,FALSE),0)</f>
        <v>0</v>
      </c>
      <c r="AL2317" s="9">
        <f>IFERROR(VLOOKUP($A2317,pivot!$A:$I,計算式2026!AL$1,FALSE),0)</f>
        <v>0</v>
      </c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</row>
    <row r="2318" spans="1:59" s="9" customFormat="1">
      <c r="A2318" s="8">
        <v>8981123536</v>
      </c>
      <c r="B2318" s="8" t="s">
        <v>1404</v>
      </c>
      <c r="C2318" s="9">
        <v>13</v>
      </c>
      <c r="D2318" s="9">
        <v>5</v>
      </c>
      <c r="E2318" s="9">
        <v>0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R2318" s="9">
        <v>0</v>
      </c>
      <c r="S2318" s="9">
        <v>0</v>
      </c>
      <c r="T2318" s="9">
        <v>1</v>
      </c>
      <c r="U2318" s="9">
        <v>0</v>
      </c>
      <c r="V2318" s="9">
        <v>1</v>
      </c>
      <c r="W2318" s="9">
        <v>0</v>
      </c>
      <c r="X2318" s="9">
        <v>1</v>
      </c>
      <c r="AE2318" s="9">
        <f>IFERROR(VLOOKUP($A2318,pivot!$A:$G,計算式2026!AE$1,FALSE),0)</f>
        <v>0</v>
      </c>
      <c r="AF2318" s="9">
        <f>IFERROR(VLOOKUP($A2318,pivot!$A:$I,計算式2026!AF$1,FALSE),0)</f>
        <v>0</v>
      </c>
      <c r="AI2318" s="9">
        <f>IFERROR(VLOOKUP($A2318,pivot!$A:$I,計算式2026!AI$1,FALSE),0)</f>
        <v>0</v>
      </c>
      <c r="AJ2318" s="9">
        <f>IFERROR(VLOOKUP($A2318,pivot!$A:$I,計算式2026!AJ$1,FALSE),0)</f>
        <v>0</v>
      </c>
      <c r="AK2318" s="9">
        <f>IFERROR(VLOOKUP($A2318,pivot!$A:$I,計算式2026!AK$1,FALSE),0)</f>
        <v>0</v>
      </c>
      <c r="AL2318" s="9">
        <f>IFERROR(VLOOKUP($A2318,pivot!$A:$I,計算式2026!AL$1,FALSE),0)</f>
        <v>0</v>
      </c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</row>
    <row r="2319" spans="1:59" s="9" customFormat="1">
      <c r="A2319" s="8">
        <v>8981123538</v>
      </c>
      <c r="B2319" s="8" t="s">
        <v>1404</v>
      </c>
      <c r="C2319" s="9">
        <v>5</v>
      </c>
      <c r="D2319" s="9">
        <v>0</v>
      </c>
      <c r="E2319" s="9">
        <v>0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R2319" s="9">
        <v>0</v>
      </c>
      <c r="S2319" s="9">
        <v>0</v>
      </c>
      <c r="T2319" s="9">
        <v>1</v>
      </c>
      <c r="U2319" s="9">
        <v>0</v>
      </c>
      <c r="V2319" s="9">
        <v>1</v>
      </c>
      <c r="W2319" s="9">
        <v>0</v>
      </c>
      <c r="X2319" s="9">
        <v>1</v>
      </c>
      <c r="AE2319" s="9">
        <f>IFERROR(VLOOKUP($A2319,pivot!$A:$G,計算式2026!AE$1,FALSE),0)</f>
        <v>0</v>
      </c>
      <c r="AF2319" s="9">
        <f>IFERROR(VLOOKUP($A2319,pivot!$A:$I,計算式2026!AF$1,FALSE),0)</f>
        <v>0</v>
      </c>
      <c r="AI2319" s="9">
        <f>IFERROR(VLOOKUP($A2319,pivot!$A:$I,計算式2026!AI$1,FALSE),0)</f>
        <v>0</v>
      </c>
      <c r="AJ2319" s="9">
        <f>IFERROR(VLOOKUP($A2319,pivot!$A:$I,計算式2026!AJ$1,FALSE),0)</f>
        <v>0</v>
      </c>
      <c r="AK2319" s="9">
        <f>IFERROR(VLOOKUP($A2319,pivot!$A:$I,計算式2026!AK$1,FALSE),0)</f>
        <v>0</v>
      </c>
      <c r="AL2319" s="9">
        <f>IFERROR(VLOOKUP($A2319,pivot!$A:$I,計算式2026!AL$1,FALSE),0)</f>
        <v>0</v>
      </c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</row>
    <row r="2320" spans="1:59" s="9" customFormat="1">
      <c r="A2320" s="8" t="s">
        <v>2490</v>
      </c>
      <c r="B2320" s="8" t="s">
        <v>2491</v>
      </c>
      <c r="C2320" s="9">
        <v>2</v>
      </c>
      <c r="D2320" s="9">
        <v>0</v>
      </c>
      <c r="E2320" s="9">
        <v>0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R2320" s="9">
        <v>0</v>
      </c>
      <c r="S2320" s="9">
        <v>1</v>
      </c>
      <c r="T2320" s="9">
        <v>1</v>
      </c>
      <c r="U2320" s="9">
        <v>0</v>
      </c>
      <c r="V2320" s="9">
        <v>0</v>
      </c>
      <c r="W2320" s="9">
        <v>0</v>
      </c>
      <c r="X2320" s="9">
        <v>1</v>
      </c>
      <c r="AE2320" s="9">
        <f>IFERROR(VLOOKUP($A2320,pivot!$A:$G,計算式2026!AE$1,FALSE),0)</f>
        <v>0</v>
      </c>
      <c r="AF2320" s="9">
        <f>IFERROR(VLOOKUP($A2320,pivot!$A:$I,計算式2026!AF$1,FALSE),0)</f>
        <v>0</v>
      </c>
      <c r="AI2320" s="9">
        <f>IFERROR(VLOOKUP($A2320,pivot!$A:$I,計算式2026!AI$1,FALSE),0)</f>
        <v>0</v>
      </c>
      <c r="AJ2320" s="9">
        <f>IFERROR(VLOOKUP($A2320,pivot!$A:$I,計算式2026!AJ$1,FALSE),0)</f>
        <v>0</v>
      </c>
      <c r="AK2320" s="9">
        <f>IFERROR(VLOOKUP($A2320,pivot!$A:$I,計算式2026!AK$1,FALSE),0)</f>
        <v>0</v>
      </c>
      <c r="AL2320" s="9">
        <f>IFERROR(VLOOKUP($A2320,pivot!$A:$I,計算式2026!AL$1,FALSE),0)</f>
        <v>0</v>
      </c>
      <c r="AR2320" s="8"/>
      <c r="AS2320" s="8"/>
      <c r="AT2320" s="8"/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8"/>
      <c r="BF2320" s="8"/>
      <c r="BG2320" s="8"/>
    </row>
    <row r="2321" spans="1:59" s="9" customFormat="1">
      <c r="A2321" s="8" t="s">
        <v>2492</v>
      </c>
      <c r="B2321" s="8" t="s">
        <v>2491</v>
      </c>
      <c r="C2321" s="9">
        <v>2</v>
      </c>
      <c r="D2321" s="9">
        <v>1</v>
      </c>
      <c r="E2321" s="9">
        <v>0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R2321" s="9">
        <v>0</v>
      </c>
      <c r="S2321" s="9">
        <v>2</v>
      </c>
      <c r="T2321" s="9">
        <v>1</v>
      </c>
      <c r="U2321" s="9">
        <v>0</v>
      </c>
      <c r="V2321" s="9">
        <v>2</v>
      </c>
      <c r="W2321" s="9">
        <v>0</v>
      </c>
      <c r="X2321" s="9">
        <v>1</v>
      </c>
      <c r="AE2321" s="9">
        <f>IFERROR(VLOOKUP($A2321,pivot!$A:$G,計算式2026!AE$1,FALSE),0)</f>
        <v>0</v>
      </c>
      <c r="AF2321" s="9">
        <f>IFERROR(VLOOKUP($A2321,pivot!$A:$I,計算式2026!AF$1,FALSE),0)</f>
        <v>0</v>
      </c>
      <c r="AI2321" s="9">
        <f>IFERROR(VLOOKUP($A2321,pivot!$A:$I,計算式2026!AI$1,FALSE),0)</f>
        <v>0</v>
      </c>
      <c r="AJ2321" s="9">
        <f>IFERROR(VLOOKUP($A2321,pivot!$A:$I,計算式2026!AJ$1,FALSE),0)</f>
        <v>0</v>
      </c>
      <c r="AK2321" s="9">
        <f>IFERROR(VLOOKUP($A2321,pivot!$A:$I,計算式2026!AK$1,FALSE),0)</f>
        <v>0</v>
      </c>
      <c r="AL2321" s="9">
        <f>IFERROR(VLOOKUP($A2321,pivot!$A:$I,計算式2026!AL$1,FALSE),0)</f>
        <v>0</v>
      </c>
      <c r="AR2321" s="8"/>
      <c r="AS2321" s="8"/>
      <c r="AT2321" s="8"/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8"/>
      <c r="BF2321" s="8"/>
      <c r="BG2321" s="8"/>
    </row>
    <row r="2322" spans="1:59" s="9" customFormat="1">
      <c r="A2322" s="8" t="s">
        <v>2493</v>
      </c>
      <c r="B2322" s="8" t="s">
        <v>2491</v>
      </c>
      <c r="C2322" s="9">
        <v>1</v>
      </c>
      <c r="D2322" s="9">
        <v>0</v>
      </c>
      <c r="E2322" s="9">
        <v>0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R2322" s="9">
        <v>0</v>
      </c>
      <c r="S2322" s="9">
        <v>1</v>
      </c>
      <c r="T2322" s="9">
        <v>0</v>
      </c>
      <c r="U2322" s="9">
        <v>0</v>
      </c>
      <c r="V2322" s="9">
        <v>1</v>
      </c>
      <c r="W2322" s="9">
        <v>0</v>
      </c>
      <c r="X2322" s="9">
        <v>1</v>
      </c>
      <c r="AE2322" s="9">
        <f>IFERROR(VLOOKUP($A2322,pivot!$A:$G,計算式2026!AE$1,FALSE),0)</f>
        <v>0</v>
      </c>
      <c r="AF2322" s="9">
        <f>IFERROR(VLOOKUP($A2322,pivot!$A:$I,計算式2026!AF$1,FALSE),0)</f>
        <v>0</v>
      </c>
      <c r="AI2322" s="9">
        <f>IFERROR(VLOOKUP($A2322,pivot!$A:$I,計算式2026!AI$1,FALSE),0)</f>
        <v>0</v>
      </c>
      <c r="AJ2322" s="9">
        <f>IFERROR(VLOOKUP($A2322,pivot!$A:$I,計算式2026!AJ$1,FALSE),0)</f>
        <v>0</v>
      </c>
      <c r="AK2322" s="9">
        <f>IFERROR(VLOOKUP($A2322,pivot!$A:$I,計算式2026!AK$1,FALSE),0)</f>
        <v>0</v>
      </c>
      <c r="AL2322" s="9">
        <f>IFERROR(VLOOKUP($A2322,pivot!$A:$I,計算式2026!AL$1,FALSE),0)</f>
        <v>0</v>
      </c>
      <c r="AR2322" s="8"/>
      <c r="AS2322" s="8"/>
      <c r="AT2322" s="8"/>
      <c r="AU2322" s="8"/>
      <c r="AV2322" s="8"/>
      <c r="AW2322" s="8"/>
      <c r="AX2322" s="8"/>
      <c r="AY2322" s="8"/>
      <c r="AZ2322" s="8"/>
      <c r="BA2322" s="8"/>
      <c r="BB2322" s="8"/>
      <c r="BC2322" s="8"/>
      <c r="BD2322" s="8"/>
      <c r="BE2322" s="8"/>
      <c r="BF2322" s="8"/>
      <c r="BG2322" s="8"/>
    </row>
    <row r="2323" spans="1:59" s="9" customFormat="1">
      <c r="A2323" s="8" t="s">
        <v>2494</v>
      </c>
      <c r="B2323" s="8" t="s">
        <v>2491</v>
      </c>
      <c r="C2323" s="9">
        <v>2</v>
      </c>
      <c r="D2323" s="9">
        <v>1</v>
      </c>
      <c r="E2323" s="9">
        <v>0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R2323" s="9">
        <v>0</v>
      </c>
      <c r="S2323" s="9">
        <v>2</v>
      </c>
      <c r="T2323" s="9">
        <v>1</v>
      </c>
      <c r="U2323" s="9">
        <v>0</v>
      </c>
      <c r="V2323" s="9">
        <v>2</v>
      </c>
      <c r="W2323" s="9">
        <v>0</v>
      </c>
      <c r="X2323" s="9">
        <v>1</v>
      </c>
      <c r="AE2323" s="9">
        <f>IFERROR(VLOOKUP($A2323,pivot!$A:$G,計算式2026!AE$1,FALSE),0)</f>
        <v>0</v>
      </c>
      <c r="AF2323" s="9">
        <f>IFERROR(VLOOKUP($A2323,pivot!$A:$I,計算式2026!AF$1,FALSE),0)</f>
        <v>0</v>
      </c>
      <c r="AI2323" s="9">
        <f>IFERROR(VLOOKUP($A2323,pivot!$A:$I,計算式2026!AI$1,FALSE),0)</f>
        <v>0</v>
      </c>
      <c r="AJ2323" s="9">
        <f>IFERROR(VLOOKUP($A2323,pivot!$A:$I,計算式2026!AJ$1,FALSE),0)</f>
        <v>0</v>
      </c>
      <c r="AK2323" s="9">
        <f>IFERROR(VLOOKUP($A2323,pivot!$A:$I,計算式2026!AK$1,FALSE),0)</f>
        <v>0</v>
      </c>
      <c r="AL2323" s="9">
        <f>IFERROR(VLOOKUP($A2323,pivot!$A:$I,計算式2026!AL$1,FALSE),0)</f>
        <v>0</v>
      </c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</row>
    <row r="2324" spans="1:59" s="9" customFormat="1">
      <c r="A2324" s="8" t="s">
        <v>2495</v>
      </c>
      <c r="B2324" s="8" t="s">
        <v>2491</v>
      </c>
      <c r="C2324" s="9">
        <v>2</v>
      </c>
      <c r="D2324" s="9">
        <v>5</v>
      </c>
      <c r="E2324" s="9">
        <v>0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R2324" s="9">
        <v>0</v>
      </c>
      <c r="S2324" s="9">
        <v>2</v>
      </c>
      <c r="T2324" s="9">
        <v>1</v>
      </c>
      <c r="U2324" s="9">
        <v>0</v>
      </c>
      <c r="V2324" s="9">
        <v>2</v>
      </c>
      <c r="W2324" s="9">
        <v>0</v>
      </c>
      <c r="X2324" s="9">
        <v>1</v>
      </c>
      <c r="AE2324" s="9">
        <f>IFERROR(VLOOKUP($A2324,pivot!$A:$G,計算式2026!AE$1,FALSE),0)</f>
        <v>0</v>
      </c>
      <c r="AF2324" s="9">
        <f>IFERROR(VLOOKUP($A2324,pivot!$A:$I,計算式2026!AF$1,FALSE),0)</f>
        <v>0</v>
      </c>
      <c r="AI2324" s="9">
        <f>IFERROR(VLOOKUP($A2324,pivot!$A:$I,計算式2026!AI$1,FALSE),0)</f>
        <v>0</v>
      </c>
      <c r="AJ2324" s="9">
        <f>IFERROR(VLOOKUP($A2324,pivot!$A:$I,計算式2026!AJ$1,FALSE),0)</f>
        <v>0</v>
      </c>
      <c r="AK2324" s="9">
        <f>IFERROR(VLOOKUP($A2324,pivot!$A:$I,計算式2026!AK$1,FALSE),0)</f>
        <v>0</v>
      </c>
      <c r="AL2324" s="9">
        <f>IFERROR(VLOOKUP($A2324,pivot!$A:$I,計算式2026!AL$1,FALSE),0)</f>
        <v>0</v>
      </c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8"/>
      <c r="BG2324" s="8"/>
    </row>
    <row r="2325" spans="1:59" s="9" customFormat="1">
      <c r="A2325" s="8" t="s">
        <v>2496</v>
      </c>
      <c r="B2325" s="8" t="s">
        <v>2491</v>
      </c>
      <c r="C2325" s="9">
        <v>1</v>
      </c>
      <c r="D2325" s="9">
        <v>2</v>
      </c>
      <c r="E2325" s="9">
        <v>0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R2325" s="9">
        <v>0</v>
      </c>
      <c r="S2325" s="9">
        <v>1</v>
      </c>
      <c r="T2325" s="9">
        <v>0</v>
      </c>
      <c r="U2325" s="9">
        <v>0</v>
      </c>
      <c r="V2325" s="9">
        <v>1</v>
      </c>
      <c r="W2325" s="9">
        <v>0</v>
      </c>
      <c r="X2325" s="9">
        <v>1</v>
      </c>
      <c r="AE2325" s="9">
        <f>IFERROR(VLOOKUP($A2325,pivot!$A:$G,計算式2026!AE$1,FALSE),0)</f>
        <v>0</v>
      </c>
      <c r="AF2325" s="9">
        <f>IFERROR(VLOOKUP($A2325,pivot!$A:$I,計算式2026!AF$1,FALSE),0)</f>
        <v>0</v>
      </c>
      <c r="AI2325" s="9">
        <f>IFERROR(VLOOKUP($A2325,pivot!$A:$I,計算式2026!AI$1,FALSE),0)</f>
        <v>0</v>
      </c>
      <c r="AJ2325" s="9">
        <f>IFERROR(VLOOKUP($A2325,pivot!$A:$I,計算式2026!AJ$1,FALSE),0)</f>
        <v>0</v>
      </c>
      <c r="AK2325" s="9">
        <f>IFERROR(VLOOKUP($A2325,pivot!$A:$I,計算式2026!AK$1,FALSE),0)</f>
        <v>0</v>
      </c>
      <c r="AL2325" s="9">
        <f>IFERROR(VLOOKUP($A2325,pivot!$A:$I,計算式2026!AL$1,FALSE),0)</f>
        <v>0</v>
      </c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8"/>
      <c r="BF2325" s="8"/>
      <c r="BG2325" s="8"/>
    </row>
    <row r="2326" spans="1:59" s="9" customFormat="1">
      <c r="A2326" s="8" t="s">
        <v>2896</v>
      </c>
      <c r="B2326" s="8" t="s">
        <v>2633</v>
      </c>
      <c r="C2326" s="9">
        <v>0</v>
      </c>
      <c r="D2326" s="9">
        <v>0</v>
      </c>
      <c r="E2326" s="9">
        <v>0</v>
      </c>
      <c r="F2326" s="9">
        <v>0</v>
      </c>
      <c r="G2326" s="9">
        <v>0</v>
      </c>
      <c r="H2326" s="9">
        <v>0</v>
      </c>
      <c r="I2326" s="9">
        <v>0</v>
      </c>
      <c r="J2326" s="9">
        <v>0</v>
      </c>
      <c r="K2326" s="9">
        <v>0</v>
      </c>
      <c r="R2326" s="9">
        <v>0</v>
      </c>
      <c r="S2326" s="9">
        <v>2</v>
      </c>
      <c r="T2326" s="9">
        <v>1</v>
      </c>
      <c r="U2326" s="9">
        <v>0</v>
      </c>
      <c r="V2326" s="9">
        <v>0</v>
      </c>
      <c r="W2326" s="9">
        <v>0</v>
      </c>
      <c r="X2326" s="9">
        <v>1</v>
      </c>
      <c r="AE2326" s="9">
        <f>IFERROR(VLOOKUP($A2326,pivot!$A:$G,計算式2026!AE$1,FALSE),0)</f>
        <v>0</v>
      </c>
      <c r="AF2326" s="9">
        <f>IFERROR(VLOOKUP($A2326,pivot!$A:$I,計算式2026!AF$1,FALSE),0)</f>
        <v>0</v>
      </c>
      <c r="AI2326" s="9">
        <f>IFERROR(VLOOKUP($A2326,pivot!$A:$I,計算式2026!AI$1,FALSE),0)</f>
        <v>0</v>
      </c>
      <c r="AJ2326" s="9">
        <f>IFERROR(VLOOKUP($A2326,pivot!$A:$I,計算式2026!AJ$1,FALSE),0)</f>
        <v>0</v>
      </c>
      <c r="AK2326" s="9">
        <f>IFERROR(VLOOKUP($A2326,pivot!$A:$I,計算式2026!AK$1,FALSE),0)</f>
        <v>0</v>
      </c>
      <c r="AL2326" s="9">
        <f>IFERROR(VLOOKUP($A2326,pivot!$A:$I,計算式2026!AL$1,FALSE),0)</f>
        <v>0</v>
      </c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</row>
    <row r="2327" spans="1:59" s="9" customFormat="1">
      <c r="A2327" s="8" t="s">
        <v>2897</v>
      </c>
      <c r="B2327" s="8" t="s">
        <v>2633</v>
      </c>
      <c r="C2327" s="9">
        <v>0</v>
      </c>
      <c r="D2327" s="9">
        <v>0</v>
      </c>
      <c r="E2327" s="9">
        <v>0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R2327" s="9">
        <v>0</v>
      </c>
      <c r="S2327" s="9">
        <v>2</v>
      </c>
      <c r="T2327" s="9">
        <v>1</v>
      </c>
      <c r="U2327" s="9">
        <v>0</v>
      </c>
      <c r="V2327" s="9">
        <v>1</v>
      </c>
      <c r="W2327" s="9">
        <v>0</v>
      </c>
      <c r="X2327" s="9">
        <v>1</v>
      </c>
      <c r="AE2327" s="9">
        <f>IFERROR(VLOOKUP($A2327,pivot!$A:$G,計算式2026!AE$1,FALSE),0)</f>
        <v>0</v>
      </c>
      <c r="AF2327" s="9">
        <f>IFERROR(VLOOKUP($A2327,pivot!$A:$I,計算式2026!AF$1,FALSE),0)</f>
        <v>0</v>
      </c>
      <c r="AI2327" s="9">
        <f>IFERROR(VLOOKUP($A2327,pivot!$A:$I,計算式2026!AI$1,FALSE),0)</f>
        <v>0</v>
      </c>
      <c r="AJ2327" s="9">
        <f>IFERROR(VLOOKUP($A2327,pivot!$A:$I,計算式2026!AJ$1,FALSE),0)</f>
        <v>0</v>
      </c>
      <c r="AK2327" s="9">
        <f>IFERROR(VLOOKUP($A2327,pivot!$A:$I,計算式2026!AK$1,FALSE),0)</f>
        <v>0</v>
      </c>
      <c r="AL2327" s="9">
        <f>IFERROR(VLOOKUP($A2327,pivot!$A:$I,計算式2026!AL$1,FALSE),0)</f>
        <v>0</v>
      </c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</row>
    <row r="2328" spans="1:59" s="9" customFormat="1">
      <c r="A2328" s="8" t="s">
        <v>2898</v>
      </c>
      <c r="B2328" s="8" t="s">
        <v>2633</v>
      </c>
      <c r="C2328" s="9">
        <v>0</v>
      </c>
      <c r="D2328" s="9">
        <v>0</v>
      </c>
      <c r="E2328" s="9">
        <v>0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R2328" s="9">
        <v>0</v>
      </c>
      <c r="S2328" s="9">
        <v>1</v>
      </c>
      <c r="T2328" s="9">
        <v>0</v>
      </c>
      <c r="U2328" s="9">
        <v>0</v>
      </c>
      <c r="V2328" s="9">
        <v>0</v>
      </c>
      <c r="W2328" s="9">
        <v>0</v>
      </c>
      <c r="X2328" s="9">
        <v>1</v>
      </c>
      <c r="AE2328" s="9">
        <f>IFERROR(VLOOKUP($A2328,pivot!$A:$G,計算式2026!AE$1,FALSE),0)</f>
        <v>0</v>
      </c>
      <c r="AF2328" s="9">
        <f>IFERROR(VLOOKUP($A2328,pivot!$A:$I,計算式2026!AF$1,FALSE),0)</f>
        <v>0</v>
      </c>
      <c r="AI2328" s="9">
        <f>IFERROR(VLOOKUP($A2328,pivot!$A:$I,計算式2026!AI$1,FALSE),0)</f>
        <v>0</v>
      </c>
      <c r="AJ2328" s="9">
        <f>IFERROR(VLOOKUP($A2328,pivot!$A:$I,計算式2026!AJ$1,FALSE),0)</f>
        <v>0</v>
      </c>
      <c r="AK2328" s="9">
        <f>IFERROR(VLOOKUP($A2328,pivot!$A:$I,計算式2026!AK$1,FALSE),0)</f>
        <v>0</v>
      </c>
      <c r="AL2328" s="9">
        <f>IFERROR(VLOOKUP($A2328,pivot!$A:$I,計算式2026!AL$1,FALSE),0)</f>
        <v>0</v>
      </c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/>
      <c r="BC2328" s="8"/>
      <c r="BD2328" s="8"/>
      <c r="BE2328" s="8"/>
      <c r="BF2328" s="8"/>
      <c r="BG2328" s="8"/>
    </row>
    <row r="2329" spans="1:59" s="9" customFormat="1">
      <c r="A2329" s="8" t="s">
        <v>2899</v>
      </c>
      <c r="B2329" s="8" t="s">
        <v>2900</v>
      </c>
      <c r="C2329" s="9">
        <v>0</v>
      </c>
      <c r="D2329" s="9">
        <v>0</v>
      </c>
      <c r="E2329" s="9">
        <v>0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R2329" s="9">
        <v>0</v>
      </c>
      <c r="S2329" s="9">
        <v>1</v>
      </c>
      <c r="T2329" s="9">
        <v>1</v>
      </c>
      <c r="U2329" s="9">
        <v>0</v>
      </c>
      <c r="V2329" s="9">
        <v>1</v>
      </c>
      <c r="W2329" s="9">
        <v>0</v>
      </c>
      <c r="X2329" s="9">
        <v>1</v>
      </c>
      <c r="AE2329" s="9">
        <f>IFERROR(VLOOKUP($A2329,pivot!$A:$G,計算式2026!AE$1,FALSE),0)</f>
        <v>0</v>
      </c>
      <c r="AF2329" s="9">
        <f>IFERROR(VLOOKUP($A2329,pivot!$A:$I,計算式2026!AF$1,FALSE),0)</f>
        <v>0</v>
      </c>
      <c r="AI2329" s="9">
        <f>IFERROR(VLOOKUP($A2329,pivot!$A:$I,計算式2026!AI$1,FALSE),0)</f>
        <v>0</v>
      </c>
      <c r="AJ2329" s="9">
        <f>IFERROR(VLOOKUP($A2329,pivot!$A:$I,計算式2026!AJ$1,FALSE),0)</f>
        <v>0</v>
      </c>
      <c r="AK2329" s="9">
        <f>IFERROR(VLOOKUP($A2329,pivot!$A:$I,計算式2026!AK$1,FALSE),0)</f>
        <v>0</v>
      </c>
      <c r="AL2329" s="9">
        <f>IFERROR(VLOOKUP($A2329,pivot!$A:$I,計算式2026!AL$1,FALSE),0)</f>
        <v>0</v>
      </c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</row>
    <row r="2330" spans="1:59" s="9" customFormat="1">
      <c r="A2330" s="8" t="s">
        <v>2901</v>
      </c>
      <c r="B2330" s="8" t="s">
        <v>2900</v>
      </c>
      <c r="C2330" s="9">
        <v>0</v>
      </c>
      <c r="D2330" s="9">
        <v>1</v>
      </c>
      <c r="E2330" s="9">
        <v>0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R2330" s="9">
        <v>0</v>
      </c>
      <c r="S2330" s="9">
        <v>2</v>
      </c>
      <c r="T2330" s="9">
        <v>1</v>
      </c>
      <c r="U2330" s="9">
        <v>0</v>
      </c>
      <c r="V2330" s="9">
        <v>2</v>
      </c>
      <c r="W2330" s="9">
        <v>0</v>
      </c>
      <c r="X2330" s="9">
        <v>1</v>
      </c>
      <c r="AE2330" s="9">
        <f>IFERROR(VLOOKUP($A2330,pivot!$A:$G,計算式2026!AE$1,FALSE),0)</f>
        <v>0</v>
      </c>
      <c r="AF2330" s="9">
        <f>IFERROR(VLOOKUP($A2330,pivot!$A:$I,計算式2026!AF$1,FALSE),0)</f>
        <v>0</v>
      </c>
      <c r="AI2330" s="9">
        <f>IFERROR(VLOOKUP($A2330,pivot!$A:$I,計算式2026!AI$1,FALSE),0)</f>
        <v>0</v>
      </c>
      <c r="AJ2330" s="9">
        <f>IFERROR(VLOOKUP($A2330,pivot!$A:$I,計算式2026!AJ$1,FALSE),0)</f>
        <v>0</v>
      </c>
      <c r="AK2330" s="9">
        <f>IFERROR(VLOOKUP($A2330,pivot!$A:$I,計算式2026!AK$1,FALSE),0)</f>
        <v>0</v>
      </c>
      <c r="AL2330" s="9">
        <f>IFERROR(VLOOKUP($A2330,pivot!$A:$I,計算式2026!AL$1,FALSE),0)</f>
        <v>0</v>
      </c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/>
      <c r="BC2330" s="8"/>
      <c r="BD2330" s="8"/>
      <c r="BE2330" s="8"/>
      <c r="BF2330" s="8"/>
      <c r="BG2330" s="8"/>
    </row>
    <row r="2331" spans="1:59" s="9" customFormat="1">
      <c r="A2331" s="8" t="s">
        <v>2902</v>
      </c>
      <c r="B2331" s="8" t="s">
        <v>2900</v>
      </c>
      <c r="C2331" s="9">
        <v>0</v>
      </c>
      <c r="D2331" s="9">
        <v>1</v>
      </c>
      <c r="E2331" s="9">
        <v>0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R2331" s="9">
        <v>0</v>
      </c>
      <c r="S2331" s="9">
        <v>2</v>
      </c>
      <c r="T2331" s="9">
        <v>1</v>
      </c>
      <c r="U2331" s="9">
        <v>0</v>
      </c>
      <c r="V2331" s="9">
        <v>2</v>
      </c>
      <c r="W2331" s="9">
        <v>0</v>
      </c>
      <c r="X2331" s="9">
        <v>1</v>
      </c>
      <c r="AE2331" s="9">
        <f>IFERROR(VLOOKUP($A2331,pivot!$A:$G,計算式2026!AE$1,FALSE),0)</f>
        <v>0</v>
      </c>
      <c r="AF2331" s="9">
        <f>IFERROR(VLOOKUP($A2331,pivot!$A:$I,計算式2026!AF$1,FALSE),0)</f>
        <v>0</v>
      </c>
      <c r="AI2331" s="9">
        <f>IFERROR(VLOOKUP($A2331,pivot!$A:$I,計算式2026!AI$1,FALSE),0)</f>
        <v>0</v>
      </c>
      <c r="AJ2331" s="9">
        <f>IFERROR(VLOOKUP($A2331,pivot!$A:$I,計算式2026!AJ$1,FALSE),0)</f>
        <v>0</v>
      </c>
      <c r="AK2331" s="9">
        <f>IFERROR(VLOOKUP($A2331,pivot!$A:$I,計算式2026!AK$1,FALSE),0)</f>
        <v>0</v>
      </c>
      <c r="AL2331" s="9">
        <f>IFERROR(VLOOKUP($A2331,pivot!$A:$I,計算式2026!AL$1,FALSE),0)</f>
        <v>0</v>
      </c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</row>
    <row r="2332" spans="1:59" s="9" customFormat="1">
      <c r="A2332" s="8" t="s">
        <v>2903</v>
      </c>
      <c r="B2332" s="8" t="s">
        <v>2900</v>
      </c>
      <c r="C2332" s="9">
        <v>0</v>
      </c>
      <c r="D2332" s="9">
        <v>4</v>
      </c>
      <c r="E2332" s="9">
        <v>0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R2332" s="9">
        <v>0</v>
      </c>
      <c r="S2332" s="9">
        <v>2</v>
      </c>
      <c r="T2332" s="9">
        <v>1</v>
      </c>
      <c r="U2332" s="9">
        <v>0</v>
      </c>
      <c r="V2332" s="9">
        <v>2</v>
      </c>
      <c r="W2332" s="9">
        <v>0</v>
      </c>
      <c r="X2332" s="9">
        <v>1</v>
      </c>
      <c r="AE2332" s="9">
        <f>IFERROR(VLOOKUP($A2332,pivot!$A:$G,計算式2026!AE$1,FALSE),0)</f>
        <v>0</v>
      </c>
      <c r="AF2332" s="9">
        <f>IFERROR(VLOOKUP($A2332,pivot!$A:$I,計算式2026!AF$1,FALSE),0)</f>
        <v>0</v>
      </c>
      <c r="AI2332" s="9">
        <f>IFERROR(VLOOKUP($A2332,pivot!$A:$I,計算式2026!AI$1,FALSE),0)</f>
        <v>0</v>
      </c>
      <c r="AJ2332" s="9">
        <f>IFERROR(VLOOKUP($A2332,pivot!$A:$I,計算式2026!AJ$1,FALSE),0)</f>
        <v>0</v>
      </c>
      <c r="AK2332" s="9">
        <f>IFERROR(VLOOKUP($A2332,pivot!$A:$I,計算式2026!AK$1,FALSE),0)</f>
        <v>0</v>
      </c>
      <c r="AL2332" s="9">
        <f>IFERROR(VLOOKUP($A2332,pivot!$A:$I,計算式2026!AL$1,FALSE),0)</f>
        <v>0</v>
      </c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</row>
    <row r="2333" spans="1:59" s="9" customFormat="1">
      <c r="A2333" s="8" t="s">
        <v>1406</v>
      </c>
      <c r="B2333" s="8" t="s">
        <v>1405</v>
      </c>
      <c r="C2333" s="9">
        <v>0</v>
      </c>
      <c r="D2333" s="9">
        <v>0</v>
      </c>
      <c r="E2333" s="9">
        <v>0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R2333" s="9">
        <v>0</v>
      </c>
      <c r="S2333" s="9">
        <v>1</v>
      </c>
      <c r="T2333" s="9">
        <v>0</v>
      </c>
      <c r="U2333" s="9">
        <v>0</v>
      </c>
      <c r="V2333" s="9">
        <v>0</v>
      </c>
      <c r="W2333" s="9">
        <v>0</v>
      </c>
      <c r="X2333" s="9">
        <v>1</v>
      </c>
      <c r="AE2333" s="9">
        <f>IFERROR(VLOOKUP($A2333,pivot!$A:$G,計算式2026!AE$1,FALSE),0)</f>
        <v>0</v>
      </c>
      <c r="AF2333" s="9">
        <f>IFERROR(VLOOKUP($A2333,pivot!$A:$I,計算式2026!AF$1,FALSE),0)</f>
        <v>0</v>
      </c>
      <c r="AI2333" s="9">
        <f>IFERROR(VLOOKUP($A2333,pivot!$A:$I,計算式2026!AI$1,FALSE),0)</f>
        <v>0</v>
      </c>
      <c r="AJ2333" s="9">
        <f>IFERROR(VLOOKUP($A2333,pivot!$A:$I,計算式2026!AJ$1,FALSE),0)</f>
        <v>0</v>
      </c>
      <c r="AK2333" s="9">
        <f>IFERROR(VLOOKUP($A2333,pivot!$A:$I,計算式2026!AK$1,FALSE),0)</f>
        <v>0</v>
      </c>
      <c r="AL2333" s="9">
        <f>IFERROR(VLOOKUP($A2333,pivot!$A:$I,計算式2026!AL$1,FALSE),0)</f>
        <v>0</v>
      </c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8"/>
      <c r="BF2333" s="8"/>
      <c r="BG2333" s="8"/>
    </row>
    <row r="2334" spans="1:59" s="9" customFormat="1">
      <c r="A2334" s="8" t="s">
        <v>1407</v>
      </c>
      <c r="B2334" s="8" t="s">
        <v>1405</v>
      </c>
      <c r="C2334" s="9">
        <v>0</v>
      </c>
      <c r="D2334" s="9">
        <v>0</v>
      </c>
      <c r="E2334" s="9">
        <v>0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1</v>
      </c>
      <c r="AE2334" s="9">
        <f>IFERROR(VLOOKUP($A2334,pivot!$A:$G,計算式2026!AE$1,FALSE),0)</f>
        <v>0</v>
      </c>
      <c r="AF2334" s="9">
        <f>IFERROR(VLOOKUP($A2334,pivot!$A:$I,計算式2026!AF$1,FALSE),0)</f>
        <v>0</v>
      </c>
      <c r="AI2334" s="9">
        <f>IFERROR(VLOOKUP($A2334,pivot!$A:$I,計算式2026!AI$1,FALSE),0)</f>
        <v>0</v>
      </c>
      <c r="AJ2334" s="9">
        <f>IFERROR(VLOOKUP($A2334,pivot!$A:$I,計算式2026!AJ$1,FALSE),0)</f>
        <v>0</v>
      </c>
      <c r="AK2334" s="9">
        <f>IFERROR(VLOOKUP($A2334,pivot!$A:$I,計算式2026!AK$1,FALSE),0)</f>
        <v>0</v>
      </c>
      <c r="AL2334" s="9">
        <f>IFERROR(VLOOKUP($A2334,pivot!$A:$I,計算式2026!AL$1,FALSE),0)</f>
        <v>0</v>
      </c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8"/>
      <c r="BF2334" s="8"/>
      <c r="BG2334" s="8"/>
    </row>
    <row r="2335" spans="1:59" s="9" customFormat="1">
      <c r="A2335" s="8" t="s">
        <v>1408</v>
      </c>
      <c r="B2335" s="8" t="s">
        <v>1405</v>
      </c>
      <c r="C2335" s="9">
        <v>0</v>
      </c>
      <c r="D2335" s="9">
        <v>0</v>
      </c>
      <c r="E2335" s="9">
        <v>0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9">
        <v>0</v>
      </c>
      <c r="R2335" s="9">
        <v>1</v>
      </c>
      <c r="S2335" s="9">
        <v>2</v>
      </c>
      <c r="T2335" s="9">
        <v>1</v>
      </c>
      <c r="U2335" s="9">
        <v>0</v>
      </c>
      <c r="V2335" s="9">
        <v>0</v>
      </c>
      <c r="W2335" s="9">
        <v>0</v>
      </c>
      <c r="X2335" s="9">
        <v>1</v>
      </c>
      <c r="AE2335" s="9">
        <f>IFERROR(VLOOKUP($A2335,pivot!$A:$G,計算式2026!AE$1,FALSE),0)</f>
        <v>0</v>
      </c>
      <c r="AF2335" s="9">
        <f>IFERROR(VLOOKUP($A2335,pivot!$A:$I,計算式2026!AF$1,FALSE),0)</f>
        <v>0</v>
      </c>
      <c r="AI2335" s="9">
        <f>IFERROR(VLOOKUP($A2335,pivot!$A:$I,計算式2026!AI$1,FALSE),0)</f>
        <v>0</v>
      </c>
      <c r="AJ2335" s="9">
        <f>IFERROR(VLOOKUP($A2335,pivot!$A:$I,計算式2026!AJ$1,FALSE),0)</f>
        <v>0</v>
      </c>
      <c r="AK2335" s="9">
        <f>IFERROR(VLOOKUP($A2335,pivot!$A:$I,計算式2026!AK$1,FALSE),0)</f>
        <v>0</v>
      </c>
      <c r="AL2335" s="9">
        <f>IFERROR(VLOOKUP($A2335,pivot!$A:$I,計算式2026!AL$1,FALSE),0)</f>
        <v>0</v>
      </c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8"/>
      <c r="BG2335" s="8"/>
    </row>
    <row r="2336" spans="1:59" s="9" customFormat="1">
      <c r="A2336" s="8" t="s">
        <v>1409</v>
      </c>
      <c r="B2336" s="8" t="s">
        <v>1405</v>
      </c>
      <c r="C2336" s="9">
        <v>0</v>
      </c>
      <c r="D2336" s="9">
        <v>0</v>
      </c>
      <c r="E2336" s="9">
        <v>0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1</v>
      </c>
      <c r="AE2336" s="9">
        <f>IFERROR(VLOOKUP($A2336,pivot!$A:$G,計算式2026!AE$1,FALSE),0)</f>
        <v>0</v>
      </c>
      <c r="AF2336" s="9">
        <f>IFERROR(VLOOKUP($A2336,pivot!$A:$I,計算式2026!AF$1,FALSE),0)</f>
        <v>0</v>
      </c>
      <c r="AI2336" s="9">
        <f>IFERROR(VLOOKUP($A2336,pivot!$A:$I,計算式2026!AI$1,FALSE),0)</f>
        <v>0</v>
      </c>
      <c r="AJ2336" s="9">
        <f>IFERROR(VLOOKUP($A2336,pivot!$A:$I,計算式2026!AJ$1,FALSE),0)</f>
        <v>0</v>
      </c>
      <c r="AK2336" s="9">
        <f>IFERROR(VLOOKUP($A2336,pivot!$A:$I,計算式2026!AK$1,FALSE),0)</f>
        <v>0</v>
      </c>
      <c r="AL2336" s="9">
        <f>IFERROR(VLOOKUP($A2336,pivot!$A:$I,計算式2026!AL$1,FALSE),0)</f>
        <v>0</v>
      </c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/>
      <c r="BC2336" s="8"/>
      <c r="BD2336" s="8"/>
      <c r="BE2336" s="8"/>
      <c r="BF2336" s="8"/>
      <c r="BG2336" s="8"/>
    </row>
    <row r="2337" spans="1:59" s="9" customFormat="1">
      <c r="A2337" s="8" t="s">
        <v>1410</v>
      </c>
      <c r="B2337" s="8" t="s">
        <v>1411</v>
      </c>
      <c r="C2337" s="9">
        <v>0</v>
      </c>
      <c r="D2337" s="9">
        <v>0</v>
      </c>
      <c r="E2337" s="9">
        <v>0</v>
      </c>
      <c r="F2337" s="9">
        <v>0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R2337" s="9">
        <v>0</v>
      </c>
      <c r="S2337" s="9">
        <v>0</v>
      </c>
      <c r="T2337" s="9">
        <v>1</v>
      </c>
      <c r="U2337" s="9">
        <v>0</v>
      </c>
      <c r="V2337" s="9">
        <v>0</v>
      </c>
      <c r="W2337" s="9">
        <v>0</v>
      </c>
      <c r="X2337" s="9">
        <v>1</v>
      </c>
      <c r="AE2337" s="9">
        <f>IFERROR(VLOOKUP($A2337,pivot!$A:$G,計算式2026!AE$1,FALSE),0)</f>
        <v>0</v>
      </c>
      <c r="AF2337" s="9">
        <f>IFERROR(VLOOKUP($A2337,pivot!$A:$I,計算式2026!AF$1,FALSE),0)</f>
        <v>0</v>
      </c>
      <c r="AI2337" s="9">
        <f>IFERROR(VLOOKUP($A2337,pivot!$A:$I,計算式2026!AI$1,FALSE),0)</f>
        <v>0</v>
      </c>
      <c r="AJ2337" s="9">
        <f>IFERROR(VLOOKUP($A2337,pivot!$A:$I,計算式2026!AJ$1,FALSE),0)</f>
        <v>0</v>
      </c>
      <c r="AK2337" s="9">
        <f>IFERROR(VLOOKUP($A2337,pivot!$A:$I,計算式2026!AK$1,FALSE),0)</f>
        <v>0</v>
      </c>
      <c r="AL2337" s="9">
        <f>IFERROR(VLOOKUP($A2337,pivot!$A:$I,計算式2026!AL$1,FALSE),0)</f>
        <v>0</v>
      </c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</row>
    <row r="2338" spans="1:59" s="9" customFormat="1">
      <c r="A2338" s="8" t="s">
        <v>1412</v>
      </c>
      <c r="B2338" s="8" t="s">
        <v>1411</v>
      </c>
      <c r="C2338" s="9">
        <v>0</v>
      </c>
      <c r="D2338" s="9">
        <v>0</v>
      </c>
      <c r="E2338" s="9">
        <v>0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R2338" s="9">
        <v>1</v>
      </c>
      <c r="S2338" s="9">
        <v>2</v>
      </c>
      <c r="T2338" s="9">
        <v>1</v>
      </c>
      <c r="U2338" s="9">
        <v>0</v>
      </c>
      <c r="V2338" s="9">
        <v>1</v>
      </c>
      <c r="W2338" s="9">
        <v>0</v>
      </c>
      <c r="X2338" s="9">
        <v>2</v>
      </c>
      <c r="AE2338" s="9">
        <f>IFERROR(VLOOKUP($A2338,pivot!$A:$G,計算式2026!AE$1,FALSE),0)</f>
        <v>0</v>
      </c>
      <c r="AF2338" s="9">
        <f>IFERROR(VLOOKUP($A2338,pivot!$A:$I,計算式2026!AF$1,FALSE),0)</f>
        <v>0</v>
      </c>
      <c r="AI2338" s="9">
        <f>IFERROR(VLOOKUP($A2338,pivot!$A:$I,計算式2026!AI$1,FALSE),0)</f>
        <v>0</v>
      </c>
      <c r="AJ2338" s="9">
        <f>IFERROR(VLOOKUP($A2338,pivot!$A:$I,計算式2026!AJ$1,FALSE),0)</f>
        <v>0</v>
      </c>
      <c r="AK2338" s="9">
        <f>IFERROR(VLOOKUP($A2338,pivot!$A:$I,計算式2026!AK$1,FALSE),0)</f>
        <v>0</v>
      </c>
      <c r="AL2338" s="9">
        <f>IFERROR(VLOOKUP($A2338,pivot!$A:$I,計算式2026!AL$1,FALSE),0)</f>
        <v>0</v>
      </c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</row>
    <row r="2339" spans="1:59" s="9" customFormat="1">
      <c r="A2339" s="8" t="s">
        <v>1413</v>
      </c>
      <c r="B2339" s="8" t="s">
        <v>1411</v>
      </c>
      <c r="C2339" s="9">
        <v>0</v>
      </c>
      <c r="D2339" s="9">
        <v>0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R2339" s="9">
        <v>0</v>
      </c>
      <c r="S2339" s="9">
        <v>1</v>
      </c>
      <c r="T2339" s="9">
        <v>0</v>
      </c>
      <c r="U2339" s="9">
        <v>0</v>
      </c>
      <c r="V2339" s="9">
        <v>1</v>
      </c>
      <c r="W2339" s="9">
        <v>0</v>
      </c>
      <c r="X2339" s="9">
        <v>0</v>
      </c>
      <c r="AE2339" s="9">
        <f>IFERROR(VLOOKUP($A2339,pivot!$A:$G,計算式2026!AE$1,FALSE),0)</f>
        <v>0</v>
      </c>
      <c r="AF2339" s="9">
        <f>IFERROR(VLOOKUP($A2339,pivot!$A:$I,計算式2026!AF$1,FALSE),0)</f>
        <v>0</v>
      </c>
      <c r="AI2339" s="9">
        <f>IFERROR(VLOOKUP($A2339,pivot!$A:$I,計算式2026!AI$1,FALSE),0)</f>
        <v>0</v>
      </c>
      <c r="AJ2339" s="9">
        <f>IFERROR(VLOOKUP($A2339,pivot!$A:$I,計算式2026!AJ$1,FALSE),0)</f>
        <v>0</v>
      </c>
      <c r="AK2339" s="9">
        <f>IFERROR(VLOOKUP($A2339,pivot!$A:$I,計算式2026!AK$1,FALSE),0)</f>
        <v>0</v>
      </c>
      <c r="AL2339" s="9">
        <f>IFERROR(VLOOKUP($A2339,pivot!$A:$I,計算式2026!AL$1,FALSE),0)</f>
        <v>0</v>
      </c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</row>
    <row r="2340" spans="1:59" s="9" customFormat="1">
      <c r="A2340" s="8" t="s">
        <v>1414</v>
      </c>
      <c r="B2340" s="8" t="s">
        <v>1411</v>
      </c>
      <c r="C2340" s="9">
        <v>0</v>
      </c>
      <c r="D2340" s="9">
        <v>0</v>
      </c>
      <c r="E2340" s="9">
        <v>0</v>
      </c>
      <c r="F2340" s="9">
        <v>0</v>
      </c>
      <c r="G2340" s="9">
        <v>0</v>
      </c>
      <c r="H2340" s="9">
        <v>0</v>
      </c>
      <c r="I2340" s="9">
        <v>0</v>
      </c>
      <c r="J2340" s="9">
        <v>0</v>
      </c>
      <c r="K2340" s="9">
        <v>0</v>
      </c>
      <c r="R2340" s="9">
        <v>0</v>
      </c>
      <c r="S2340" s="9">
        <v>0</v>
      </c>
      <c r="T2340" s="9">
        <v>1</v>
      </c>
      <c r="U2340" s="9">
        <v>0</v>
      </c>
      <c r="V2340" s="9">
        <v>0</v>
      </c>
      <c r="W2340" s="9">
        <v>0</v>
      </c>
      <c r="X2340" s="9">
        <v>1</v>
      </c>
      <c r="AE2340" s="9">
        <f>IFERROR(VLOOKUP($A2340,pivot!$A:$G,計算式2026!AE$1,FALSE),0)</f>
        <v>0</v>
      </c>
      <c r="AF2340" s="9">
        <f>IFERROR(VLOOKUP($A2340,pivot!$A:$I,計算式2026!AF$1,FALSE),0)</f>
        <v>0</v>
      </c>
      <c r="AI2340" s="9">
        <f>IFERROR(VLOOKUP($A2340,pivot!$A:$I,計算式2026!AI$1,FALSE),0)</f>
        <v>0</v>
      </c>
      <c r="AJ2340" s="9">
        <f>IFERROR(VLOOKUP($A2340,pivot!$A:$I,計算式2026!AJ$1,FALSE),0)</f>
        <v>0</v>
      </c>
      <c r="AK2340" s="9">
        <f>IFERROR(VLOOKUP($A2340,pivot!$A:$I,計算式2026!AK$1,FALSE),0)</f>
        <v>0</v>
      </c>
      <c r="AL2340" s="9">
        <f>IFERROR(VLOOKUP($A2340,pivot!$A:$I,計算式2026!AL$1,FALSE),0)</f>
        <v>0</v>
      </c>
      <c r="AR2340" s="8"/>
      <c r="AS2340" s="8"/>
      <c r="AT2340" s="8"/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8"/>
      <c r="BF2340" s="8"/>
      <c r="BG2340" s="8"/>
    </row>
    <row r="2341" spans="1:59" s="9" customFormat="1">
      <c r="A2341" s="8" t="s">
        <v>1415</v>
      </c>
      <c r="B2341" s="8" t="s">
        <v>1411</v>
      </c>
      <c r="C2341" s="9">
        <v>0</v>
      </c>
      <c r="D2341" s="9">
        <v>0</v>
      </c>
      <c r="E2341" s="9">
        <v>0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R2341" s="9">
        <v>1</v>
      </c>
      <c r="S2341" s="9">
        <v>1</v>
      </c>
      <c r="T2341" s="9">
        <v>1</v>
      </c>
      <c r="U2341" s="9">
        <v>0</v>
      </c>
      <c r="V2341" s="9">
        <v>1</v>
      </c>
      <c r="W2341" s="9">
        <v>0</v>
      </c>
      <c r="X2341" s="9">
        <v>2</v>
      </c>
      <c r="AE2341" s="9">
        <f>IFERROR(VLOOKUP($A2341,pivot!$A:$G,計算式2026!AE$1,FALSE),0)</f>
        <v>0</v>
      </c>
      <c r="AF2341" s="9">
        <f>IFERROR(VLOOKUP($A2341,pivot!$A:$I,計算式2026!AF$1,FALSE),0)</f>
        <v>0</v>
      </c>
      <c r="AI2341" s="9">
        <f>IFERROR(VLOOKUP($A2341,pivot!$A:$I,計算式2026!AI$1,FALSE),0)</f>
        <v>0</v>
      </c>
      <c r="AJ2341" s="9">
        <f>IFERROR(VLOOKUP($A2341,pivot!$A:$I,計算式2026!AJ$1,FALSE),0)</f>
        <v>0</v>
      </c>
      <c r="AK2341" s="9">
        <f>IFERROR(VLOOKUP($A2341,pivot!$A:$I,計算式2026!AK$1,FALSE),0)</f>
        <v>0</v>
      </c>
      <c r="AL2341" s="9">
        <f>IFERROR(VLOOKUP($A2341,pivot!$A:$I,計算式2026!AL$1,FALSE),0)</f>
        <v>0</v>
      </c>
      <c r="AR2341" s="8"/>
      <c r="AS2341" s="8"/>
      <c r="AT2341" s="8"/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8"/>
      <c r="BF2341" s="8"/>
      <c r="BG2341" s="8"/>
    </row>
    <row r="2342" spans="1:59" s="9" customFormat="1">
      <c r="A2342" s="8" t="s">
        <v>1416</v>
      </c>
      <c r="B2342" s="8" t="s">
        <v>1411</v>
      </c>
      <c r="C2342" s="9">
        <v>0</v>
      </c>
      <c r="D2342" s="9">
        <v>0</v>
      </c>
      <c r="E2342" s="9">
        <v>0</v>
      </c>
      <c r="F2342" s="9">
        <v>0</v>
      </c>
      <c r="G2342" s="9">
        <v>0</v>
      </c>
      <c r="H2342" s="9">
        <v>0</v>
      </c>
      <c r="I2342" s="9">
        <v>0</v>
      </c>
      <c r="J2342" s="9">
        <v>0</v>
      </c>
      <c r="K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1</v>
      </c>
      <c r="AE2342" s="9">
        <f>IFERROR(VLOOKUP($A2342,pivot!$A:$G,計算式2026!AE$1,FALSE),0)</f>
        <v>0</v>
      </c>
      <c r="AF2342" s="9">
        <f>IFERROR(VLOOKUP($A2342,pivot!$A:$I,計算式2026!AF$1,FALSE),0)</f>
        <v>0</v>
      </c>
      <c r="AI2342" s="9">
        <f>IFERROR(VLOOKUP($A2342,pivot!$A:$I,計算式2026!AI$1,FALSE),0)</f>
        <v>0</v>
      </c>
      <c r="AJ2342" s="9">
        <f>IFERROR(VLOOKUP($A2342,pivot!$A:$I,計算式2026!AJ$1,FALSE),0)</f>
        <v>0</v>
      </c>
      <c r="AK2342" s="9">
        <f>IFERROR(VLOOKUP($A2342,pivot!$A:$I,計算式2026!AK$1,FALSE),0)</f>
        <v>0</v>
      </c>
      <c r="AL2342" s="9">
        <f>IFERROR(VLOOKUP($A2342,pivot!$A:$I,計算式2026!AL$1,FALSE),0)</f>
        <v>0</v>
      </c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8"/>
      <c r="BG2342" s="8"/>
    </row>
    <row r="2343" spans="1:59" s="9" customFormat="1">
      <c r="A2343" s="8" t="s">
        <v>1417</v>
      </c>
      <c r="B2343" s="8" t="s">
        <v>1418</v>
      </c>
      <c r="C2343" s="9">
        <v>0</v>
      </c>
      <c r="D2343" s="9">
        <v>0</v>
      </c>
      <c r="E2343" s="9">
        <v>0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R2343" s="9">
        <v>0</v>
      </c>
      <c r="S2343" s="9">
        <v>0</v>
      </c>
      <c r="T2343" s="9">
        <v>1</v>
      </c>
      <c r="U2343" s="9">
        <v>0</v>
      </c>
      <c r="V2343" s="9">
        <v>1</v>
      </c>
      <c r="W2343" s="9">
        <v>0</v>
      </c>
      <c r="X2343" s="9">
        <v>1</v>
      </c>
      <c r="AE2343" s="9">
        <f>IFERROR(VLOOKUP($A2343,pivot!$A:$G,計算式2026!AE$1,FALSE),0)</f>
        <v>0</v>
      </c>
      <c r="AF2343" s="9">
        <f>IFERROR(VLOOKUP($A2343,pivot!$A:$I,計算式2026!AF$1,FALSE),0)</f>
        <v>0</v>
      </c>
      <c r="AI2343" s="9">
        <f>IFERROR(VLOOKUP($A2343,pivot!$A:$I,計算式2026!AI$1,FALSE),0)</f>
        <v>0</v>
      </c>
      <c r="AJ2343" s="9">
        <f>IFERROR(VLOOKUP($A2343,pivot!$A:$I,計算式2026!AJ$1,FALSE),0)</f>
        <v>0</v>
      </c>
      <c r="AK2343" s="9">
        <f>IFERROR(VLOOKUP($A2343,pivot!$A:$I,計算式2026!AK$1,FALSE),0)</f>
        <v>0</v>
      </c>
      <c r="AL2343" s="9">
        <f>IFERROR(VLOOKUP($A2343,pivot!$A:$I,計算式2026!AL$1,FALSE),0)</f>
        <v>0</v>
      </c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</row>
    <row r="2344" spans="1:59" s="9" customFormat="1">
      <c r="A2344" s="8" t="s">
        <v>1419</v>
      </c>
      <c r="B2344" s="8" t="s">
        <v>1418</v>
      </c>
      <c r="C2344" s="9">
        <v>5</v>
      </c>
      <c r="D2344" s="9">
        <v>0</v>
      </c>
      <c r="E2344" s="9">
        <v>0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R2344" s="9">
        <v>0</v>
      </c>
      <c r="S2344" s="9">
        <v>0</v>
      </c>
      <c r="T2344" s="9">
        <v>1</v>
      </c>
      <c r="U2344" s="9">
        <v>0</v>
      </c>
      <c r="V2344" s="9">
        <v>1</v>
      </c>
      <c r="W2344" s="9">
        <v>0</v>
      </c>
      <c r="X2344" s="9">
        <v>1</v>
      </c>
      <c r="AE2344" s="9">
        <f>IFERROR(VLOOKUP($A2344,pivot!$A:$G,計算式2026!AE$1,FALSE),0)</f>
        <v>0</v>
      </c>
      <c r="AF2344" s="9">
        <f>IFERROR(VLOOKUP($A2344,pivot!$A:$I,計算式2026!AF$1,FALSE),0)</f>
        <v>0</v>
      </c>
      <c r="AI2344" s="9">
        <f>IFERROR(VLOOKUP($A2344,pivot!$A:$I,計算式2026!AI$1,FALSE),0)</f>
        <v>0</v>
      </c>
      <c r="AJ2344" s="9">
        <f>IFERROR(VLOOKUP($A2344,pivot!$A:$I,計算式2026!AJ$1,FALSE),0)</f>
        <v>0</v>
      </c>
      <c r="AK2344" s="9">
        <f>IFERROR(VLOOKUP($A2344,pivot!$A:$I,計算式2026!AK$1,FALSE),0)</f>
        <v>0</v>
      </c>
      <c r="AL2344" s="9">
        <f>IFERROR(VLOOKUP($A2344,pivot!$A:$I,計算式2026!AL$1,FALSE),0)</f>
        <v>0</v>
      </c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</row>
    <row r="2345" spans="1:59" s="9" customFormat="1">
      <c r="A2345" s="8" t="s">
        <v>1420</v>
      </c>
      <c r="B2345" s="8" t="s">
        <v>1418</v>
      </c>
      <c r="C2345" s="9">
        <v>0</v>
      </c>
      <c r="D2345" s="9">
        <v>0</v>
      </c>
      <c r="E2345" s="9">
        <v>0</v>
      </c>
      <c r="F2345" s="9">
        <v>0</v>
      </c>
      <c r="G2345" s="9">
        <v>0</v>
      </c>
      <c r="H2345" s="9">
        <v>0</v>
      </c>
      <c r="I2345" s="9">
        <v>0</v>
      </c>
      <c r="J2345" s="9">
        <v>0</v>
      </c>
      <c r="K2345" s="9">
        <v>0</v>
      </c>
      <c r="R2345" s="9">
        <v>0</v>
      </c>
      <c r="S2345" s="9">
        <v>0</v>
      </c>
      <c r="T2345" s="9">
        <v>1</v>
      </c>
      <c r="U2345" s="9">
        <v>0</v>
      </c>
      <c r="V2345" s="9">
        <v>1</v>
      </c>
      <c r="W2345" s="9">
        <v>0</v>
      </c>
      <c r="X2345" s="9">
        <v>1</v>
      </c>
      <c r="AE2345" s="9">
        <f>IFERROR(VLOOKUP($A2345,pivot!$A:$G,計算式2026!AE$1,FALSE),0)</f>
        <v>0</v>
      </c>
      <c r="AF2345" s="9">
        <f>IFERROR(VLOOKUP($A2345,pivot!$A:$I,計算式2026!AF$1,FALSE),0)</f>
        <v>0</v>
      </c>
      <c r="AI2345" s="9">
        <f>IFERROR(VLOOKUP($A2345,pivot!$A:$I,計算式2026!AI$1,FALSE),0)</f>
        <v>0</v>
      </c>
      <c r="AJ2345" s="9">
        <f>IFERROR(VLOOKUP($A2345,pivot!$A:$I,計算式2026!AJ$1,FALSE),0)</f>
        <v>0</v>
      </c>
      <c r="AK2345" s="9">
        <f>IFERROR(VLOOKUP($A2345,pivot!$A:$I,計算式2026!AK$1,FALSE),0)</f>
        <v>0</v>
      </c>
      <c r="AL2345" s="9">
        <f>IFERROR(VLOOKUP($A2345,pivot!$A:$I,計算式2026!AL$1,FALSE),0)</f>
        <v>0</v>
      </c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</row>
    <row r="2346" spans="1:59" s="9" customFormat="1">
      <c r="A2346" s="8" t="s">
        <v>2497</v>
      </c>
      <c r="B2346" s="8" t="s">
        <v>2498</v>
      </c>
      <c r="C2346" s="9">
        <v>0</v>
      </c>
      <c r="D2346" s="9">
        <v>2</v>
      </c>
      <c r="E2346" s="9">
        <v>0</v>
      </c>
      <c r="F2346" s="9">
        <v>0</v>
      </c>
      <c r="G2346" s="9">
        <v>0</v>
      </c>
      <c r="H2346" s="9">
        <v>0</v>
      </c>
      <c r="I2346" s="9">
        <v>0</v>
      </c>
      <c r="J2346" s="9">
        <v>0</v>
      </c>
      <c r="K2346" s="9">
        <v>0</v>
      </c>
      <c r="R2346" s="9">
        <v>0</v>
      </c>
      <c r="S2346" s="9">
        <v>2</v>
      </c>
      <c r="T2346" s="9">
        <v>1</v>
      </c>
      <c r="U2346" s="9">
        <v>1</v>
      </c>
      <c r="V2346" s="9">
        <v>2</v>
      </c>
      <c r="W2346" s="9">
        <v>0</v>
      </c>
      <c r="X2346" s="9">
        <v>1</v>
      </c>
      <c r="AE2346" s="9">
        <f>IFERROR(VLOOKUP($A2346,pivot!$A:$G,計算式2026!AE$1,FALSE),0)</f>
        <v>0</v>
      </c>
      <c r="AF2346" s="9">
        <f>IFERROR(VLOOKUP($A2346,pivot!$A:$I,計算式2026!AF$1,FALSE),0)</f>
        <v>0</v>
      </c>
      <c r="AI2346" s="9">
        <f>IFERROR(VLOOKUP($A2346,pivot!$A:$I,計算式2026!AI$1,FALSE),0)</f>
        <v>0</v>
      </c>
      <c r="AJ2346" s="9">
        <f>IFERROR(VLOOKUP($A2346,pivot!$A:$I,計算式2026!AJ$1,FALSE),0)</f>
        <v>0</v>
      </c>
      <c r="AK2346" s="9">
        <f>IFERROR(VLOOKUP($A2346,pivot!$A:$I,計算式2026!AK$1,FALSE),0)</f>
        <v>0</v>
      </c>
      <c r="AL2346" s="9">
        <f>IFERROR(VLOOKUP($A2346,pivot!$A:$I,計算式2026!AL$1,FALSE),0)</f>
        <v>0</v>
      </c>
      <c r="AR2346" s="8"/>
      <c r="AS2346" s="8"/>
      <c r="AT2346" s="8"/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8"/>
      <c r="BF2346" s="8"/>
      <c r="BG2346" s="8"/>
    </row>
    <row r="2347" spans="1:59" s="9" customFormat="1">
      <c r="A2347" s="8" t="s">
        <v>2499</v>
      </c>
      <c r="B2347" s="8" t="s">
        <v>2498</v>
      </c>
      <c r="C2347" s="9">
        <v>0</v>
      </c>
      <c r="D2347" s="9">
        <v>0</v>
      </c>
      <c r="E2347" s="9">
        <v>0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0</v>
      </c>
      <c r="R2347" s="9">
        <v>0</v>
      </c>
      <c r="S2347" s="9">
        <v>2</v>
      </c>
      <c r="T2347" s="9">
        <v>1</v>
      </c>
      <c r="U2347" s="9">
        <v>1</v>
      </c>
      <c r="V2347" s="9">
        <v>2</v>
      </c>
      <c r="W2347" s="9">
        <v>0</v>
      </c>
      <c r="X2347" s="9">
        <v>1</v>
      </c>
      <c r="AE2347" s="9">
        <f>IFERROR(VLOOKUP($A2347,pivot!$A:$G,計算式2026!AE$1,FALSE),0)</f>
        <v>0</v>
      </c>
      <c r="AF2347" s="9">
        <f>IFERROR(VLOOKUP($A2347,pivot!$A:$I,計算式2026!AF$1,FALSE),0)</f>
        <v>0</v>
      </c>
      <c r="AI2347" s="9">
        <f>IFERROR(VLOOKUP($A2347,pivot!$A:$I,計算式2026!AI$1,FALSE),0)</f>
        <v>0</v>
      </c>
      <c r="AJ2347" s="9">
        <f>IFERROR(VLOOKUP($A2347,pivot!$A:$I,計算式2026!AJ$1,FALSE),0)</f>
        <v>0</v>
      </c>
      <c r="AK2347" s="9">
        <f>IFERROR(VLOOKUP($A2347,pivot!$A:$I,計算式2026!AK$1,FALSE),0)</f>
        <v>0</v>
      </c>
      <c r="AL2347" s="9">
        <f>IFERROR(VLOOKUP($A2347,pivot!$A:$I,計算式2026!AL$1,FALSE),0)</f>
        <v>0</v>
      </c>
      <c r="AR2347" s="8"/>
      <c r="AS2347" s="8"/>
      <c r="AT2347" s="8"/>
      <c r="AU2347" s="8"/>
      <c r="AV2347" s="8"/>
      <c r="AW2347" s="8"/>
      <c r="AX2347" s="8"/>
      <c r="AY2347" s="8"/>
      <c r="AZ2347" s="8"/>
      <c r="BA2347" s="8"/>
      <c r="BB2347" s="8"/>
      <c r="BC2347" s="8"/>
      <c r="BD2347" s="8"/>
      <c r="BE2347" s="8"/>
      <c r="BF2347" s="8"/>
      <c r="BG2347" s="8"/>
    </row>
    <row r="2348" spans="1:59" s="9" customFormat="1">
      <c r="A2348" s="8" t="s">
        <v>2500</v>
      </c>
      <c r="B2348" s="8" t="s">
        <v>2498</v>
      </c>
      <c r="C2348" s="9">
        <v>0</v>
      </c>
      <c r="D2348" s="9">
        <v>0</v>
      </c>
      <c r="E2348" s="9">
        <v>0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AE2348" s="9">
        <f>IFERROR(VLOOKUP($A2348,pivot!$A:$G,計算式2026!AE$1,FALSE),0)</f>
        <v>0</v>
      </c>
      <c r="AF2348" s="9">
        <f>IFERROR(VLOOKUP($A2348,pivot!$A:$I,計算式2026!AF$1,FALSE),0)</f>
        <v>0</v>
      </c>
      <c r="AI2348" s="9">
        <f>IFERROR(VLOOKUP($A2348,pivot!$A:$I,計算式2026!AI$1,FALSE),0)</f>
        <v>0</v>
      </c>
      <c r="AJ2348" s="9">
        <f>IFERROR(VLOOKUP($A2348,pivot!$A:$I,計算式2026!AJ$1,FALSE),0)</f>
        <v>0</v>
      </c>
      <c r="AK2348" s="9">
        <f>IFERROR(VLOOKUP($A2348,pivot!$A:$I,計算式2026!AK$1,FALSE),0)</f>
        <v>0</v>
      </c>
      <c r="AL2348" s="9">
        <f>IFERROR(VLOOKUP($A2348,pivot!$A:$I,計算式2026!AL$1,FALSE),0)</f>
        <v>0</v>
      </c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</row>
    <row r="2349" spans="1:59" s="9" customFormat="1">
      <c r="A2349" s="8" t="s">
        <v>2501</v>
      </c>
      <c r="B2349" s="8" t="s">
        <v>2498</v>
      </c>
      <c r="C2349" s="9">
        <v>0</v>
      </c>
      <c r="D2349" s="9">
        <v>2</v>
      </c>
      <c r="E2349" s="9">
        <v>0</v>
      </c>
      <c r="F2349" s="9">
        <v>0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R2349" s="9">
        <v>0</v>
      </c>
      <c r="S2349" s="9">
        <v>2</v>
      </c>
      <c r="T2349" s="9">
        <v>1</v>
      </c>
      <c r="U2349" s="9">
        <v>1</v>
      </c>
      <c r="V2349" s="9">
        <v>2</v>
      </c>
      <c r="W2349" s="9">
        <v>0</v>
      </c>
      <c r="X2349" s="9">
        <v>1</v>
      </c>
      <c r="AE2349" s="9">
        <f>IFERROR(VLOOKUP($A2349,pivot!$A:$G,計算式2026!AE$1,FALSE),0)</f>
        <v>0</v>
      </c>
      <c r="AF2349" s="9">
        <f>IFERROR(VLOOKUP($A2349,pivot!$A:$I,計算式2026!AF$1,FALSE),0)</f>
        <v>0</v>
      </c>
      <c r="AI2349" s="9">
        <f>IFERROR(VLOOKUP($A2349,pivot!$A:$I,計算式2026!AI$1,FALSE),0)</f>
        <v>0</v>
      </c>
      <c r="AJ2349" s="9">
        <f>IFERROR(VLOOKUP($A2349,pivot!$A:$I,計算式2026!AJ$1,FALSE),0)</f>
        <v>0</v>
      </c>
      <c r="AK2349" s="9">
        <f>IFERROR(VLOOKUP($A2349,pivot!$A:$I,計算式2026!AK$1,FALSE),0)</f>
        <v>0</v>
      </c>
      <c r="AL2349" s="9">
        <f>IFERROR(VLOOKUP($A2349,pivot!$A:$I,計算式2026!AL$1,FALSE),0)</f>
        <v>0</v>
      </c>
      <c r="AR2349" s="8"/>
      <c r="AS2349" s="8"/>
      <c r="AT2349" s="8"/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8"/>
      <c r="BF2349" s="8"/>
      <c r="BG2349" s="8"/>
    </row>
    <row r="2350" spans="1:59" s="9" customFormat="1">
      <c r="A2350" s="8" t="s">
        <v>2502</v>
      </c>
      <c r="B2350" s="8" t="s">
        <v>2498</v>
      </c>
      <c r="C2350" s="9">
        <v>0</v>
      </c>
      <c r="D2350" s="9">
        <v>4</v>
      </c>
      <c r="E2350" s="9">
        <v>0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R2350" s="9">
        <v>0</v>
      </c>
      <c r="S2350" s="9">
        <v>2</v>
      </c>
      <c r="T2350" s="9">
        <v>1</v>
      </c>
      <c r="U2350" s="9">
        <v>1</v>
      </c>
      <c r="V2350" s="9">
        <v>2</v>
      </c>
      <c r="W2350" s="9">
        <v>0</v>
      </c>
      <c r="X2350" s="9">
        <v>1</v>
      </c>
      <c r="AE2350" s="9">
        <f>IFERROR(VLOOKUP($A2350,pivot!$A:$G,計算式2026!AE$1,FALSE),0)</f>
        <v>0</v>
      </c>
      <c r="AF2350" s="9">
        <f>IFERROR(VLOOKUP($A2350,pivot!$A:$I,計算式2026!AF$1,FALSE),0)</f>
        <v>0</v>
      </c>
      <c r="AI2350" s="9">
        <f>IFERROR(VLOOKUP($A2350,pivot!$A:$I,計算式2026!AI$1,FALSE),0)</f>
        <v>0</v>
      </c>
      <c r="AJ2350" s="9">
        <f>IFERROR(VLOOKUP($A2350,pivot!$A:$I,計算式2026!AJ$1,FALSE),0)</f>
        <v>0</v>
      </c>
      <c r="AK2350" s="9">
        <f>IFERROR(VLOOKUP($A2350,pivot!$A:$I,計算式2026!AK$1,FALSE),0)</f>
        <v>0</v>
      </c>
      <c r="AL2350" s="9">
        <f>IFERROR(VLOOKUP($A2350,pivot!$A:$I,計算式2026!AL$1,FALSE),0)</f>
        <v>0</v>
      </c>
      <c r="AR2350" s="8"/>
      <c r="AS2350" s="8"/>
      <c r="AT2350" s="8"/>
      <c r="AU2350" s="8"/>
      <c r="AV2350" s="8"/>
      <c r="AW2350" s="8"/>
      <c r="AX2350" s="8"/>
      <c r="AY2350" s="8"/>
      <c r="AZ2350" s="8"/>
      <c r="BA2350" s="8"/>
      <c r="BB2350" s="8"/>
      <c r="BC2350" s="8"/>
      <c r="BD2350" s="8"/>
      <c r="BE2350" s="8"/>
      <c r="BF2350" s="8"/>
      <c r="BG2350" s="8"/>
    </row>
    <row r="2351" spans="1:59" s="9" customFormat="1">
      <c r="A2351" s="8" t="s">
        <v>2503</v>
      </c>
      <c r="B2351" s="8" t="s">
        <v>2498</v>
      </c>
      <c r="C2351" s="9">
        <v>0</v>
      </c>
      <c r="D2351" s="9">
        <v>0</v>
      </c>
      <c r="E2351" s="9">
        <v>0</v>
      </c>
      <c r="F2351" s="9">
        <v>0</v>
      </c>
      <c r="G2351" s="9">
        <v>0</v>
      </c>
      <c r="H2351" s="9">
        <v>0</v>
      </c>
      <c r="I2351" s="9">
        <v>0</v>
      </c>
      <c r="J2351" s="9">
        <v>0</v>
      </c>
      <c r="K2351" s="9">
        <v>0</v>
      </c>
      <c r="R2351" s="9">
        <v>0</v>
      </c>
      <c r="S2351" s="9">
        <v>1</v>
      </c>
      <c r="T2351" s="9">
        <v>0</v>
      </c>
      <c r="U2351" s="9">
        <v>0</v>
      </c>
      <c r="V2351" s="9">
        <v>1</v>
      </c>
      <c r="W2351" s="9">
        <v>0</v>
      </c>
      <c r="X2351" s="9">
        <v>0</v>
      </c>
      <c r="AE2351" s="9">
        <f>IFERROR(VLOOKUP($A2351,pivot!$A:$G,計算式2026!AE$1,FALSE),0)</f>
        <v>0</v>
      </c>
      <c r="AF2351" s="9">
        <f>IFERROR(VLOOKUP($A2351,pivot!$A:$I,計算式2026!AF$1,FALSE),0)</f>
        <v>0</v>
      </c>
      <c r="AI2351" s="9">
        <f>IFERROR(VLOOKUP($A2351,pivot!$A:$I,計算式2026!AI$1,FALSE),0)</f>
        <v>0</v>
      </c>
      <c r="AJ2351" s="9">
        <f>IFERROR(VLOOKUP($A2351,pivot!$A:$I,計算式2026!AJ$1,FALSE),0)</f>
        <v>0</v>
      </c>
      <c r="AK2351" s="9">
        <f>IFERROR(VLOOKUP($A2351,pivot!$A:$I,計算式2026!AK$1,FALSE),0)</f>
        <v>0</v>
      </c>
      <c r="AL2351" s="9">
        <f>IFERROR(VLOOKUP($A2351,pivot!$A:$I,計算式2026!AL$1,FALSE),0)</f>
        <v>0</v>
      </c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</row>
    <row r="2352" spans="1:59" s="9" customFormat="1">
      <c r="A2352" s="8">
        <v>8984423534</v>
      </c>
      <c r="B2352" s="8" t="s">
        <v>2504</v>
      </c>
      <c r="C2352" s="9">
        <v>0</v>
      </c>
      <c r="D2352" s="9">
        <v>1</v>
      </c>
      <c r="E2352" s="9">
        <v>0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R2352" s="9">
        <v>0</v>
      </c>
      <c r="S2352" s="9">
        <v>1</v>
      </c>
      <c r="T2352" s="9">
        <v>0</v>
      </c>
      <c r="U2352" s="9">
        <v>0</v>
      </c>
      <c r="V2352" s="9">
        <v>1</v>
      </c>
      <c r="W2352" s="9">
        <v>0</v>
      </c>
      <c r="X2352" s="9">
        <v>0</v>
      </c>
      <c r="AE2352" s="9">
        <f>IFERROR(VLOOKUP($A2352,pivot!$A:$G,計算式2026!AE$1,FALSE),0)</f>
        <v>0</v>
      </c>
      <c r="AF2352" s="9">
        <f>IFERROR(VLOOKUP($A2352,pivot!$A:$I,計算式2026!AF$1,FALSE),0)</f>
        <v>0</v>
      </c>
      <c r="AI2352" s="9">
        <f>IFERROR(VLOOKUP($A2352,pivot!$A:$I,計算式2026!AI$1,FALSE),0)</f>
        <v>0</v>
      </c>
      <c r="AJ2352" s="9">
        <f>IFERROR(VLOOKUP($A2352,pivot!$A:$I,計算式2026!AJ$1,FALSE),0)</f>
        <v>0</v>
      </c>
      <c r="AK2352" s="9">
        <f>IFERROR(VLOOKUP($A2352,pivot!$A:$I,計算式2026!AK$1,FALSE),0)</f>
        <v>0</v>
      </c>
      <c r="AL2352" s="9">
        <f>IFERROR(VLOOKUP($A2352,pivot!$A:$I,計算式2026!AL$1,FALSE),0)</f>
        <v>0</v>
      </c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8"/>
      <c r="BF2352" s="8"/>
      <c r="BG2352" s="8"/>
    </row>
    <row r="2353" spans="1:59" s="9" customFormat="1">
      <c r="A2353" s="8">
        <v>8984423536</v>
      </c>
      <c r="B2353" s="8" t="s">
        <v>2504</v>
      </c>
      <c r="C2353" s="9">
        <v>0</v>
      </c>
      <c r="D2353" s="9">
        <v>4</v>
      </c>
      <c r="E2353" s="9">
        <v>0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  <c r="K2353" s="9">
        <v>0</v>
      </c>
      <c r="R2353" s="9">
        <v>0</v>
      </c>
      <c r="S2353" s="9">
        <v>1</v>
      </c>
      <c r="T2353" s="9">
        <v>1</v>
      </c>
      <c r="U2353" s="9">
        <v>0</v>
      </c>
      <c r="V2353" s="9">
        <v>1</v>
      </c>
      <c r="W2353" s="9">
        <v>0</v>
      </c>
      <c r="X2353" s="9">
        <v>1</v>
      </c>
      <c r="AE2353" s="9">
        <f>IFERROR(VLOOKUP($A2353,pivot!$A:$G,計算式2026!AE$1,FALSE),0)</f>
        <v>0</v>
      </c>
      <c r="AF2353" s="9">
        <f>IFERROR(VLOOKUP($A2353,pivot!$A:$I,計算式2026!AF$1,FALSE),0)</f>
        <v>0</v>
      </c>
      <c r="AI2353" s="9">
        <f>IFERROR(VLOOKUP($A2353,pivot!$A:$I,計算式2026!AI$1,FALSE),0)</f>
        <v>0</v>
      </c>
      <c r="AJ2353" s="9">
        <f>IFERROR(VLOOKUP($A2353,pivot!$A:$I,計算式2026!AJ$1,FALSE),0)</f>
        <v>0</v>
      </c>
      <c r="AK2353" s="9">
        <f>IFERROR(VLOOKUP($A2353,pivot!$A:$I,計算式2026!AK$1,FALSE),0)</f>
        <v>0</v>
      </c>
      <c r="AL2353" s="9">
        <f>IFERROR(VLOOKUP($A2353,pivot!$A:$I,計算式2026!AL$1,FALSE),0)</f>
        <v>0</v>
      </c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</row>
    <row r="2354" spans="1:59" s="9" customFormat="1">
      <c r="A2354" s="8">
        <v>8984423538</v>
      </c>
      <c r="B2354" s="8" t="s">
        <v>2504</v>
      </c>
      <c r="C2354" s="9">
        <v>0</v>
      </c>
      <c r="D2354" s="9">
        <v>3</v>
      </c>
      <c r="E2354" s="9">
        <v>0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R2354" s="9">
        <v>0</v>
      </c>
      <c r="S2354" s="9">
        <v>1</v>
      </c>
      <c r="T2354" s="9">
        <v>1</v>
      </c>
      <c r="U2354" s="9">
        <v>0</v>
      </c>
      <c r="V2354" s="9">
        <v>0</v>
      </c>
      <c r="W2354" s="9">
        <v>0</v>
      </c>
      <c r="X2354" s="9">
        <v>1</v>
      </c>
      <c r="AE2354" s="9">
        <f>IFERROR(VLOOKUP($A2354,pivot!$A:$G,計算式2026!AE$1,FALSE),0)</f>
        <v>0</v>
      </c>
      <c r="AF2354" s="9">
        <f>IFERROR(VLOOKUP($A2354,pivot!$A:$I,計算式2026!AF$1,FALSE),0)</f>
        <v>0</v>
      </c>
      <c r="AI2354" s="9">
        <f>IFERROR(VLOOKUP($A2354,pivot!$A:$I,計算式2026!AI$1,FALSE),0)</f>
        <v>0</v>
      </c>
      <c r="AJ2354" s="9">
        <f>IFERROR(VLOOKUP($A2354,pivot!$A:$I,計算式2026!AJ$1,FALSE),0)</f>
        <v>0</v>
      </c>
      <c r="AK2354" s="9">
        <f>IFERROR(VLOOKUP($A2354,pivot!$A:$I,計算式2026!AK$1,FALSE),0)</f>
        <v>0</v>
      </c>
      <c r="AL2354" s="9">
        <f>IFERROR(VLOOKUP($A2354,pivot!$A:$I,計算式2026!AL$1,FALSE),0)</f>
        <v>0</v>
      </c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8"/>
      <c r="BF2354" s="8"/>
      <c r="BG2354" s="8"/>
    </row>
    <row r="2355" spans="1:59" s="9" customFormat="1">
      <c r="A2355" s="8">
        <v>8984455534</v>
      </c>
      <c r="B2355" s="8" t="s">
        <v>2504</v>
      </c>
      <c r="C2355" s="9">
        <v>0</v>
      </c>
      <c r="D2355" s="9">
        <v>0</v>
      </c>
      <c r="E2355" s="9">
        <v>0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  <c r="K2355" s="9">
        <v>0</v>
      </c>
      <c r="R2355" s="9">
        <v>0</v>
      </c>
      <c r="S2355" s="9">
        <v>1</v>
      </c>
      <c r="T2355" s="9">
        <v>0</v>
      </c>
      <c r="U2355" s="9">
        <v>0</v>
      </c>
      <c r="V2355" s="9">
        <v>1</v>
      </c>
      <c r="W2355" s="9">
        <v>0</v>
      </c>
      <c r="X2355" s="9">
        <v>0</v>
      </c>
      <c r="AE2355" s="9">
        <f>IFERROR(VLOOKUP($A2355,pivot!$A:$G,計算式2026!AE$1,FALSE),0)</f>
        <v>0</v>
      </c>
      <c r="AF2355" s="9">
        <f>IFERROR(VLOOKUP($A2355,pivot!$A:$I,計算式2026!AF$1,FALSE),0)</f>
        <v>0</v>
      </c>
      <c r="AI2355" s="9">
        <f>IFERROR(VLOOKUP($A2355,pivot!$A:$I,計算式2026!AI$1,FALSE),0)</f>
        <v>0</v>
      </c>
      <c r="AJ2355" s="9">
        <f>IFERROR(VLOOKUP($A2355,pivot!$A:$I,計算式2026!AJ$1,FALSE),0)</f>
        <v>0</v>
      </c>
      <c r="AK2355" s="9">
        <f>IFERROR(VLOOKUP($A2355,pivot!$A:$I,計算式2026!AK$1,FALSE),0)</f>
        <v>0</v>
      </c>
      <c r="AL2355" s="9">
        <f>IFERROR(VLOOKUP($A2355,pivot!$A:$I,計算式2026!AL$1,FALSE),0)</f>
        <v>0</v>
      </c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8"/>
      <c r="BG2355" s="8"/>
    </row>
    <row r="2356" spans="1:59" s="9" customFormat="1">
      <c r="A2356" s="8">
        <v>8984455536</v>
      </c>
      <c r="B2356" s="8" t="s">
        <v>2504</v>
      </c>
      <c r="C2356" s="9">
        <v>0</v>
      </c>
      <c r="D2356" s="9">
        <v>6</v>
      </c>
      <c r="E2356" s="9">
        <v>0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  <c r="K2356" s="9">
        <v>0</v>
      </c>
      <c r="R2356" s="9">
        <v>0</v>
      </c>
      <c r="S2356" s="9">
        <v>1</v>
      </c>
      <c r="T2356" s="9">
        <v>1</v>
      </c>
      <c r="U2356" s="9">
        <v>0</v>
      </c>
      <c r="V2356" s="9">
        <v>1</v>
      </c>
      <c r="W2356" s="9">
        <v>0</v>
      </c>
      <c r="X2356" s="9">
        <v>1</v>
      </c>
      <c r="AE2356" s="9">
        <f>IFERROR(VLOOKUP($A2356,pivot!$A:$G,計算式2026!AE$1,FALSE),0)</f>
        <v>0</v>
      </c>
      <c r="AF2356" s="9">
        <f>IFERROR(VLOOKUP($A2356,pivot!$A:$I,計算式2026!AF$1,FALSE),0)</f>
        <v>0</v>
      </c>
      <c r="AI2356" s="9">
        <f>IFERROR(VLOOKUP($A2356,pivot!$A:$I,計算式2026!AI$1,FALSE),0)</f>
        <v>0</v>
      </c>
      <c r="AJ2356" s="9">
        <f>IFERROR(VLOOKUP($A2356,pivot!$A:$I,計算式2026!AJ$1,FALSE),0)</f>
        <v>0</v>
      </c>
      <c r="AK2356" s="9">
        <f>IFERROR(VLOOKUP($A2356,pivot!$A:$I,計算式2026!AK$1,FALSE),0)</f>
        <v>0</v>
      </c>
      <c r="AL2356" s="9">
        <f>IFERROR(VLOOKUP($A2356,pivot!$A:$I,計算式2026!AL$1,FALSE),0)</f>
        <v>0</v>
      </c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/>
      <c r="BC2356" s="8"/>
      <c r="BD2356" s="8"/>
      <c r="BE2356" s="8"/>
      <c r="BF2356" s="8"/>
      <c r="BG2356" s="8"/>
    </row>
    <row r="2357" spans="1:59" s="9" customFormat="1">
      <c r="A2357" s="8">
        <v>8984455538</v>
      </c>
      <c r="B2357" s="8" t="s">
        <v>2504</v>
      </c>
      <c r="C2357" s="9">
        <v>0</v>
      </c>
      <c r="D2357" s="9">
        <v>4</v>
      </c>
      <c r="E2357" s="9">
        <v>0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  <c r="K2357" s="9">
        <v>0</v>
      </c>
      <c r="R2357" s="9">
        <v>0</v>
      </c>
      <c r="S2357" s="9">
        <v>1</v>
      </c>
      <c r="T2357" s="9">
        <v>1</v>
      </c>
      <c r="U2357" s="9">
        <v>0</v>
      </c>
      <c r="V2357" s="9">
        <v>1</v>
      </c>
      <c r="W2357" s="9">
        <v>0</v>
      </c>
      <c r="X2357" s="9">
        <v>1</v>
      </c>
      <c r="AE2357" s="9">
        <f>IFERROR(VLOOKUP($A2357,pivot!$A:$G,計算式2026!AE$1,FALSE),0)</f>
        <v>0</v>
      </c>
      <c r="AF2357" s="9">
        <f>IFERROR(VLOOKUP($A2357,pivot!$A:$I,計算式2026!AF$1,FALSE),0)</f>
        <v>0</v>
      </c>
      <c r="AI2357" s="9">
        <f>IFERROR(VLOOKUP($A2357,pivot!$A:$I,計算式2026!AI$1,FALSE),0)</f>
        <v>0</v>
      </c>
      <c r="AJ2357" s="9">
        <f>IFERROR(VLOOKUP($A2357,pivot!$A:$I,計算式2026!AJ$1,FALSE),0)</f>
        <v>0</v>
      </c>
      <c r="AK2357" s="9">
        <f>IFERROR(VLOOKUP($A2357,pivot!$A:$I,計算式2026!AK$1,FALSE),0)</f>
        <v>0</v>
      </c>
      <c r="AL2357" s="9">
        <f>IFERROR(VLOOKUP($A2357,pivot!$A:$I,計算式2026!AL$1,FALSE),0)</f>
        <v>0</v>
      </c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8"/>
      <c r="BG2357" s="8"/>
    </row>
    <row r="2358" spans="1:59" s="9" customFormat="1">
      <c r="A2358" s="8" t="s">
        <v>2505</v>
      </c>
      <c r="B2358" s="8" t="s">
        <v>2506</v>
      </c>
      <c r="C2358" s="9">
        <v>4</v>
      </c>
      <c r="D2358" s="9">
        <v>0</v>
      </c>
      <c r="E2358" s="9">
        <v>0</v>
      </c>
      <c r="F2358" s="9">
        <v>0</v>
      </c>
      <c r="G2358" s="9">
        <v>0</v>
      </c>
      <c r="H2358" s="9">
        <v>0</v>
      </c>
      <c r="I2358" s="9">
        <v>0</v>
      </c>
      <c r="J2358" s="9">
        <v>0</v>
      </c>
      <c r="K2358" s="9">
        <v>0</v>
      </c>
      <c r="R2358" s="9">
        <v>0</v>
      </c>
      <c r="S2358" s="9">
        <v>1</v>
      </c>
      <c r="T2358" s="9">
        <v>1</v>
      </c>
      <c r="U2358" s="9">
        <v>0</v>
      </c>
      <c r="V2358" s="9">
        <v>1</v>
      </c>
      <c r="W2358" s="9">
        <v>0</v>
      </c>
      <c r="X2358" s="9">
        <v>1</v>
      </c>
      <c r="AE2358" s="9">
        <f>IFERROR(VLOOKUP($A2358,pivot!$A:$G,計算式2026!AE$1,FALSE),0)</f>
        <v>0</v>
      </c>
      <c r="AF2358" s="9">
        <f>IFERROR(VLOOKUP($A2358,pivot!$A:$I,計算式2026!AF$1,FALSE),0)</f>
        <v>0</v>
      </c>
      <c r="AI2358" s="9">
        <f>IFERROR(VLOOKUP($A2358,pivot!$A:$I,計算式2026!AI$1,FALSE),0)</f>
        <v>0</v>
      </c>
      <c r="AJ2358" s="9">
        <f>IFERROR(VLOOKUP($A2358,pivot!$A:$I,計算式2026!AJ$1,FALSE),0)</f>
        <v>0</v>
      </c>
      <c r="AK2358" s="9">
        <f>IFERROR(VLOOKUP($A2358,pivot!$A:$I,計算式2026!AK$1,FALSE),0)</f>
        <v>0</v>
      </c>
      <c r="AL2358" s="9">
        <f>IFERROR(VLOOKUP($A2358,pivot!$A:$I,計算式2026!AL$1,FALSE),0)</f>
        <v>0</v>
      </c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</row>
    <row r="2359" spans="1:59" s="9" customFormat="1">
      <c r="A2359" s="8" t="s">
        <v>2507</v>
      </c>
      <c r="B2359" s="8" t="s">
        <v>2506</v>
      </c>
      <c r="C2359" s="9">
        <v>4</v>
      </c>
      <c r="D2359" s="9">
        <v>0</v>
      </c>
      <c r="E2359" s="9">
        <v>0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R2359" s="9">
        <v>0</v>
      </c>
      <c r="S2359" s="9">
        <v>2</v>
      </c>
      <c r="T2359" s="9">
        <v>1</v>
      </c>
      <c r="U2359" s="9">
        <v>0</v>
      </c>
      <c r="V2359" s="9">
        <v>2</v>
      </c>
      <c r="W2359" s="9">
        <v>0</v>
      </c>
      <c r="X2359" s="9">
        <v>1</v>
      </c>
      <c r="AE2359" s="9">
        <f>IFERROR(VLOOKUP($A2359,pivot!$A:$G,計算式2026!AE$1,FALSE),0)</f>
        <v>0</v>
      </c>
      <c r="AF2359" s="9">
        <f>IFERROR(VLOOKUP($A2359,pivot!$A:$I,計算式2026!AF$1,FALSE),0)</f>
        <v>0</v>
      </c>
      <c r="AI2359" s="9">
        <f>IFERROR(VLOOKUP($A2359,pivot!$A:$I,計算式2026!AI$1,FALSE),0)</f>
        <v>0</v>
      </c>
      <c r="AJ2359" s="9">
        <f>IFERROR(VLOOKUP($A2359,pivot!$A:$I,計算式2026!AJ$1,FALSE),0)</f>
        <v>0</v>
      </c>
      <c r="AK2359" s="9">
        <f>IFERROR(VLOOKUP($A2359,pivot!$A:$I,計算式2026!AK$1,FALSE),0)</f>
        <v>0</v>
      </c>
      <c r="AL2359" s="9">
        <f>IFERROR(VLOOKUP($A2359,pivot!$A:$I,計算式2026!AL$1,FALSE),0)</f>
        <v>0</v>
      </c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8"/>
      <c r="BF2359" s="8"/>
      <c r="BG2359" s="8"/>
    </row>
    <row r="2360" spans="1:59" s="9" customFormat="1">
      <c r="A2360" s="8" t="s">
        <v>2508</v>
      </c>
      <c r="B2360" s="8" t="s">
        <v>2506</v>
      </c>
      <c r="C2360" s="9">
        <v>0</v>
      </c>
      <c r="D2360" s="9">
        <v>0</v>
      </c>
      <c r="E2360" s="9">
        <v>0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  <c r="K2360" s="9">
        <v>0</v>
      </c>
      <c r="R2360" s="9">
        <v>0</v>
      </c>
      <c r="S2360" s="9">
        <v>1</v>
      </c>
      <c r="T2360" s="9">
        <v>0</v>
      </c>
      <c r="U2360" s="9">
        <v>0</v>
      </c>
      <c r="V2360" s="9">
        <v>1</v>
      </c>
      <c r="W2360" s="9">
        <v>0</v>
      </c>
      <c r="X2360" s="9">
        <v>1</v>
      </c>
      <c r="AE2360" s="9">
        <f>IFERROR(VLOOKUP($A2360,pivot!$A:$G,計算式2026!AE$1,FALSE),0)</f>
        <v>0</v>
      </c>
      <c r="AF2360" s="9">
        <f>IFERROR(VLOOKUP($A2360,pivot!$A:$I,計算式2026!AF$1,FALSE),0)</f>
        <v>0</v>
      </c>
      <c r="AI2360" s="9">
        <f>IFERROR(VLOOKUP($A2360,pivot!$A:$I,計算式2026!AI$1,FALSE),0)</f>
        <v>0</v>
      </c>
      <c r="AJ2360" s="9">
        <f>IFERROR(VLOOKUP($A2360,pivot!$A:$I,計算式2026!AJ$1,FALSE),0)</f>
        <v>0</v>
      </c>
      <c r="AK2360" s="9">
        <f>IFERROR(VLOOKUP($A2360,pivot!$A:$I,計算式2026!AK$1,FALSE),0)</f>
        <v>0</v>
      </c>
      <c r="AL2360" s="9">
        <f>IFERROR(VLOOKUP($A2360,pivot!$A:$I,計算式2026!AL$1,FALSE),0)</f>
        <v>0</v>
      </c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8"/>
      <c r="BF2360" s="8"/>
      <c r="BG2360" s="8"/>
    </row>
    <row r="2361" spans="1:59" s="9" customFormat="1">
      <c r="A2361" s="8" t="s">
        <v>2509</v>
      </c>
      <c r="B2361" s="8" t="s">
        <v>2506</v>
      </c>
      <c r="C2361" s="9">
        <v>4</v>
      </c>
      <c r="D2361" s="9">
        <v>0</v>
      </c>
      <c r="E2361" s="9">
        <v>0</v>
      </c>
      <c r="F2361" s="9">
        <v>0</v>
      </c>
      <c r="G2361" s="9">
        <v>0</v>
      </c>
      <c r="H2361" s="9">
        <v>0</v>
      </c>
      <c r="I2361" s="9">
        <v>0</v>
      </c>
      <c r="J2361" s="9">
        <v>0</v>
      </c>
      <c r="K2361" s="9">
        <v>0</v>
      </c>
      <c r="R2361" s="9">
        <v>0</v>
      </c>
      <c r="S2361" s="9">
        <v>2</v>
      </c>
      <c r="T2361" s="9">
        <v>1</v>
      </c>
      <c r="U2361" s="9">
        <v>0</v>
      </c>
      <c r="V2361" s="9">
        <v>2</v>
      </c>
      <c r="W2361" s="9">
        <v>0</v>
      </c>
      <c r="X2361" s="9">
        <v>1</v>
      </c>
      <c r="AE2361" s="9">
        <f>IFERROR(VLOOKUP($A2361,pivot!$A:$G,計算式2026!AE$1,FALSE),0)</f>
        <v>0</v>
      </c>
      <c r="AF2361" s="9">
        <f>IFERROR(VLOOKUP($A2361,pivot!$A:$I,計算式2026!AF$1,FALSE),0)</f>
        <v>0</v>
      </c>
      <c r="AI2361" s="9">
        <f>IFERROR(VLOOKUP($A2361,pivot!$A:$I,計算式2026!AI$1,FALSE),0)</f>
        <v>0</v>
      </c>
      <c r="AJ2361" s="9">
        <f>IFERROR(VLOOKUP($A2361,pivot!$A:$I,計算式2026!AJ$1,FALSE),0)</f>
        <v>0</v>
      </c>
      <c r="AK2361" s="9">
        <f>IFERROR(VLOOKUP($A2361,pivot!$A:$I,計算式2026!AK$1,FALSE),0)</f>
        <v>0</v>
      </c>
      <c r="AL2361" s="9">
        <f>IFERROR(VLOOKUP($A2361,pivot!$A:$I,計算式2026!AL$1,FALSE),0)</f>
        <v>0</v>
      </c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8"/>
      <c r="BG2361" s="8"/>
    </row>
    <row r="2362" spans="1:59" s="9" customFormat="1">
      <c r="A2362" s="8" t="s">
        <v>2510</v>
      </c>
      <c r="B2362" s="8" t="s">
        <v>2506</v>
      </c>
      <c r="C2362" s="9">
        <v>4</v>
      </c>
      <c r="D2362" s="9">
        <v>6</v>
      </c>
      <c r="E2362" s="9">
        <v>0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9">
        <v>0</v>
      </c>
      <c r="R2362" s="9">
        <v>0</v>
      </c>
      <c r="S2362" s="9">
        <v>2</v>
      </c>
      <c r="T2362" s="9">
        <v>1</v>
      </c>
      <c r="U2362" s="9">
        <v>0</v>
      </c>
      <c r="V2362" s="9">
        <v>2</v>
      </c>
      <c r="W2362" s="9">
        <v>0</v>
      </c>
      <c r="X2362" s="9">
        <v>1</v>
      </c>
      <c r="AE2362" s="9">
        <f>IFERROR(VLOOKUP($A2362,pivot!$A:$G,計算式2026!AE$1,FALSE),0)</f>
        <v>0</v>
      </c>
      <c r="AF2362" s="9">
        <f>IFERROR(VLOOKUP($A2362,pivot!$A:$I,計算式2026!AF$1,FALSE),0)</f>
        <v>0</v>
      </c>
      <c r="AI2362" s="9">
        <f>IFERROR(VLOOKUP($A2362,pivot!$A:$I,計算式2026!AI$1,FALSE),0)</f>
        <v>0</v>
      </c>
      <c r="AJ2362" s="9">
        <f>IFERROR(VLOOKUP($A2362,pivot!$A:$I,計算式2026!AJ$1,FALSE),0)</f>
        <v>0</v>
      </c>
      <c r="AK2362" s="9">
        <f>IFERROR(VLOOKUP($A2362,pivot!$A:$I,計算式2026!AK$1,FALSE),0)</f>
        <v>0</v>
      </c>
      <c r="AL2362" s="9">
        <f>IFERROR(VLOOKUP($A2362,pivot!$A:$I,計算式2026!AL$1,FALSE),0)</f>
        <v>0</v>
      </c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</row>
    <row r="2363" spans="1:59" s="9" customFormat="1">
      <c r="A2363" s="8" t="s">
        <v>2511</v>
      </c>
      <c r="B2363" s="8" t="s">
        <v>2506</v>
      </c>
      <c r="C2363" s="9">
        <v>1</v>
      </c>
      <c r="D2363" s="9">
        <v>1</v>
      </c>
      <c r="E2363" s="9">
        <v>0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  <c r="K2363" s="9">
        <v>0</v>
      </c>
      <c r="R2363" s="9">
        <v>0</v>
      </c>
      <c r="S2363" s="9">
        <v>1</v>
      </c>
      <c r="T2363" s="9">
        <v>0</v>
      </c>
      <c r="U2363" s="9">
        <v>0</v>
      </c>
      <c r="V2363" s="9">
        <v>1</v>
      </c>
      <c r="W2363" s="9">
        <v>0</v>
      </c>
      <c r="X2363" s="9">
        <v>1</v>
      </c>
      <c r="AE2363" s="9">
        <f>IFERROR(VLOOKUP($A2363,pivot!$A:$G,計算式2026!AE$1,FALSE),0)</f>
        <v>0</v>
      </c>
      <c r="AF2363" s="9">
        <f>IFERROR(VLOOKUP($A2363,pivot!$A:$I,計算式2026!AF$1,FALSE),0)</f>
        <v>0</v>
      </c>
      <c r="AI2363" s="9">
        <f>IFERROR(VLOOKUP($A2363,pivot!$A:$I,計算式2026!AI$1,FALSE),0)</f>
        <v>0</v>
      </c>
      <c r="AJ2363" s="9">
        <f>IFERROR(VLOOKUP($A2363,pivot!$A:$I,計算式2026!AJ$1,FALSE),0)</f>
        <v>0</v>
      </c>
      <c r="AK2363" s="9">
        <f>IFERROR(VLOOKUP($A2363,pivot!$A:$I,計算式2026!AK$1,FALSE),0)</f>
        <v>0</v>
      </c>
      <c r="AL2363" s="9">
        <f>IFERROR(VLOOKUP($A2363,pivot!$A:$I,計算式2026!AL$1,FALSE),0)</f>
        <v>0</v>
      </c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8"/>
      <c r="BG2363" s="8"/>
    </row>
    <row r="2364" spans="1:59" s="9" customFormat="1">
      <c r="A2364" s="8" t="s">
        <v>2512</v>
      </c>
      <c r="B2364" s="8" t="s">
        <v>2513</v>
      </c>
      <c r="C2364" s="9">
        <v>0</v>
      </c>
      <c r="D2364" s="9">
        <v>0</v>
      </c>
      <c r="E2364" s="9">
        <v>0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R2364" s="9">
        <v>0</v>
      </c>
      <c r="S2364" s="9">
        <v>2</v>
      </c>
      <c r="T2364" s="9">
        <v>1</v>
      </c>
      <c r="U2364" s="9">
        <v>1</v>
      </c>
      <c r="V2364" s="9">
        <v>2</v>
      </c>
      <c r="W2364" s="9">
        <v>0</v>
      </c>
      <c r="X2364" s="9">
        <v>1</v>
      </c>
      <c r="AE2364" s="9">
        <f>IFERROR(VLOOKUP($A2364,pivot!$A:$G,計算式2026!AE$1,FALSE),0)</f>
        <v>0</v>
      </c>
      <c r="AF2364" s="9">
        <f>IFERROR(VLOOKUP($A2364,pivot!$A:$I,計算式2026!AF$1,FALSE),0)</f>
        <v>0</v>
      </c>
      <c r="AI2364" s="9">
        <f>IFERROR(VLOOKUP($A2364,pivot!$A:$I,計算式2026!AI$1,FALSE),0)</f>
        <v>0</v>
      </c>
      <c r="AJ2364" s="9">
        <f>IFERROR(VLOOKUP($A2364,pivot!$A:$I,計算式2026!AJ$1,FALSE),0)</f>
        <v>0</v>
      </c>
      <c r="AK2364" s="9">
        <f>IFERROR(VLOOKUP($A2364,pivot!$A:$I,計算式2026!AK$1,FALSE),0)</f>
        <v>0</v>
      </c>
      <c r="AL2364" s="9">
        <f>IFERROR(VLOOKUP($A2364,pivot!$A:$I,計算式2026!AL$1,FALSE),0)</f>
        <v>0</v>
      </c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</row>
    <row r="2365" spans="1:59" s="9" customFormat="1">
      <c r="A2365" s="8" t="s">
        <v>2514</v>
      </c>
      <c r="B2365" s="8" t="s">
        <v>2513</v>
      </c>
      <c r="C2365" s="9">
        <v>0</v>
      </c>
      <c r="D2365" s="9">
        <v>2</v>
      </c>
      <c r="E2365" s="9">
        <v>0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0</v>
      </c>
      <c r="R2365" s="9">
        <v>0</v>
      </c>
      <c r="S2365" s="9">
        <v>2</v>
      </c>
      <c r="T2365" s="9">
        <v>1</v>
      </c>
      <c r="U2365" s="9">
        <v>1</v>
      </c>
      <c r="V2365" s="9">
        <v>2</v>
      </c>
      <c r="W2365" s="9">
        <v>0</v>
      </c>
      <c r="X2365" s="9">
        <v>1</v>
      </c>
      <c r="AE2365" s="9">
        <f>IFERROR(VLOOKUP($A2365,pivot!$A:$G,計算式2026!AE$1,FALSE),0)</f>
        <v>0</v>
      </c>
      <c r="AF2365" s="9">
        <f>IFERROR(VLOOKUP($A2365,pivot!$A:$I,計算式2026!AF$1,FALSE),0)</f>
        <v>0</v>
      </c>
      <c r="AI2365" s="9">
        <f>IFERROR(VLOOKUP($A2365,pivot!$A:$I,計算式2026!AI$1,FALSE),0)</f>
        <v>0</v>
      </c>
      <c r="AJ2365" s="9">
        <f>IFERROR(VLOOKUP($A2365,pivot!$A:$I,計算式2026!AJ$1,FALSE),0)</f>
        <v>0</v>
      </c>
      <c r="AK2365" s="9">
        <f>IFERROR(VLOOKUP($A2365,pivot!$A:$I,計算式2026!AK$1,FALSE),0)</f>
        <v>0</v>
      </c>
      <c r="AL2365" s="9">
        <f>IFERROR(VLOOKUP($A2365,pivot!$A:$I,計算式2026!AL$1,FALSE),0)</f>
        <v>0</v>
      </c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8"/>
      <c r="BF2365" s="8"/>
      <c r="BG2365" s="8"/>
    </row>
    <row r="2366" spans="1:59" s="9" customFormat="1">
      <c r="A2366" s="8" t="s">
        <v>2515</v>
      </c>
      <c r="B2366" s="8" t="s">
        <v>2513</v>
      </c>
      <c r="C2366" s="9">
        <v>0</v>
      </c>
      <c r="D2366" s="9">
        <v>0</v>
      </c>
      <c r="E2366" s="9">
        <v>0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R2366" s="9">
        <v>0</v>
      </c>
      <c r="S2366" s="9">
        <v>2</v>
      </c>
      <c r="T2366" s="9">
        <v>0</v>
      </c>
      <c r="U2366" s="9">
        <v>0</v>
      </c>
      <c r="V2366" s="9">
        <v>1</v>
      </c>
      <c r="W2366" s="9">
        <v>0</v>
      </c>
      <c r="X2366" s="9">
        <v>0</v>
      </c>
      <c r="AE2366" s="9">
        <f>IFERROR(VLOOKUP($A2366,pivot!$A:$G,計算式2026!AE$1,FALSE),0)</f>
        <v>0</v>
      </c>
      <c r="AF2366" s="9">
        <f>IFERROR(VLOOKUP($A2366,pivot!$A:$I,計算式2026!AF$1,FALSE),0)</f>
        <v>0</v>
      </c>
      <c r="AI2366" s="9">
        <f>IFERROR(VLOOKUP($A2366,pivot!$A:$I,計算式2026!AI$1,FALSE),0)</f>
        <v>0</v>
      </c>
      <c r="AJ2366" s="9">
        <f>IFERROR(VLOOKUP($A2366,pivot!$A:$I,計算式2026!AJ$1,FALSE),0)</f>
        <v>0</v>
      </c>
      <c r="AK2366" s="9">
        <f>IFERROR(VLOOKUP($A2366,pivot!$A:$I,計算式2026!AK$1,FALSE),0)</f>
        <v>0</v>
      </c>
      <c r="AL2366" s="9">
        <f>IFERROR(VLOOKUP($A2366,pivot!$A:$I,計算式2026!AL$1,FALSE),0)</f>
        <v>0</v>
      </c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</row>
    <row r="2367" spans="1:59" s="9" customFormat="1">
      <c r="A2367" s="8" t="s">
        <v>2516</v>
      </c>
      <c r="B2367" s="8" t="s">
        <v>2513</v>
      </c>
      <c r="C2367" s="9">
        <v>0</v>
      </c>
      <c r="D2367" s="9">
        <v>0</v>
      </c>
      <c r="E2367" s="9">
        <v>0</v>
      </c>
      <c r="F2367" s="9">
        <v>0</v>
      </c>
      <c r="G2367" s="9">
        <v>0</v>
      </c>
      <c r="H2367" s="9">
        <v>0</v>
      </c>
      <c r="I2367" s="9">
        <v>0</v>
      </c>
      <c r="J2367" s="9">
        <v>0</v>
      </c>
      <c r="K2367" s="9">
        <v>0</v>
      </c>
      <c r="R2367" s="9">
        <v>0</v>
      </c>
      <c r="S2367" s="9">
        <v>1</v>
      </c>
      <c r="T2367" s="9">
        <v>0</v>
      </c>
      <c r="U2367" s="9">
        <v>0</v>
      </c>
      <c r="V2367" s="9">
        <v>1</v>
      </c>
      <c r="W2367" s="9">
        <v>0</v>
      </c>
      <c r="X2367" s="9">
        <v>0</v>
      </c>
      <c r="AE2367" s="9">
        <f>IFERROR(VLOOKUP($A2367,pivot!$A:$G,計算式2026!AE$1,FALSE),0)</f>
        <v>0</v>
      </c>
      <c r="AF2367" s="9">
        <f>IFERROR(VLOOKUP($A2367,pivot!$A:$I,計算式2026!AF$1,FALSE),0)</f>
        <v>0</v>
      </c>
      <c r="AI2367" s="9">
        <f>IFERROR(VLOOKUP($A2367,pivot!$A:$I,計算式2026!AI$1,FALSE),0)</f>
        <v>0</v>
      </c>
      <c r="AJ2367" s="9">
        <f>IFERROR(VLOOKUP($A2367,pivot!$A:$I,計算式2026!AJ$1,FALSE),0)</f>
        <v>0</v>
      </c>
      <c r="AK2367" s="9">
        <f>IFERROR(VLOOKUP($A2367,pivot!$A:$I,計算式2026!AK$1,FALSE),0)</f>
        <v>0</v>
      </c>
      <c r="AL2367" s="9">
        <f>IFERROR(VLOOKUP($A2367,pivot!$A:$I,計算式2026!AL$1,FALSE),0)</f>
        <v>0</v>
      </c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</row>
    <row r="2368" spans="1:59" s="9" customFormat="1">
      <c r="A2368" s="8" t="s">
        <v>2517</v>
      </c>
      <c r="B2368" s="8" t="s">
        <v>2513</v>
      </c>
      <c r="C2368" s="9">
        <v>0</v>
      </c>
      <c r="D2368" s="9">
        <v>0</v>
      </c>
      <c r="E2368" s="9">
        <v>0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R2368" s="9">
        <v>0</v>
      </c>
      <c r="S2368" s="9">
        <v>1</v>
      </c>
      <c r="T2368" s="9">
        <v>1</v>
      </c>
      <c r="U2368" s="9">
        <v>0</v>
      </c>
      <c r="V2368" s="9">
        <v>2</v>
      </c>
      <c r="W2368" s="9">
        <v>0</v>
      </c>
      <c r="X2368" s="9">
        <v>1</v>
      </c>
      <c r="AE2368" s="9">
        <f>IFERROR(VLOOKUP($A2368,pivot!$A:$G,計算式2026!AE$1,FALSE),0)</f>
        <v>0</v>
      </c>
      <c r="AF2368" s="9">
        <f>IFERROR(VLOOKUP($A2368,pivot!$A:$I,計算式2026!AF$1,FALSE),0)</f>
        <v>0</v>
      </c>
      <c r="AI2368" s="9">
        <f>IFERROR(VLOOKUP($A2368,pivot!$A:$I,計算式2026!AI$1,FALSE),0)</f>
        <v>0</v>
      </c>
      <c r="AJ2368" s="9">
        <f>IFERROR(VLOOKUP($A2368,pivot!$A:$I,計算式2026!AJ$1,FALSE),0)</f>
        <v>0</v>
      </c>
      <c r="AK2368" s="9">
        <f>IFERROR(VLOOKUP($A2368,pivot!$A:$I,計算式2026!AK$1,FALSE),0)</f>
        <v>0</v>
      </c>
      <c r="AL2368" s="9">
        <f>IFERROR(VLOOKUP($A2368,pivot!$A:$I,計算式2026!AL$1,FALSE),0)</f>
        <v>0</v>
      </c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</row>
    <row r="2369" spans="1:59" s="9" customFormat="1">
      <c r="A2369" s="8" t="s">
        <v>2518</v>
      </c>
      <c r="B2369" s="8" t="s">
        <v>2513</v>
      </c>
      <c r="C2369" s="9">
        <v>0</v>
      </c>
      <c r="D2369" s="9">
        <v>0</v>
      </c>
      <c r="E2369" s="9">
        <v>0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R2369" s="9">
        <v>0</v>
      </c>
      <c r="S2369" s="9">
        <v>2</v>
      </c>
      <c r="T2369" s="9">
        <v>1</v>
      </c>
      <c r="U2369" s="9">
        <v>1</v>
      </c>
      <c r="V2369" s="9">
        <v>1</v>
      </c>
      <c r="W2369" s="9">
        <v>0</v>
      </c>
      <c r="X2369" s="9">
        <v>1</v>
      </c>
      <c r="AE2369" s="9">
        <f>IFERROR(VLOOKUP($A2369,pivot!$A:$G,計算式2026!AE$1,FALSE),0)</f>
        <v>0</v>
      </c>
      <c r="AF2369" s="9">
        <f>IFERROR(VLOOKUP($A2369,pivot!$A:$I,計算式2026!AF$1,FALSE),0)</f>
        <v>0</v>
      </c>
      <c r="AI2369" s="9">
        <f>IFERROR(VLOOKUP($A2369,pivot!$A:$I,計算式2026!AI$1,FALSE),0)</f>
        <v>0</v>
      </c>
      <c r="AJ2369" s="9">
        <f>IFERROR(VLOOKUP($A2369,pivot!$A:$I,計算式2026!AJ$1,FALSE),0)</f>
        <v>0</v>
      </c>
      <c r="AK2369" s="9">
        <f>IFERROR(VLOOKUP($A2369,pivot!$A:$I,計算式2026!AK$1,FALSE),0)</f>
        <v>0</v>
      </c>
      <c r="AL2369" s="9">
        <f>IFERROR(VLOOKUP($A2369,pivot!$A:$I,計算式2026!AL$1,FALSE),0)</f>
        <v>0</v>
      </c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</row>
    <row r="2370" spans="1:59" s="9" customFormat="1">
      <c r="A2370" s="8" t="s">
        <v>2519</v>
      </c>
      <c r="B2370" s="8" t="s">
        <v>2513</v>
      </c>
      <c r="C2370" s="9">
        <v>0</v>
      </c>
      <c r="D2370" s="9">
        <v>0</v>
      </c>
      <c r="E2370" s="9">
        <v>0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R2370" s="9">
        <v>0</v>
      </c>
      <c r="S2370" s="9">
        <v>1</v>
      </c>
      <c r="T2370" s="9">
        <v>0</v>
      </c>
      <c r="U2370" s="9">
        <v>1</v>
      </c>
      <c r="V2370" s="9">
        <v>1</v>
      </c>
      <c r="W2370" s="9">
        <v>0</v>
      </c>
      <c r="X2370" s="9">
        <v>0</v>
      </c>
      <c r="AE2370" s="9">
        <f>IFERROR(VLOOKUP($A2370,pivot!$A:$G,計算式2026!AE$1,FALSE),0)</f>
        <v>0</v>
      </c>
      <c r="AF2370" s="9">
        <f>IFERROR(VLOOKUP($A2370,pivot!$A:$I,計算式2026!AF$1,FALSE),0)</f>
        <v>0</v>
      </c>
      <c r="AI2370" s="9">
        <f>IFERROR(VLOOKUP($A2370,pivot!$A:$I,計算式2026!AI$1,FALSE),0)</f>
        <v>0</v>
      </c>
      <c r="AJ2370" s="9">
        <f>IFERROR(VLOOKUP($A2370,pivot!$A:$I,計算式2026!AJ$1,FALSE),0)</f>
        <v>0</v>
      </c>
      <c r="AK2370" s="9">
        <f>IFERROR(VLOOKUP($A2370,pivot!$A:$I,計算式2026!AK$1,FALSE),0)</f>
        <v>0</v>
      </c>
      <c r="AL2370" s="9">
        <f>IFERROR(VLOOKUP($A2370,pivot!$A:$I,計算式2026!AL$1,FALSE),0)</f>
        <v>0</v>
      </c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</row>
    <row r="2371" spans="1:59" s="9" customFormat="1">
      <c r="A2371" s="8" t="s">
        <v>2520</v>
      </c>
      <c r="B2371" s="8" t="s">
        <v>2513</v>
      </c>
      <c r="C2371" s="9">
        <v>0</v>
      </c>
      <c r="D2371" s="9">
        <v>0</v>
      </c>
      <c r="E2371" s="9">
        <v>0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9">
        <v>0</v>
      </c>
      <c r="R2371" s="9">
        <v>0</v>
      </c>
      <c r="S2371" s="9">
        <v>1</v>
      </c>
      <c r="T2371" s="9">
        <v>0</v>
      </c>
      <c r="U2371" s="9">
        <v>0</v>
      </c>
      <c r="V2371" s="9">
        <v>1</v>
      </c>
      <c r="W2371" s="9">
        <v>0</v>
      </c>
      <c r="X2371" s="9">
        <v>0</v>
      </c>
      <c r="AE2371" s="9">
        <f>IFERROR(VLOOKUP($A2371,pivot!$A:$G,計算式2026!AE$1,FALSE),0)</f>
        <v>0</v>
      </c>
      <c r="AF2371" s="9">
        <f>IFERROR(VLOOKUP($A2371,pivot!$A:$I,計算式2026!AF$1,FALSE),0)</f>
        <v>0</v>
      </c>
      <c r="AI2371" s="9">
        <f>IFERROR(VLOOKUP($A2371,pivot!$A:$I,計算式2026!AI$1,FALSE),0)</f>
        <v>0</v>
      </c>
      <c r="AJ2371" s="9">
        <f>IFERROR(VLOOKUP($A2371,pivot!$A:$I,計算式2026!AJ$1,FALSE),0)</f>
        <v>0</v>
      </c>
      <c r="AK2371" s="9">
        <f>IFERROR(VLOOKUP($A2371,pivot!$A:$I,計算式2026!AK$1,FALSE),0)</f>
        <v>0</v>
      </c>
      <c r="AL2371" s="9">
        <f>IFERROR(VLOOKUP($A2371,pivot!$A:$I,計算式2026!AL$1,FALSE),0)</f>
        <v>0</v>
      </c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</row>
    <row r="2372" spans="1:59" s="9" customFormat="1">
      <c r="A2372" s="8" t="s">
        <v>2521</v>
      </c>
      <c r="B2372" s="8" t="s">
        <v>2522</v>
      </c>
      <c r="C2372" s="9">
        <v>0</v>
      </c>
      <c r="D2372" s="9">
        <v>0</v>
      </c>
      <c r="E2372" s="9">
        <v>0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R2372" s="9">
        <v>0</v>
      </c>
      <c r="S2372" s="9">
        <v>0</v>
      </c>
      <c r="T2372" s="9">
        <v>1</v>
      </c>
      <c r="U2372" s="9">
        <v>0</v>
      </c>
      <c r="V2372" s="9">
        <v>1</v>
      </c>
      <c r="W2372" s="9">
        <v>0</v>
      </c>
      <c r="X2372" s="9">
        <v>1</v>
      </c>
      <c r="AE2372" s="9">
        <f>IFERROR(VLOOKUP($A2372,pivot!$A:$G,計算式2026!AE$1,FALSE),0)</f>
        <v>0</v>
      </c>
      <c r="AF2372" s="9">
        <f>IFERROR(VLOOKUP($A2372,pivot!$A:$I,計算式2026!AF$1,FALSE),0)</f>
        <v>0</v>
      </c>
      <c r="AI2372" s="9">
        <f>IFERROR(VLOOKUP($A2372,pivot!$A:$I,計算式2026!AI$1,FALSE),0)</f>
        <v>0</v>
      </c>
      <c r="AJ2372" s="9">
        <f>IFERROR(VLOOKUP($A2372,pivot!$A:$I,計算式2026!AJ$1,FALSE),0)</f>
        <v>0</v>
      </c>
      <c r="AK2372" s="9">
        <f>IFERROR(VLOOKUP($A2372,pivot!$A:$I,計算式2026!AK$1,FALSE),0)</f>
        <v>0</v>
      </c>
      <c r="AL2372" s="9">
        <f>IFERROR(VLOOKUP($A2372,pivot!$A:$I,計算式2026!AL$1,FALSE),0)</f>
        <v>0</v>
      </c>
      <c r="AR2372" s="8"/>
      <c r="AS2372" s="8"/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</row>
    <row r="2373" spans="1:59" s="9" customFormat="1">
      <c r="A2373" s="8" t="s">
        <v>2523</v>
      </c>
      <c r="B2373" s="8" t="s">
        <v>2522</v>
      </c>
      <c r="C2373" s="9">
        <v>1</v>
      </c>
      <c r="D2373" s="9">
        <v>4</v>
      </c>
      <c r="E2373" s="9">
        <v>0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  <c r="K2373" s="9">
        <v>0</v>
      </c>
      <c r="R2373" s="9">
        <v>0</v>
      </c>
      <c r="S2373" s="9">
        <v>2</v>
      </c>
      <c r="T2373" s="9">
        <v>1</v>
      </c>
      <c r="U2373" s="9">
        <v>0</v>
      </c>
      <c r="V2373" s="9">
        <v>2</v>
      </c>
      <c r="W2373" s="9">
        <v>0</v>
      </c>
      <c r="X2373" s="9">
        <v>1</v>
      </c>
      <c r="AE2373" s="9">
        <f>IFERROR(VLOOKUP($A2373,pivot!$A:$G,計算式2026!AE$1,FALSE),0)</f>
        <v>0</v>
      </c>
      <c r="AF2373" s="9">
        <f>IFERROR(VLOOKUP($A2373,pivot!$A:$I,計算式2026!AF$1,FALSE),0)</f>
        <v>0</v>
      </c>
      <c r="AI2373" s="9">
        <f>IFERROR(VLOOKUP($A2373,pivot!$A:$I,計算式2026!AI$1,FALSE),0)</f>
        <v>0</v>
      </c>
      <c r="AJ2373" s="9">
        <f>IFERROR(VLOOKUP($A2373,pivot!$A:$I,計算式2026!AJ$1,FALSE),0)</f>
        <v>0</v>
      </c>
      <c r="AK2373" s="9">
        <f>IFERROR(VLOOKUP($A2373,pivot!$A:$I,計算式2026!AK$1,FALSE),0)</f>
        <v>0</v>
      </c>
      <c r="AL2373" s="9">
        <f>IFERROR(VLOOKUP($A2373,pivot!$A:$I,計算式2026!AL$1,FALSE),0)</f>
        <v>0</v>
      </c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</row>
    <row r="2374" spans="1:59" s="9" customFormat="1">
      <c r="A2374" s="8" t="s">
        <v>2524</v>
      </c>
      <c r="B2374" s="8" t="s">
        <v>2522</v>
      </c>
      <c r="C2374" s="9">
        <v>1</v>
      </c>
      <c r="D2374" s="9">
        <v>0</v>
      </c>
      <c r="E2374" s="9">
        <v>0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  <c r="K2374" s="9">
        <v>0</v>
      </c>
      <c r="R2374" s="9">
        <v>0</v>
      </c>
      <c r="S2374" s="9">
        <v>2</v>
      </c>
      <c r="T2374" s="9">
        <v>0</v>
      </c>
      <c r="U2374" s="9">
        <v>0</v>
      </c>
      <c r="V2374" s="9">
        <v>1</v>
      </c>
      <c r="W2374" s="9">
        <v>0</v>
      </c>
      <c r="X2374" s="9">
        <v>1</v>
      </c>
      <c r="AE2374" s="9">
        <f>IFERROR(VLOOKUP($A2374,pivot!$A:$G,計算式2026!AE$1,FALSE),0)</f>
        <v>0</v>
      </c>
      <c r="AF2374" s="9">
        <f>IFERROR(VLOOKUP($A2374,pivot!$A:$I,計算式2026!AF$1,FALSE),0)</f>
        <v>0</v>
      </c>
      <c r="AI2374" s="9">
        <f>IFERROR(VLOOKUP($A2374,pivot!$A:$I,計算式2026!AI$1,FALSE),0)</f>
        <v>0</v>
      </c>
      <c r="AJ2374" s="9">
        <f>IFERROR(VLOOKUP($A2374,pivot!$A:$I,計算式2026!AJ$1,FALSE),0)</f>
        <v>0</v>
      </c>
      <c r="AK2374" s="9">
        <f>IFERROR(VLOOKUP($A2374,pivot!$A:$I,計算式2026!AK$1,FALSE),0)</f>
        <v>0</v>
      </c>
      <c r="AL2374" s="9">
        <f>IFERROR(VLOOKUP($A2374,pivot!$A:$I,計算式2026!AL$1,FALSE),0)</f>
        <v>0</v>
      </c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</row>
    <row r="2375" spans="1:59" s="9" customFormat="1">
      <c r="A2375" s="8" t="s">
        <v>2525</v>
      </c>
      <c r="B2375" s="8" t="s">
        <v>2522</v>
      </c>
      <c r="C2375" s="9">
        <v>2</v>
      </c>
      <c r="D2375" s="9">
        <v>0</v>
      </c>
      <c r="E2375" s="9">
        <v>0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R2375" s="9">
        <v>0</v>
      </c>
      <c r="S2375" s="9">
        <v>2</v>
      </c>
      <c r="T2375" s="9">
        <v>1</v>
      </c>
      <c r="U2375" s="9">
        <v>0</v>
      </c>
      <c r="V2375" s="9">
        <v>3</v>
      </c>
      <c r="W2375" s="9">
        <v>0</v>
      </c>
      <c r="X2375" s="9">
        <v>1</v>
      </c>
      <c r="AE2375" s="9">
        <f>IFERROR(VLOOKUP($A2375,pivot!$A:$G,計算式2026!AE$1,FALSE),0)</f>
        <v>0</v>
      </c>
      <c r="AF2375" s="9">
        <f>IFERROR(VLOOKUP($A2375,pivot!$A:$I,計算式2026!AF$1,FALSE),0)</f>
        <v>0</v>
      </c>
      <c r="AI2375" s="9">
        <f>IFERROR(VLOOKUP($A2375,pivot!$A:$I,計算式2026!AI$1,FALSE),0)</f>
        <v>0</v>
      </c>
      <c r="AJ2375" s="9">
        <f>IFERROR(VLOOKUP($A2375,pivot!$A:$I,計算式2026!AJ$1,FALSE),0)</f>
        <v>0</v>
      </c>
      <c r="AK2375" s="9">
        <f>IFERROR(VLOOKUP($A2375,pivot!$A:$I,計算式2026!AK$1,FALSE),0)</f>
        <v>0</v>
      </c>
      <c r="AL2375" s="9">
        <f>IFERROR(VLOOKUP($A2375,pivot!$A:$I,計算式2026!AL$1,FALSE),0)</f>
        <v>0</v>
      </c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</row>
    <row r="2376" spans="1:59" s="9" customFormat="1">
      <c r="A2376" s="8" t="s">
        <v>2526</v>
      </c>
      <c r="B2376" s="8" t="s">
        <v>2522</v>
      </c>
      <c r="C2376" s="9">
        <v>0</v>
      </c>
      <c r="D2376" s="9">
        <v>5</v>
      </c>
      <c r="E2376" s="9">
        <v>0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R2376" s="9">
        <v>0</v>
      </c>
      <c r="S2376" s="9">
        <v>3</v>
      </c>
      <c r="T2376" s="9">
        <v>1</v>
      </c>
      <c r="U2376" s="9">
        <v>0</v>
      </c>
      <c r="V2376" s="9">
        <v>3</v>
      </c>
      <c r="W2376" s="9">
        <v>0</v>
      </c>
      <c r="X2376" s="9">
        <v>1</v>
      </c>
      <c r="AE2376" s="9">
        <f>IFERROR(VLOOKUP($A2376,pivot!$A:$G,計算式2026!AE$1,FALSE),0)</f>
        <v>0</v>
      </c>
      <c r="AF2376" s="9">
        <f>IFERROR(VLOOKUP($A2376,pivot!$A:$I,計算式2026!AF$1,FALSE),0)</f>
        <v>0</v>
      </c>
      <c r="AI2376" s="9">
        <f>IFERROR(VLOOKUP($A2376,pivot!$A:$I,計算式2026!AI$1,FALSE),0)</f>
        <v>0</v>
      </c>
      <c r="AJ2376" s="9">
        <f>IFERROR(VLOOKUP($A2376,pivot!$A:$I,計算式2026!AJ$1,FALSE),0)</f>
        <v>0</v>
      </c>
      <c r="AK2376" s="9">
        <f>IFERROR(VLOOKUP($A2376,pivot!$A:$I,計算式2026!AK$1,FALSE),0)</f>
        <v>0</v>
      </c>
      <c r="AL2376" s="9">
        <f>IFERROR(VLOOKUP($A2376,pivot!$A:$I,計算式2026!AL$1,FALSE),0)</f>
        <v>0</v>
      </c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</row>
    <row r="2377" spans="1:59" s="9" customFormat="1">
      <c r="A2377" s="8" t="s">
        <v>2527</v>
      </c>
      <c r="B2377" s="8" t="s">
        <v>2522</v>
      </c>
      <c r="C2377" s="9">
        <v>0</v>
      </c>
      <c r="D2377" s="9">
        <v>0</v>
      </c>
      <c r="E2377" s="9">
        <v>0</v>
      </c>
      <c r="F2377" s="9">
        <v>0</v>
      </c>
      <c r="G2377" s="9">
        <v>0</v>
      </c>
      <c r="H2377" s="9">
        <v>0</v>
      </c>
      <c r="I2377" s="9">
        <v>0</v>
      </c>
      <c r="J2377" s="9">
        <v>0</v>
      </c>
      <c r="K2377" s="9">
        <v>0</v>
      </c>
      <c r="R2377" s="9">
        <v>0</v>
      </c>
      <c r="S2377" s="9">
        <v>2</v>
      </c>
      <c r="T2377" s="9">
        <v>0</v>
      </c>
      <c r="U2377" s="9">
        <v>0</v>
      </c>
      <c r="V2377" s="9">
        <v>2</v>
      </c>
      <c r="W2377" s="9">
        <v>0</v>
      </c>
      <c r="X2377" s="9">
        <v>1</v>
      </c>
      <c r="AE2377" s="9">
        <f>IFERROR(VLOOKUP($A2377,pivot!$A:$G,計算式2026!AE$1,FALSE),0)</f>
        <v>0</v>
      </c>
      <c r="AF2377" s="9">
        <f>IFERROR(VLOOKUP($A2377,pivot!$A:$I,計算式2026!AF$1,FALSE),0)</f>
        <v>0</v>
      </c>
      <c r="AI2377" s="9">
        <f>IFERROR(VLOOKUP($A2377,pivot!$A:$I,計算式2026!AI$1,FALSE),0)</f>
        <v>0</v>
      </c>
      <c r="AJ2377" s="9">
        <f>IFERROR(VLOOKUP($A2377,pivot!$A:$I,計算式2026!AJ$1,FALSE),0)</f>
        <v>0</v>
      </c>
      <c r="AK2377" s="9">
        <f>IFERROR(VLOOKUP($A2377,pivot!$A:$I,計算式2026!AK$1,FALSE),0)</f>
        <v>0</v>
      </c>
      <c r="AL2377" s="9">
        <f>IFERROR(VLOOKUP($A2377,pivot!$A:$I,計算式2026!AL$1,FALSE),0)</f>
        <v>0</v>
      </c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</row>
    <row r="2378" spans="1:59" s="9" customFormat="1">
      <c r="A2378" s="8" t="s">
        <v>2904</v>
      </c>
      <c r="B2378" s="8" t="s">
        <v>2905</v>
      </c>
      <c r="C2378" s="9">
        <v>1</v>
      </c>
      <c r="D2378" s="9">
        <v>0</v>
      </c>
      <c r="E2378" s="9">
        <v>0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AE2378" s="9">
        <f>IFERROR(VLOOKUP($A2378,pivot!$A:$G,計算式2026!AE$1,FALSE),0)</f>
        <v>0</v>
      </c>
      <c r="AF2378" s="9">
        <f>IFERROR(VLOOKUP($A2378,pivot!$A:$I,計算式2026!AF$1,FALSE),0)</f>
        <v>0</v>
      </c>
      <c r="AI2378" s="9">
        <f>IFERROR(VLOOKUP($A2378,pivot!$A:$I,計算式2026!AI$1,FALSE),0)</f>
        <v>0</v>
      </c>
      <c r="AJ2378" s="9">
        <f>IFERROR(VLOOKUP($A2378,pivot!$A:$I,計算式2026!AJ$1,FALSE),0)</f>
        <v>0</v>
      </c>
      <c r="AK2378" s="9">
        <f>IFERROR(VLOOKUP($A2378,pivot!$A:$I,計算式2026!AK$1,FALSE),0)</f>
        <v>0</v>
      </c>
      <c r="AL2378" s="9">
        <f>IFERROR(VLOOKUP($A2378,pivot!$A:$I,計算式2026!AL$1,FALSE),0)</f>
        <v>0</v>
      </c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</row>
    <row r="2379" spans="1:59" s="9" customFormat="1">
      <c r="A2379" s="8" t="s">
        <v>1421</v>
      </c>
      <c r="B2379" s="8" t="s">
        <v>1422</v>
      </c>
      <c r="C2379" s="9">
        <v>0</v>
      </c>
      <c r="D2379" s="9">
        <v>0</v>
      </c>
      <c r="E2379" s="9">
        <v>0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9">
        <v>0</v>
      </c>
      <c r="R2379" s="9">
        <v>0</v>
      </c>
      <c r="S2379" s="9">
        <v>0</v>
      </c>
      <c r="T2379" s="9">
        <v>1</v>
      </c>
      <c r="U2379" s="9">
        <v>0</v>
      </c>
      <c r="V2379" s="9">
        <v>0</v>
      </c>
      <c r="W2379" s="9">
        <v>0</v>
      </c>
      <c r="X2379" s="9">
        <v>1</v>
      </c>
      <c r="AE2379" s="9">
        <f>IFERROR(VLOOKUP($A2379,pivot!$A:$G,計算式2026!AE$1,FALSE),0)</f>
        <v>0</v>
      </c>
      <c r="AF2379" s="9">
        <f>IFERROR(VLOOKUP($A2379,pivot!$A:$I,計算式2026!AF$1,FALSE),0)</f>
        <v>0</v>
      </c>
      <c r="AI2379" s="9">
        <f>IFERROR(VLOOKUP($A2379,pivot!$A:$I,計算式2026!AI$1,FALSE),0)</f>
        <v>0</v>
      </c>
      <c r="AJ2379" s="9">
        <f>IFERROR(VLOOKUP($A2379,pivot!$A:$I,計算式2026!AJ$1,FALSE),0)</f>
        <v>0</v>
      </c>
      <c r="AK2379" s="9">
        <f>IFERROR(VLOOKUP($A2379,pivot!$A:$I,計算式2026!AK$1,FALSE),0)</f>
        <v>0</v>
      </c>
      <c r="AL2379" s="9">
        <f>IFERROR(VLOOKUP($A2379,pivot!$A:$I,計算式2026!AL$1,FALSE),0)</f>
        <v>0</v>
      </c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</row>
    <row r="2380" spans="1:59" s="9" customFormat="1">
      <c r="A2380" s="8" t="s">
        <v>1423</v>
      </c>
      <c r="B2380" s="8" t="s">
        <v>1422</v>
      </c>
      <c r="C2380" s="9">
        <v>0</v>
      </c>
      <c r="D2380" s="9">
        <v>0</v>
      </c>
      <c r="E2380" s="9">
        <v>0</v>
      </c>
      <c r="F2380" s="9">
        <v>0</v>
      </c>
      <c r="G2380" s="9">
        <v>0</v>
      </c>
      <c r="H2380" s="9">
        <v>0</v>
      </c>
      <c r="I2380" s="9">
        <v>0</v>
      </c>
      <c r="J2380" s="9">
        <v>0</v>
      </c>
      <c r="K2380" s="9">
        <v>0</v>
      </c>
      <c r="R2380" s="9">
        <v>1</v>
      </c>
      <c r="S2380" s="9">
        <v>1</v>
      </c>
      <c r="T2380" s="9">
        <v>1</v>
      </c>
      <c r="U2380" s="9">
        <v>0</v>
      </c>
      <c r="V2380" s="9">
        <v>0</v>
      </c>
      <c r="W2380" s="9">
        <v>0</v>
      </c>
      <c r="X2380" s="9">
        <v>1</v>
      </c>
      <c r="AE2380" s="9">
        <f>IFERROR(VLOOKUP($A2380,pivot!$A:$G,計算式2026!AE$1,FALSE),0)</f>
        <v>0</v>
      </c>
      <c r="AF2380" s="9">
        <f>IFERROR(VLOOKUP($A2380,pivot!$A:$I,計算式2026!AF$1,FALSE),0)</f>
        <v>0</v>
      </c>
      <c r="AI2380" s="9">
        <f>IFERROR(VLOOKUP($A2380,pivot!$A:$I,計算式2026!AI$1,FALSE),0)</f>
        <v>0</v>
      </c>
      <c r="AJ2380" s="9">
        <f>IFERROR(VLOOKUP($A2380,pivot!$A:$I,計算式2026!AJ$1,FALSE),0)</f>
        <v>0</v>
      </c>
      <c r="AK2380" s="9">
        <f>IFERROR(VLOOKUP($A2380,pivot!$A:$I,計算式2026!AK$1,FALSE),0)</f>
        <v>0</v>
      </c>
      <c r="AL2380" s="9">
        <f>IFERROR(VLOOKUP($A2380,pivot!$A:$I,計算式2026!AL$1,FALSE),0)</f>
        <v>0</v>
      </c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/>
      <c r="BC2380" s="8"/>
      <c r="BD2380" s="8"/>
      <c r="BE2380" s="8"/>
      <c r="BF2380" s="8"/>
      <c r="BG2380" s="8"/>
    </row>
    <row r="2381" spans="1:59" s="9" customFormat="1">
      <c r="A2381" s="8" t="s">
        <v>2528</v>
      </c>
      <c r="B2381" s="8" t="s">
        <v>1422</v>
      </c>
      <c r="C2381" s="9">
        <v>0</v>
      </c>
      <c r="D2381" s="9">
        <v>0</v>
      </c>
      <c r="E2381" s="9">
        <v>0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1</v>
      </c>
      <c r="AE2381" s="9">
        <f>IFERROR(VLOOKUP($A2381,pivot!$A:$G,計算式2026!AE$1,FALSE),0)</f>
        <v>0</v>
      </c>
      <c r="AF2381" s="9">
        <f>IFERROR(VLOOKUP($A2381,pivot!$A:$I,計算式2026!AF$1,FALSE),0)</f>
        <v>0</v>
      </c>
      <c r="AI2381" s="9">
        <f>IFERROR(VLOOKUP($A2381,pivot!$A:$I,計算式2026!AI$1,FALSE),0)</f>
        <v>0</v>
      </c>
      <c r="AJ2381" s="9">
        <f>IFERROR(VLOOKUP($A2381,pivot!$A:$I,計算式2026!AJ$1,FALSE),0)</f>
        <v>0</v>
      </c>
      <c r="AK2381" s="9">
        <f>IFERROR(VLOOKUP($A2381,pivot!$A:$I,計算式2026!AK$1,FALSE),0)</f>
        <v>0</v>
      </c>
      <c r="AL2381" s="9">
        <f>IFERROR(VLOOKUP($A2381,pivot!$A:$I,計算式2026!AL$1,FALSE),0)</f>
        <v>0</v>
      </c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</row>
    <row r="2382" spans="1:59" s="9" customFormat="1">
      <c r="A2382" s="8" t="s">
        <v>2529</v>
      </c>
      <c r="B2382" s="8" t="s">
        <v>1422</v>
      </c>
      <c r="C2382" s="9">
        <v>1</v>
      </c>
      <c r="D2382" s="9">
        <v>0</v>
      </c>
      <c r="E2382" s="9">
        <v>0</v>
      </c>
      <c r="F2382" s="9">
        <v>0</v>
      </c>
      <c r="G2382" s="9">
        <v>0</v>
      </c>
      <c r="H2382" s="9">
        <v>0</v>
      </c>
      <c r="I2382" s="9">
        <v>0</v>
      </c>
      <c r="J2382" s="9">
        <v>0</v>
      </c>
      <c r="K2382" s="9">
        <v>0</v>
      </c>
      <c r="R2382" s="9">
        <v>0</v>
      </c>
      <c r="S2382" s="9">
        <v>1</v>
      </c>
      <c r="T2382" s="9">
        <v>1</v>
      </c>
      <c r="U2382" s="9">
        <v>0</v>
      </c>
      <c r="V2382" s="9">
        <v>1</v>
      </c>
      <c r="W2382" s="9">
        <v>0</v>
      </c>
      <c r="X2382" s="9">
        <v>1</v>
      </c>
      <c r="AE2382" s="9">
        <f>IFERROR(VLOOKUP($A2382,pivot!$A:$G,計算式2026!AE$1,FALSE),0)</f>
        <v>0</v>
      </c>
      <c r="AF2382" s="9">
        <f>IFERROR(VLOOKUP($A2382,pivot!$A:$I,計算式2026!AF$1,FALSE),0)</f>
        <v>0</v>
      </c>
      <c r="AI2382" s="9">
        <f>IFERROR(VLOOKUP($A2382,pivot!$A:$I,計算式2026!AI$1,FALSE),0)</f>
        <v>0</v>
      </c>
      <c r="AJ2382" s="9">
        <f>IFERROR(VLOOKUP($A2382,pivot!$A:$I,計算式2026!AJ$1,FALSE),0)</f>
        <v>0</v>
      </c>
      <c r="AK2382" s="9">
        <f>IFERROR(VLOOKUP($A2382,pivot!$A:$I,計算式2026!AK$1,FALSE),0)</f>
        <v>0</v>
      </c>
      <c r="AL2382" s="9">
        <f>IFERROR(VLOOKUP($A2382,pivot!$A:$I,計算式2026!AL$1,FALSE),0)</f>
        <v>0</v>
      </c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8"/>
      <c r="BG2382" s="8"/>
    </row>
    <row r="2383" spans="1:59" s="9" customFormat="1">
      <c r="A2383" s="8" t="s">
        <v>2530</v>
      </c>
      <c r="B2383" s="8" t="s">
        <v>1422</v>
      </c>
      <c r="C2383" s="9">
        <v>2</v>
      </c>
      <c r="D2383" s="9">
        <v>7</v>
      </c>
      <c r="E2383" s="9">
        <v>0</v>
      </c>
      <c r="F2383" s="9">
        <v>0</v>
      </c>
      <c r="G2383" s="9">
        <v>0</v>
      </c>
      <c r="H2383" s="9">
        <v>0</v>
      </c>
      <c r="I2383" s="9">
        <v>0</v>
      </c>
      <c r="J2383" s="9">
        <v>0</v>
      </c>
      <c r="K2383" s="9">
        <v>0</v>
      </c>
      <c r="R2383" s="9">
        <v>0</v>
      </c>
      <c r="S2383" s="9">
        <v>1</v>
      </c>
      <c r="T2383" s="9">
        <v>1</v>
      </c>
      <c r="U2383" s="9">
        <v>0</v>
      </c>
      <c r="V2383" s="9">
        <v>1</v>
      </c>
      <c r="W2383" s="9">
        <v>0</v>
      </c>
      <c r="X2383" s="9">
        <v>1</v>
      </c>
      <c r="AE2383" s="9">
        <f>IFERROR(VLOOKUP($A2383,pivot!$A:$G,計算式2026!AE$1,FALSE),0)</f>
        <v>0</v>
      </c>
      <c r="AF2383" s="9">
        <f>IFERROR(VLOOKUP($A2383,pivot!$A:$I,計算式2026!AF$1,FALSE),0)</f>
        <v>0</v>
      </c>
      <c r="AI2383" s="9">
        <f>IFERROR(VLOOKUP($A2383,pivot!$A:$I,計算式2026!AI$1,FALSE),0)</f>
        <v>0</v>
      </c>
      <c r="AJ2383" s="9">
        <f>IFERROR(VLOOKUP($A2383,pivot!$A:$I,計算式2026!AJ$1,FALSE),0)</f>
        <v>0</v>
      </c>
      <c r="AK2383" s="9">
        <f>IFERROR(VLOOKUP($A2383,pivot!$A:$I,計算式2026!AK$1,FALSE),0)</f>
        <v>0</v>
      </c>
      <c r="AL2383" s="9">
        <f>IFERROR(VLOOKUP($A2383,pivot!$A:$I,計算式2026!AL$1,FALSE),0)</f>
        <v>0</v>
      </c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</row>
    <row r="2384" spans="1:59" s="9" customFormat="1">
      <c r="A2384" s="8" t="s">
        <v>2531</v>
      </c>
      <c r="B2384" s="8" t="s">
        <v>1422</v>
      </c>
      <c r="C2384" s="9">
        <v>0</v>
      </c>
      <c r="D2384" s="9">
        <v>0</v>
      </c>
      <c r="E2384" s="9">
        <v>0</v>
      </c>
      <c r="F2384" s="9">
        <v>0</v>
      </c>
      <c r="G2384" s="9">
        <v>0</v>
      </c>
      <c r="H2384" s="9">
        <v>0</v>
      </c>
      <c r="I2384" s="9">
        <v>0</v>
      </c>
      <c r="J2384" s="9">
        <v>0</v>
      </c>
      <c r="K2384" s="9">
        <v>0</v>
      </c>
      <c r="R2384" s="9">
        <v>0</v>
      </c>
      <c r="S2384" s="9">
        <v>1</v>
      </c>
      <c r="T2384" s="9">
        <v>0</v>
      </c>
      <c r="U2384" s="9">
        <v>0</v>
      </c>
      <c r="V2384" s="9">
        <v>1</v>
      </c>
      <c r="W2384" s="9">
        <v>0</v>
      </c>
      <c r="X2384" s="9">
        <v>0</v>
      </c>
      <c r="AE2384" s="9">
        <f>IFERROR(VLOOKUP($A2384,pivot!$A:$G,計算式2026!AE$1,FALSE),0)</f>
        <v>0</v>
      </c>
      <c r="AF2384" s="9">
        <f>IFERROR(VLOOKUP($A2384,pivot!$A:$I,計算式2026!AF$1,FALSE),0)</f>
        <v>0</v>
      </c>
      <c r="AI2384" s="9">
        <f>IFERROR(VLOOKUP($A2384,pivot!$A:$I,計算式2026!AI$1,FALSE),0)</f>
        <v>0</v>
      </c>
      <c r="AJ2384" s="9">
        <f>IFERROR(VLOOKUP($A2384,pivot!$A:$I,計算式2026!AJ$1,FALSE),0)</f>
        <v>0</v>
      </c>
      <c r="AK2384" s="9">
        <f>IFERROR(VLOOKUP($A2384,pivot!$A:$I,計算式2026!AK$1,FALSE),0)</f>
        <v>0</v>
      </c>
      <c r="AL2384" s="9">
        <f>IFERROR(VLOOKUP($A2384,pivot!$A:$I,計算式2026!AL$1,FALSE),0)</f>
        <v>0</v>
      </c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/>
      <c r="BC2384" s="8"/>
      <c r="BD2384" s="8"/>
      <c r="BE2384" s="8"/>
      <c r="BF2384" s="8"/>
      <c r="BG2384" s="8"/>
    </row>
    <row r="2385" spans="1:59" s="9" customFormat="1">
      <c r="A2385" s="8">
        <v>8986657034</v>
      </c>
      <c r="B2385" s="8" t="s">
        <v>2532</v>
      </c>
      <c r="C2385" s="9">
        <v>0</v>
      </c>
      <c r="D2385" s="9">
        <v>0</v>
      </c>
      <c r="E2385" s="9">
        <v>0</v>
      </c>
      <c r="F2385" s="9">
        <v>0</v>
      </c>
      <c r="G2385" s="9">
        <v>0</v>
      </c>
      <c r="H2385" s="9">
        <v>0</v>
      </c>
      <c r="I2385" s="9">
        <v>0</v>
      </c>
      <c r="J2385" s="9">
        <v>0</v>
      </c>
      <c r="K2385" s="9">
        <v>0</v>
      </c>
      <c r="R2385" s="9">
        <v>0</v>
      </c>
      <c r="S2385" s="9">
        <v>1</v>
      </c>
      <c r="T2385" s="9">
        <v>0</v>
      </c>
      <c r="U2385" s="9">
        <v>0</v>
      </c>
      <c r="V2385" s="9">
        <v>1</v>
      </c>
      <c r="W2385" s="9">
        <v>0</v>
      </c>
      <c r="X2385" s="9">
        <v>0</v>
      </c>
      <c r="AE2385" s="9">
        <f>IFERROR(VLOOKUP($A2385,pivot!$A:$G,計算式2026!AE$1,FALSE),0)</f>
        <v>0</v>
      </c>
      <c r="AF2385" s="9">
        <f>IFERROR(VLOOKUP($A2385,pivot!$A:$I,計算式2026!AF$1,FALSE),0)</f>
        <v>0</v>
      </c>
      <c r="AI2385" s="9">
        <f>IFERROR(VLOOKUP($A2385,pivot!$A:$I,計算式2026!AI$1,FALSE),0)</f>
        <v>0</v>
      </c>
      <c r="AJ2385" s="9">
        <f>IFERROR(VLOOKUP($A2385,pivot!$A:$I,計算式2026!AJ$1,FALSE),0)</f>
        <v>0</v>
      </c>
      <c r="AK2385" s="9">
        <f>IFERROR(VLOOKUP($A2385,pivot!$A:$I,計算式2026!AK$1,FALSE),0)</f>
        <v>0</v>
      </c>
      <c r="AL2385" s="9">
        <f>IFERROR(VLOOKUP($A2385,pivot!$A:$I,計算式2026!AL$1,FALSE),0)</f>
        <v>0</v>
      </c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</row>
    <row r="2386" spans="1:59" s="9" customFormat="1">
      <c r="A2386" s="8">
        <v>8986657036</v>
      </c>
      <c r="B2386" s="8" t="s">
        <v>2532</v>
      </c>
      <c r="C2386" s="9">
        <v>1</v>
      </c>
      <c r="D2386" s="9">
        <v>0</v>
      </c>
      <c r="E2386" s="9">
        <v>0</v>
      </c>
      <c r="F2386" s="9">
        <v>0</v>
      </c>
      <c r="G2386" s="9">
        <v>0</v>
      </c>
      <c r="H2386" s="9">
        <v>0</v>
      </c>
      <c r="I2386" s="9">
        <v>0</v>
      </c>
      <c r="J2386" s="9">
        <v>0</v>
      </c>
      <c r="K2386" s="9">
        <v>0</v>
      </c>
      <c r="R2386" s="9">
        <v>0</v>
      </c>
      <c r="S2386" s="9">
        <v>1</v>
      </c>
      <c r="T2386" s="9">
        <v>0</v>
      </c>
      <c r="U2386" s="9">
        <v>0</v>
      </c>
      <c r="V2386" s="9">
        <v>2</v>
      </c>
      <c r="W2386" s="9">
        <v>0</v>
      </c>
      <c r="X2386" s="9">
        <v>1</v>
      </c>
      <c r="AE2386" s="9">
        <f>IFERROR(VLOOKUP($A2386,pivot!$A:$G,計算式2026!AE$1,FALSE),0)</f>
        <v>0</v>
      </c>
      <c r="AF2386" s="9">
        <f>IFERROR(VLOOKUP($A2386,pivot!$A:$I,計算式2026!AF$1,FALSE),0)</f>
        <v>0</v>
      </c>
      <c r="AI2386" s="9">
        <f>IFERROR(VLOOKUP($A2386,pivot!$A:$I,計算式2026!AI$1,FALSE),0)</f>
        <v>0</v>
      </c>
      <c r="AJ2386" s="9">
        <f>IFERROR(VLOOKUP($A2386,pivot!$A:$I,計算式2026!AJ$1,FALSE),0)</f>
        <v>0</v>
      </c>
      <c r="AK2386" s="9">
        <f>IFERROR(VLOOKUP($A2386,pivot!$A:$I,計算式2026!AK$1,FALSE),0)</f>
        <v>0</v>
      </c>
      <c r="AL2386" s="9">
        <f>IFERROR(VLOOKUP($A2386,pivot!$A:$I,計算式2026!AL$1,FALSE),0)</f>
        <v>0</v>
      </c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8"/>
      <c r="BG2386" s="8"/>
    </row>
    <row r="2387" spans="1:59" s="9" customFormat="1">
      <c r="A2387" s="8">
        <v>8986657038</v>
      </c>
      <c r="B2387" s="8" t="s">
        <v>2532</v>
      </c>
      <c r="C2387" s="9">
        <v>1</v>
      </c>
      <c r="D2387" s="9">
        <v>1</v>
      </c>
      <c r="E2387" s="9">
        <v>0</v>
      </c>
      <c r="F2387" s="9">
        <v>0</v>
      </c>
      <c r="G2387" s="9">
        <v>0</v>
      </c>
      <c r="H2387" s="9">
        <v>0</v>
      </c>
      <c r="I2387" s="9">
        <v>0</v>
      </c>
      <c r="J2387" s="9">
        <v>0</v>
      </c>
      <c r="K2387" s="9">
        <v>0</v>
      </c>
      <c r="R2387" s="9">
        <v>0</v>
      </c>
      <c r="S2387" s="9">
        <v>1</v>
      </c>
      <c r="T2387" s="9">
        <v>0</v>
      </c>
      <c r="U2387" s="9">
        <v>0</v>
      </c>
      <c r="V2387" s="9">
        <v>2</v>
      </c>
      <c r="W2387" s="9">
        <v>0</v>
      </c>
      <c r="X2387" s="9">
        <v>1</v>
      </c>
      <c r="AE2387" s="9">
        <f>IFERROR(VLOOKUP($A2387,pivot!$A:$G,計算式2026!AE$1,FALSE),0)</f>
        <v>0</v>
      </c>
      <c r="AF2387" s="9">
        <f>IFERROR(VLOOKUP($A2387,pivot!$A:$I,計算式2026!AF$1,FALSE),0)</f>
        <v>0</v>
      </c>
      <c r="AI2387" s="9">
        <f>IFERROR(VLOOKUP($A2387,pivot!$A:$I,計算式2026!AI$1,FALSE),0)</f>
        <v>0</v>
      </c>
      <c r="AJ2387" s="9">
        <f>IFERROR(VLOOKUP($A2387,pivot!$A:$I,計算式2026!AJ$1,FALSE),0)</f>
        <v>0</v>
      </c>
      <c r="AK2387" s="9">
        <f>IFERROR(VLOOKUP($A2387,pivot!$A:$I,計算式2026!AK$1,FALSE),0)</f>
        <v>0</v>
      </c>
      <c r="AL2387" s="9">
        <f>IFERROR(VLOOKUP($A2387,pivot!$A:$I,計算式2026!AL$1,FALSE),0)</f>
        <v>0</v>
      </c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</row>
    <row r="2388" spans="1:59" s="9" customFormat="1">
      <c r="A2388" s="8" t="s">
        <v>2533</v>
      </c>
      <c r="B2388" s="8" t="s">
        <v>2534</v>
      </c>
      <c r="C2388" s="9">
        <v>2</v>
      </c>
      <c r="D2388" s="9">
        <v>0</v>
      </c>
      <c r="E2388" s="9">
        <v>0</v>
      </c>
      <c r="F2388" s="9">
        <v>0</v>
      </c>
      <c r="G2388" s="9">
        <v>0</v>
      </c>
      <c r="H2388" s="9">
        <v>0</v>
      </c>
      <c r="I2388" s="9">
        <v>0</v>
      </c>
      <c r="J2388" s="9">
        <v>0</v>
      </c>
      <c r="K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1</v>
      </c>
      <c r="W2388" s="9">
        <v>0</v>
      </c>
      <c r="X2388" s="9">
        <v>1</v>
      </c>
      <c r="AE2388" s="9">
        <f>IFERROR(VLOOKUP($A2388,pivot!$A:$G,計算式2026!AE$1,FALSE),0)</f>
        <v>0</v>
      </c>
      <c r="AF2388" s="9">
        <f>IFERROR(VLOOKUP($A2388,pivot!$A:$I,計算式2026!AF$1,FALSE),0)</f>
        <v>0</v>
      </c>
      <c r="AI2388" s="9">
        <f>IFERROR(VLOOKUP($A2388,pivot!$A:$I,計算式2026!AI$1,FALSE),0)</f>
        <v>0</v>
      </c>
      <c r="AJ2388" s="9">
        <f>IFERROR(VLOOKUP($A2388,pivot!$A:$I,計算式2026!AJ$1,FALSE),0)</f>
        <v>0</v>
      </c>
      <c r="AK2388" s="9">
        <f>IFERROR(VLOOKUP($A2388,pivot!$A:$I,計算式2026!AK$1,FALSE),0)</f>
        <v>0</v>
      </c>
      <c r="AL2388" s="9">
        <f>IFERROR(VLOOKUP($A2388,pivot!$A:$I,計算式2026!AL$1,FALSE),0)</f>
        <v>0</v>
      </c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/>
      <c r="BC2388" s="8"/>
      <c r="BD2388" s="8"/>
      <c r="BE2388" s="8"/>
      <c r="BF2388" s="8"/>
      <c r="BG2388" s="8"/>
    </row>
    <row r="2389" spans="1:59" s="9" customFormat="1">
      <c r="A2389" s="8" t="s">
        <v>2535</v>
      </c>
      <c r="B2389" s="8" t="s">
        <v>2534</v>
      </c>
      <c r="C2389" s="9">
        <v>0</v>
      </c>
      <c r="D2389" s="9">
        <v>0</v>
      </c>
      <c r="E2389" s="9">
        <v>0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1</v>
      </c>
      <c r="W2389" s="9">
        <v>0</v>
      </c>
      <c r="X2389" s="9">
        <v>1</v>
      </c>
      <c r="AE2389" s="9">
        <f>IFERROR(VLOOKUP($A2389,pivot!$A:$G,計算式2026!AE$1,FALSE),0)</f>
        <v>0</v>
      </c>
      <c r="AF2389" s="9">
        <f>IFERROR(VLOOKUP($A2389,pivot!$A:$I,計算式2026!AF$1,FALSE),0)</f>
        <v>0</v>
      </c>
      <c r="AI2389" s="9">
        <f>IFERROR(VLOOKUP($A2389,pivot!$A:$I,計算式2026!AI$1,FALSE),0)</f>
        <v>0</v>
      </c>
      <c r="AJ2389" s="9">
        <f>IFERROR(VLOOKUP($A2389,pivot!$A:$I,計算式2026!AJ$1,FALSE),0)</f>
        <v>0</v>
      </c>
      <c r="AK2389" s="9">
        <f>IFERROR(VLOOKUP($A2389,pivot!$A:$I,計算式2026!AK$1,FALSE),0)</f>
        <v>0</v>
      </c>
      <c r="AL2389" s="9">
        <f>IFERROR(VLOOKUP($A2389,pivot!$A:$I,計算式2026!AL$1,FALSE),0)</f>
        <v>0</v>
      </c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</row>
    <row r="2390" spans="1:59" s="9" customFormat="1">
      <c r="A2390" s="8" t="s">
        <v>2536</v>
      </c>
      <c r="B2390" s="8" t="s">
        <v>2537</v>
      </c>
      <c r="C2390" s="9">
        <v>2</v>
      </c>
      <c r="D2390" s="9">
        <v>0</v>
      </c>
      <c r="E2390" s="9">
        <v>0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1</v>
      </c>
      <c r="W2390" s="9">
        <v>0</v>
      </c>
      <c r="X2390" s="9">
        <v>1</v>
      </c>
      <c r="AE2390" s="9">
        <f>IFERROR(VLOOKUP($A2390,pivot!$A:$G,計算式2026!AE$1,FALSE),0)</f>
        <v>0</v>
      </c>
      <c r="AF2390" s="9">
        <f>IFERROR(VLOOKUP($A2390,pivot!$A:$I,計算式2026!AF$1,FALSE),0)</f>
        <v>0</v>
      </c>
      <c r="AI2390" s="9">
        <f>IFERROR(VLOOKUP($A2390,pivot!$A:$I,計算式2026!AI$1,FALSE),0)</f>
        <v>0</v>
      </c>
      <c r="AJ2390" s="9">
        <f>IFERROR(VLOOKUP($A2390,pivot!$A:$I,計算式2026!AJ$1,FALSE),0)</f>
        <v>0</v>
      </c>
      <c r="AK2390" s="9">
        <f>IFERROR(VLOOKUP($A2390,pivot!$A:$I,計算式2026!AK$1,FALSE),0)</f>
        <v>0</v>
      </c>
      <c r="AL2390" s="9">
        <f>IFERROR(VLOOKUP($A2390,pivot!$A:$I,計算式2026!AL$1,FALSE),0)</f>
        <v>0</v>
      </c>
      <c r="AR2390" s="8"/>
      <c r="AS2390" s="8"/>
      <c r="AT2390" s="8"/>
      <c r="AU2390" s="8"/>
      <c r="AV2390" s="8"/>
      <c r="AW2390" s="8"/>
      <c r="AX2390" s="8"/>
      <c r="AY2390" s="8"/>
      <c r="AZ2390" s="8"/>
      <c r="BA2390" s="8"/>
      <c r="BB2390" s="8"/>
      <c r="BC2390" s="8"/>
      <c r="BD2390" s="8"/>
      <c r="BE2390" s="8"/>
      <c r="BF2390" s="8"/>
      <c r="BG2390" s="8"/>
    </row>
    <row r="2391" spans="1:59" s="9" customFormat="1">
      <c r="A2391" s="8" t="s">
        <v>2538</v>
      </c>
      <c r="B2391" s="8" t="s">
        <v>2537</v>
      </c>
      <c r="C2391" s="9">
        <v>0</v>
      </c>
      <c r="D2391" s="9">
        <v>0</v>
      </c>
      <c r="E2391" s="9">
        <v>0</v>
      </c>
      <c r="F2391" s="9">
        <v>0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1</v>
      </c>
      <c r="W2391" s="9">
        <v>0</v>
      </c>
      <c r="X2391" s="9">
        <v>1</v>
      </c>
      <c r="AE2391" s="9">
        <f>IFERROR(VLOOKUP($A2391,pivot!$A:$G,計算式2026!AE$1,FALSE),0)</f>
        <v>0</v>
      </c>
      <c r="AF2391" s="9">
        <f>IFERROR(VLOOKUP($A2391,pivot!$A:$I,計算式2026!AF$1,FALSE),0)</f>
        <v>0</v>
      </c>
      <c r="AI2391" s="9">
        <f>IFERROR(VLOOKUP($A2391,pivot!$A:$I,計算式2026!AI$1,FALSE),0)</f>
        <v>0</v>
      </c>
      <c r="AJ2391" s="9">
        <f>IFERROR(VLOOKUP($A2391,pivot!$A:$I,計算式2026!AJ$1,FALSE),0)</f>
        <v>0</v>
      </c>
      <c r="AK2391" s="9">
        <f>IFERROR(VLOOKUP($A2391,pivot!$A:$I,計算式2026!AK$1,FALSE),0)</f>
        <v>0</v>
      </c>
      <c r="AL2391" s="9">
        <f>IFERROR(VLOOKUP($A2391,pivot!$A:$I,計算式2026!AL$1,FALSE),0)</f>
        <v>0</v>
      </c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</row>
    <row r="2392" spans="1:59" s="9" customFormat="1">
      <c r="A2392" s="8" t="s">
        <v>1424</v>
      </c>
      <c r="B2392" s="8" t="s">
        <v>1425</v>
      </c>
      <c r="C2392" s="9">
        <v>1</v>
      </c>
      <c r="D2392" s="9">
        <v>0</v>
      </c>
      <c r="E2392" s="9">
        <v>0</v>
      </c>
      <c r="F2392" s="9">
        <v>0</v>
      </c>
      <c r="G2392" s="9">
        <v>0</v>
      </c>
      <c r="H2392" s="9">
        <v>0</v>
      </c>
      <c r="I2392" s="9">
        <v>0</v>
      </c>
      <c r="J2392" s="9">
        <v>0</v>
      </c>
      <c r="K2392" s="9">
        <v>0</v>
      </c>
      <c r="R2392" s="9">
        <v>0</v>
      </c>
      <c r="S2392" s="9">
        <v>0</v>
      </c>
      <c r="T2392" s="9">
        <v>1</v>
      </c>
      <c r="U2392" s="9">
        <v>0</v>
      </c>
      <c r="V2392" s="9">
        <v>0</v>
      </c>
      <c r="W2392" s="9">
        <v>0</v>
      </c>
      <c r="X2392" s="9">
        <v>1</v>
      </c>
      <c r="AE2392" s="9">
        <f>IFERROR(VLOOKUP($A2392,pivot!$A:$G,計算式2026!AE$1,FALSE),0)</f>
        <v>0</v>
      </c>
      <c r="AF2392" s="9">
        <f>IFERROR(VLOOKUP($A2392,pivot!$A:$I,計算式2026!AF$1,FALSE),0)</f>
        <v>0</v>
      </c>
      <c r="AI2392" s="9">
        <f>IFERROR(VLOOKUP($A2392,pivot!$A:$I,計算式2026!AI$1,FALSE),0)</f>
        <v>0</v>
      </c>
      <c r="AJ2392" s="9">
        <f>IFERROR(VLOOKUP($A2392,pivot!$A:$I,計算式2026!AJ$1,FALSE),0)</f>
        <v>0</v>
      </c>
      <c r="AK2392" s="9">
        <f>IFERROR(VLOOKUP($A2392,pivot!$A:$I,計算式2026!AK$1,FALSE),0)</f>
        <v>0</v>
      </c>
      <c r="AL2392" s="9">
        <f>IFERROR(VLOOKUP($A2392,pivot!$A:$I,計算式2026!AL$1,FALSE),0)</f>
        <v>0</v>
      </c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/>
      <c r="BC2392" s="8"/>
      <c r="BD2392" s="8"/>
      <c r="BE2392" s="8"/>
      <c r="BF2392" s="8"/>
      <c r="BG2392" s="8"/>
    </row>
    <row r="2393" spans="1:59" s="9" customFormat="1">
      <c r="A2393" s="8" t="s">
        <v>2539</v>
      </c>
      <c r="B2393" s="8" t="s">
        <v>2540</v>
      </c>
      <c r="C2393" s="9">
        <v>1</v>
      </c>
      <c r="D2393" s="9">
        <v>2</v>
      </c>
      <c r="E2393" s="9">
        <v>0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R2393" s="9">
        <v>0</v>
      </c>
      <c r="S2393" s="9">
        <v>3</v>
      </c>
      <c r="T2393" s="9">
        <v>1</v>
      </c>
      <c r="U2393" s="9">
        <v>0</v>
      </c>
      <c r="V2393" s="9">
        <v>3</v>
      </c>
      <c r="W2393" s="9">
        <v>0</v>
      </c>
      <c r="X2393" s="9">
        <v>1</v>
      </c>
      <c r="AE2393" s="9">
        <f>IFERROR(VLOOKUP($A2393,pivot!$A:$G,計算式2026!AE$1,FALSE),0)</f>
        <v>0</v>
      </c>
      <c r="AF2393" s="9">
        <f>IFERROR(VLOOKUP($A2393,pivot!$A:$I,計算式2026!AF$1,FALSE),0)</f>
        <v>0</v>
      </c>
      <c r="AI2393" s="9">
        <f>IFERROR(VLOOKUP($A2393,pivot!$A:$I,計算式2026!AI$1,FALSE),0)</f>
        <v>0</v>
      </c>
      <c r="AJ2393" s="9">
        <f>IFERROR(VLOOKUP($A2393,pivot!$A:$I,計算式2026!AJ$1,FALSE),0)</f>
        <v>0</v>
      </c>
      <c r="AK2393" s="9">
        <f>IFERROR(VLOOKUP($A2393,pivot!$A:$I,計算式2026!AK$1,FALSE),0)</f>
        <v>0</v>
      </c>
      <c r="AL2393" s="9">
        <f>IFERROR(VLOOKUP($A2393,pivot!$A:$I,計算式2026!AL$1,FALSE),0)</f>
        <v>0</v>
      </c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</row>
    <row r="2394" spans="1:59" s="9" customFormat="1">
      <c r="A2394" s="8" t="s">
        <v>2541</v>
      </c>
      <c r="B2394" s="8" t="s">
        <v>2540</v>
      </c>
      <c r="C2394" s="9">
        <v>2</v>
      </c>
      <c r="D2394" s="9">
        <v>3</v>
      </c>
      <c r="E2394" s="9">
        <v>0</v>
      </c>
      <c r="F2394" s="9">
        <v>0</v>
      </c>
      <c r="G2394" s="9">
        <v>0</v>
      </c>
      <c r="H2394" s="9">
        <v>0</v>
      </c>
      <c r="I2394" s="9">
        <v>0</v>
      </c>
      <c r="J2394" s="9">
        <v>0</v>
      </c>
      <c r="K2394" s="9">
        <v>0</v>
      </c>
      <c r="R2394" s="9">
        <v>0</v>
      </c>
      <c r="S2394" s="9">
        <v>3</v>
      </c>
      <c r="T2394" s="9">
        <v>1</v>
      </c>
      <c r="U2394" s="9">
        <v>0</v>
      </c>
      <c r="V2394" s="9">
        <v>3</v>
      </c>
      <c r="W2394" s="9">
        <v>0</v>
      </c>
      <c r="X2394" s="9">
        <v>1</v>
      </c>
      <c r="AE2394" s="9">
        <f>IFERROR(VLOOKUP($A2394,pivot!$A:$G,計算式2026!AE$1,FALSE),0)</f>
        <v>0</v>
      </c>
      <c r="AF2394" s="9">
        <f>IFERROR(VLOOKUP($A2394,pivot!$A:$I,計算式2026!AF$1,FALSE),0)</f>
        <v>0</v>
      </c>
      <c r="AI2394" s="9">
        <f>IFERROR(VLOOKUP($A2394,pivot!$A:$I,計算式2026!AI$1,FALSE),0)</f>
        <v>0</v>
      </c>
      <c r="AJ2394" s="9">
        <f>IFERROR(VLOOKUP($A2394,pivot!$A:$I,計算式2026!AJ$1,FALSE),0)</f>
        <v>0</v>
      </c>
      <c r="AK2394" s="9">
        <f>IFERROR(VLOOKUP($A2394,pivot!$A:$I,計算式2026!AK$1,FALSE),0)</f>
        <v>0</v>
      </c>
      <c r="AL2394" s="9">
        <f>IFERROR(VLOOKUP($A2394,pivot!$A:$I,計算式2026!AL$1,FALSE),0)</f>
        <v>0</v>
      </c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8"/>
      <c r="BG2394" s="8"/>
    </row>
    <row r="2395" spans="1:59" s="9" customFormat="1">
      <c r="A2395" s="8" t="s">
        <v>2542</v>
      </c>
      <c r="B2395" s="8" t="s">
        <v>2540</v>
      </c>
      <c r="C2395" s="9">
        <v>0</v>
      </c>
      <c r="D2395" s="9">
        <v>0</v>
      </c>
      <c r="E2395" s="9">
        <v>0</v>
      </c>
      <c r="F2395" s="9">
        <v>0</v>
      </c>
      <c r="G2395" s="9">
        <v>0</v>
      </c>
      <c r="H2395" s="9">
        <v>0</v>
      </c>
      <c r="I2395" s="9">
        <v>0</v>
      </c>
      <c r="J2395" s="9">
        <v>0</v>
      </c>
      <c r="K2395" s="9">
        <v>0</v>
      </c>
      <c r="R2395" s="9">
        <v>0</v>
      </c>
      <c r="S2395" s="9">
        <v>2</v>
      </c>
      <c r="T2395" s="9">
        <v>0</v>
      </c>
      <c r="U2395" s="9">
        <v>0</v>
      </c>
      <c r="V2395" s="9">
        <v>1</v>
      </c>
      <c r="W2395" s="9">
        <v>0</v>
      </c>
      <c r="X2395" s="9">
        <v>1</v>
      </c>
      <c r="AE2395" s="9">
        <f>IFERROR(VLOOKUP($A2395,pivot!$A:$G,計算式2026!AE$1,FALSE),0)</f>
        <v>0</v>
      </c>
      <c r="AF2395" s="9">
        <f>IFERROR(VLOOKUP($A2395,pivot!$A:$I,計算式2026!AF$1,FALSE),0)</f>
        <v>0</v>
      </c>
      <c r="AI2395" s="9">
        <f>IFERROR(VLOOKUP($A2395,pivot!$A:$I,計算式2026!AI$1,FALSE),0)</f>
        <v>0</v>
      </c>
      <c r="AJ2395" s="9">
        <f>IFERROR(VLOOKUP($A2395,pivot!$A:$I,計算式2026!AJ$1,FALSE),0)</f>
        <v>0</v>
      </c>
      <c r="AK2395" s="9">
        <f>IFERROR(VLOOKUP($A2395,pivot!$A:$I,計算式2026!AK$1,FALSE),0)</f>
        <v>0</v>
      </c>
      <c r="AL2395" s="9">
        <f>IFERROR(VLOOKUP($A2395,pivot!$A:$I,計算式2026!AL$1,FALSE),0)</f>
        <v>0</v>
      </c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</row>
    <row r="2396" spans="1:59" s="9" customFormat="1">
      <c r="A2396" s="8" t="s">
        <v>2543</v>
      </c>
      <c r="B2396" s="8" t="s">
        <v>2540</v>
      </c>
      <c r="C2396" s="9">
        <v>2</v>
      </c>
      <c r="D2396" s="9">
        <v>0</v>
      </c>
      <c r="E2396" s="9">
        <v>0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R2396" s="9">
        <v>0</v>
      </c>
      <c r="S2396" s="9">
        <v>3</v>
      </c>
      <c r="T2396" s="9">
        <v>1</v>
      </c>
      <c r="U2396" s="9">
        <v>0</v>
      </c>
      <c r="V2396" s="9">
        <v>2</v>
      </c>
      <c r="W2396" s="9">
        <v>0</v>
      </c>
      <c r="X2396" s="9">
        <v>1</v>
      </c>
      <c r="AE2396" s="9">
        <f>IFERROR(VLOOKUP($A2396,pivot!$A:$G,計算式2026!AE$1,FALSE),0)</f>
        <v>0</v>
      </c>
      <c r="AF2396" s="9">
        <f>IFERROR(VLOOKUP($A2396,pivot!$A:$I,計算式2026!AF$1,FALSE),0)</f>
        <v>0</v>
      </c>
      <c r="AI2396" s="9">
        <f>IFERROR(VLOOKUP($A2396,pivot!$A:$I,計算式2026!AI$1,FALSE),0)</f>
        <v>0</v>
      </c>
      <c r="AJ2396" s="9">
        <f>IFERROR(VLOOKUP($A2396,pivot!$A:$I,計算式2026!AJ$1,FALSE),0)</f>
        <v>0</v>
      </c>
      <c r="AK2396" s="9">
        <f>IFERROR(VLOOKUP($A2396,pivot!$A:$I,計算式2026!AK$1,FALSE),0)</f>
        <v>0</v>
      </c>
      <c r="AL2396" s="9">
        <f>IFERROR(VLOOKUP($A2396,pivot!$A:$I,計算式2026!AL$1,FALSE),0)</f>
        <v>0</v>
      </c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8"/>
      <c r="BG2396" s="8"/>
    </row>
    <row r="2397" spans="1:59" s="9" customFormat="1">
      <c r="A2397" s="8" t="s">
        <v>2544</v>
      </c>
      <c r="B2397" s="8" t="s">
        <v>2540</v>
      </c>
      <c r="C2397" s="9">
        <v>2</v>
      </c>
      <c r="D2397" s="9">
        <v>4</v>
      </c>
      <c r="E2397" s="9">
        <v>0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R2397" s="9">
        <v>0</v>
      </c>
      <c r="S2397" s="9">
        <v>3</v>
      </c>
      <c r="T2397" s="9">
        <v>1</v>
      </c>
      <c r="U2397" s="9">
        <v>0</v>
      </c>
      <c r="V2397" s="9">
        <v>3</v>
      </c>
      <c r="W2397" s="9">
        <v>0</v>
      </c>
      <c r="X2397" s="9">
        <v>1</v>
      </c>
      <c r="AE2397" s="9">
        <f>IFERROR(VLOOKUP($A2397,pivot!$A:$G,計算式2026!AE$1,FALSE),0)</f>
        <v>0</v>
      </c>
      <c r="AF2397" s="9">
        <f>IFERROR(VLOOKUP($A2397,pivot!$A:$I,計算式2026!AF$1,FALSE),0)</f>
        <v>0</v>
      </c>
      <c r="AI2397" s="9">
        <f>IFERROR(VLOOKUP($A2397,pivot!$A:$I,計算式2026!AI$1,FALSE),0)</f>
        <v>0</v>
      </c>
      <c r="AJ2397" s="9">
        <f>IFERROR(VLOOKUP($A2397,pivot!$A:$I,計算式2026!AJ$1,FALSE),0)</f>
        <v>0</v>
      </c>
      <c r="AK2397" s="9">
        <f>IFERROR(VLOOKUP($A2397,pivot!$A:$I,計算式2026!AK$1,FALSE),0)</f>
        <v>0</v>
      </c>
      <c r="AL2397" s="9">
        <f>IFERROR(VLOOKUP($A2397,pivot!$A:$I,計算式2026!AL$1,FALSE),0)</f>
        <v>0</v>
      </c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</row>
    <row r="2398" spans="1:59" s="9" customFormat="1">
      <c r="A2398" s="8" t="s">
        <v>2545</v>
      </c>
      <c r="B2398" s="8" t="s">
        <v>2540</v>
      </c>
      <c r="C2398" s="9">
        <v>0</v>
      </c>
      <c r="D2398" s="9">
        <v>0</v>
      </c>
      <c r="E2398" s="9">
        <v>0</v>
      </c>
      <c r="F2398" s="9">
        <v>0</v>
      </c>
      <c r="G2398" s="9">
        <v>0</v>
      </c>
      <c r="H2398" s="9">
        <v>0</v>
      </c>
      <c r="I2398" s="9">
        <v>0</v>
      </c>
      <c r="J2398" s="9">
        <v>0</v>
      </c>
      <c r="K2398" s="9">
        <v>0</v>
      </c>
      <c r="R2398" s="9">
        <v>0</v>
      </c>
      <c r="S2398" s="9">
        <v>2</v>
      </c>
      <c r="T2398" s="9">
        <v>0</v>
      </c>
      <c r="U2398" s="9">
        <v>0</v>
      </c>
      <c r="V2398" s="9">
        <v>1</v>
      </c>
      <c r="W2398" s="9">
        <v>0</v>
      </c>
      <c r="X2398" s="9">
        <v>1</v>
      </c>
      <c r="AE2398" s="9">
        <f>IFERROR(VLOOKUP($A2398,pivot!$A:$G,計算式2026!AE$1,FALSE),0)</f>
        <v>0</v>
      </c>
      <c r="AF2398" s="9">
        <f>IFERROR(VLOOKUP($A2398,pivot!$A:$I,計算式2026!AF$1,FALSE),0)</f>
        <v>0</v>
      </c>
      <c r="AI2398" s="9">
        <f>IFERROR(VLOOKUP($A2398,pivot!$A:$I,計算式2026!AI$1,FALSE),0)</f>
        <v>0</v>
      </c>
      <c r="AJ2398" s="9">
        <f>IFERROR(VLOOKUP($A2398,pivot!$A:$I,計算式2026!AJ$1,FALSE),0)</f>
        <v>0</v>
      </c>
      <c r="AK2398" s="9">
        <f>IFERROR(VLOOKUP($A2398,pivot!$A:$I,計算式2026!AK$1,FALSE),0)</f>
        <v>0</v>
      </c>
      <c r="AL2398" s="9">
        <f>IFERROR(VLOOKUP($A2398,pivot!$A:$I,計算式2026!AL$1,FALSE),0)</f>
        <v>0</v>
      </c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8"/>
      <c r="BG2398" s="8"/>
    </row>
    <row r="2399" spans="1:59" s="9" customFormat="1">
      <c r="A2399" s="8" t="s">
        <v>2546</v>
      </c>
      <c r="B2399" s="8" t="s">
        <v>2547</v>
      </c>
      <c r="C2399" s="9">
        <v>0</v>
      </c>
      <c r="D2399" s="9">
        <v>0</v>
      </c>
      <c r="E2399" s="9">
        <v>0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R2399" s="9">
        <v>0</v>
      </c>
      <c r="S2399" s="9">
        <v>1</v>
      </c>
      <c r="T2399" s="9">
        <v>1</v>
      </c>
      <c r="U2399" s="9">
        <v>0</v>
      </c>
      <c r="V2399" s="9">
        <v>1</v>
      </c>
      <c r="W2399" s="9">
        <v>0</v>
      </c>
      <c r="X2399" s="9">
        <v>1</v>
      </c>
      <c r="AE2399" s="9">
        <f>IFERROR(VLOOKUP($A2399,pivot!$A:$G,計算式2026!AE$1,FALSE),0)</f>
        <v>0</v>
      </c>
      <c r="AF2399" s="9">
        <f>IFERROR(VLOOKUP($A2399,pivot!$A:$I,計算式2026!AF$1,FALSE),0)</f>
        <v>0</v>
      </c>
      <c r="AI2399" s="9">
        <f>IFERROR(VLOOKUP($A2399,pivot!$A:$I,計算式2026!AI$1,FALSE),0)</f>
        <v>0</v>
      </c>
      <c r="AJ2399" s="9">
        <f>IFERROR(VLOOKUP($A2399,pivot!$A:$I,計算式2026!AJ$1,FALSE),0)</f>
        <v>0</v>
      </c>
      <c r="AK2399" s="9">
        <f>IFERROR(VLOOKUP($A2399,pivot!$A:$I,計算式2026!AK$1,FALSE),0)</f>
        <v>0</v>
      </c>
      <c r="AL2399" s="9">
        <f>IFERROR(VLOOKUP($A2399,pivot!$A:$I,計算式2026!AL$1,FALSE),0)</f>
        <v>0</v>
      </c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</row>
    <row r="2400" spans="1:59" s="9" customFormat="1">
      <c r="A2400" s="8" t="s">
        <v>2548</v>
      </c>
      <c r="B2400" s="8" t="s">
        <v>2547</v>
      </c>
      <c r="C2400" s="9">
        <v>0</v>
      </c>
      <c r="D2400" s="9">
        <v>0</v>
      </c>
      <c r="E2400" s="9">
        <v>0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R2400" s="9">
        <v>2</v>
      </c>
      <c r="S2400" s="9">
        <v>2</v>
      </c>
      <c r="T2400" s="9">
        <v>1</v>
      </c>
      <c r="U2400" s="9">
        <v>0</v>
      </c>
      <c r="V2400" s="9">
        <v>2</v>
      </c>
      <c r="W2400" s="9">
        <v>0</v>
      </c>
      <c r="X2400" s="9">
        <v>1</v>
      </c>
      <c r="AE2400" s="9">
        <f>IFERROR(VLOOKUP($A2400,pivot!$A:$G,計算式2026!AE$1,FALSE),0)</f>
        <v>0</v>
      </c>
      <c r="AF2400" s="9">
        <f>IFERROR(VLOOKUP($A2400,pivot!$A:$I,計算式2026!AF$1,FALSE),0)</f>
        <v>0</v>
      </c>
      <c r="AI2400" s="9">
        <f>IFERROR(VLOOKUP($A2400,pivot!$A:$I,計算式2026!AI$1,FALSE),0)</f>
        <v>0</v>
      </c>
      <c r="AJ2400" s="9">
        <f>IFERROR(VLOOKUP($A2400,pivot!$A:$I,計算式2026!AJ$1,FALSE),0)</f>
        <v>0</v>
      </c>
      <c r="AK2400" s="9">
        <f>IFERROR(VLOOKUP($A2400,pivot!$A:$I,計算式2026!AK$1,FALSE),0)</f>
        <v>0</v>
      </c>
      <c r="AL2400" s="9">
        <f>IFERROR(VLOOKUP($A2400,pivot!$A:$I,計算式2026!AL$1,FALSE),0)</f>
        <v>0</v>
      </c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</row>
    <row r="2401" spans="1:59" s="9" customFormat="1">
      <c r="A2401" s="8" t="s">
        <v>2549</v>
      </c>
      <c r="B2401" s="8" t="s">
        <v>2547</v>
      </c>
      <c r="C2401" s="9">
        <v>0</v>
      </c>
      <c r="D2401" s="9">
        <v>0</v>
      </c>
      <c r="E2401" s="9">
        <v>0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R2401" s="9">
        <v>1</v>
      </c>
      <c r="S2401" s="9">
        <v>0</v>
      </c>
      <c r="T2401" s="9">
        <v>0</v>
      </c>
      <c r="U2401" s="9">
        <v>0</v>
      </c>
      <c r="V2401" s="9">
        <v>1</v>
      </c>
      <c r="W2401" s="9">
        <v>0</v>
      </c>
      <c r="X2401" s="9">
        <v>1</v>
      </c>
      <c r="AE2401" s="9">
        <f>IFERROR(VLOOKUP($A2401,pivot!$A:$G,計算式2026!AE$1,FALSE),0)</f>
        <v>0</v>
      </c>
      <c r="AF2401" s="9">
        <f>IFERROR(VLOOKUP($A2401,pivot!$A:$I,計算式2026!AF$1,FALSE),0)</f>
        <v>0</v>
      </c>
      <c r="AI2401" s="9">
        <f>IFERROR(VLOOKUP($A2401,pivot!$A:$I,計算式2026!AI$1,FALSE),0)</f>
        <v>0</v>
      </c>
      <c r="AJ2401" s="9">
        <f>IFERROR(VLOOKUP($A2401,pivot!$A:$I,計算式2026!AJ$1,FALSE),0)</f>
        <v>0</v>
      </c>
      <c r="AK2401" s="9">
        <f>IFERROR(VLOOKUP($A2401,pivot!$A:$I,計算式2026!AK$1,FALSE),0)</f>
        <v>0</v>
      </c>
      <c r="AL2401" s="9">
        <f>IFERROR(VLOOKUP($A2401,pivot!$A:$I,計算式2026!AL$1,FALSE),0)</f>
        <v>0</v>
      </c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</row>
    <row r="2402" spans="1:59" s="9" customFormat="1">
      <c r="A2402" s="8" t="s">
        <v>2550</v>
      </c>
      <c r="B2402" s="8" t="s">
        <v>2547</v>
      </c>
      <c r="C2402" s="9">
        <v>0</v>
      </c>
      <c r="D2402" s="9">
        <v>0</v>
      </c>
      <c r="E2402" s="9">
        <v>0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1</v>
      </c>
      <c r="W2402" s="9">
        <v>0</v>
      </c>
      <c r="X2402" s="9">
        <v>0</v>
      </c>
      <c r="AE2402" s="9">
        <f>IFERROR(VLOOKUP($A2402,pivot!$A:$G,計算式2026!AE$1,FALSE),0)</f>
        <v>0</v>
      </c>
      <c r="AF2402" s="9">
        <f>IFERROR(VLOOKUP($A2402,pivot!$A:$I,計算式2026!AF$1,FALSE),0)</f>
        <v>0</v>
      </c>
      <c r="AI2402" s="9">
        <f>IFERROR(VLOOKUP($A2402,pivot!$A:$I,計算式2026!AI$1,FALSE),0)</f>
        <v>0</v>
      </c>
      <c r="AJ2402" s="9">
        <f>IFERROR(VLOOKUP($A2402,pivot!$A:$I,計算式2026!AJ$1,FALSE),0)</f>
        <v>0</v>
      </c>
      <c r="AK2402" s="9">
        <f>IFERROR(VLOOKUP($A2402,pivot!$A:$I,計算式2026!AK$1,FALSE),0)</f>
        <v>0</v>
      </c>
      <c r="AL2402" s="9">
        <f>IFERROR(VLOOKUP($A2402,pivot!$A:$I,計算式2026!AL$1,FALSE),0)</f>
        <v>0</v>
      </c>
      <c r="AR2402" s="8"/>
      <c r="AS2402" s="8"/>
      <c r="AT2402" s="8"/>
      <c r="AU2402" s="8"/>
      <c r="AV2402" s="8"/>
      <c r="AW2402" s="8"/>
      <c r="AX2402" s="8"/>
      <c r="AY2402" s="8"/>
      <c r="AZ2402" s="8"/>
      <c r="BA2402" s="8"/>
      <c r="BB2402" s="8"/>
      <c r="BC2402" s="8"/>
      <c r="BD2402" s="8"/>
      <c r="BE2402" s="8"/>
      <c r="BF2402" s="8"/>
      <c r="BG2402" s="8"/>
    </row>
    <row r="2403" spans="1:59" s="9" customFormat="1">
      <c r="A2403" s="8" t="s">
        <v>2906</v>
      </c>
      <c r="B2403" s="8" t="s">
        <v>2547</v>
      </c>
      <c r="C2403" s="9">
        <v>0</v>
      </c>
      <c r="D2403" s="9">
        <v>0</v>
      </c>
      <c r="E2403" s="9">
        <v>0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AE2403" s="9">
        <f>IFERROR(VLOOKUP($A2403,pivot!$A:$G,計算式2026!AE$1,FALSE),0)</f>
        <v>0</v>
      </c>
      <c r="AF2403" s="9">
        <f>IFERROR(VLOOKUP($A2403,pivot!$A:$I,計算式2026!AF$1,FALSE),0)</f>
        <v>0</v>
      </c>
      <c r="AI2403" s="9">
        <f>IFERROR(VLOOKUP($A2403,pivot!$A:$I,計算式2026!AI$1,FALSE),0)</f>
        <v>0</v>
      </c>
      <c r="AJ2403" s="9">
        <f>IFERROR(VLOOKUP($A2403,pivot!$A:$I,計算式2026!AJ$1,FALSE),0)</f>
        <v>0</v>
      </c>
      <c r="AK2403" s="9">
        <f>IFERROR(VLOOKUP($A2403,pivot!$A:$I,計算式2026!AK$1,FALSE),0)</f>
        <v>0</v>
      </c>
      <c r="AL2403" s="9">
        <f>IFERROR(VLOOKUP($A2403,pivot!$A:$I,計算式2026!AL$1,FALSE),0)</f>
        <v>0</v>
      </c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</row>
    <row r="2404" spans="1:59" s="9" customFormat="1">
      <c r="A2404" s="8" t="s">
        <v>2907</v>
      </c>
      <c r="B2404" s="8" t="s">
        <v>2547</v>
      </c>
      <c r="C2404" s="9">
        <v>0</v>
      </c>
      <c r="D2404" s="9">
        <v>0</v>
      </c>
      <c r="E2404" s="9">
        <v>0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R2404" s="9">
        <v>1</v>
      </c>
      <c r="S2404" s="9">
        <v>2</v>
      </c>
      <c r="T2404" s="9">
        <v>0</v>
      </c>
      <c r="U2404" s="9">
        <v>0</v>
      </c>
      <c r="V2404" s="9">
        <v>2</v>
      </c>
      <c r="W2404" s="9">
        <v>0</v>
      </c>
      <c r="X2404" s="9">
        <v>1</v>
      </c>
      <c r="AE2404" s="9">
        <f>IFERROR(VLOOKUP($A2404,pivot!$A:$G,計算式2026!AE$1,FALSE),0)</f>
        <v>0</v>
      </c>
      <c r="AF2404" s="9">
        <f>IFERROR(VLOOKUP($A2404,pivot!$A:$I,計算式2026!AF$1,FALSE),0)</f>
        <v>0</v>
      </c>
      <c r="AI2404" s="9">
        <f>IFERROR(VLOOKUP($A2404,pivot!$A:$I,計算式2026!AI$1,FALSE),0)</f>
        <v>0</v>
      </c>
      <c r="AJ2404" s="9">
        <f>IFERROR(VLOOKUP($A2404,pivot!$A:$I,計算式2026!AJ$1,FALSE),0)</f>
        <v>0</v>
      </c>
      <c r="AK2404" s="9">
        <f>IFERROR(VLOOKUP($A2404,pivot!$A:$I,計算式2026!AK$1,FALSE),0)</f>
        <v>0</v>
      </c>
      <c r="AL2404" s="9">
        <f>IFERROR(VLOOKUP($A2404,pivot!$A:$I,計算式2026!AL$1,FALSE),0)</f>
        <v>0</v>
      </c>
      <c r="AR2404" s="8"/>
      <c r="AS2404" s="8"/>
      <c r="AT2404" s="8"/>
      <c r="AU2404" s="8"/>
      <c r="AV2404" s="8"/>
      <c r="AW2404" s="8"/>
      <c r="AX2404" s="8"/>
      <c r="AY2404" s="8"/>
      <c r="AZ2404" s="8"/>
      <c r="BA2404" s="8"/>
      <c r="BB2404" s="8"/>
      <c r="BC2404" s="8"/>
      <c r="BD2404" s="8"/>
      <c r="BE2404" s="8"/>
      <c r="BF2404" s="8"/>
      <c r="BG2404" s="8"/>
    </row>
    <row r="2405" spans="1:59" s="9" customFormat="1">
      <c r="A2405" s="8" t="s">
        <v>2908</v>
      </c>
      <c r="B2405" s="8" t="s">
        <v>2547</v>
      </c>
      <c r="C2405" s="9">
        <v>0</v>
      </c>
      <c r="D2405" s="9">
        <v>0</v>
      </c>
      <c r="E2405" s="9">
        <v>0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R2405" s="9">
        <v>0</v>
      </c>
      <c r="S2405" s="9">
        <v>2</v>
      </c>
      <c r="T2405" s="9">
        <v>0</v>
      </c>
      <c r="U2405" s="9">
        <v>0</v>
      </c>
      <c r="V2405" s="9">
        <v>1</v>
      </c>
      <c r="W2405" s="9">
        <v>0</v>
      </c>
      <c r="X2405" s="9">
        <v>1</v>
      </c>
      <c r="AE2405" s="9">
        <f>IFERROR(VLOOKUP($A2405,pivot!$A:$G,計算式2026!AE$1,FALSE),0)</f>
        <v>0</v>
      </c>
      <c r="AF2405" s="9">
        <f>IFERROR(VLOOKUP($A2405,pivot!$A:$I,計算式2026!AF$1,FALSE),0)</f>
        <v>0</v>
      </c>
      <c r="AI2405" s="9">
        <f>IFERROR(VLOOKUP($A2405,pivot!$A:$I,計算式2026!AI$1,FALSE),0)</f>
        <v>0</v>
      </c>
      <c r="AJ2405" s="9">
        <f>IFERROR(VLOOKUP($A2405,pivot!$A:$I,計算式2026!AJ$1,FALSE),0)</f>
        <v>0</v>
      </c>
      <c r="AK2405" s="9">
        <f>IFERROR(VLOOKUP($A2405,pivot!$A:$I,計算式2026!AK$1,FALSE),0)</f>
        <v>0</v>
      </c>
      <c r="AL2405" s="9">
        <f>IFERROR(VLOOKUP($A2405,pivot!$A:$I,計算式2026!AL$1,FALSE),0)</f>
        <v>0</v>
      </c>
      <c r="AR2405" s="8"/>
      <c r="AS2405" s="8"/>
      <c r="AT2405" s="8"/>
      <c r="AU2405" s="8"/>
      <c r="AV2405" s="8"/>
      <c r="AW2405" s="8"/>
      <c r="AX2405" s="8"/>
      <c r="AY2405" s="8"/>
      <c r="AZ2405" s="8"/>
      <c r="BA2405" s="8"/>
      <c r="BB2405" s="8"/>
      <c r="BC2405" s="8"/>
      <c r="BD2405" s="8"/>
      <c r="BE2405" s="8"/>
      <c r="BF2405" s="8"/>
      <c r="BG2405" s="8"/>
    </row>
    <row r="2406" spans="1:59" s="9" customFormat="1">
      <c r="A2406" s="8" t="s">
        <v>2551</v>
      </c>
      <c r="B2406" s="8" t="s">
        <v>2547</v>
      </c>
      <c r="C2406" s="9">
        <v>0</v>
      </c>
      <c r="D2406" s="9">
        <v>0</v>
      </c>
      <c r="E2406" s="9">
        <v>0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R2406" s="9">
        <v>0</v>
      </c>
      <c r="S2406" s="9">
        <v>1</v>
      </c>
      <c r="T2406" s="9">
        <v>1</v>
      </c>
      <c r="U2406" s="9">
        <v>0</v>
      </c>
      <c r="V2406" s="9">
        <v>1</v>
      </c>
      <c r="W2406" s="9">
        <v>0</v>
      </c>
      <c r="X2406" s="9">
        <v>1</v>
      </c>
      <c r="AE2406" s="9">
        <f>IFERROR(VLOOKUP($A2406,pivot!$A:$G,計算式2026!AE$1,FALSE),0)</f>
        <v>0</v>
      </c>
      <c r="AF2406" s="9">
        <f>IFERROR(VLOOKUP($A2406,pivot!$A:$I,計算式2026!AF$1,FALSE),0)</f>
        <v>0</v>
      </c>
      <c r="AI2406" s="9">
        <f>IFERROR(VLOOKUP($A2406,pivot!$A:$I,計算式2026!AI$1,FALSE),0)</f>
        <v>0</v>
      </c>
      <c r="AJ2406" s="9">
        <f>IFERROR(VLOOKUP($A2406,pivot!$A:$I,計算式2026!AJ$1,FALSE),0)</f>
        <v>0</v>
      </c>
      <c r="AK2406" s="9">
        <f>IFERROR(VLOOKUP($A2406,pivot!$A:$I,計算式2026!AK$1,FALSE),0)</f>
        <v>0</v>
      </c>
      <c r="AL2406" s="9">
        <f>IFERROR(VLOOKUP($A2406,pivot!$A:$I,計算式2026!AL$1,FALSE),0)</f>
        <v>0</v>
      </c>
      <c r="AR2406" s="8"/>
      <c r="AS2406" s="8"/>
      <c r="AT2406" s="8"/>
      <c r="AU2406" s="8"/>
      <c r="AV2406" s="8"/>
      <c r="AW2406" s="8"/>
      <c r="AX2406" s="8"/>
      <c r="AY2406" s="8"/>
      <c r="AZ2406" s="8"/>
      <c r="BA2406" s="8"/>
      <c r="BB2406" s="8"/>
      <c r="BC2406" s="8"/>
      <c r="BD2406" s="8"/>
      <c r="BE2406" s="8"/>
      <c r="BF2406" s="8"/>
      <c r="BG2406" s="8"/>
    </row>
    <row r="2407" spans="1:59" s="9" customFormat="1">
      <c r="A2407" s="8" t="s">
        <v>2552</v>
      </c>
      <c r="B2407" s="8" t="s">
        <v>2547</v>
      </c>
      <c r="C2407" s="9">
        <v>0</v>
      </c>
      <c r="D2407" s="9">
        <v>0</v>
      </c>
      <c r="E2407" s="9">
        <v>0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9">
        <v>0</v>
      </c>
      <c r="R2407" s="9">
        <v>0</v>
      </c>
      <c r="S2407" s="9">
        <v>2</v>
      </c>
      <c r="T2407" s="9">
        <v>1</v>
      </c>
      <c r="U2407" s="9">
        <v>0</v>
      </c>
      <c r="V2407" s="9">
        <v>1</v>
      </c>
      <c r="W2407" s="9">
        <v>0</v>
      </c>
      <c r="X2407" s="9">
        <v>1</v>
      </c>
      <c r="AE2407" s="9">
        <f>IFERROR(VLOOKUP($A2407,pivot!$A:$G,計算式2026!AE$1,FALSE),0)</f>
        <v>0</v>
      </c>
      <c r="AF2407" s="9">
        <f>IFERROR(VLOOKUP($A2407,pivot!$A:$I,計算式2026!AF$1,FALSE),0)</f>
        <v>0</v>
      </c>
      <c r="AI2407" s="9">
        <f>IFERROR(VLOOKUP($A2407,pivot!$A:$I,計算式2026!AI$1,FALSE),0)</f>
        <v>0</v>
      </c>
      <c r="AJ2407" s="9">
        <f>IFERROR(VLOOKUP($A2407,pivot!$A:$I,計算式2026!AJ$1,FALSE),0)</f>
        <v>0</v>
      </c>
      <c r="AK2407" s="9">
        <f>IFERROR(VLOOKUP($A2407,pivot!$A:$I,計算式2026!AK$1,FALSE),0)</f>
        <v>0</v>
      </c>
      <c r="AL2407" s="9">
        <f>IFERROR(VLOOKUP($A2407,pivot!$A:$I,計算式2026!AL$1,FALSE),0)</f>
        <v>0</v>
      </c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/>
      <c r="BC2407" s="8"/>
      <c r="BD2407" s="8"/>
      <c r="BE2407" s="8"/>
      <c r="BF2407" s="8"/>
      <c r="BG2407" s="8"/>
    </row>
    <row r="2408" spans="1:59" s="9" customFormat="1">
      <c r="A2408" s="8" t="s">
        <v>2553</v>
      </c>
      <c r="B2408" s="8" t="s">
        <v>2547</v>
      </c>
      <c r="C2408" s="9">
        <v>0</v>
      </c>
      <c r="D2408" s="9">
        <v>0</v>
      </c>
      <c r="E2408" s="9">
        <v>0</v>
      </c>
      <c r="F2408" s="9">
        <v>0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AE2408" s="9">
        <f>IFERROR(VLOOKUP($A2408,pivot!$A:$G,計算式2026!AE$1,FALSE),0)</f>
        <v>0</v>
      </c>
      <c r="AF2408" s="9">
        <f>IFERROR(VLOOKUP($A2408,pivot!$A:$I,計算式2026!AF$1,FALSE),0)</f>
        <v>0</v>
      </c>
      <c r="AI2408" s="9">
        <f>IFERROR(VLOOKUP($A2408,pivot!$A:$I,計算式2026!AI$1,FALSE),0)</f>
        <v>0</v>
      </c>
      <c r="AJ2408" s="9">
        <f>IFERROR(VLOOKUP($A2408,pivot!$A:$I,計算式2026!AJ$1,FALSE),0)</f>
        <v>0</v>
      </c>
      <c r="AK2408" s="9">
        <f>IFERROR(VLOOKUP($A2408,pivot!$A:$I,計算式2026!AK$1,FALSE),0)</f>
        <v>0</v>
      </c>
      <c r="AL2408" s="9">
        <f>IFERROR(VLOOKUP($A2408,pivot!$A:$I,計算式2026!AL$1,FALSE),0)</f>
        <v>0</v>
      </c>
      <c r="AR2408" s="8"/>
      <c r="AS2408" s="8"/>
      <c r="AT2408" s="8"/>
      <c r="AU2408" s="8"/>
      <c r="AV2408" s="8"/>
      <c r="AW2408" s="8"/>
      <c r="AX2408" s="8"/>
      <c r="AY2408" s="8"/>
      <c r="AZ2408" s="8"/>
      <c r="BA2408" s="8"/>
      <c r="BB2408" s="8"/>
      <c r="BC2408" s="8"/>
      <c r="BD2408" s="8"/>
      <c r="BE2408" s="8"/>
      <c r="BF2408" s="8"/>
      <c r="BG2408" s="8"/>
    </row>
    <row r="2409" spans="1:59" s="9" customFormat="1">
      <c r="A2409" s="8" t="s">
        <v>2554</v>
      </c>
      <c r="B2409" s="8" t="s">
        <v>2555</v>
      </c>
      <c r="C2409" s="9">
        <v>2</v>
      </c>
      <c r="D2409" s="9">
        <v>2</v>
      </c>
      <c r="E2409" s="9">
        <v>0</v>
      </c>
      <c r="F2409" s="9">
        <v>0</v>
      </c>
      <c r="G2409" s="9">
        <v>0</v>
      </c>
      <c r="H2409" s="9">
        <v>0</v>
      </c>
      <c r="I2409" s="9">
        <v>0</v>
      </c>
      <c r="J2409" s="9">
        <v>0</v>
      </c>
      <c r="K2409" s="9">
        <v>0</v>
      </c>
      <c r="R2409" s="9">
        <v>0</v>
      </c>
      <c r="S2409" s="9">
        <v>3</v>
      </c>
      <c r="T2409" s="9">
        <v>0</v>
      </c>
      <c r="U2409" s="9">
        <v>0</v>
      </c>
      <c r="V2409" s="9">
        <v>3</v>
      </c>
      <c r="W2409" s="9">
        <v>0</v>
      </c>
      <c r="X2409" s="9">
        <v>1</v>
      </c>
      <c r="AE2409" s="9">
        <f>IFERROR(VLOOKUP($A2409,pivot!$A:$G,計算式2026!AE$1,FALSE),0)</f>
        <v>0</v>
      </c>
      <c r="AF2409" s="9">
        <f>IFERROR(VLOOKUP($A2409,pivot!$A:$I,計算式2026!AF$1,FALSE),0)</f>
        <v>0</v>
      </c>
      <c r="AI2409" s="9">
        <f>IFERROR(VLOOKUP($A2409,pivot!$A:$I,計算式2026!AI$1,FALSE),0)</f>
        <v>0</v>
      </c>
      <c r="AJ2409" s="9">
        <f>IFERROR(VLOOKUP($A2409,pivot!$A:$I,計算式2026!AJ$1,FALSE),0)</f>
        <v>0</v>
      </c>
      <c r="AK2409" s="9">
        <f>IFERROR(VLOOKUP($A2409,pivot!$A:$I,計算式2026!AK$1,FALSE),0)</f>
        <v>0</v>
      </c>
      <c r="AL2409" s="9">
        <f>IFERROR(VLOOKUP($A2409,pivot!$A:$I,計算式2026!AL$1,FALSE),0)</f>
        <v>0</v>
      </c>
      <c r="AR2409" s="8"/>
      <c r="AS2409" s="8"/>
      <c r="AT2409" s="8"/>
      <c r="AU2409" s="8"/>
      <c r="AV2409" s="8"/>
      <c r="AW2409" s="8"/>
      <c r="AX2409" s="8"/>
      <c r="AY2409" s="8"/>
      <c r="AZ2409" s="8"/>
      <c r="BA2409" s="8"/>
      <c r="BB2409" s="8"/>
      <c r="BC2409" s="8"/>
      <c r="BD2409" s="8"/>
      <c r="BE2409" s="8"/>
      <c r="BF2409" s="8"/>
      <c r="BG2409" s="8"/>
    </row>
    <row r="2410" spans="1:59" s="9" customFormat="1">
      <c r="A2410" s="8" t="s">
        <v>2556</v>
      </c>
      <c r="B2410" s="8" t="s">
        <v>2555</v>
      </c>
      <c r="C2410" s="9">
        <v>1</v>
      </c>
      <c r="D2410" s="9">
        <v>3</v>
      </c>
      <c r="E2410" s="9">
        <v>0</v>
      </c>
      <c r="F2410" s="9">
        <v>0</v>
      </c>
      <c r="G2410" s="9">
        <v>0</v>
      </c>
      <c r="H2410" s="9">
        <v>0</v>
      </c>
      <c r="I2410" s="9">
        <v>0</v>
      </c>
      <c r="J2410" s="9">
        <v>0</v>
      </c>
      <c r="K2410" s="9">
        <v>0</v>
      </c>
      <c r="R2410" s="9">
        <v>0</v>
      </c>
      <c r="S2410" s="9">
        <v>2</v>
      </c>
      <c r="T2410" s="9">
        <v>0</v>
      </c>
      <c r="U2410" s="9">
        <v>0</v>
      </c>
      <c r="V2410" s="9">
        <v>2</v>
      </c>
      <c r="W2410" s="9">
        <v>0</v>
      </c>
      <c r="X2410" s="9">
        <v>1</v>
      </c>
      <c r="AE2410" s="9">
        <f>IFERROR(VLOOKUP($A2410,pivot!$A:$G,計算式2026!AE$1,FALSE),0)</f>
        <v>0</v>
      </c>
      <c r="AF2410" s="9">
        <f>IFERROR(VLOOKUP($A2410,pivot!$A:$I,計算式2026!AF$1,FALSE),0)</f>
        <v>0</v>
      </c>
      <c r="AI2410" s="9">
        <f>IFERROR(VLOOKUP($A2410,pivot!$A:$I,計算式2026!AI$1,FALSE),0)</f>
        <v>0</v>
      </c>
      <c r="AJ2410" s="9">
        <f>IFERROR(VLOOKUP($A2410,pivot!$A:$I,計算式2026!AJ$1,FALSE),0)</f>
        <v>0</v>
      </c>
      <c r="AK2410" s="9">
        <f>IFERROR(VLOOKUP($A2410,pivot!$A:$I,計算式2026!AK$1,FALSE),0)</f>
        <v>0</v>
      </c>
      <c r="AL2410" s="9">
        <f>IFERROR(VLOOKUP($A2410,pivot!$A:$I,計算式2026!AL$1,FALSE),0)</f>
        <v>0</v>
      </c>
      <c r="AR2410" s="8"/>
      <c r="AS2410" s="8"/>
      <c r="AT2410" s="8"/>
      <c r="AU2410" s="8"/>
      <c r="AV2410" s="8"/>
      <c r="AW2410" s="8"/>
      <c r="AX2410" s="8"/>
      <c r="AY2410" s="8"/>
      <c r="AZ2410" s="8"/>
      <c r="BA2410" s="8"/>
      <c r="BB2410" s="8"/>
      <c r="BC2410" s="8"/>
      <c r="BD2410" s="8"/>
      <c r="BE2410" s="8"/>
      <c r="BF2410" s="8"/>
      <c r="BG2410" s="8"/>
    </row>
    <row r="2411" spans="1:59" s="9" customFormat="1">
      <c r="A2411" s="8" t="s">
        <v>2909</v>
      </c>
      <c r="B2411" s="8" t="s">
        <v>1183</v>
      </c>
      <c r="C2411" s="9">
        <v>0</v>
      </c>
      <c r="D2411" s="9">
        <v>0</v>
      </c>
      <c r="E2411" s="9">
        <v>0</v>
      </c>
      <c r="F2411" s="9">
        <v>0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R2411" s="9">
        <v>0</v>
      </c>
      <c r="S2411" s="9">
        <v>1</v>
      </c>
      <c r="T2411" s="9">
        <v>0</v>
      </c>
      <c r="U2411" s="9">
        <v>0</v>
      </c>
      <c r="V2411" s="9">
        <v>1</v>
      </c>
      <c r="W2411" s="9">
        <v>0</v>
      </c>
      <c r="X2411" s="9">
        <v>0</v>
      </c>
      <c r="AE2411" s="9">
        <f>IFERROR(VLOOKUP($A2411,pivot!$A:$G,計算式2026!AE$1,FALSE),0)</f>
        <v>0</v>
      </c>
      <c r="AF2411" s="9">
        <f>IFERROR(VLOOKUP($A2411,pivot!$A:$I,計算式2026!AF$1,FALSE),0)</f>
        <v>0</v>
      </c>
      <c r="AI2411" s="9">
        <f>IFERROR(VLOOKUP($A2411,pivot!$A:$I,計算式2026!AI$1,FALSE),0)</f>
        <v>0</v>
      </c>
      <c r="AJ2411" s="9">
        <f>IFERROR(VLOOKUP($A2411,pivot!$A:$I,計算式2026!AJ$1,FALSE),0)</f>
        <v>0</v>
      </c>
      <c r="AK2411" s="9">
        <f>IFERROR(VLOOKUP($A2411,pivot!$A:$I,計算式2026!AK$1,FALSE),0)</f>
        <v>0</v>
      </c>
      <c r="AL2411" s="9">
        <f>IFERROR(VLOOKUP($A2411,pivot!$A:$I,計算式2026!AL$1,FALSE),0)</f>
        <v>0</v>
      </c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/>
      <c r="BC2411" s="8"/>
      <c r="BD2411" s="8"/>
      <c r="BE2411" s="8"/>
      <c r="BF2411" s="8"/>
      <c r="BG2411" s="8"/>
    </row>
    <row r="2412" spans="1:59" s="9" customFormat="1">
      <c r="A2412" s="8" t="s">
        <v>2910</v>
      </c>
      <c r="B2412" s="8" t="s">
        <v>1183</v>
      </c>
      <c r="C2412" s="9">
        <v>0</v>
      </c>
      <c r="D2412" s="9">
        <v>3</v>
      </c>
      <c r="E2412" s="9">
        <v>0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R2412" s="9">
        <v>0</v>
      </c>
      <c r="S2412" s="9">
        <v>1</v>
      </c>
      <c r="T2412" s="9">
        <v>0</v>
      </c>
      <c r="U2412" s="9">
        <v>0</v>
      </c>
      <c r="V2412" s="9">
        <v>2</v>
      </c>
      <c r="W2412" s="9">
        <v>0</v>
      </c>
      <c r="X2412" s="9">
        <v>1</v>
      </c>
      <c r="AE2412" s="9">
        <f>IFERROR(VLOOKUP($A2412,pivot!$A:$G,計算式2026!AE$1,FALSE),0)</f>
        <v>0</v>
      </c>
      <c r="AF2412" s="9">
        <f>IFERROR(VLOOKUP($A2412,pivot!$A:$I,計算式2026!AF$1,FALSE),0)</f>
        <v>0</v>
      </c>
      <c r="AI2412" s="9">
        <f>IFERROR(VLOOKUP($A2412,pivot!$A:$I,計算式2026!AI$1,FALSE),0)</f>
        <v>0</v>
      </c>
      <c r="AJ2412" s="9">
        <f>IFERROR(VLOOKUP($A2412,pivot!$A:$I,計算式2026!AJ$1,FALSE),0)</f>
        <v>0</v>
      </c>
      <c r="AK2412" s="9">
        <f>IFERROR(VLOOKUP($A2412,pivot!$A:$I,計算式2026!AK$1,FALSE),0)</f>
        <v>0</v>
      </c>
      <c r="AL2412" s="9">
        <f>IFERROR(VLOOKUP($A2412,pivot!$A:$I,計算式2026!AL$1,FALSE),0)</f>
        <v>0</v>
      </c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8"/>
      <c r="BG2412" s="8"/>
    </row>
    <row r="2413" spans="1:59" s="9" customFormat="1">
      <c r="A2413" s="8" t="s">
        <v>2911</v>
      </c>
      <c r="B2413" s="8" t="s">
        <v>1183</v>
      </c>
      <c r="C2413" s="9">
        <v>0</v>
      </c>
      <c r="D2413" s="9">
        <v>0</v>
      </c>
      <c r="E2413" s="9">
        <v>0</v>
      </c>
      <c r="F2413" s="9">
        <v>0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1</v>
      </c>
      <c r="W2413" s="9">
        <v>0</v>
      </c>
      <c r="X2413" s="9">
        <v>1</v>
      </c>
      <c r="AE2413" s="9">
        <f>IFERROR(VLOOKUP($A2413,pivot!$A:$G,計算式2026!AE$1,FALSE),0)</f>
        <v>0</v>
      </c>
      <c r="AF2413" s="9">
        <f>IFERROR(VLOOKUP($A2413,pivot!$A:$I,計算式2026!AF$1,FALSE),0)</f>
        <v>0</v>
      </c>
      <c r="AI2413" s="9">
        <f>IFERROR(VLOOKUP($A2413,pivot!$A:$I,計算式2026!AI$1,FALSE),0)</f>
        <v>0</v>
      </c>
      <c r="AJ2413" s="9">
        <f>IFERROR(VLOOKUP($A2413,pivot!$A:$I,計算式2026!AJ$1,FALSE),0)</f>
        <v>0</v>
      </c>
      <c r="AK2413" s="9">
        <f>IFERROR(VLOOKUP($A2413,pivot!$A:$I,計算式2026!AK$1,FALSE),0)</f>
        <v>0</v>
      </c>
      <c r="AL2413" s="9">
        <f>IFERROR(VLOOKUP($A2413,pivot!$A:$I,計算式2026!AL$1,FALSE),0)</f>
        <v>0</v>
      </c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8"/>
      <c r="BG2413" s="8"/>
    </row>
    <row r="2414" spans="1:59" s="9" customFormat="1">
      <c r="A2414" s="8" t="s">
        <v>2912</v>
      </c>
      <c r="B2414" s="8" t="s">
        <v>1183</v>
      </c>
      <c r="C2414" s="9">
        <v>0</v>
      </c>
      <c r="D2414" s="9">
        <v>0</v>
      </c>
      <c r="E2414" s="9">
        <v>0</v>
      </c>
      <c r="F2414" s="9">
        <v>0</v>
      </c>
      <c r="G2414" s="9">
        <v>0</v>
      </c>
      <c r="H2414" s="9">
        <v>0</v>
      </c>
      <c r="I2414" s="9">
        <v>0</v>
      </c>
      <c r="J2414" s="9">
        <v>0</v>
      </c>
      <c r="K2414" s="9">
        <v>0</v>
      </c>
      <c r="R2414" s="9">
        <v>0</v>
      </c>
      <c r="S2414" s="9">
        <v>1</v>
      </c>
      <c r="T2414" s="9">
        <v>0</v>
      </c>
      <c r="U2414" s="9">
        <v>0</v>
      </c>
      <c r="V2414" s="9">
        <v>1</v>
      </c>
      <c r="W2414" s="9">
        <v>0</v>
      </c>
      <c r="X2414" s="9">
        <v>1</v>
      </c>
      <c r="AE2414" s="9">
        <f>IFERROR(VLOOKUP($A2414,pivot!$A:$G,計算式2026!AE$1,FALSE),0)</f>
        <v>0</v>
      </c>
      <c r="AF2414" s="9">
        <f>IFERROR(VLOOKUP($A2414,pivot!$A:$I,計算式2026!AF$1,FALSE),0)</f>
        <v>0</v>
      </c>
      <c r="AI2414" s="9">
        <f>IFERROR(VLOOKUP($A2414,pivot!$A:$I,計算式2026!AI$1,FALSE),0)</f>
        <v>0</v>
      </c>
      <c r="AJ2414" s="9">
        <f>IFERROR(VLOOKUP($A2414,pivot!$A:$I,計算式2026!AJ$1,FALSE),0)</f>
        <v>0</v>
      </c>
      <c r="AK2414" s="9">
        <f>IFERROR(VLOOKUP($A2414,pivot!$A:$I,計算式2026!AK$1,FALSE),0)</f>
        <v>0</v>
      </c>
      <c r="AL2414" s="9">
        <f>IFERROR(VLOOKUP($A2414,pivot!$A:$I,計算式2026!AL$1,FALSE),0)</f>
        <v>0</v>
      </c>
      <c r="AR2414" s="8"/>
      <c r="AS2414" s="8"/>
      <c r="AT2414" s="8"/>
      <c r="AU2414" s="8"/>
      <c r="AV2414" s="8"/>
      <c r="AW2414" s="8"/>
      <c r="AX2414" s="8"/>
      <c r="AY2414" s="8"/>
      <c r="AZ2414" s="8"/>
      <c r="BA2414" s="8"/>
      <c r="BB2414" s="8"/>
      <c r="BC2414" s="8"/>
      <c r="BD2414" s="8"/>
      <c r="BE2414" s="8"/>
      <c r="BF2414" s="8"/>
      <c r="BG2414" s="8"/>
    </row>
    <row r="2415" spans="1:59" s="9" customFormat="1">
      <c r="A2415" s="8" t="s">
        <v>2913</v>
      </c>
      <c r="B2415" s="8" t="s">
        <v>1183</v>
      </c>
      <c r="C2415" s="9">
        <v>0</v>
      </c>
      <c r="D2415" s="9">
        <v>5</v>
      </c>
      <c r="E2415" s="9">
        <v>0</v>
      </c>
      <c r="F2415" s="9">
        <v>0</v>
      </c>
      <c r="G2415" s="9">
        <v>0</v>
      </c>
      <c r="H2415" s="9">
        <v>0</v>
      </c>
      <c r="I2415" s="9">
        <v>0</v>
      </c>
      <c r="J2415" s="9">
        <v>0</v>
      </c>
      <c r="K2415" s="9">
        <v>0</v>
      </c>
      <c r="R2415" s="9">
        <v>0</v>
      </c>
      <c r="S2415" s="9">
        <v>2</v>
      </c>
      <c r="T2415" s="9">
        <v>1</v>
      </c>
      <c r="U2415" s="9">
        <v>0</v>
      </c>
      <c r="V2415" s="9">
        <v>2</v>
      </c>
      <c r="W2415" s="9">
        <v>0</v>
      </c>
      <c r="X2415" s="9">
        <v>1</v>
      </c>
      <c r="AE2415" s="9">
        <f>IFERROR(VLOOKUP($A2415,pivot!$A:$G,計算式2026!AE$1,FALSE),0)</f>
        <v>0</v>
      </c>
      <c r="AF2415" s="9">
        <f>IFERROR(VLOOKUP($A2415,pivot!$A:$I,計算式2026!AF$1,FALSE),0)</f>
        <v>0</v>
      </c>
      <c r="AI2415" s="9">
        <f>IFERROR(VLOOKUP($A2415,pivot!$A:$I,計算式2026!AI$1,FALSE),0)</f>
        <v>0</v>
      </c>
      <c r="AJ2415" s="9">
        <f>IFERROR(VLOOKUP($A2415,pivot!$A:$I,計算式2026!AJ$1,FALSE),0)</f>
        <v>0</v>
      </c>
      <c r="AK2415" s="9">
        <f>IFERROR(VLOOKUP($A2415,pivot!$A:$I,計算式2026!AK$1,FALSE),0)</f>
        <v>0</v>
      </c>
      <c r="AL2415" s="9">
        <f>IFERROR(VLOOKUP($A2415,pivot!$A:$I,計算式2026!AL$1,FALSE),0)</f>
        <v>0</v>
      </c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8"/>
      <c r="BG2415" s="8"/>
    </row>
    <row r="2416" spans="1:59" s="9" customFormat="1">
      <c r="A2416" s="8" t="s">
        <v>2914</v>
      </c>
      <c r="B2416" s="8" t="s">
        <v>1183</v>
      </c>
      <c r="C2416" s="9">
        <v>0</v>
      </c>
      <c r="D2416" s="9">
        <v>0</v>
      </c>
      <c r="E2416" s="9">
        <v>0</v>
      </c>
      <c r="F2416" s="9">
        <v>0</v>
      </c>
      <c r="G2416" s="9">
        <v>0</v>
      </c>
      <c r="H2416" s="9">
        <v>0</v>
      </c>
      <c r="I2416" s="9">
        <v>0</v>
      </c>
      <c r="J2416" s="9">
        <v>0</v>
      </c>
      <c r="K2416" s="9">
        <v>0</v>
      </c>
      <c r="R2416" s="9">
        <v>1</v>
      </c>
      <c r="S2416" s="9">
        <v>2</v>
      </c>
      <c r="T2416" s="9">
        <v>1</v>
      </c>
      <c r="U2416" s="9">
        <v>0</v>
      </c>
      <c r="V2416" s="9">
        <v>2</v>
      </c>
      <c r="W2416" s="9">
        <v>0</v>
      </c>
      <c r="X2416" s="9">
        <v>1</v>
      </c>
      <c r="AE2416" s="9">
        <f>IFERROR(VLOOKUP($A2416,pivot!$A:$G,計算式2026!AE$1,FALSE),0)</f>
        <v>0</v>
      </c>
      <c r="AF2416" s="9">
        <f>IFERROR(VLOOKUP($A2416,pivot!$A:$I,計算式2026!AF$1,FALSE),0)</f>
        <v>0</v>
      </c>
      <c r="AI2416" s="9">
        <f>IFERROR(VLOOKUP($A2416,pivot!$A:$I,計算式2026!AI$1,FALSE),0)</f>
        <v>0</v>
      </c>
      <c r="AJ2416" s="9">
        <f>IFERROR(VLOOKUP($A2416,pivot!$A:$I,計算式2026!AJ$1,FALSE),0)</f>
        <v>0</v>
      </c>
      <c r="AK2416" s="9">
        <f>IFERROR(VLOOKUP($A2416,pivot!$A:$I,計算式2026!AK$1,FALSE),0)</f>
        <v>0</v>
      </c>
      <c r="AL2416" s="9">
        <f>IFERROR(VLOOKUP($A2416,pivot!$A:$I,計算式2026!AL$1,FALSE),0)</f>
        <v>0</v>
      </c>
      <c r="AR2416" s="8"/>
      <c r="AS2416" s="8"/>
      <c r="AT2416" s="8"/>
      <c r="AU2416" s="8"/>
      <c r="AV2416" s="8"/>
      <c r="AW2416" s="8"/>
      <c r="AX2416" s="8"/>
      <c r="AY2416" s="8"/>
      <c r="AZ2416" s="8"/>
      <c r="BA2416" s="8"/>
      <c r="BB2416" s="8"/>
      <c r="BC2416" s="8"/>
      <c r="BD2416" s="8"/>
      <c r="BE2416" s="8"/>
      <c r="BF2416" s="8"/>
      <c r="BG2416" s="8"/>
    </row>
    <row r="2417" spans="1:59" s="9" customFormat="1">
      <c r="A2417" s="8" t="s">
        <v>2915</v>
      </c>
      <c r="B2417" s="8" t="s">
        <v>1183</v>
      </c>
      <c r="C2417" s="9">
        <v>0</v>
      </c>
      <c r="D2417" s="9">
        <v>0</v>
      </c>
      <c r="E2417" s="9">
        <v>0</v>
      </c>
      <c r="F2417" s="9">
        <v>0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R2417" s="9">
        <v>0</v>
      </c>
      <c r="S2417" s="9">
        <v>1</v>
      </c>
      <c r="T2417" s="9">
        <v>0</v>
      </c>
      <c r="U2417" s="9">
        <v>0</v>
      </c>
      <c r="V2417" s="9">
        <v>1</v>
      </c>
      <c r="W2417" s="9">
        <v>0</v>
      </c>
      <c r="X2417" s="9">
        <v>0</v>
      </c>
      <c r="AE2417" s="9">
        <f>IFERROR(VLOOKUP($A2417,pivot!$A:$G,計算式2026!AE$1,FALSE),0)</f>
        <v>0</v>
      </c>
      <c r="AF2417" s="9">
        <f>IFERROR(VLOOKUP($A2417,pivot!$A:$I,計算式2026!AF$1,FALSE),0)</f>
        <v>0</v>
      </c>
      <c r="AI2417" s="9">
        <f>IFERROR(VLOOKUP($A2417,pivot!$A:$I,計算式2026!AI$1,FALSE),0)</f>
        <v>0</v>
      </c>
      <c r="AJ2417" s="9">
        <f>IFERROR(VLOOKUP($A2417,pivot!$A:$I,計算式2026!AJ$1,FALSE),0)</f>
        <v>0</v>
      </c>
      <c r="AK2417" s="9">
        <f>IFERROR(VLOOKUP($A2417,pivot!$A:$I,計算式2026!AK$1,FALSE),0)</f>
        <v>0</v>
      </c>
      <c r="AL2417" s="9">
        <f>IFERROR(VLOOKUP($A2417,pivot!$A:$I,計算式2026!AL$1,FALSE),0)</f>
        <v>0</v>
      </c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/>
      <c r="BC2417" s="8"/>
      <c r="BD2417" s="8"/>
      <c r="BE2417" s="8"/>
      <c r="BF2417" s="8"/>
      <c r="BG2417" s="8"/>
    </row>
    <row r="2418" spans="1:59" s="9" customFormat="1">
      <c r="A2418" s="8" t="s">
        <v>2916</v>
      </c>
      <c r="B2418" s="8" t="s">
        <v>1183</v>
      </c>
      <c r="C2418" s="9">
        <v>2</v>
      </c>
      <c r="D2418" s="9">
        <v>0</v>
      </c>
      <c r="E2418" s="9">
        <v>0</v>
      </c>
      <c r="F2418" s="9">
        <v>0</v>
      </c>
      <c r="G2418" s="9">
        <v>0</v>
      </c>
      <c r="H2418" s="9">
        <v>0</v>
      </c>
      <c r="I2418" s="9">
        <v>0</v>
      </c>
      <c r="J2418" s="9">
        <v>0</v>
      </c>
      <c r="K2418" s="9">
        <v>0</v>
      </c>
      <c r="R2418" s="9">
        <v>0</v>
      </c>
      <c r="S2418" s="9">
        <v>1</v>
      </c>
      <c r="T2418" s="9">
        <v>0</v>
      </c>
      <c r="U2418" s="9">
        <v>0</v>
      </c>
      <c r="V2418" s="9">
        <v>2</v>
      </c>
      <c r="W2418" s="9">
        <v>0</v>
      </c>
      <c r="X2418" s="9">
        <v>1</v>
      </c>
      <c r="AE2418" s="9">
        <f>IFERROR(VLOOKUP($A2418,pivot!$A:$G,計算式2026!AE$1,FALSE),0)</f>
        <v>0</v>
      </c>
      <c r="AF2418" s="9">
        <f>IFERROR(VLOOKUP($A2418,pivot!$A:$I,計算式2026!AF$1,FALSE),0)</f>
        <v>0</v>
      </c>
      <c r="AI2418" s="9">
        <f>IFERROR(VLOOKUP($A2418,pivot!$A:$I,計算式2026!AI$1,FALSE),0)</f>
        <v>0</v>
      </c>
      <c r="AJ2418" s="9">
        <f>IFERROR(VLOOKUP($A2418,pivot!$A:$I,計算式2026!AJ$1,FALSE),0)</f>
        <v>0</v>
      </c>
      <c r="AK2418" s="9">
        <f>IFERROR(VLOOKUP($A2418,pivot!$A:$I,計算式2026!AK$1,FALSE),0)</f>
        <v>0</v>
      </c>
      <c r="AL2418" s="9">
        <f>IFERROR(VLOOKUP($A2418,pivot!$A:$I,計算式2026!AL$1,FALSE),0)</f>
        <v>0</v>
      </c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</row>
    <row r="2419" spans="1:59" s="9" customFormat="1">
      <c r="A2419" s="8" t="s">
        <v>2917</v>
      </c>
      <c r="B2419" s="8" t="s">
        <v>1183</v>
      </c>
      <c r="C2419" s="9">
        <v>1</v>
      </c>
      <c r="D2419" s="9">
        <v>0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9">
        <v>0</v>
      </c>
      <c r="R2419" s="9">
        <v>1</v>
      </c>
      <c r="S2419" s="9">
        <v>1</v>
      </c>
      <c r="T2419" s="9">
        <v>0</v>
      </c>
      <c r="U2419" s="9">
        <v>0</v>
      </c>
      <c r="V2419" s="9">
        <v>1</v>
      </c>
      <c r="W2419" s="9">
        <v>0</v>
      </c>
      <c r="X2419" s="9">
        <v>1</v>
      </c>
      <c r="AE2419" s="9">
        <f>IFERROR(VLOOKUP($A2419,pivot!$A:$G,計算式2026!AE$1,FALSE),0)</f>
        <v>0</v>
      </c>
      <c r="AF2419" s="9">
        <f>IFERROR(VLOOKUP($A2419,pivot!$A:$I,計算式2026!AF$1,FALSE),0)</f>
        <v>0</v>
      </c>
      <c r="AI2419" s="9">
        <f>IFERROR(VLOOKUP($A2419,pivot!$A:$I,計算式2026!AI$1,FALSE),0)</f>
        <v>0</v>
      </c>
      <c r="AJ2419" s="9">
        <f>IFERROR(VLOOKUP($A2419,pivot!$A:$I,計算式2026!AJ$1,FALSE),0)</f>
        <v>0</v>
      </c>
      <c r="AK2419" s="9">
        <f>IFERROR(VLOOKUP($A2419,pivot!$A:$I,計算式2026!AK$1,FALSE),0)</f>
        <v>0</v>
      </c>
      <c r="AL2419" s="9">
        <f>IFERROR(VLOOKUP($A2419,pivot!$A:$I,計算式2026!AL$1,FALSE),0)</f>
        <v>0</v>
      </c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</row>
    <row r="2420" spans="1:59" s="9" customFormat="1">
      <c r="A2420" s="8" t="s">
        <v>1426</v>
      </c>
      <c r="B2420" s="8" t="s">
        <v>1427</v>
      </c>
      <c r="C2420" s="9">
        <v>0</v>
      </c>
      <c r="D2420" s="9">
        <v>0</v>
      </c>
      <c r="E2420" s="9">
        <v>0</v>
      </c>
      <c r="F2420" s="9">
        <v>0</v>
      </c>
      <c r="G2420" s="9">
        <v>0</v>
      </c>
      <c r="H2420" s="9">
        <v>0</v>
      </c>
      <c r="I2420" s="9">
        <v>0</v>
      </c>
      <c r="J2420" s="9">
        <v>0</v>
      </c>
      <c r="K2420" s="9">
        <v>0</v>
      </c>
      <c r="R2420" s="9">
        <v>1</v>
      </c>
      <c r="S2420" s="9">
        <v>1</v>
      </c>
      <c r="T2420" s="9">
        <v>1</v>
      </c>
      <c r="U2420" s="9">
        <v>1</v>
      </c>
      <c r="V2420" s="9">
        <v>1</v>
      </c>
      <c r="W2420" s="9">
        <v>0</v>
      </c>
      <c r="X2420" s="9">
        <v>1</v>
      </c>
      <c r="AE2420" s="9">
        <f>IFERROR(VLOOKUP($A2420,pivot!$A:$G,計算式2026!AE$1,FALSE),0)</f>
        <v>0</v>
      </c>
      <c r="AF2420" s="9">
        <f>IFERROR(VLOOKUP($A2420,pivot!$A:$I,計算式2026!AF$1,FALSE),0)</f>
        <v>0</v>
      </c>
      <c r="AI2420" s="9">
        <f>IFERROR(VLOOKUP($A2420,pivot!$A:$I,計算式2026!AI$1,FALSE),0)</f>
        <v>0</v>
      </c>
      <c r="AJ2420" s="9">
        <f>IFERROR(VLOOKUP($A2420,pivot!$A:$I,計算式2026!AJ$1,FALSE),0)</f>
        <v>0</v>
      </c>
      <c r="AK2420" s="9">
        <f>IFERROR(VLOOKUP($A2420,pivot!$A:$I,計算式2026!AK$1,FALSE),0)</f>
        <v>0</v>
      </c>
      <c r="AL2420" s="9">
        <f>IFERROR(VLOOKUP($A2420,pivot!$A:$I,計算式2026!AL$1,FALSE),0)</f>
        <v>0</v>
      </c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8"/>
      <c r="BG2420" s="8"/>
    </row>
    <row r="2421" spans="1:59" s="9" customFormat="1">
      <c r="A2421" s="8" t="s">
        <v>1428</v>
      </c>
      <c r="B2421" s="8" t="s">
        <v>1427</v>
      </c>
      <c r="C2421" s="9">
        <v>0</v>
      </c>
      <c r="D2421" s="9">
        <v>0</v>
      </c>
      <c r="E2421" s="9">
        <v>0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R2421" s="9">
        <v>0</v>
      </c>
      <c r="S2421" s="9">
        <v>1</v>
      </c>
      <c r="T2421" s="9">
        <v>1</v>
      </c>
      <c r="U2421" s="9">
        <v>0</v>
      </c>
      <c r="V2421" s="9">
        <v>0</v>
      </c>
      <c r="W2421" s="9">
        <v>0</v>
      </c>
      <c r="X2421" s="9">
        <v>0</v>
      </c>
      <c r="AE2421" s="9">
        <f>IFERROR(VLOOKUP($A2421,pivot!$A:$G,計算式2026!AE$1,FALSE),0)</f>
        <v>0</v>
      </c>
      <c r="AF2421" s="9">
        <f>IFERROR(VLOOKUP($A2421,pivot!$A:$I,計算式2026!AF$1,FALSE),0)</f>
        <v>0</v>
      </c>
      <c r="AI2421" s="9">
        <f>IFERROR(VLOOKUP($A2421,pivot!$A:$I,計算式2026!AI$1,FALSE),0)</f>
        <v>0</v>
      </c>
      <c r="AJ2421" s="9">
        <f>IFERROR(VLOOKUP($A2421,pivot!$A:$I,計算式2026!AJ$1,FALSE),0)</f>
        <v>0</v>
      </c>
      <c r="AK2421" s="9">
        <f>IFERROR(VLOOKUP($A2421,pivot!$A:$I,計算式2026!AK$1,FALSE),0)</f>
        <v>0</v>
      </c>
      <c r="AL2421" s="9">
        <f>IFERROR(VLOOKUP($A2421,pivot!$A:$I,計算式2026!AL$1,FALSE),0)</f>
        <v>0</v>
      </c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/>
      <c r="BC2421" s="8"/>
      <c r="BD2421" s="8"/>
      <c r="BE2421" s="8"/>
      <c r="BF2421" s="8"/>
      <c r="BG2421" s="8"/>
    </row>
    <row r="2422" spans="1:59" s="9" customFormat="1">
      <c r="A2422" s="8" t="s">
        <v>1429</v>
      </c>
      <c r="B2422" s="8" t="s">
        <v>1427</v>
      </c>
      <c r="C2422" s="9">
        <v>0</v>
      </c>
      <c r="D2422" s="9">
        <v>0</v>
      </c>
      <c r="E2422" s="9">
        <v>0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R2422" s="9">
        <v>0</v>
      </c>
      <c r="S2422" s="9">
        <v>1</v>
      </c>
      <c r="T2422" s="9">
        <v>1</v>
      </c>
      <c r="U2422" s="9">
        <v>1</v>
      </c>
      <c r="V2422" s="9">
        <v>1</v>
      </c>
      <c r="W2422" s="9">
        <v>0</v>
      </c>
      <c r="X2422" s="9">
        <v>1</v>
      </c>
      <c r="AE2422" s="9">
        <f>IFERROR(VLOOKUP($A2422,pivot!$A:$G,計算式2026!AE$1,FALSE),0)</f>
        <v>0</v>
      </c>
      <c r="AF2422" s="9">
        <f>IFERROR(VLOOKUP($A2422,pivot!$A:$I,計算式2026!AF$1,FALSE),0)</f>
        <v>0</v>
      </c>
      <c r="AI2422" s="9">
        <f>IFERROR(VLOOKUP($A2422,pivot!$A:$I,計算式2026!AI$1,FALSE),0)</f>
        <v>0</v>
      </c>
      <c r="AJ2422" s="9">
        <f>IFERROR(VLOOKUP($A2422,pivot!$A:$I,計算式2026!AJ$1,FALSE),0)</f>
        <v>0</v>
      </c>
      <c r="AK2422" s="9">
        <f>IFERROR(VLOOKUP($A2422,pivot!$A:$I,計算式2026!AK$1,FALSE),0)</f>
        <v>0</v>
      </c>
      <c r="AL2422" s="9">
        <f>IFERROR(VLOOKUP($A2422,pivot!$A:$I,計算式2026!AL$1,FALSE),0)</f>
        <v>0</v>
      </c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/>
      <c r="BC2422" s="8"/>
      <c r="BD2422" s="8"/>
      <c r="BE2422" s="8"/>
      <c r="BF2422" s="8"/>
      <c r="BG2422" s="8"/>
    </row>
    <row r="2423" spans="1:59" s="9" customFormat="1">
      <c r="A2423" s="8" t="s">
        <v>1430</v>
      </c>
      <c r="B2423" s="8" t="s">
        <v>1427</v>
      </c>
      <c r="C2423" s="9">
        <v>0</v>
      </c>
      <c r="D2423" s="9">
        <v>0</v>
      </c>
      <c r="E2423" s="9">
        <v>0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R2423" s="9">
        <v>0</v>
      </c>
      <c r="S2423" s="9">
        <v>0</v>
      </c>
      <c r="T2423" s="9">
        <v>1</v>
      </c>
      <c r="U2423" s="9">
        <v>0</v>
      </c>
      <c r="V2423" s="9">
        <v>0</v>
      </c>
      <c r="W2423" s="9">
        <v>0</v>
      </c>
      <c r="X2423" s="9">
        <v>1</v>
      </c>
      <c r="AE2423" s="9">
        <f>IFERROR(VLOOKUP($A2423,pivot!$A:$G,計算式2026!AE$1,FALSE),0)</f>
        <v>0</v>
      </c>
      <c r="AF2423" s="9">
        <f>IFERROR(VLOOKUP($A2423,pivot!$A:$I,計算式2026!AF$1,FALSE),0)</f>
        <v>0</v>
      </c>
      <c r="AI2423" s="9">
        <f>IFERROR(VLOOKUP($A2423,pivot!$A:$I,計算式2026!AI$1,FALSE),0)</f>
        <v>0</v>
      </c>
      <c r="AJ2423" s="9">
        <f>IFERROR(VLOOKUP($A2423,pivot!$A:$I,計算式2026!AJ$1,FALSE),0)</f>
        <v>0</v>
      </c>
      <c r="AK2423" s="9">
        <f>IFERROR(VLOOKUP($A2423,pivot!$A:$I,計算式2026!AK$1,FALSE),0)</f>
        <v>0</v>
      </c>
      <c r="AL2423" s="9">
        <f>IFERROR(VLOOKUP($A2423,pivot!$A:$I,計算式2026!AL$1,FALSE),0)</f>
        <v>0</v>
      </c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</row>
    <row r="2424" spans="1:59" s="9" customFormat="1">
      <c r="A2424" s="8" t="s">
        <v>1431</v>
      </c>
      <c r="B2424" s="8" t="s">
        <v>1432</v>
      </c>
      <c r="C2424" s="9">
        <v>0</v>
      </c>
      <c r="D2424" s="9">
        <v>0</v>
      </c>
      <c r="E2424" s="9">
        <v>0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R2424" s="9">
        <v>0</v>
      </c>
      <c r="S2424" s="9">
        <v>1</v>
      </c>
      <c r="T2424" s="9">
        <v>0</v>
      </c>
      <c r="U2424" s="9">
        <v>0</v>
      </c>
      <c r="V2424" s="9">
        <v>2</v>
      </c>
      <c r="W2424" s="9">
        <v>0</v>
      </c>
      <c r="X2424" s="9">
        <v>1</v>
      </c>
      <c r="AE2424" s="9">
        <f>IFERROR(VLOOKUP($A2424,pivot!$A:$G,計算式2026!AE$1,FALSE),0)</f>
        <v>0</v>
      </c>
      <c r="AF2424" s="9">
        <f>IFERROR(VLOOKUP($A2424,pivot!$A:$I,計算式2026!AF$1,FALSE),0)</f>
        <v>0</v>
      </c>
      <c r="AI2424" s="9">
        <f>IFERROR(VLOOKUP($A2424,pivot!$A:$I,計算式2026!AI$1,FALSE),0)</f>
        <v>0</v>
      </c>
      <c r="AJ2424" s="9">
        <f>IFERROR(VLOOKUP($A2424,pivot!$A:$I,計算式2026!AJ$1,FALSE),0)</f>
        <v>0</v>
      </c>
      <c r="AK2424" s="9">
        <f>IFERROR(VLOOKUP($A2424,pivot!$A:$I,計算式2026!AK$1,FALSE),0)</f>
        <v>0</v>
      </c>
      <c r="AL2424" s="9">
        <f>IFERROR(VLOOKUP($A2424,pivot!$A:$I,計算式2026!AL$1,FALSE),0)</f>
        <v>0</v>
      </c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8"/>
      <c r="BG2424" s="8"/>
    </row>
    <row r="2425" spans="1:59" s="9" customFormat="1">
      <c r="A2425" s="8" t="s">
        <v>1433</v>
      </c>
      <c r="B2425" s="8" t="s">
        <v>1432</v>
      </c>
      <c r="C2425" s="9">
        <v>0</v>
      </c>
      <c r="D2425" s="9">
        <v>0</v>
      </c>
      <c r="E2425" s="9">
        <v>0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1</v>
      </c>
      <c r="AE2425" s="9">
        <f>IFERROR(VLOOKUP($A2425,pivot!$A:$G,計算式2026!AE$1,FALSE),0)</f>
        <v>0</v>
      </c>
      <c r="AF2425" s="9">
        <f>IFERROR(VLOOKUP($A2425,pivot!$A:$I,計算式2026!AF$1,FALSE),0)</f>
        <v>0</v>
      </c>
      <c r="AI2425" s="9">
        <f>IFERROR(VLOOKUP($A2425,pivot!$A:$I,計算式2026!AI$1,FALSE),0)</f>
        <v>0</v>
      </c>
      <c r="AJ2425" s="9">
        <f>IFERROR(VLOOKUP($A2425,pivot!$A:$I,計算式2026!AJ$1,FALSE),0)</f>
        <v>0</v>
      </c>
      <c r="AK2425" s="9">
        <f>IFERROR(VLOOKUP($A2425,pivot!$A:$I,計算式2026!AK$1,FALSE),0)</f>
        <v>0</v>
      </c>
      <c r="AL2425" s="9">
        <f>IFERROR(VLOOKUP($A2425,pivot!$A:$I,計算式2026!AL$1,FALSE),0)</f>
        <v>0</v>
      </c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</row>
    <row r="2426" spans="1:59" s="9" customFormat="1">
      <c r="A2426" s="8" t="s">
        <v>1434</v>
      </c>
      <c r="B2426" s="8" t="s">
        <v>1432</v>
      </c>
      <c r="C2426" s="9">
        <v>0</v>
      </c>
      <c r="D2426" s="9">
        <v>0</v>
      </c>
      <c r="E2426" s="9">
        <v>0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9">
        <v>0</v>
      </c>
      <c r="R2426" s="9">
        <v>1</v>
      </c>
      <c r="S2426" s="9">
        <v>1</v>
      </c>
      <c r="T2426" s="9">
        <v>0</v>
      </c>
      <c r="U2426" s="9">
        <v>0</v>
      </c>
      <c r="V2426" s="9">
        <v>2</v>
      </c>
      <c r="W2426" s="9">
        <v>0</v>
      </c>
      <c r="X2426" s="9">
        <v>1</v>
      </c>
      <c r="AE2426" s="9">
        <f>IFERROR(VLOOKUP($A2426,pivot!$A:$G,計算式2026!AE$1,FALSE),0)</f>
        <v>0</v>
      </c>
      <c r="AF2426" s="9">
        <f>IFERROR(VLOOKUP($A2426,pivot!$A:$I,計算式2026!AF$1,FALSE),0)</f>
        <v>0</v>
      </c>
      <c r="AI2426" s="9">
        <f>IFERROR(VLOOKUP($A2426,pivot!$A:$I,計算式2026!AI$1,FALSE),0)</f>
        <v>0</v>
      </c>
      <c r="AJ2426" s="9">
        <f>IFERROR(VLOOKUP($A2426,pivot!$A:$I,計算式2026!AJ$1,FALSE),0)</f>
        <v>0</v>
      </c>
      <c r="AK2426" s="9">
        <f>IFERROR(VLOOKUP($A2426,pivot!$A:$I,計算式2026!AK$1,FALSE),0)</f>
        <v>0</v>
      </c>
      <c r="AL2426" s="9">
        <f>IFERROR(VLOOKUP($A2426,pivot!$A:$I,計算式2026!AL$1,FALSE),0)</f>
        <v>0</v>
      </c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8"/>
      <c r="BG2426" s="8"/>
    </row>
    <row r="2427" spans="1:59" s="9" customFormat="1">
      <c r="A2427" s="8" t="s">
        <v>1435</v>
      </c>
      <c r="B2427" s="8" t="s">
        <v>1432</v>
      </c>
      <c r="C2427" s="9">
        <v>0</v>
      </c>
      <c r="D2427" s="9">
        <v>0</v>
      </c>
      <c r="E2427" s="9">
        <v>0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R2427" s="9">
        <v>1</v>
      </c>
      <c r="S2427" s="9">
        <v>1</v>
      </c>
      <c r="T2427" s="9">
        <v>0</v>
      </c>
      <c r="U2427" s="9">
        <v>0</v>
      </c>
      <c r="V2427" s="9">
        <v>0</v>
      </c>
      <c r="W2427" s="9">
        <v>0</v>
      </c>
      <c r="X2427" s="9">
        <v>1</v>
      </c>
      <c r="AE2427" s="9">
        <f>IFERROR(VLOOKUP($A2427,pivot!$A:$G,計算式2026!AE$1,FALSE),0)</f>
        <v>0</v>
      </c>
      <c r="AF2427" s="9">
        <f>IFERROR(VLOOKUP($A2427,pivot!$A:$I,計算式2026!AF$1,FALSE),0)</f>
        <v>0</v>
      </c>
      <c r="AI2427" s="9">
        <f>IFERROR(VLOOKUP($A2427,pivot!$A:$I,計算式2026!AI$1,FALSE),0)</f>
        <v>0</v>
      </c>
      <c r="AJ2427" s="9">
        <f>IFERROR(VLOOKUP($A2427,pivot!$A:$I,計算式2026!AJ$1,FALSE),0)</f>
        <v>0</v>
      </c>
      <c r="AK2427" s="9">
        <f>IFERROR(VLOOKUP($A2427,pivot!$A:$I,計算式2026!AK$1,FALSE),0)</f>
        <v>0</v>
      </c>
      <c r="AL2427" s="9">
        <f>IFERROR(VLOOKUP($A2427,pivot!$A:$I,計算式2026!AL$1,FALSE),0)</f>
        <v>0</v>
      </c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</row>
    <row r="2428" spans="1:59" s="9" customFormat="1">
      <c r="A2428" s="8">
        <v>8990602534</v>
      </c>
      <c r="B2428" s="8" t="s">
        <v>1436</v>
      </c>
      <c r="C2428" s="9">
        <v>0</v>
      </c>
      <c r="D2428" s="9">
        <v>0</v>
      </c>
      <c r="E2428" s="9">
        <v>0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R2428" s="9">
        <v>0</v>
      </c>
      <c r="S2428" s="9">
        <v>1</v>
      </c>
      <c r="T2428" s="9">
        <v>1</v>
      </c>
      <c r="U2428" s="9">
        <v>0</v>
      </c>
      <c r="V2428" s="9">
        <v>1</v>
      </c>
      <c r="W2428" s="9">
        <v>0</v>
      </c>
      <c r="X2428" s="9">
        <v>0</v>
      </c>
      <c r="AE2428" s="9">
        <f>IFERROR(VLOOKUP($A2428,pivot!$A:$G,計算式2026!AE$1,FALSE),0)</f>
        <v>0</v>
      </c>
      <c r="AF2428" s="9">
        <f>IFERROR(VLOOKUP($A2428,pivot!$A:$I,計算式2026!AF$1,FALSE),0)</f>
        <v>0</v>
      </c>
      <c r="AI2428" s="9">
        <f>IFERROR(VLOOKUP($A2428,pivot!$A:$I,計算式2026!AI$1,FALSE),0)</f>
        <v>0</v>
      </c>
      <c r="AJ2428" s="9">
        <f>IFERROR(VLOOKUP($A2428,pivot!$A:$I,計算式2026!AJ$1,FALSE),0)</f>
        <v>0</v>
      </c>
      <c r="AK2428" s="9">
        <f>IFERROR(VLOOKUP($A2428,pivot!$A:$I,計算式2026!AK$1,FALSE),0)</f>
        <v>0</v>
      </c>
      <c r="AL2428" s="9">
        <f>IFERROR(VLOOKUP($A2428,pivot!$A:$I,計算式2026!AL$1,FALSE),0)</f>
        <v>0</v>
      </c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/>
      <c r="BC2428" s="8"/>
      <c r="BD2428" s="8"/>
      <c r="BE2428" s="8"/>
      <c r="BF2428" s="8"/>
      <c r="BG2428" s="8"/>
    </row>
    <row r="2429" spans="1:59" s="9" customFormat="1">
      <c r="A2429" s="8">
        <v>8990602536</v>
      </c>
      <c r="B2429" s="8" t="s">
        <v>1436</v>
      </c>
      <c r="C2429" s="9">
        <v>3</v>
      </c>
      <c r="D2429" s="9">
        <v>0</v>
      </c>
      <c r="E2429" s="9">
        <v>0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R2429" s="9">
        <v>0</v>
      </c>
      <c r="S2429" s="9">
        <v>2</v>
      </c>
      <c r="T2429" s="9">
        <v>2</v>
      </c>
      <c r="U2429" s="9">
        <v>0</v>
      </c>
      <c r="V2429" s="9">
        <v>2</v>
      </c>
      <c r="W2429" s="9">
        <v>0</v>
      </c>
      <c r="X2429" s="9">
        <v>2</v>
      </c>
      <c r="AE2429" s="9">
        <f>IFERROR(VLOOKUP($A2429,pivot!$A:$G,計算式2026!AE$1,FALSE),0)</f>
        <v>0</v>
      </c>
      <c r="AF2429" s="9">
        <f>IFERROR(VLOOKUP($A2429,pivot!$A:$I,計算式2026!AF$1,FALSE),0)</f>
        <v>0</v>
      </c>
      <c r="AI2429" s="9">
        <f>IFERROR(VLOOKUP($A2429,pivot!$A:$I,計算式2026!AI$1,FALSE),0)</f>
        <v>0</v>
      </c>
      <c r="AJ2429" s="9">
        <f>IFERROR(VLOOKUP($A2429,pivot!$A:$I,計算式2026!AJ$1,FALSE),0)</f>
        <v>0</v>
      </c>
      <c r="AK2429" s="9">
        <f>IFERROR(VLOOKUP($A2429,pivot!$A:$I,計算式2026!AK$1,FALSE),0)</f>
        <v>0</v>
      </c>
      <c r="AL2429" s="9">
        <f>IFERROR(VLOOKUP($A2429,pivot!$A:$I,計算式2026!AL$1,FALSE),0)</f>
        <v>0</v>
      </c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8"/>
      <c r="BG2429" s="8"/>
    </row>
    <row r="2430" spans="1:59" s="9" customFormat="1">
      <c r="A2430" s="8">
        <v>8990602538</v>
      </c>
      <c r="B2430" s="8" t="s">
        <v>1436</v>
      </c>
      <c r="C2430" s="9">
        <v>0</v>
      </c>
      <c r="D2430" s="9">
        <v>0</v>
      </c>
      <c r="E2430" s="9">
        <v>0</v>
      </c>
      <c r="F2430" s="9">
        <v>0</v>
      </c>
      <c r="G2430" s="9">
        <v>0</v>
      </c>
      <c r="H2430" s="9">
        <v>0</v>
      </c>
      <c r="I2430" s="9">
        <v>0</v>
      </c>
      <c r="J2430" s="9">
        <v>0</v>
      </c>
      <c r="K2430" s="9">
        <v>0</v>
      </c>
      <c r="R2430" s="9">
        <v>0</v>
      </c>
      <c r="S2430" s="9">
        <v>2</v>
      </c>
      <c r="T2430" s="9">
        <v>2</v>
      </c>
      <c r="U2430" s="9">
        <v>0</v>
      </c>
      <c r="V2430" s="9">
        <v>2</v>
      </c>
      <c r="W2430" s="9">
        <v>0</v>
      </c>
      <c r="X2430" s="9">
        <v>1</v>
      </c>
      <c r="AE2430" s="9">
        <f>IFERROR(VLOOKUP($A2430,pivot!$A:$G,計算式2026!AE$1,FALSE),0)</f>
        <v>0</v>
      </c>
      <c r="AF2430" s="9">
        <f>IFERROR(VLOOKUP($A2430,pivot!$A:$I,計算式2026!AF$1,FALSE),0)</f>
        <v>0</v>
      </c>
      <c r="AI2430" s="9">
        <f>IFERROR(VLOOKUP($A2430,pivot!$A:$I,計算式2026!AI$1,FALSE),0)</f>
        <v>0</v>
      </c>
      <c r="AJ2430" s="9">
        <f>IFERROR(VLOOKUP($A2430,pivot!$A:$I,計算式2026!AJ$1,FALSE),0)</f>
        <v>0</v>
      </c>
      <c r="AK2430" s="9">
        <f>IFERROR(VLOOKUP($A2430,pivot!$A:$I,計算式2026!AK$1,FALSE),0)</f>
        <v>0</v>
      </c>
      <c r="AL2430" s="9">
        <f>IFERROR(VLOOKUP($A2430,pivot!$A:$I,計算式2026!AL$1,FALSE),0)</f>
        <v>0</v>
      </c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</row>
    <row r="2431" spans="1:59" s="9" customFormat="1">
      <c r="A2431" s="8">
        <v>8990616634</v>
      </c>
      <c r="B2431" s="8" t="s">
        <v>1436</v>
      </c>
      <c r="C2431" s="9">
        <v>4</v>
      </c>
      <c r="D2431" s="9">
        <v>0</v>
      </c>
      <c r="E2431" s="9">
        <v>0</v>
      </c>
      <c r="F2431" s="9">
        <v>0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R2431" s="9">
        <v>0</v>
      </c>
      <c r="S2431" s="9">
        <v>2</v>
      </c>
      <c r="T2431" s="9">
        <v>1</v>
      </c>
      <c r="U2431" s="9">
        <v>0</v>
      </c>
      <c r="V2431" s="9">
        <v>2</v>
      </c>
      <c r="W2431" s="9">
        <v>0</v>
      </c>
      <c r="X2431" s="9">
        <v>1</v>
      </c>
      <c r="AE2431" s="9">
        <f>IFERROR(VLOOKUP($A2431,pivot!$A:$G,計算式2026!AE$1,FALSE),0)</f>
        <v>0</v>
      </c>
      <c r="AF2431" s="9">
        <f>IFERROR(VLOOKUP($A2431,pivot!$A:$I,計算式2026!AF$1,FALSE),0)</f>
        <v>0</v>
      </c>
      <c r="AI2431" s="9">
        <f>IFERROR(VLOOKUP($A2431,pivot!$A:$I,計算式2026!AI$1,FALSE),0)</f>
        <v>0</v>
      </c>
      <c r="AJ2431" s="9">
        <f>IFERROR(VLOOKUP($A2431,pivot!$A:$I,計算式2026!AJ$1,FALSE),0)</f>
        <v>0</v>
      </c>
      <c r="AK2431" s="9">
        <f>IFERROR(VLOOKUP($A2431,pivot!$A:$I,計算式2026!AK$1,FALSE),0)</f>
        <v>0</v>
      </c>
      <c r="AL2431" s="9">
        <f>IFERROR(VLOOKUP($A2431,pivot!$A:$I,計算式2026!AL$1,FALSE),0)</f>
        <v>0</v>
      </c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</row>
    <row r="2432" spans="1:59" s="9" customFormat="1">
      <c r="A2432" s="8">
        <v>8990616636</v>
      </c>
      <c r="B2432" s="8" t="s">
        <v>1436</v>
      </c>
      <c r="C2432" s="9">
        <v>0</v>
      </c>
      <c r="D2432" s="9">
        <v>0</v>
      </c>
      <c r="E2432" s="9">
        <v>0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R2432" s="9">
        <v>0</v>
      </c>
      <c r="S2432" s="9">
        <v>2</v>
      </c>
      <c r="T2432" s="9">
        <v>1</v>
      </c>
      <c r="U2432" s="9">
        <v>0</v>
      </c>
      <c r="V2432" s="9">
        <v>1</v>
      </c>
      <c r="W2432" s="9">
        <v>0</v>
      </c>
      <c r="X2432" s="9">
        <v>1</v>
      </c>
      <c r="AE2432" s="9">
        <f>IFERROR(VLOOKUP($A2432,pivot!$A:$G,計算式2026!AE$1,FALSE),0)</f>
        <v>0</v>
      </c>
      <c r="AF2432" s="9">
        <f>IFERROR(VLOOKUP($A2432,pivot!$A:$I,計算式2026!AF$1,FALSE),0)</f>
        <v>0</v>
      </c>
      <c r="AI2432" s="9">
        <f>IFERROR(VLOOKUP($A2432,pivot!$A:$I,計算式2026!AI$1,FALSE),0)</f>
        <v>0</v>
      </c>
      <c r="AJ2432" s="9">
        <f>IFERROR(VLOOKUP($A2432,pivot!$A:$I,計算式2026!AJ$1,FALSE),0)</f>
        <v>0</v>
      </c>
      <c r="AK2432" s="9">
        <f>IFERROR(VLOOKUP($A2432,pivot!$A:$I,計算式2026!AK$1,FALSE),0)</f>
        <v>0</v>
      </c>
      <c r="AL2432" s="9">
        <f>IFERROR(VLOOKUP($A2432,pivot!$A:$I,計算式2026!AL$1,FALSE),0)</f>
        <v>0</v>
      </c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8"/>
      <c r="BG2432" s="8"/>
    </row>
    <row r="2433" spans="1:59" s="9" customFormat="1">
      <c r="A2433" s="8">
        <v>8990657536</v>
      </c>
      <c r="B2433" s="8" t="s">
        <v>1436</v>
      </c>
      <c r="C2433" s="9">
        <v>0</v>
      </c>
      <c r="D2433" s="9">
        <v>0</v>
      </c>
      <c r="E2433" s="9">
        <v>0</v>
      </c>
      <c r="F2433" s="9">
        <v>0</v>
      </c>
      <c r="G2433" s="9">
        <v>0</v>
      </c>
      <c r="H2433" s="9">
        <v>0</v>
      </c>
      <c r="I2433" s="9">
        <v>0</v>
      </c>
      <c r="J2433" s="9">
        <v>0</v>
      </c>
      <c r="K2433" s="9">
        <v>0</v>
      </c>
      <c r="R2433" s="9">
        <v>0</v>
      </c>
      <c r="S2433" s="9">
        <v>2</v>
      </c>
      <c r="T2433" s="9">
        <v>2</v>
      </c>
      <c r="U2433" s="9">
        <v>0</v>
      </c>
      <c r="V2433" s="9">
        <v>2</v>
      </c>
      <c r="W2433" s="9">
        <v>0</v>
      </c>
      <c r="X2433" s="9">
        <v>1</v>
      </c>
      <c r="AE2433" s="9">
        <f>IFERROR(VLOOKUP($A2433,pivot!$A:$G,計算式2026!AE$1,FALSE),0)</f>
        <v>0</v>
      </c>
      <c r="AF2433" s="9">
        <f>IFERROR(VLOOKUP($A2433,pivot!$A:$I,計算式2026!AF$1,FALSE),0)</f>
        <v>0</v>
      </c>
      <c r="AI2433" s="9">
        <f>IFERROR(VLOOKUP($A2433,pivot!$A:$I,計算式2026!AI$1,FALSE),0)</f>
        <v>0</v>
      </c>
      <c r="AJ2433" s="9">
        <f>IFERROR(VLOOKUP($A2433,pivot!$A:$I,計算式2026!AJ$1,FALSE),0)</f>
        <v>0</v>
      </c>
      <c r="AK2433" s="9">
        <f>IFERROR(VLOOKUP($A2433,pivot!$A:$I,計算式2026!AK$1,FALSE),0)</f>
        <v>0</v>
      </c>
      <c r="AL2433" s="9">
        <f>IFERROR(VLOOKUP($A2433,pivot!$A:$I,計算式2026!AL$1,FALSE),0)</f>
        <v>0</v>
      </c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</row>
    <row r="2434" spans="1:59" s="9" customFormat="1">
      <c r="A2434" s="8">
        <v>8990657538</v>
      </c>
      <c r="B2434" s="8" t="s">
        <v>1436</v>
      </c>
      <c r="C2434" s="9">
        <v>3</v>
      </c>
      <c r="D2434" s="9">
        <v>0</v>
      </c>
      <c r="E2434" s="9">
        <v>0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R2434" s="9">
        <v>0</v>
      </c>
      <c r="S2434" s="9">
        <v>2</v>
      </c>
      <c r="T2434" s="9">
        <v>2</v>
      </c>
      <c r="U2434" s="9">
        <v>0</v>
      </c>
      <c r="V2434" s="9">
        <v>2</v>
      </c>
      <c r="W2434" s="9">
        <v>0</v>
      </c>
      <c r="X2434" s="9">
        <v>1</v>
      </c>
      <c r="AE2434" s="9">
        <f>IFERROR(VLOOKUP($A2434,pivot!$A:$G,計算式2026!AE$1,FALSE),0)</f>
        <v>0</v>
      </c>
      <c r="AF2434" s="9">
        <f>IFERROR(VLOOKUP($A2434,pivot!$A:$I,計算式2026!AF$1,FALSE),0)</f>
        <v>0</v>
      </c>
      <c r="AI2434" s="9">
        <f>IFERROR(VLOOKUP($A2434,pivot!$A:$I,計算式2026!AI$1,FALSE),0)</f>
        <v>0</v>
      </c>
      <c r="AJ2434" s="9">
        <f>IFERROR(VLOOKUP($A2434,pivot!$A:$I,計算式2026!AJ$1,FALSE),0)</f>
        <v>0</v>
      </c>
      <c r="AK2434" s="9">
        <f>IFERROR(VLOOKUP($A2434,pivot!$A:$I,計算式2026!AK$1,FALSE),0)</f>
        <v>0</v>
      </c>
      <c r="AL2434" s="9">
        <f>IFERROR(VLOOKUP($A2434,pivot!$A:$I,計算式2026!AL$1,FALSE),0)</f>
        <v>0</v>
      </c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8"/>
      <c r="BG2434" s="8"/>
    </row>
    <row r="2435" spans="1:59" s="9" customFormat="1">
      <c r="A2435" s="8" t="s">
        <v>2557</v>
      </c>
      <c r="B2435" s="8" t="s">
        <v>1437</v>
      </c>
      <c r="C2435" s="9">
        <v>6</v>
      </c>
      <c r="D2435" s="9">
        <v>0</v>
      </c>
      <c r="E2435" s="9">
        <v>0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R2435" s="9">
        <v>0</v>
      </c>
      <c r="S2435" s="9">
        <v>0</v>
      </c>
      <c r="T2435" s="9">
        <v>1</v>
      </c>
      <c r="U2435" s="9">
        <v>0</v>
      </c>
      <c r="V2435" s="9">
        <v>0</v>
      </c>
      <c r="W2435" s="9">
        <v>0</v>
      </c>
      <c r="X2435" s="9">
        <v>1</v>
      </c>
      <c r="AE2435" s="9">
        <f>IFERROR(VLOOKUP($A2435,pivot!$A:$G,計算式2026!AE$1,FALSE),0)</f>
        <v>0</v>
      </c>
      <c r="AF2435" s="9">
        <f>IFERROR(VLOOKUP($A2435,pivot!$A:$I,計算式2026!AF$1,FALSE),0)</f>
        <v>0</v>
      </c>
      <c r="AI2435" s="9">
        <f>IFERROR(VLOOKUP($A2435,pivot!$A:$I,計算式2026!AI$1,FALSE),0)</f>
        <v>0</v>
      </c>
      <c r="AJ2435" s="9">
        <f>IFERROR(VLOOKUP($A2435,pivot!$A:$I,計算式2026!AJ$1,FALSE),0)</f>
        <v>0</v>
      </c>
      <c r="AK2435" s="9">
        <f>IFERROR(VLOOKUP($A2435,pivot!$A:$I,計算式2026!AK$1,FALSE),0)</f>
        <v>0</v>
      </c>
      <c r="AL2435" s="9">
        <f>IFERROR(VLOOKUP($A2435,pivot!$A:$I,計算式2026!AL$1,FALSE),0)</f>
        <v>0</v>
      </c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</row>
    <row r="2436" spans="1:59" s="9" customFormat="1">
      <c r="A2436" s="8" t="s">
        <v>2558</v>
      </c>
      <c r="B2436" s="8" t="s">
        <v>1437</v>
      </c>
      <c r="C2436" s="9">
        <v>7</v>
      </c>
      <c r="D2436" s="9">
        <v>0</v>
      </c>
      <c r="E2436" s="9">
        <v>0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R2436" s="9">
        <v>0</v>
      </c>
      <c r="S2436" s="9">
        <v>0</v>
      </c>
      <c r="T2436" s="9">
        <v>1</v>
      </c>
      <c r="U2436" s="9">
        <v>0</v>
      </c>
      <c r="V2436" s="9">
        <v>0</v>
      </c>
      <c r="W2436" s="9">
        <v>0</v>
      </c>
      <c r="X2436" s="9">
        <v>1</v>
      </c>
      <c r="AE2436" s="9">
        <f>IFERROR(VLOOKUP($A2436,pivot!$A:$G,計算式2026!AE$1,FALSE),0)</f>
        <v>0</v>
      </c>
      <c r="AF2436" s="9">
        <f>IFERROR(VLOOKUP($A2436,pivot!$A:$I,計算式2026!AF$1,FALSE),0)</f>
        <v>0</v>
      </c>
      <c r="AI2436" s="9">
        <f>IFERROR(VLOOKUP($A2436,pivot!$A:$I,計算式2026!AI$1,FALSE),0)</f>
        <v>0</v>
      </c>
      <c r="AJ2436" s="9">
        <f>IFERROR(VLOOKUP($A2436,pivot!$A:$I,計算式2026!AJ$1,FALSE),0)</f>
        <v>0</v>
      </c>
      <c r="AK2436" s="9">
        <f>IFERROR(VLOOKUP($A2436,pivot!$A:$I,計算式2026!AK$1,FALSE),0)</f>
        <v>0</v>
      </c>
      <c r="AL2436" s="9">
        <f>IFERROR(VLOOKUP($A2436,pivot!$A:$I,計算式2026!AL$1,FALSE),0)</f>
        <v>0</v>
      </c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</row>
    <row r="2437" spans="1:59" s="9" customFormat="1">
      <c r="A2437" s="8" t="s">
        <v>1777</v>
      </c>
      <c r="B2437" s="8" t="s">
        <v>1437</v>
      </c>
      <c r="C2437" s="9">
        <v>0</v>
      </c>
      <c r="D2437" s="9">
        <v>0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1</v>
      </c>
      <c r="AE2437" s="9">
        <f>IFERROR(VLOOKUP($A2437,pivot!$A:$G,計算式2026!AE$1,FALSE),0)</f>
        <v>0</v>
      </c>
      <c r="AF2437" s="9">
        <f>IFERROR(VLOOKUP($A2437,pivot!$A:$I,計算式2026!AF$1,FALSE),0)</f>
        <v>0</v>
      </c>
      <c r="AI2437" s="9">
        <f>IFERROR(VLOOKUP($A2437,pivot!$A:$I,計算式2026!AI$1,FALSE),0)</f>
        <v>0</v>
      </c>
      <c r="AJ2437" s="9">
        <f>IFERROR(VLOOKUP($A2437,pivot!$A:$I,計算式2026!AJ$1,FALSE),0)</f>
        <v>0</v>
      </c>
      <c r="AK2437" s="9">
        <f>IFERROR(VLOOKUP($A2437,pivot!$A:$I,計算式2026!AK$1,FALSE),0)</f>
        <v>0</v>
      </c>
      <c r="AL2437" s="9">
        <f>IFERROR(VLOOKUP($A2437,pivot!$A:$I,計算式2026!AL$1,FALSE),0)</f>
        <v>0</v>
      </c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</row>
    <row r="2438" spans="1:59" s="9" customFormat="1">
      <c r="A2438" s="8" t="s">
        <v>1778</v>
      </c>
      <c r="B2438" s="8" t="s">
        <v>1437</v>
      </c>
      <c r="C2438" s="9">
        <v>0</v>
      </c>
      <c r="D2438" s="9">
        <v>0</v>
      </c>
      <c r="E2438" s="9">
        <v>0</v>
      </c>
      <c r="F2438" s="9">
        <v>0</v>
      </c>
      <c r="G2438" s="9">
        <v>0</v>
      </c>
      <c r="H2438" s="9">
        <v>0</v>
      </c>
      <c r="I2438" s="9">
        <v>0</v>
      </c>
      <c r="J2438" s="9">
        <v>0</v>
      </c>
      <c r="K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1</v>
      </c>
      <c r="AE2438" s="9">
        <f>IFERROR(VLOOKUP($A2438,pivot!$A:$G,計算式2026!AE$1,FALSE),0)</f>
        <v>0</v>
      </c>
      <c r="AF2438" s="9">
        <f>IFERROR(VLOOKUP($A2438,pivot!$A:$I,計算式2026!AF$1,FALSE),0)</f>
        <v>0</v>
      </c>
      <c r="AI2438" s="9">
        <f>IFERROR(VLOOKUP($A2438,pivot!$A:$I,計算式2026!AI$1,FALSE),0)</f>
        <v>0</v>
      </c>
      <c r="AJ2438" s="9">
        <f>IFERROR(VLOOKUP($A2438,pivot!$A:$I,計算式2026!AJ$1,FALSE),0)</f>
        <v>0</v>
      </c>
      <c r="AK2438" s="9">
        <f>IFERROR(VLOOKUP($A2438,pivot!$A:$I,計算式2026!AK$1,FALSE),0)</f>
        <v>0</v>
      </c>
      <c r="AL2438" s="9">
        <f>IFERROR(VLOOKUP($A2438,pivot!$A:$I,計算式2026!AL$1,FALSE),0)</f>
        <v>0</v>
      </c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/>
      <c r="BC2438" s="8"/>
      <c r="BD2438" s="8"/>
      <c r="BE2438" s="8"/>
      <c r="BF2438" s="8"/>
      <c r="BG2438" s="8"/>
    </row>
    <row r="2439" spans="1:59" s="9" customFormat="1">
      <c r="A2439" s="8" t="s">
        <v>1438</v>
      </c>
      <c r="B2439" s="8" t="s">
        <v>1439</v>
      </c>
      <c r="C2439" s="9">
        <v>2</v>
      </c>
      <c r="D2439" s="9">
        <v>0</v>
      </c>
      <c r="E2439" s="9">
        <v>0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1</v>
      </c>
      <c r="AE2439" s="9">
        <f>IFERROR(VLOOKUP($A2439,pivot!$A:$G,計算式2026!AE$1,FALSE),0)</f>
        <v>0</v>
      </c>
      <c r="AF2439" s="9">
        <f>IFERROR(VLOOKUP($A2439,pivot!$A:$I,計算式2026!AF$1,FALSE),0)</f>
        <v>0</v>
      </c>
      <c r="AI2439" s="9">
        <f>IFERROR(VLOOKUP($A2439,pivot!$A:$I,計算式2026!AI$1,FALSE),0)</f>
        <v>0</v>
      </c>
      <c r="AJ2439" s="9">
        <f>IFERROR(VLOOKUP($A2439,pivot!$A:$I,計算式2026!AJ$1,FALSE),0)</f>
        <v>0</v>
      </c>
      <c r="AK2439" s="9">
        <f>IFERROR(VLOOKUP($A2439,pivot!$A:$I,計算式2026!AK$1,FALSE),0)</f>
        <v>0</v>
      </c>
      <c r="AL2439" s="9">
        <f>IFERROR(VLOOKUP($A2439,pivot!$A:$I,計算式2026!AL$1,FALSE),0)</f>
        <v>0</v>
      </c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</row>
    <row r="2440" spans="1:59" s="9" customFormat="1">
      <c r="A2440" s="8" t="s">
        <v>1440</v>
      </c>
      <c r="B2440" s="8" t="s">
        <v>1439</v>
      </c>
      <c r="C2440" s="9">
        <v>0</v>
      </c>
      <c r="D2440" s="9">
        <v>0</v>
      </c>
      <c r="E2440" s="9">
        <v>0</v>
      </c>
      <c r="F2440" s="9">
        <v>0</v>
      </c>
      <c r="G2440" s="9">
        <v>0</v>
      </c>
      <c r="H2440" s="9">
        <v>0</v>
      </c>
      <c r="I2440" s="9">
        <v>0</v>
      </c>
      <c r="J2440" s="9">
        <v>0</v>
      </c>
      <c r="K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1</v>
      </c>
      <c r="AE2440" s="9">
        <f>IFERROR(VLOOKUP($A2440,pivot!$A:$G,計算式2026!AE$1,FALSE),0)</f>
        <v>0</v>
      </c>
      <c r="AF2440" s="9">
        <f>IFERROR(VLOOKUP($A2440,pivot!$A:$I,計算式2026!AF$1,FALSE),0)</f>
        <v>0</v>
      </c>
      <c r="AI2440" s="9">
        <f>IFERROR(VLOOKUP($A2440,pivot!$A:$I,計算式2026!AI$1,FALSE),0)</f>
        <v>0</v>
      </c>
      <c r="AJ2440" s="9">
        <f>IFERROR(VLOOKUP($A2440,pivot!$A:$I,計算式2026!AJ$1,FALSE),0)</f>
        <v>0</v>
      </c>
      <c r="AK2440" s="9">
        <f>IFERROR(VLOOKUP($A2440,pivot!$A:$I,計算式2026!AK$1,FALSE),0)</f>
        <v>0</v>
      </c>
      <c r="AL2440" s="9">
        <f>IFERROR(VLOOKUP($A2440,pivot!$A:$I,計算式2026!AL$1,FALSE),0)</f>
        <v>0</v>
      </c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8"/>
      <c r="BG2440" s="8"/>
    </row>
    <row r="2441" spans="1:59" s="9" customFormat="1">
      <c r="A2441" s="8" t="s">
        <v>1441</v>
      </c>
      <c r="B2441" s="8" t="s">
        <v>1442</v>
      </c>
      <c r="C2441" s="9">
        <v>0</v>
      </c>
      <c r="D2441" s="9">
        <v>0</v>
      </c>
      <c r="E2441" s="9">
        <v>0</v>
      </c>
      <c r="F2441" s="9">
        <v>0</v>
      </c>
      <c r="G2441" s="9">
        <v>0</v>
      </c>
      <c r="H2441" s="9">
        <v>0</v>
      </c>
      <c r="I2441" s="9">
        <v>0</v>
      </c>
      <c r="J2441" s="9">
        <v>0</v>
      </c>
      <c r="K2441" s="9">
        <v>0</v>
      </c>
      <c r="R2441" s="9">
        <v>1</v>
      </c>
      <c r="S2441" s="9">
        <v>0</v>
      </c>
      <c r="T2441" s="9">
        <v>0</v>
      </c>
      <c r="U2441" s="9">
        <v>1</v>
      </c>
      <c r="V2441" s="9">
        <v>1</v>
      </c>
      <c r="W2441" s="9">
        <v>0</v>
      </c>
      <c r="X2441" s="9">
        <v>1</v>
      </c>
      <c r="AE2441" s="9">
        <f>IFERROR(VLOOKUP($A2441,pivot!$A:$G,計算式2026!AE$1,FALSE),0)</f>
        <v>0</v>
      </c>
      <c r="AF2441" s="9">
        <f>IFERROR(VLOOKUP($A2441,pivot!$A:$I,計算式2026!AF$1,FALSE),0)</f>
        <v>0</v>
      </c>
      <c r="AI2441" s="9">
        <f>IFERROR(VLOOKUP($A2441,pivot!$A:$I,計算式2026!AI$1,FALSE),0)</f>
        <v>0</v>
      </c>
      <c r="AJ2441" s="9">
        <f>IFERROR(VLOOKUP($A2441,pivot!$A:$I,計算式2026!AJ$1,FALSE),0)</f>
        <v>0</v>
      </c>
      <c r="AK2441" s="9">
        <f>IFERROR(VLOOKUP($A2441,pivot!$A:$I,計算式2026!AK$1,FALSE),0)</f>
        <v>0</v>
      </c>
      <c r="AL2441" s="9">
        <f>IFERROR(VLOOKUP($A2441,pivot!$A:$I,計算式2026!AL$1,FALSE),0)</f>
        <v>0</v>
      </c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</row>
    <row r="2442" spans="1:59" s="9" customFormat="1">
      <c r="A2442" s="8" t="s">
        <v>1443</v>
      </c>
      <c r="B2442" s="8" t="s">
        <v>1442</v>
      </c>
      <c r="C2442" s="9">
        <v>0</v>
      </c>
      <c r="D2442" s="9">
        <v>0</v>
      </c>
      <c r="E2442" s="9">
        <v>0</v>
      </c>
      <c r="F2442" s="9">
        <v>0</v>
      </c>
      <c r="G2442" s="9">
        <v>0</v>
      </c>
      <c r="H2442" s="9">
        <v>0</v>
      </c>
      <c r="I2442" s="9">
        <v>0</v>
      </c>
      <c r="J2442" s="9">
        <v>0</v>
      </c>
      <c r="K2442" s="9">
        <v>0</v>
      </c>
      <c r="R2442" s="9">
        <v>1</v>
      </c>
      <c r="S2442" s="9">
        <v>0</v>
      </c>
      <c r="T2442" s="9">
        <v>2</v>
      </c>
      <c r="U2442" s="9">
        <v>1</v>
      </c>
      <c r="V2442" s="9">
        <v>0</v>
      </c>
      <c r="W2442" s="9">
        <v>0</v>
      </c>
      <c r="X2442" s="9">
        <v>1</v>
      </c>
      <c r="AE2442" s="9">
        <f>IFERROR(VLOOKUP($A2442,pivot!$A:$G,計算式2026!AE$1,FALSE),0)</f>
        <v>0</v>
      </c>
      <c r="AF2442" s="9">
        <f>IFERROR(VLOOKUP($A2442,pivot!$A:$I,計算式2026!AF$1,FALSE),0)</f>
        <v>0</v>
      </c>
      <c r="AI2442" s="9">
        <f>IFERROR(VLOOKUP($A2442,pivot!$A:$I,計算式2026!AI$1,FALSE),0)</f>
        <v>0</v>
      </c>
      <c r="AJ2442" s="9">
        <f>IFERROR(VLOOKUP($A2442,pivot!$A:$I,計算式2026!AJ$1,FALSE),0)</f>
        <v>0</v>
      </c>
      <c r="AK2442" s="9">
        <f>IFERROR(VLOOKUP($A2442,pivot!$A:$I,計算式2026!AK$1,FALSE),0)</f>
        <v>0</v>
      </c>
      <c r="AL2442" s="9">
        <f>IFERROR(VLOOKUP($A2442,pivot!$A:$I,計算式2026!AL$1,FALSE),0)</f>
        <v>0</v>
      </c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/>
      <c r="BC2442" s="8"/>
      <c r="BD2442" s="8"/>
      <c r="BE2442" s="8"/>
      <c r="BF2442" s="8"/>
      <c r="BG2442" s="8"/>
    </row>
    <row r="2443" spans="1:59" s="9" customFormat="1">
      <c r="A2443" s="8" t="s">
        <v>1444</v>
      </c>
      <c r="B2443" s="8" t="s">
        <v>1442</v>
      </c>
      <c r="C2443" s="9">
        <v>0</v>
      </c>
      <c r="D2443" s="9">
        <v>0</v>
      </c>
      <c r="E2443" s="9">
        <v>0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R2443" s="9">
        <v>2</v>
      </c>
      <c r="S2443" s="9">
        <v>0</v>
      </c>
      <c r="T2443" s="9">
        <v>-1</v>
      </c>
      <c r="U2443" s="9">
        <v>0</v>
      </c>
      <c r="V2443" s="9">
        <v>0</v>
      </c>
      <c r="W2443" s="9">
        <v>0</v>
      </c>
      <c r="X2443" s="9">
        <v>1</v>
      </c>
      <c r="AE2443" s="9">
        <f>IFERROR(VLOOKUP($A2443,pivot!$A:$G,計算式2026!AE$1,FALSE),0)</f>
        <v>0</v>
      </c>
      <c r="AF2443" s="9">
        <f>IFERROR(VLOOKUP($A2443,pivot!$A:$I,計算式2026!AF$1,FALSE),0)</f>
        <v>0</v>
      </c>
      <c r="AI2443" s="9">
        <f>IFERROR(VLOOKUP($A2443,pivot!$A:$I,計算式2026!AI$1,FALSE),0)</f>
        <v>0</v>
      </c>
      <c r="AJ2443" s="9">
        <f>IFERROR(VLOOKUP($A2443,pivot!$A:$I,計算式2026!AJ$1,FALSE),0)</f>
        <v>0</v>
      </c>
      <c r="AK2443" s="9">
        <f>IFERROR(VLOOKUP($A2443,pivot!$A:$I,計算式2026!AK$1,FALSE),0)</f>
        <v>0</v>
      </c>
      <c r="AL2443" s="9">
        <f>IFERROR(VLOOKUP($A2443,pivot!$A:$I,計算式2026!AL$1,FALSE),0)</f>
        <v>0</v>
      </c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8"/>
      <c r="BG2443" s="8"/>
    </row>
    <row r="2444" spans="1:59" s="9" customFormat="1">
      <c r="A2444" s="8" t="s">
        <v>1445</v>
      </c>
      <c r="B2444" s="8" t="s">
        <v>1442</v>
      </c>
      <c r="C2444" s="9">
        <v>0</v>
      </c>
      <c r="D2444" s="9">
        <v>0</v>
      </c>
      <c r="E2444" s="9">
        <v>0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R2444" s="9">
        <v>1</v>
      </c>
      <c r="S2444" s="9">
        <v>0</v>
      </c>
      <c r="T2444" s="9">
        <v>1</v>
      </c>
      <c r="U2444" s="9">
        <v>1</v>
      </c>
      <c r="V2444" s="9">
        <v>0</v>
      </c>
      <c r="W2444" s="9">
        <v>0</v>
      </c>
      <c r="X2444" s="9">
        <v>1</v>
      </c>
      <c r="AE2444" s="9">
        <f>IFERROR(VLOOKUP($A2444,pivot!$A:$G,計算式2026!AE$1,FALSE),0)</f>
        <v>0</v>
      </c>
      <c r="AF2444" s="9">
        <f>IFERROR(VLOOKUP($A2444,pivot!$A:$I,計算式2026!AF$1,FALSE),0)</f>
        <v>0</v>
      </c>
      <c r="AI2444" s="9">
        <f>IFERROR(VLOOKUP($A2444,pivot!$A:$I,計算式2026!AI$1,FALSE),0)</f>
        <v>0</v>
      </c>
      <c r="AJ2444" s="9">
        <f>IFERROR(VLOOKUP($A2444,pivot!$A:$I,計算式2026!AJ$1,FALSE),0)</f>
        <v>0</v>
      </c>
      <c r="AK2444" s="9">
        <f>IFERROR(VLOOKUP($A2444,pivot!$A:$I,計算式2026!AK$1,FALSE),0)</f>
        <v>0</v>
      </c>
      <c r="AL2444" s="9">
        <f>IFERROR(VLOOKUP($A2444,pivot!$A:$I,計算式2026!AL$1,FALSE),0)</f>
        <v>0</v>
      </c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8"/>
      <c r="BG2444" s="8"/>
    </row>
    <row r="2445" spans="1:59" s="9" customFormat="1">
      <c r="A2445" s="8" t="s">
        <v>1446</v>
      </c>
      <c r="B2445" s="8" t="s">
        <v>1392</v>
      </c>
      <c r="C2445" s="9">
        <v>2</v>
      </c>
      <c r="D2445" s="9">
        <v>0</v>
      </c>
      <c r="E2445" s="9">
        <v>0</v>
      </c>
      <c r="F2445" s="9">
        <v>0</v>
      </c>
      <c r="G2445" s="9">
        <v>0</v>
      </c>
      <c r="H2445" s="9">
        <v>0</v>
      </c>
      <c r="I2445" s="9">
        <v>0</v>
      </c>
      <c r="J2445" s="9">
        <v>0</v>
      </c>
      <c r="K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1</v>
      </c>
      <c r="AE2445" s="9">
        <f>IFERROR(VLOOKUP($A2445,pivot!$A:$G,計算式2026!AE$1,FALSE),0)</f>
        <v>0</v>
      </c>
      <c r="AF2445" s="9">
        <f>IFERROR(VLOOKUP($A2445,pivot!$A:$I,計算式2026!AF$1,FALSE),0)</f>
        <v>0</v>
      </c>
      <c r="AI2445" s="9">
        <f>IFERROR(VLOOKUP($A2445,pivot!$A:$I,計算式2026!AI$1,FALSE),0)</f>
        <v>0</v>
      </c>
      <c r="AJ2445" s="9">
        <f>IFERROR(VLOOKUP($A2445,pivot!$A:$I,計算式2026!AJ$1,FALSE),0)</f>
        <v>0</v>
      </c>
      <c r="AK2445" s="9">
        <f>IFERROR(VLOOKUP($A2445,pivot!$A:$I,計算式2026!AK$1,FALSE),0)</f>
        <v>0</v>
      </c>
      <c r="AL2445" s="9">
        <f>IFERROR(VLOOKUP($A2445,pivot!$A:$I,計算式2026!AL$1,FALSE),0)</f>
        <v>0</v>
      </c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</row>
    <row r="2446" spans="1:59" s="9" customFormat="1">
      <c r="A2446" s="8" t="s">
        <v>1447</v>
      </c>
      <c r="B2446" s="8" t="s">
        <v>1392</v>
      </c>
      <c r="C2446" s="9">
        <v>2</v>
      </c>
      <c r="D2446" s="9">
        <v>0</v>
      </c>
      <c r="E2446" s="9">
        <v>0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1</v>
      </c>
      <c r="AE2446" s="9">
        <f>IFERROR(VLOOKUP($A2446,pivot!$A:$G,計算式2026!AE$1,FALSE),0)</f>
        <v>0</v>
      </c>
      <c r="AF2446" s="9">
        <f>IFERROR(VLOOKUP($A2446,pivot!$A:$I,計算式2026!AF$1,FALSE),0)</f>
        <v>0</v>
      </c>
      <c r="AI2446" s="9">
        <f>IFERROR(VLOOKUP($A2446,pivot!$A:$I,計算式2026!AI$1,FALSE),0)</f>
        <v>0</v>
      </c>
      <c r="AJ2446" s="9">
        <f>IFERROR(VLOOKUP($A2446,pivot!$A:$I,計算式2026!AJ$1,FALSE),0)</f>
        <v>0</v>
      </c>
      <c r="AK2446" s="9">
        <f>IFERROR(VLOOKUP($A2446,pivot!$A:$I,計算式2026!AK$1,FALSE),0)</f>
        <v>0</v>
      </c>
      <c r="AL2446" s="9">
        <f>IFERROR(VLOOKUP($A2446,pivot!$A:$I,計算式2026!AL$1,FALSE),0)</f>
        <v>0</v>
      </c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8"/>
      <c r="BG2446" s="8"/>
    </row>
    <row r="2447" spans="1:59" s="9" customFormat="1">
      <c r="A2447" s="8" t="s">
        <v>1448</v>
      </c>
      <c r="B2447" s="8" t="s">
        <v>1392</v>
      </c>
      <c r="C2447" s="9">
        <v>0</v>
      </c>
      <c r="D2447" s="9">
        <v>0</v>
      </c>
      <c r="E2447" s="9">
        <v>0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1</v>
      </c>
      <c r="AE2447" s="9">
        <f>IFERROR(VLOOKUP($A2447,pivot!$A:$G,計算式2026!AE$1,FALSE),0)</f>
        <v>0</v>
      </c>
      <c r="AF2447" s="9">
        <f>IFERROR(VLOOKUP($A2447,pivot!$A:$I,計算式2026!AF$1,FALSE),0)</f>
        <v>0</v>
      </c>
      <c r="AI2447" s="9">
        <f>IFERROR(VLOOKUP($A2447,pivot!$A:$I,計算式2026!AI$1,FALSE),0)</f>
        <v>0</v>
      </c>
      <c r="AJ2447" s="9">
        <f>IFERROR(VLOOKUP($A2447,pivot!$A:$I,計算式2026!AJ$1,FALSE),0)</f>
        <v>0</v>
      </c>
      <c r="AK2447" s="9">
        <f>IFERROR(VLOOKUP($A2447,pivot!$A:$I,計算式2026!AK$1,FALSE),0)</f>
        <v>0</v>
      </c>
      <c r="AL2447" s="9">
        <f>IFERROR(VLOOKUP($A2447,pivot!$A:$I,計算式2026!AL$1,FALSE),0)</f>
        <v>0</v>
      </c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</row>
    <row r="2448" spans="1:59" s="9" customFormat="1">
      <c r="A2448" s="8" t="s">
        <v>1449</v>
      </c>
      <c r="B2448" s="8" t="s">
        <v>1392</v>
      </c>
      <c r="C2448" s="9">
        <v>0</v>
      </c>
      <c r="D2448" s="9">
        <v>0</v>
      </c>
      <c r="E2448" s="9">
        <v>0</v>
      </c>
      <c r="F2448" s="9">
        <v>0</v>
      </c>
      <c r="G2448" s="9">
        <v>0</v>
      </c>
      <c r="H2448" s="9">
        <v>0</v>
      </c>
      <c r="I2448" s="9">
        <v>0</v>
      </c>
      <c r="J2448" s="9">
        <v>0</v>
      </c>
      <c r="K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1</v>
      </c>
      <c r="AE2448" s="9">
        <f>IFERROR(VLOOKUP($A2448,pivot!$A:$G,計算式2026!AE$1,FALSE),0)</f>
        <v>0</v>
      </c>
      <c r="AF2448" s="9">
        <f>IFERROR(VLOOKUP($A2448,pivot!$A:$I,計算式2026!AF$1,FALSE),0)</f>
        <v>0</v>
      </c>
      <c r="AI2448" s="9">
        <f>IFERROR(VLOOKUP($A2448,pivot!$A:$I,計算式2026!AI$1,FALSE),0)</f>
        <v>0</v>
      </c>
      <c r="AJ2448" s="9">
        <f>IFERROR(VLOOKUP($A2448,pivot!$A:$I,計算式2026!AJ$1,FALSE),0)</f>
        <v>0</v>
      </c>
      <c r="AK2448" s="9">
        <f>IFERROR(VLOOKUP($A2448,pivot!$A:$I,計算式2026!AK$1,FALSE),0)</f>
        <v>0</v>
      </c>
      <c r="AL2448" s="9">
        <f>IFERROR(VLOOKUP($A2448,pivot!$A:$I,計算式2026!AL$1,FALSE),0)</f>
        <v>0</v>
      </c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</row>
    <row r="2449" spans="1:59" s="9" customFormat="1">
      <c r="A2449" s="8" t="s">
        <v>1450</v>
      </c>
      <c r="B2449" s="8" t="s">
        <v>1392</v>
      </c>
      <c r="C2449" s="9">
        <v>0</v>
      </c>
      <c r="D2449" s="9">
        <v>0</v>
      </c>
      <c r="E2449" s="9">
        <v>0</v>
      </c>
      <c r="F2449" s="9">
        <v>0</v>
      </c>
      <c r="G2449" s="9">
        <v>0</v>
      </c>
      <c r="H2449" s="9">
        <v>0</v>
      </c>
      <c r="I2449" s="9">
        <v>0</v>
      </c>
      <c r="J2449" s="9">
        <v>0</v>
      </c>
      <c r="K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1</v>
      </c>
      <c r="AE2449" s="9">
        <f>IFERROR(VLOOKUP($A2449,pivot!$A:$G,計算式2026!AE$1,FALSE),0)</f>
        <v>0</v>
      </c>
      <c r="AF2449" s="9">
        <f>IFERROR(VLOOKUP($A2449,pivot!$A:$I,計算式2026!AF$1,FALSE),0)</f>
        <v>0</v>
      </c>
      <c r="AI2449" s="9">
        <f>IFERROR(VLOOKUP($A2449,pivot!$A:$I,計算式2026!AI$1,FALSE),0)</f>
        <v>0</v>
      </c>
      <c r="AJ2449" s="9">
        <f>IFERROR(VLOOKUP($A2449,pivot!$A:$I,計算式2026!AJ$1,FALSE),0)</f>
        <v>0</v>
      </c>
      <c r="AK2449" s="9">
        <f>IFERROR(VLOOKUP($A2449,pivot!$A:$I,計算式2026!AK$1,FALSE),0)</f>
        <v>0</v>
      </c>
      <c r="AL2449" s="9">
        <f>IFERROR(VLOOKUP($A2449,pivot!$A:$I,計算式2026!AL$1,FALSE),0)</f>
        <v>0</v>
      </c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</row>
    <row r="2450" spans="1:59" s="9" customFormat="1">
      <c r="A2450" s="8" t="s">
        <v>1451</v>
      </c>
      <c r="B2450" s="8" t="s">
        <v>1392</v>
      </c>
      <c r="C2450" s="9">
        <v>2</v>
      </c>
      <c r="D2450" s="9">
        <v>0</v>
      </c>
      <c r="E2450" s="9">
        <v>0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1</v>
      </c>
      <c r="AE2450" s="9">
        <f>IFERROR(VLOOKUP($A2450,pivot!$A:$G,計算式2026!AE$1,FALSE),0)</f>
        <v>0</v>
      </c>
      <c r="AF2450" s="9">
        <f>IFERROR(VLOOKUP($A2450,pivot!$A:$I,計算式2026!AF$1,FALSE),0)</f>
        <v>0</v>
      </c>
      <c r="AI2450" s="9">
        <f>IFERROR(VLOOKUP($A2450,pivot!$A:$I,計算式2026!AI$1,FALSE),0)</f>
        <v>0</v>
      </c>
      <c r="AJ2450" s="9">
        <f>IFERROR(VLOOKUP($A2450,pivot!$A:$I,計算式2026!AJ$1,FALSE),0)</f>
        <v>0</v>
      </c>
      <c r="AK2450" s="9">
        <f>IFERROR(VLOOKUP($A2450,pivot!$A:$I,計算式2026!AK$1,FALSE),0)</f>
        <v>0</v>
      </c>
      <c r="AL2450" s="9">
        <f>IFERROR(VLOOKUP($A2450,pivot!$A:$I,計算式2026!AL$1,FALSE),0)</f>
        <v>0</v>
      </c>
      <c r="AR2450" s="8"/>
      <c r="AS2450" s="8"/>
      <c r="AT2450" s="8"/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8"/>
      <c r="BG2450" s="8"/>
    </row>
    <row r="2451" spans="1:59" s="9" customFormat="1">
      <c r="A2451" s="8" t="s">
        <v>1452</v>
      </c>
      <c r="B2451" s="8" t="s">
        <v>1392</v>
      </c>
      <c r="C2451" s="9">
        <v>0</v>
      </c>
      <c r="D2451" s="9">
        <v>0</v>
      </c>
      <c r="E2451" s="9">
        <v>0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1</v>
      </c>
      <c r="AE2451" s="9">
        <f>IFERROR(VLOOKUP($A2451,pivot!$A:$G,計算式2026!AE$1,FALSE),0)</f>
        <v>0</v>
      </c>
      <c r="AF2451" s="9">
        <f>IFERROR(VLOOKUP($A2451,pivot!$A:$I,計算式2026!AF$1,FALSE),0)</f>
        <v>0</v>
      </c>
      <c r="AI2451" s="9">
        <f>IFERROR(VLOOKUP($A2451,pivot!$A:$I,計算式2026!AI$1,FALSE),0)</f>
        <v>0</v>
      </c>
      <c r="AJ2451" s="9">
        <f>IFERROR(VLOOKUP($A2451,pivot!$A:$I,計算式2026!AJ$1,FALSE),0)</f>
        <v>0</v>
      </c>
      <c r="AK2451" s="9">
        <f>IFERROR(VLOOKUP($A2451,pivot!$A:$I,計算式2026!AK$1,FALSE),0)</f>
        <v>0</v>
      </c>
      <c r="AL2451" s="9">
        <f>IFERROR(VLOOKUP($A2451,pivot!$A:$I,計算式2026!AL$1,FALSE),0)</f>
        <v>0</v>
      </c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</row>
    <row r="2452" spans="1:59" s="9" customFormat="1">
      <c r="A2452" s="8" t="s">
        <v>2559</v>
      </c>
      <c r="B2452" s="8" t="s">
        <v>2560</v>
      </c>
      <c r="C2452" s="9">
        <v>0</v>
      </c>
      <c r="D2452" s="9">
        <v>0</v>
      </c>
      <c r="E2452" s="9">
        <v>0</v>
      </c>
      <c r="F2452" s="9">
        <v>0</v>
      </c>
      <c r="G2452" s="9">
        <v>0</v>
      </c>
      <c r="H2452" s="9">
        <v>0</v>
      </c>
      <c r="I2452" s="9">
        <v>0</v>
      </c>
      <c r="J2452" s="9">
        <v>0</v>
      </c>
      <c r="K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1</v>
      </c>
      <c r="AE2452" s="9">
        <f>IFERROR(VLOOKUP($A2452,pivot!$A:$G,計算式2026!AE$1,FALSE),0)</f>
        <v>0</v>
      </c>
      <c r="AF2452" s="9">
        <f>IFERROR(VLOOKUP($A2452,pivot!$A:$I,計算式2026!AF$1,FALSE),0)</f>
        <v>0</v>
      </c>
      <c r="AI2452" s="9">
        <f>IFERROR(VLOOKUP($A2452,pivot!$A:$I,計算式2026!AI$1,FALSE),0)</f>
        <v>0</v>
      </c>
      <c r="AJ2452" s="9">
        <f>IFERROR(VLOOKUP($A2452,pivot!$A:$I,計算式2026!AJ$1,FALSE),0)</f>
        <v>0</v>
      </c>
      <c r="AK2452" s="9">
        <f>IFERROR(VLOOKUP($A2452,pivot!$A:$I,計算式2026!AK$1,FALSE),0)</f>
        <v>0</v>
      </c>
      <c r="AL2452" s="9">
        <f>IFERROR(VLOOKUP($A2452,pivot!$A:$I,計算式2026!AL$1,FALSE),0)</f>
        <v>0</v>
      </c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</row>
    <row r="2453" spans="1:59" s="9" customFormat="1">
      <c r="A2453" s="8" t="s">
        <v>2561</v>
      </c>
      <c r="B2453" s="8" t="s">
        <v>2560</v>
      </c>
      <c r="C2453" s="9">
        <v>0</v>
      </c>
      <c r="D2453" s="9">
        <v>0</v>
      </c>
      <c r="E2453" s="9">
        <v>0</v>
      </c>
      <c r="F2453" s="9">
        <v>0</v>
      </c>
      <c r="G2453" s="9">
        <v>0</v>
      </c>
      <c r="H2453" s="9">
        <v>0</v>
      </c>
      <c r="I2453" s="9">
        <v>0</v>
      </c>
      <c r="J2453" s="9">
        <v>0</v>
      </c>
      <c r="K2453" s="9">
        <v>0</v>
      </c>
      <c r="R2453" s="9">
        <v>0</v>
      </c>
      <c r="S2453" s="9">
        <v>0</v>
      </c>
      <c r="T2453" s="9">
        <v>-1</v>
      </c>
      <c r="U2453" s="9">
        <v>0</v>
      </c>
      <c r="V2453" s="9">
        <v>0</v>
      </c>
      <c r="W2453" s="9">
        <v>0</v>
      </c>
      <c r="X2453" s="9">
        <v>1</v>
      </c>
      <c r="AE2453" s="9">
        <f>IFERROR(VLOOKUP($A2453,pivot!$A:$G,計算式2026!AE$1,FALSE),0)</f>
        <v>0</v>
      </c>
      <c r="AF2453" s="9">
        <f>IFERROR(VLOOKUP($A2453,pivot!$A:$I,計算式2026!AF$1,FALSE),0)</f>
        <v>0</v>
      </c>
      <c r="AI2453" s="9">
        <f>IFERROR(VLOOKUP($A2453,pivot!$A:$I,計算式2026!AI$1,FALSE),0)</f>
        <v>0</v>
      </c>
      <c r="AJ2453" s="9">
        <f>IFERROR(VLOOKUP($A2453,pivot!$A:$I,計算式2026!AJ$1,FALSE),0)</f>
        <v>0</v>
      </c>
      <c r="AK2453" s="9">
        <f>IFERROR(VLOOKUP($A2453,pivot!$A:$I,計算式2026!AK$1,FALSE),0)</f>
        <v>0</v>
      </c>
      <c r="AL2453" s="9">
        <f>IFERROR(VLOOKUP($A2453,pivot!$A:$I,計算式2026!AL$1,FALSE),0)</f>
        <v>0</v>
      </c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</row>
    <row r="2454" spans="1:59" s="9" customFormat="1">
      <c r="A2454" s="8" t="s">
        <v>2918</v>
      </c>
      <c r="B2454" s="8" t="s">
        <v>2919</v>
      </c>
      <c r="C2454" s="9">
        <v>0</v>
      </c>
      <c r="D2454" s="9">
        <v>3</v>
      </c>
      <c r="E2454" s="9">
        <v>0</v>
      </c>
      <c r="F2454" s="9">
        <v>0</v>
      </c>
      <c r="G2454" s="9">
        <v>0</v>
      </c>
      <c r="H2454" s="9">
        <v>0</v>
      </c>
      <c r="I2454" s="9">
        <v>0</v>
      </c>
      <c r="J2454" s="9">
        <v>0</v>
      </c>
      <c r="K2454" s="9">
        <v>0</v>
      </c>
      <c r="R2454" s="9">
        <v>1</v>
      </c>
      <c r="S2454" s="9">
        <v>2</v>
      </c>
      <c r="T2454" s="9">
        <v>1</v>
      </c>
      <c r="U2454" s="9">
        <v>0</v>
      </c>
      <c r="V2454" s="9">
        <v>2</v>
      </c>
      <c r="W2454" s="9">
        <v>0</v>
      </c>
      <c r="X2454" s="9">
        <v>1</v>
      </c>
      <c r="AE2454" s="9">
        <f>IFERROR(VLOOKUP($A2454,pivot!$A:$G,計算式2026!AE$1,FALSE),0)</f>
        <v>0</v>
      </c>
      <c r="AF2454" s="9">
        <f>IFERROR(VLOOKUP($A2454,pivot!$A:$I,計算式2026!AF$1,FALSE),0)</f>
        <v>0</v>
      </c>
      <c r="AI2454" s="9">
        <f>IFERROR(VLOOKUP($A2454,pivot!$A:$I,計算式2026!AI$1,FALSE),0)</f>
        <v>0</v>
      </c>
      <c r="AJ2454" s="9">
        <f>IFERROR(VLOOKUP($A2454,pivot!$A:$I,計算式2026!AJ$1,FALSE),0)</f>
        <v>0</v>
      </c>
      <c r="AK2454" s="9">
        <f>IFERROR(VLOOKUP($A2454,pivot!$A:$I,計算式2026!AK$1,FALSE),0)</f>
        <v>0</v>
      </c>
      <c r="AL2454" s="9">
        <f>IFERROR(VLOOKUP($A2454,pivot!$A:$I,計算式2026!AL$1,FALSE),0)</f>
        <v>0</v>
      </c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</row>
    <row r="2455" spans="1:59" s="9" customFormat="1">
      <c r="A2455" s="8" t="s">
        <v>2920</v>
      </c>
      <c r="B2455" s="8" t="s">
        <v>2919</v>
      </c>
      <c r="C2455" s="9">
        <v>0</v>
      </c>
      <c r="D2455" s="9">
        <v>0</v>
      </c>
      <c r="E2455" s="9">
        <v>0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R2455" s="9">
        <v>1</v>
      </c>
      <c r="S2455" s="9">
        <v>1</v>
      </c>
      <c r="T2455" s="9">
        <v>1</v>
      </c>
      <c r="U2455" s="9">
        <v>0</v>
      </c>
      <c r="V2455" s="9">
        <v>1</v>
      </c>
      <c r="W2455" s="9">
        <v>0</v>
      </c>
      <c r="X2455" s="9">
        <v>1</v>
      </c>
      <c r="AE2455" s="9">
        <f>IFERROR(VLOOKUP($A2455,pivot!$A:$G,計算式2026!AE$1,FALSE),0)</f>
        <v>0</v>
      </c>
      <c r="AF2455" s="9">
        <f>IFERROR(VLOOKUP($A2455,pivot!$A:$I,計算式2026!AF$1,FALSE),0)</f>
        <v>0</v>
      </c>
      <c r="AI2455" s="9">
        <f>IFERROR(VLOOKUP($A2455,pivot!$A:$I,計算式2026!AI$1,FALSE),0)</f>
        <v>0</v>
      </c>
      <c r="AJ2455" s="9">
        <f>IFERROR(VLOOKUP($A2455,pivot!$A:$I,計算式2026!AJ$1,FALSE),0)</f>
        <v>0</v>
      </c>
      <c r="AK2455" s="9">
        <f>IFERROR(VLOOKUP($A2455,pivot!$A:$I,計算式2026!AK$1,FALSE),0)</f>
        <v>0</v>
      </c>
      <c r="AL2455" s="9">
        <f>IFERROR(VLOOKUP($A2455,pivot!$A:$I,計算式2026!AL$1,FALSE),0)</f>
        <v>0</v>
      </c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</row>
    <row r="2456" spans="1:59" s="9" customFormat="1">
      <c r="A2456" s="8" t="s">
        <v>2562</v>
      </c>
      <c r="B2456" s="8" t="s">
        <v>2560</v>
      </c>
      <c r="C2456" s="9">
        <v>0</v>
      </c>
      <c r="D2456" s="9">
        <v>0</v>
      </c>
      <c r="E2456" s="9">
        <v>0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R2456" s="9">
        <v>0</v>
      </c>
      <c r="S2456" s="9">
        <v>1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AE2456" s="9">
        <f>IFERROR(VLOOKUP($A2456,pivot!$A:$G,計算式2026!AE$1,FALSE),0)</f>
        <v>0</v>
      </c>
      <c r="AF2456" s="9">
        <f>IFERROR(VLOOKUP($A2456,pivot!$A:$I,計算式2026!AF$1,FALSE),0)</f>
        <v>0</v>
      </c>
      <c r="AI2456" s="9">
        <f>IFERROR(VLOOKUP($A2456,pivot!$A:$I,計算式2026!AI$1,FALSE),0)</f>
        <v>0</v>
      </c>
      <c r="AJ2456" s="9">
        <f>IFERROR(VLOOKUP($A2456,pivot!$A:$I,計算式2026!AJ$1,FALSE),0)</f>
        <v>0</v>
      </c>
      <c r="AK2456" s="9">
        <f>IFERROR(VLOOKUP($A2456,pivot!$A:$I,計算式2026!AK$1,FALSE),0)</f>
        <v>0</v>
      </c>
      <c r="AL2456" s="9">
        <f>IFERROR(VLOOKUP($A2456,pivot!$A:$I,計算式2026!AL$1,FALSE),0)</f>
        <v>0</v>
      </c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</row>
    <row r="2457" spans="1:59" s="9" customFormat="1">
      <c r="A2457" s="8" t="s">
        <v>2563</v>
      </c>
      <c r="B2457" s="8" t="s">
        <v>2560</v>
      </c>
      <c r="C2457" s="9">
        <v>0</v>
      </c>
      <c r="D2457" s="9">
        <v>0</v>
      </c>
      <c r="E2457" s="9">
        <v>0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0</v>
      </c>
      <c r="R2457" s="9">
        <v>0</v>
      </c>
      <c r="S2457" s="9">
        <v>2</v>
      </c>
      <c r="T2457" s="9">
        <v>1</v>
      </c>
      <c r="U2457" s="9">
        <v>0</v>
      </c>
      <c r="V2457" s="9">
        <v>1</v>
      </c>
      <c r="W2457" s="9">
        <v>0</v>
      </c>
      <c r="X2457" s="9">
        <v>1</v>
      </c>
      <c r="AE2457" s="9">
        <f>IFERROR(VLOOKUP($A2457,pivot!$A:$G,計算式2026!AE$1,FALSE),0)</f>
        <v>0</v>
      </c>
      <c r="AF2457" s="9">
        <f>IFERROR(VLOOKUP($A2457,pivot!$A:$I,計算式2026!AF$1,FALSE),0)</f>
        <v>0</v>
      </c>
      <c r="AI2457" s="9">
        <f>IFERROR(VLOOKUP($A2457,pivot!$A:$I,計算式2026!AI$1,FALSE),0)</f>
        <v>0</v>
      </c>
      <c r="AJ2457" s="9">
        <f>IFERROR(VLOOKUP($A2457,pivot!$A:$I,計算式2026!AJ$1,FALSE),0)</f>
        <v>0</v>
      </c>
      <c r="AK2457" s="9">
        <f>IFERROR(VLOOKUP($A2457,pivot!$A:$I,計算式2026!AK$1,FALSE),0)</f>
        <v>0</v>
      </c>
      <c r="AL2457" s="9">
        <f>IFERROR(VLOOKUP($A2457,pivot!$A:$I,計算式2026!AL$1,FALSE),0)</f>
        <v>0</v>
      </c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8"/>
      <c r="BG2457" s="8"/>
    </row>
    <row r="2458" spans="1:59" s="9" customFormat="1">
      <c r="A2458" s="8" t="s">
        <v>1779</v>
      </c>
      <c r="B2458" s="8" t="s">
        <v>2564</v>
      </c>
      <c r="C2458" s="9">
        <v>0</v>
      </c>
      <c r="D2458" s="9">
        <v>0</v>
      </c>
      <c r="E2458" s="9">
        <v>0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R2458" s="9">
        <v>1</v>
      </c>
      <c r="S2458" s="9">
        <v>0</v>
      </c>
      <c r="T2458" s="9">
        <v>1</v>
      </c>
      <c r="U2458" s="9">
        <v>0</v>
      </c>
      <c r="V2458" s="9">
        <v>2</v>
      </c>
      <c r="W2458" s="9">
        <v>0</v>
      </c>
      <c r="X2458" s="9">
        <v>2</v>
      </c>
      <c r="AE2458" s="9">
        <f>IFERROR(VLOOKUP($A2458,pivot!$A:$G,計算式2026!AE$1,FALSE),0)</f>
        <v>0</v>
      </c>
      <c r="AF2458" s="9">
        <f>IFERROR(VLOOKUP($A2458,pivot!$A:$I,計算式2026!AF$1,FALSE),0)</f>
        <v>0</v>
      </c>
      <c r="AI2458" s="9">
        <f>IFERROR(VLOOKUP($A2458,pivot!$A:$I,計算式2026!AI$1,FALSE),0)</f>
        <v>0</v>
      </c>
      <c r="AJ2458" s="9">
        <f>IFERROR(VLOOKUP($A2458,pivot!$A:$I,計算式2026!AJ$1,FALSE),0)</f>
        <v>0</v>
      </c>
      <c r="AK2458" s="9">
        <f>IFERROR(VLOOKUP($A2458,pivot!$A:$I,計算式2026!AK$1,FALSE),0)</f>
        <v>0</v>
      </c>
      <c r="AL2458" s="9">
        <f>IFERROR(VLOOKUP($A2458,pivot!$A:$I,計算式2026!AL$1,FALSE),0)</f>
        <v>0</v>
      </c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8"/>
      <c r="BG2458" s="8"/>
    </row>
    <row r="2459" spans="1:59" s="9" customFormat="1">
      <c r="A2459" s="8" t="s">
        <v>1780</v>
      </c>
      <c r="B2459" s="8" t="s">
        <v>2564</v>
      </c>
      <c r="C2459" s="9">
        <v>3</v>
      </c>
      <c r="D2459" s="9">
        <v>0</v>
      </c>
      <c r="E2459" s="9">
        <v>0</v>
      </c>
      <c r="F2459" s="9">
        <v>0</v>
      </c>
      <c r="G2459" s="9">
        <v>0</v>
      </c>
      <c r="H2459" s="9">
        <v>0</v>
      </c>
      <c r="I2459" s="9">
        <v>0</v>
      </c>
      <c r="J2459" s="9">
        <v>0</v>
      </c>
      <c r="K2459" s="9">
        <v>0</v>
      </c>
      <c r="R2459" s="9">
        <v>1</v>
      </c>
      <c r="S2459" s="9">
        <v>2</v>
      </c>
      <c r="T2459" s="9">
        <v>1</v>
      </c>
      <c r="U2459" s="9">
        <v>0</v>
      </c>
      <c r="V2459" s="9">
        <v>3</v>
      </c>
      <c r="W2459" s="9">
        <v>0</v>
      </c>
      <c r="X2459" s="9">
        <v>2</v>
      </c>
      <c r="AE2459" s="9">
        <f>IFERROR(VLOOKUP($A2459,pivot!$A:$G,計算式2026!AE$1,FALSE),0)</f>
        <v>0</v>
      </c>
      <c r="AF2459" s="9">
        <f>IFERROR(VLOOKUP($A2459,pivot!$A:$I,計算式2026!AF$1,FALSE),0)</f>
        <v>0</v>
      </c>
      <c r="AI2459" s="9">
        <f>IFERROR(VLOOKUP($A2459,pivot!$A:$I,計算式2026!AI$1,FALSE),0)</f>
        <v>0</v>
      </c>
      <c r="AJ2459" s="9">
        <f>IFERROR(VLOOKUP($A2459,pivot!$A:$I,計算式2026!AJ$1,FALSE),0)</f>
        <v>0</v>
      </c>
      <c r="AK2459" s="9">
        <f>IFERROR(VLOOKUP($A2459,pivot!$A:$I,計算式2026!AK$1,FALSE),0)</f>
        <v>0</v>
      </c>
      <c r="AL2459" s="9">
        <f>IFERROR(VLOOKUP($A2459,pivot!$A:$I,計算式2026!AL$1,FALSE),0)</f>
        <v>0</v>
      </c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</row>
    <row r="2460" spans="1:59" s="9" customFormat="1">
      <c r="A2460" s="8" t="s">
        <v>1781</v>
      </c>
      <c r="B2460" s="8" t="s">
        <v>2564</v>
      </c>
      <c r="C2460" s="9">
        <v>0</v>
      </c>
      <c r="D2460" s="9">
        <v>0</v>
      </c>
      <c r="E2460" s="9">
        <v>0</v>
      </c>
      <c r="F2460" s="9">
        <v>0</v>
      </c>
      <c r="G2460" s="9">
        <v>0</v>
      </c>
      <c r="H2460" s="9">
        <v>0</v>
      </c>
      <c r="I2460" s="9">
        <v>0</v>
      </c>
      <c r="J2460" s="9">
        <v>0</v>
      </c>
      <c r="K2460" s="9">
        <v>0</v>
      </c>
      <c r="R2460" s="9">
        <v>0</v>
      </c>
      <c r="S2460" s="9">
        <v>1</v>
      </c>
      <c r="T2460" s="9">
        <v>0</v>
      </c>
      <c r="U2460" s="9">
        <v>0</v>
      </c>
      <c r="V2460" s="9">
        <v>2</v>
      </c>
      <c r="W2460" s="9">
        <v>0</v>
      </c>
      <c r="X2460" s="9">
        <v>1</v>
      </c>
      <c r="AE2460" s="9">
        <f>IFERROR(VLOOKUP($A2460,pivot!$A:$G,計算式2026!AE$1,FALSE),0)</f>
        <v>0</v>
      </c>
      <c r="AF2460" s="9">
        <f>IFERROR(VLOOKUP($A2460,pivot!$A:$I,計算式2026!AF$1,FALSE),0)</f>
        <v>0</v>
      </c>
      <c r="AI2460" s="9">
        <f>IFERROR(VLOOKUP($A2460,pivot!$A:$I,計算式2026!AI$1,FALSE),0)</f>
        <v>0</v>
      </c>
      <c r="AJ2460" s="9">
        <f>IFERROR(VLOOKUP($A2460,pivot!$A:$I,計算式2026!AJ$1,FALSE),0)</f>
        <v>0</v>
      </c>
      <c r="AK2460" s="9">
        <f>IFERROR(VLOOKUP($A2460,pivot!$A:$I,計算式2026!AK$1,FALSE),0)</f>
        <v>0</v>
      </c>
      <c r="AL2460" s="9">
        <f>IFERROR(VLOOKUP($A2460,pivot!$A:$I,計算式2026!AL$1,FALSE),0)</f>
        <v>0</v>
      </c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8"/>
      <c r="BG2460" s="8"/>
    </row>
    <row r="2461" spans="1:59" s="9" customFormat="1">
      <c r="A2461" s="8" t="s">
        <v>1782</v>
      </c>
      <c r="B2461" s="8" t="s">
        <v>2564</v>
      </c>
      <c r="C2461" s="9">
        <v>0</v>
      </c>
      <c r="D2461" s="9">
        <v>0</v>
      </c>
      <c r="E2461" s="9">
        <v>0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9">
        <v>0</v>
      </c>
      <c r="R2461" s="9">
        <v>1</v>
      </c>
      <c r="S2461" s="9">
        <v>1</v>
      </c>
      <c r="T2461" s="9">
        <v>0</v>
      </c>
      <c r="U2461" s="9">
        <v>0</v>
      </c>
      <c r="V2461" s="9">
        <v>1</v>
      </c>
      <c r="W2461" s="9">
        <v>0</v>
      </c>
      <c r="X2461" s="9">
        <v>1</v>
      </c>
      <c r="AE2461" s="9">
        <f>IFERROR(VLOOKUP($A2461,pivot!$A:$G,計算式2026!AE$1,FALSE),0)</f>
        <v>0</v>
      </c>
      <c r="AF2461" s="9">
        <f>IFERROR(VLOOKUP($A2461,pivot!$A:$I,計算式2026!AF$1,FALSE),0)</f>
        <v>0</v>
      </c>
      <c r="AI2461" s="9">
        <f>IFERROR(VLOOKUP($A2461,pivot!$A:$I,計算式2026!AI$1,FALSE),0)</f>
        <v>0</v>
      </c>
      <c r="AJ2461" s="9">
        <f>IFERROR(VLOOKUP($A2461,pivot!$A:$I,計算式2026!AJ$1,FALSE),0)</f>
        <v>0</v>
      </c>
      <c r="AK2461" s="9">
        <f>IFERROR(VLOOKUP($A2461,pivot!$A:$I,計算式2026!AK$1,FALSE),0)</f>
        <v>0</v>
      </c>
      <c r="AL2461" s="9">
        <f>IFERROR(VLOOKUP($A2461,pivot!$A:$I,計算式2026!AL$1,FALSE),0)</f>
        <v>0</v>
      </c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/>
      <c r="BC2461" s="8"/>
      <c r="BD2461" s="8"/>
      <c r="BE2461" s="8"/>
      <c r="BF2461" s="8"/>
      <c r="BG2461" s="8"/>
    </row>
    <row r="2462" spans="1:59" s="9" customFormat="1">
      <c r="A2462" s="8" t="s">
        <v>1729</v>
      </c>
      <c r="B2462" s="8" t="s">
        <v>2564</v>
      </c>
      <c r="C2462" s="9">
        <v>3</v>
      </c>
      <c r="D2462" s="9">
        <v>0</v>
      </c>
      <c r="E2462" s="9">
        <v>0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9">
        <v>0</v>
      </c>
      <c r="R2462" s="9">
        <v>1</v>
      </c>
      <c r="S2462" s="9">
        <v>3</v>
      </c>
      <c r="T2462" s="9">
        <v>1</v>
      </c>
      <c r="U2462" s="9">
        <v>0</v>
      </c>
      <c r="V2462" s="9">
        <v>3</v>
      </c>
      <c r="W2462" s="9">
        <v>0</v>
      </c>
      <c r="X2462" s="9">
        <v>1</v>
      </c>
      <c r="AE2462" s="9">
        <f>IFERROR(VLOOKUP($A2462,pivot!$A:$G,計算式2026!AE$1,FALSE),0)</f>
        <v>0</v>
      </c>
      <c r="AF2462" s="9">
        <f>IFERROR(VLOOKUP($A2462,pivot!$A:$I,計算式2026!AF$1,FALSE),0)</f>
        <v>0</v>
      </c>
      <c r="AI2462" s="9">
        <f>IFERROR(VLOOKUP($A2462,pivot!$A:$I,計算式2026!AI$1,FALSE),0)</f>
        <v>0</v>
      </c>
      <c r="AJ2462" s="9">
        <f>IFERROR(VLOOKUP($A2462,pivot!$A:$I,計算式2026!AJ$1,FALSE),0)</f>
        <v>0</v>
      </c>
      <c r="AK2462" s="9">
        <f>IFERROR(VLOOKUP($A2462,pivot!$A:$I,計算式2026!AK$1,FALSE),0)</f>
        <v>0</v>
      </c>
      <c r="AL2462" s="9">
        <f>IFERROR(VLOOKUP($A2462,pivot!$A:$I,計算式2026!AL$1,FALSE),0)</f>
        <v>0</v>
      </c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8"/>
      <c r="BG2462" s="8"/>
    </row>
    <row r="2463" spans="1:59" s="9" customFormat="1">
      <c r="A2463" s="8" t="s">
        <v>1730</v>
      </c>
      <c r="B2463" s="8" t="s">
        <v>2564</v>
      </c>
      <c r="C2463" s="9">
        <v>9</v>
      </c>
      <c r="D2463" s="9">
        <v>0</v>
      </c>
      <c r="E2463" s="9">
        <v>0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R2463" s="9">
        <v>0</v>
      </c>
      <c r="S2463" s="9">
        <v>2</v>
      </c>
      <c r="T2463" s="9">
        <v>0</v>
      </c>
      <c r="U2463" s="9">
        <v>0</v>
      </c>
      <c r="V2463" s="9">
        <v>3</v>
      </c>
      <c r="W2463" s="9">
        <v>0</v>
      </c>
      <c r="X2463" s="9">
        <v>1</v>
      </c>
      <c r="AE2463" s="9">
        <f>IFERROR(VLOOKUP($A2463,pivot!$A:$G,計算式2026!AE$1,FALSE),0)</f>
        <v>0</v>
      </c>
      <c r="AF2463" s="9">
        <f>IFERROR(VLOOKUP($A2463,pivot!$A:$I,計算式2026!AF$1,FALSE),0)</f>
        <v>0</v>
      </c>
      <c r="AI2463" s="9">
        <f>IFERROR(VLOOKUP($A2463,pivot!$A:$I,計算式2026!AI$1,FALSE),0)</f>
        <v>0</v>
      </c>
      <c r="AJ2463" s="9">
        <f>IFERROR(VLOOKUP($A2463,pivot!$A:$I,計算式2026!AJ$1,FALSE),0)</f>
        <v>0</v>
      </c>
      <c r="AK2463" s="9">
        <f>IFERROR(VLOOKUP($A2463,pivot!$A:$I,計算式2026!AK$1,FALSE),0)</f>
        <v>0</v>
      </c>
      <c r="AL2463" s="9">
        <f>IFERROR(VLOOKUP($A2463,pivot!$A:$I,計算式2026!AL$1,FALSE),0)</f>
        <v>0</v>
      </c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8"/>
      <c r="BG2463" s="8"/>
    </row>
    <row r="2464" spans="1:59" s="9" customFormat="1">
      <c r="A2464" s="8" t="s">
        <v>2565</v>
      </c>
      <c r="B2464" s="8" t="s">
        <v>2564</v>
      </c>
      <c r="C2464" s="9">
        <v>0</v>
      </c>
      <c r="D2464" s="9">
        <v>0</v>
      </c>
      <c r="E2464" s="9">
        <v>0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1</v>
      </c>
      <c r="W2464" s="9">
        <v>0</v>
      </c>
      <c r="X2464" s="9">
        <v>1</v>
      </c>
      <c r="AE2464" s="9">
        <f>IFERROR(VLOOKUP($A2464,pivot!$A:$G,計算式2026!AE$1,FALSE),0)</f>
        <v>0</v>
      </c>
      <c r="AF2464" s="9">
        <f>IFERROR(VLOOKUP($A2464,pivot!$A:$I,計算式2026!AF$1,FALSE),0)</f>
        <v>0</v>
      </c>
      <c r="AI2464" s="9">
        <f>IFERROR(VLOOKUP($A2464,pivot!$A:$I,計算式2026!AI$1,FALSE),0)</f>
        <v>0</v>
      </c>
      <c r="AJ2464" s="9">
        <f>IFERROR(VLOOKUP($A2464,pivot!$A:$I,計算式2026!AJ$1,FALSE),0)</f>
        <v>0</v>
      </c>
      <c r="AK2464" s="9">
        <f>IFERROR(VLOOKUP($A2464,pivot!$A:$I,計算式2026!AK$1,FALSE),0)</f>
        <v>0</v>
      </c>
      <c r="AL2464" s="9">
        <f>IFERROR(VLOOKUP($A2464,pivot!$A:$I,計算式2026!AL$1,FALSE),0)</f>
        <v>0</v>
      </c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8"/>
      <c r="BG2464" s="8"/>
    </row>
    <row r="2465" spans="1:59" s="9" customFormat="1">
      <c r="A2465" s="8" t="s">
        <v>2566</v>
      </c>
      <c r="B2465" s="8" t="s">
        <v>2564</v>
      </c>
      <c r="C2465" s="9">
        <v>0</v>
      </c>
      <c r="D2465" s="9">
        <v>0</v>
      </c>
      <c r="E2465" s="9">
        <v>0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1</v>
      </c>
      <c r="W2465" s="9">
        <v>0</v>
      </c>
      <c r="X2465" s="9">
        <v>1</v>
      </c>
      <c r="AE2465" s="9">
        <f>IFERROR(VLOOKUP($A2465,pivot!$A:$G,計算式2026!AE$1,FALSE),0)</f>
        <v>0</v>
      </c>
      <c r="AF2465" s="9">
        <f>IFERROR(VLOOKUP($A2465,pivot!$A:$I,計算式2026!AF$1,FALSE),0)</f>
        <v>0</v>
      </c>
      <c r="AI2465" s="9">
        <f>IFERROR(VLOOKUP($A2465,pivot!$A:$I,計算式2026!AI$1,FALSE),0)</f>
        <v>0</v>
      </c>
      <c r="AJ2465" s="9">
        <f>IFERROR(VLOOKUP($A2465,pivot!$A:$I,計算式2026!AJ$1,FALSE),0)</f>
        <v>0</v>
      </c>
      <c r="AK2465" s="9">
        <f>IFERROR(VLOOKUP($A2465,pivot!$A:$I,計算式2026!AK$1,FALSE),0)</f>
        <v>0</v>
      </c>
      <c r="AL2465" s="9">
        <f>IFERROR(VLOOKUP($A2465,pivot!$A:$I,計算式2026!AL$1,FALSE),0)</f>
        <v>0</v>
      </c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</row>
    <row r="2466" spans="1:59" s="9" customFormat="1">
      <c r="A2466" s="8" t="s">
        <v>2567</v>
      </c>
      <c r="B2466" s="8" t="s">
        <v>2564</v>
      </c>
      <c r="C2466" s="9">
        <v>0</v>
      </c>
      <c r="D2466" s="9">
        <v>0</v>
      </c>
      <c r="E2466" s="9">
        <v>0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R2466" s="9">
        <v>0</v>
      </c>
      <c r="S2466" s="9">
        <v>1</v>
      </c>
      <c r="T2466" s="9">
        <v>0</v>
      </c>
      <c r="U2466" s="9">
        <v>0</v>
      </c>
      <c r="V2466" s="9">
        <v>2</v>
      </c>
      <c r="W2466" s="9">
        <v>0</v>
      </c>
      <c r="X2466" s="9">
        <v>1</v>
      </c>
      <c r="AE2466" s="9">
        <f>IFERROR(VLOOKUP($A2466,pivot!$A:$G,計算式2026!AE$1,FALSE),0)</f>
        <v>0</v>
      </c>
      <c r="AF2466" s="9">
        <f>IFERROR(VLOOKUP($A2466,pivot!$A:$I,計算式2026!AF$1,FALSE),0)</f>
        <v>0</v>
      </c>
      <c r="AI2466" s="9">
        <f>IFERROR(VLOOKUP($A2466,pivot!$A:$I,計算式2026!AI$1,FALSE),0)</f>
        <v>0</v>
      </c>
      <c r="AJ2466" s="9">
        <f>IFERROR(VLOOKUP($A2466,pivot!$A:$I,計算式2026!AJ$1,FALSE),0)</f>
        <v>0</v>
      </c>
      <c r="AK2466" s="9">
        <f>IFERROR(VLOOKUP($A2466,pivot!$A:$I,計算式2026!AK$1,FALSE),0)</f>
        <v>0</v>
      </c>
      <c r="AL2466" s="9">
        <f>IFERROR(VLOOKUP($A2466,pivot!$A:$I,計算式2026!AL$1,FALSE),0)</f>
        <v>0</v>
      </c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/>
      <c r="BC2466" s="8"/>
      <c r="BD2466" s="8"/>
      <c r="BE2466" s="8"/>
      <c r="BF2466" s="8"/>
      <c r="BG2466" s="8"/>
    </row>
    <row r="2467" spans="1:59" s="9" customFormat="1">
      <c r="A2467" s="8" t="s">
        <v>1640</v>
      </c>
      <c r="B2467" s="8" t="s">
        <v>2568</v>
      </c>
      <c r="C2467" s="9">
        <v>0</v>
      </c>
      <c r="D2467" s="9">
        <v>0</v>
      </c>
      <c r="E2467" s="9">
        <v>0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R2467" s="9">
        <v>0</v>
      </c>
      <c r="S2467" s="9">
        <v>3</v>
      </c>
      <c r="T2467" s="9">
        <v>1</v>
      </c>
      <c r="U2467" s="9">
        <v>0</v>
      </c>
      <c r="V2467" s="9">
        <v>3</v>
      </c>
      <c r="W2467" s="9">
        <v>0</v>
      </c>
      <c r="X2467" s="9">
        <v>1</v>
      </c>
      <c r="AE2467" s="9">
        <f>IFERROR(VLOOKUP($A2467,pivot!$A:$G,計算式2026!AE$1,FALSE),0)</f>
        <v>0</v>
      </c>
      <c r="AF2467" s="9">
        <f>IFERROR(VLOOKUP($A2467,pivot!$A:$I,計算式2026!AF$1,FALSE),0)</f>
        <v>0</v>
      </c>
      <c r="AI2467" s="9">
        <f>IFERROR(VLOOKUP($A2467,pivot!$A:$I,計算式2026!AI$1,FALSE),0)</f>
        <v>0</v>
      </c>
      <c r="AJ2467" s="9">
        <f>IFERROR(VLOOKUP($A2467,pivot!$A:$I,計算式2026!AJ$1,FALSE),0)</f>
        <v>0</v>
      </c>
      <c r="AK2467" s="9">
        <f>IFERROR(VLOOKUP($A2467,pivot!$A:$I,計算式2026!AK$1,FALSE),0)</f>
        <v>0</v>
      </c>
      <c r="AL2467" s="9">
        <f>IFERROR(VLOOKUP($A2467,pivot!$A:$I,計算式2026!AL$1,FALSE),0)</f>
        <v>0</v>
      </c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</row>
    <row r="2468" spans="1:59" s="9" customFormat="1">
      <c r="A2468" s="8" t="s">
        <v>1641</v>
      </c>
      <c r="B2468" s="8" t="s">
        <v>2568</v>
      </c>
      <c r="C2468" s="9">
        <v>0</v>
      </c>
      <c r="D2468" s="9">
        <v>0</v>
      </c>
      <c r="E2468" s="9">
        <v>0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R2468" s="9">
        <v>0</v>
      </c>
      <c r="S2468" s="9">
        <v>1</v>
      </c>
      <c r="T2468" s="9">
        <v>0</v>
      </c>
      <c r="U2468" s="9">
        <v>0</v>
      </c>
      <c r="V2468" s="9">
        <v>2</v>
      </c>
      <c r="W2468" s="9">
        <v>0</v>
      </c>
      <c r="X2468" s="9">
        <v>1</v>
      </c>
      <c r="AE2468" s="9">
        <f>IFERROR(VLOOKUP($A2468,pivot!$A:$G,計算式2026!AE$1,FALSE),0)</f>
        <v>0</v>
      </c>
      <c r="AF2468" s="9">
        <f>IFERROR(VLOOKUP($A2468,pivot!$A:$I,計算式2026!AF$1,FALSE),0)</f>
        <v>0</v>
      </c>
      <c r="AI2468" s="9">
        <f>IFERROR(VLOOKUP($A2468,pivot!$A:$I,計算式2026!AI$1,FALSE),0)</f>
        <v>0</v>
      </c>
      <c r="AJ2468" s="9">
        <f>IFERROR(VLOOKUP($A2468,pivot!$A:$I,計算式2026!AJ$1,FALSE),0)</f>
        <v>0</v>
      </c>
      <c r="AK2468" s="9">
        <f>IFERROR(VLOOKUP($A2468,pivot!$A:$I,計算式2026!AK$1,FALSE),0)</f>
        <v>0</v>
      </c>
      <c r="AL2468" s="9">
        <f>IFERROR(VLOOKUP($A2468,pivot!$A:$I,計算式2026!AL$1,FALSE),0)</f>
        <v>0</v>
      </c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8"/>
      <c r="BG2468" s="8"/>
    </row>
    <row r="2469" spans="1:59" s="9" customFormat="1">
      <c r="A2469" s="8" t="s">
        <v>1642</v>
      </c>
      <c r="B2469" s="8" t="s">
        <v>2568</v>
      </c>
      <c r="C2469" s="9">
        <v>0</v>
      </c>
      <c r="D2469" s="9">
        <v>0</v>
      </c>
      <c r="E2469" s="9">
        <v>0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R2469" s="9">
        <v>1</v>
      </c>
      <c r="S2469" s="9">
        <v>3</v>
      </c>
      <c r="T2469" s="9">
        <v>1</v>
      </c>
      <c r="U2469" s="9">
        <v>0</v>
      </c>
      <c r="V2469" s="9">
        <v>2</v>
      </c>
      <c r="W2469" s="9">
        <v>0</v>
      </c>
      <c r="X2469" s="9">
        <v>1</v>
      </c>
      <c r="AE2469" s="9">
        <f>IFERROR(VLOOKUP($A2469,pivot!$A:$G,計算式2026!AE$1,FALSE),0)</f>
        <v>0</v>
      </c>
      <c r="AF2469" s="9">
        <f>IFERROR(VLOOKUP($A2469,pivot!$A:$I,計算式2026!AF$1,FALSE),0)</f>
        <v>0</v>
      </c>
      <c r="AI2469" s="9">
        <f>IFERROR(VLOOKUP($A2469,pivot!$A:$I,計算式2026!AI$1,FALSE),0)</f>
        <v>0</v>
      </c>
      <c r="AJ2469" s="9">
        <f>IFERROR(VLOOKUP($A2469,pivot!$A:$I,計算式2026!AJ$1,FALSE),0)</f>
        <v>0</v>
      </c>
      <c r="AK2469" s="9">
        <f>IFERROR(VLOOKUP($A2469,pivot!$A:$I,計算式2026!AK$1,FALSE),0)</f>
        <v>0</v>
      </c>
      <c r="AL2469" s="9">
        <f>IFERROR(VLOOKUP($A2469,pivot!$A:$I,計算式2026!AL$1,FALSE),0)</f>
        <v>0</v>
      </c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</row>
    <row r="2470" spans="1:59" s="9" customFormat="1">
      <c r="A2470" s="8" t="s">
        <v>1643</v>
      </c>
      <c r="B2470" s="8" t="s">
        <v>2568</v>
      </c>
      <c r="C2470" s="9">
        <v>0</v>
      </c>
      <c r="D2470" s="9">
        <v>0</v>
      </c>
      <c r="E2470" s="9">
        <v>0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R2470" s="9">
        <v>0</v>
      </c>
      <c r="S2470" s="9">
        <v>2</v>
      </c>
      <c r="T2470" s="9">
        <v>0</v>
      </c>
      <c r="U2470" s="9">
        <v>0</v>
      </c>
      <c r="V2470" s="9">
        <v>2</v>
      </c>
      <c r="W2470" s="9">
        <v>0</v>
      </c>
      <c r="X2470" s="9">
        <v>1</v>
      </c>
      <c r="AE2470" s="9">
        <f>IFERROR(VLOOKUP($A2470,pivot!$A:$G,計算式2026!AE$1,FALSE),0)</f>
        <v>0</v>
      </c>
      <c r="AF2470" s="9">
        <f>IFERROR(VLOOKUP($A2470,pivot!$A:$I,計算式2026!AF$1,FALSE),0)</f>
        <v>0</v>
      </c>
      <c r="AI2470" s="9">
        <f>IFERROR(VLOOKUP($A2470,pivot!$A:$I,計算式2026!AI$1,FALSE),0)</f>
        <v>0</v>
      </c>
      <c r="AJ2470" s="9">
        <f>IFERROR(VLOOKUP($A2470,pivot!$A:$I,計算式2026!AJ$1,FALSE),0)</f>
        <v>0</v>
      </c>
      <c r="AK2470" s="9">
        <f>IFERROR(VLOOKUP($A2470,pivot!$A:$I,計算式2026!AK$1,FALSE),0)</f>
        <v>0</v>
      </c>
      <c r="AL2470" s="9">
        <f>IFERROR(VLOOKUP($A2470,pivot!$A:$I,計算式2026!AL$1,FALSE),0)</f>
        <v>0</v>
      </c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8"/>
      <c r="BG2470" s="8"/>
    </row>
    <row r="2471" spans="1:59" s="9" customFormat="1">
      <c r="A2471" s="8" t="s">
        <v>1840</v>
      </c>
      <c r="B2471" s="8" t="s">
        <v>2569</v>
      </c>
      <c r="C2471" s="9">
        <v>0</v>
      </c>
      <c r="D2471" s="9">
        <v>0</v>
      </c>
      <c r="E2471" s="9">
        <v>0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9">
        <v>0</v>
      </c>
      <c r="R2471" s="9">
        <v>1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1</v>
      </c>
      <c r="AE2471" s="9">
        <f>IFERROR(VLOOKUP($A2471,pivot!$A:$G,計算式2026!AE$1,FALSE),0)</f>
        <v>0</v>
      </c>
      <c r="AF2471" s="9">
        <f>IFERROR(VLOOKUP($A2471,pivot!$A:$I,計算式2026!AF$1,FALSE),0)</f>
        <v>0</v>
      </c>
      <c r="AI2471" s="9">
        <f>IFERROR(VLOOKUP($A2471,pivot!$A:$I,計算式2026!AI$1,FALSE),0)</f>
        <v>0</v>
      </c>
      <c r="AJ2471" s="9">
        <f>IFERROR(VLOOKUP($A2471,pivot!$A:$I,計算式2026!AJ$1,FALSE),0)</f>
        <v>0</v>
      </c>
      <c r="AK2471" s="9">
        <f>IFERROR(VLOOKUP($A2471,pivot!$A:$I,計算式2026!AK$1,FALSE),0)</f>
        <v>0</v>
      </c>
      <c r="AL2471" s="9">
        <f>IFERROR(VLOOKUP($A2471,pivot!$A:$I,計算式2026!AL$1,FALSE),0)</f>
        <v>0</v>
      </c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</row>
    <row r="2472" spans="1:59" s="9" customFormat="1">
      <c r="A2472" s="8" t="s">
        <v>1841</v>
      </c>
      <c r="B2472" s="8" t="s">
        <v>2569</v>
      </c>
      <c r="C2472" s="9">
        <v>0</v>
      </c>
      <c r="D2472" s="9">
        <v>0</v>
      </c>
      <c r="E2472" s="9">
        <v>0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AE2472" s="9">
        <f>IFERROR(VLOOKUP($A2472,pivot!$A:$G,計算式2026!AE$1,FALSE),0)</f>
        <v>0</v>
      </c>
      <c r="AF2472" s="9">
        <f>IFERROR(VLOOKUP($A2472,pivot!$A:$I,計算式2026!AF$1,FALSE),0)</f>
        <v>0</v>
      </c>
      <c r="AI2472" s="9">
        <f>IFERROR(VLOOKUP($A2472,pivot!$A:$I,計算式2026!AI$1,FALSE),0)</f>
        <v>0</v>
      </c>
      <c r="AJ2472" s="9">
        <f>IFERROR(VLOOKUP($A2472,pivot!$A:$I,計算式2026!AJ$1,FALSE),0)</f>
        <v>0</v>
      </c>
      <c r="AK2472" s="9">
        <f>IFERROR(VLOOKUP($A2472,pivot!$A:$I,計算式2026!AK$1,FALSE),0)</f>
        <v>0</v>
      </c>
      <c r="AL2472" s="9">
        <f>IFERROR(VLOOKUP($A2472,pivot!$A:$I,計算式2026!AL$1,FALSE),0)</f>
        <v>0</v>
      </c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</row>
    <row r="2473" spans="1:59" s="9" customFormat="1">
      <c r="A2473" s="8" t="s">
        <v>1842</v>
      </c>
      <c r="B2473" s="8" t="s">
        <v>2569</v>
      </c>
      <c r="C2473" s="9">
        <v>0</v>
      </c>
      <c r="D2473" s="9">
        <v>0</v>
      </c>
      <c r="E2473" s="9">
        <v>0</v>
      </c>
      <c r="F2473" s="9">
        <v>0</v>
      </c>
      <c r="G2473" s="9">
        <v>0</v>
      </c>
      <c r="H2473" s="9">
        <v>0</v>
      </c>
      <c r="I2473" s="9">
        <v>0</v>
      </c>
      <c r="J2473" s="9">
        <v>0</v>
      </c>
      <c r="K2473" s="9">
        <v>0</v>
      </c>
      <c r="R2473" s="9">
        <v>1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1</v>
      </c>
      <c r="AE2473" s="9">
        <f>IFERROR(VLOOKUP($A2473,pivot!$A:$G,計算式2026!AE$1,FALSE),0)</f>
        <v>0</v>
      </c>
      <c r="AF2473" s="9">
        <f>IFERROR(VLOOKUP($A2473,pivot!$A:$I,計算式2026!AF$1,FALSE),0)</f>
        <v>0</v>
      </c>
      <c r="AI2473" s="9">
        <f>IFERROR(VLOOKUP($A2473,pivot!$A:$I,計算式2026!AI$1,FALSE),0)</f>
        <v>0</v>
      </c>
      <c r="AJ2473" s="9">
        <f>IFERROR(VLOOKUP($A2473,pivot!$A:$I,計算式2026!AJ$1,FALSE),0)</f>
        <v>0</v>
      </c>
      <c r="AK2473" s="9">
        <f>IFERROR(VLOOKUP($A2473,pivot!$A:$I,計算式2026!AK$1,FALSE),0)</f>
        <v>0</v>
      </c>
      <c r="AL2473" s="9">
        <f>IFERROR(VLOOKUP($A2473,pivot!$A:$I,計算式2026!AL$1,FALSE),0)</f>
        <v>0</v>
      </c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</row>
    <row r="2474" spans="1:59" s="9" customFormat="1">
      <c r="A2474" s="8" t="s">
        <v>1843</v>
      </c>
      <c r="B2474" s="8" t="s">
        <v>2569</v>
      </c>
      <c r="C2474" s="9">
        <v>0</v>
      </c>
      <c r="D2474" s="9">
        <v>0</v>
      </c>
      <c r="E2474" s="9">
        <v>0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9">
        <v>0</v>
      </c>
      <c r="R2474" s="9">
        <v>0</v>
      </c>
      <c r="S2474" s="9">
        <v>1</v>
      </c>
      <c r="T2474" s="9">
        <v>1</v>
      </c>
      <c r="U2474" s="9">
        <v>0</v>
      </c>
      <c r="V2474" s="9">
        <v>1</v>
      </c>
      <c r="W2474" s="9">
        <v>0</v>
      </c>
      <c r="X2474" s="9">
        <v>1</v>
      </c>
      <c r="AE2474" s="9">
        <f>IFERROR(VLOOKUP($A2474,pivot!$A:$G,計算式2026!AE$1,FALSE),0)</f>
        <v>0</v>
      </c>
      <c r="AF2474" s="9">
        <f>IFERROR(VLOOKUP($A2474,pivot!$A:$I,計算式2026!AF$1,FALSE),0)</f>
        <v>0</v>
      </c>
      <c r="AI2474" s="9">
        <f>IFERROR(VLOOKUP($A2474,pivot!$A:$I,計算式2026!AI$1,FALSE),0)</f>
        <v>0</v>
      </c>
      <c r="AJ2474" s="9">
        <f>IFERROR(VLOOKUP($A2474,pivot!$A:$I,計算式2026!AJ$1,FALSE),0)</f>
        <v>0</v>
      </c>
      <c r="AK2474" s="9">
        <f>IFERROR(VLOOKUP($A2474,pivot!$A:$I,計算式2026!AK$1,FALSE),0)</f>
        <v>0</v>
      </c>
      <c r="AL2474" s="9">
        <f>IFERROR(VLOOKUP($A2474,pivot!$A:$I,計算式2026!AL$1,FALSE),0)</f>
        <v>0</v>
      </c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/>
      <c r="BC2474" s="8"/>
      <c r="BD2474" s="8"/>
      <c r="BE2474" s="8"/>
      <c r="BF2474" s="8"/>
      <c r="BG2474" s="8"/>
    </row>
    <row r="2475" spans="1:59" s="9" customFormat="1">
      <c r="A2475" s="8" t="s">
        <v>1506</v>
      </c>
      <c r="B2475" s="8" t="s">
        <v>2570</v>
      </c>
      <c r="C2475" s="9">
        <v>4</v>
      </c>
      <c r="D2475" s="9">
        <v>0</v>
      </c>
      <c r="E2475" s="9">
        <v>0</v>
      </c>
      <c r="F2475" s="9">
        <v>0</v>
      </c>
      <c r="G2475" s="9">
        <v>0</v>
      </c>
      <c r="H2475" s="9">
        <v>0</v>
      </c>
      <c r="I2475" s="9">
        <v>0</v>
      </c>
      <c r="J2475" s="9">
        <v>0</v>
      </c>
      <c r="K2475" s="9">
        <v>0</v>
      </c>
      <c r="R2475" s="9">
        <v>0</v>
      </c>
      <c r="S2475" s="9">
        <v>0</v>
      </c>
      <c r="T2475" s="9">
        <v>1</v>
      </c>
      <c r="U2475" s="9">
        <v>0</v>
      </c>
      <c r="V2475" s="9">
        <v>0</v>
      </c>
      <c r="W2475" s="9">
        <v>0</v>
      </c>
      <c r="X2475" s="9">
        <v>1</v>
      </c>
      <c r="AE2475" s="9">
        <f>IFERROR(VLOOKUP($A2475,pivot!$A:$G,計算式2026!AE$1,FALSE),0)</f>
        <v>0</v>
      </c>
      <c r="AF2475" s="9">
        <f>IFERROR(VLOOKUP($A2475,pivot!$A:$I,計算式2026!AF$1,FALSE),0)</f>
        <v>0</v>
      </c>
      <c r="AI2475" s="9">
        <f>IFERROR(VLOOKUP($A2475,pivot!$A:$I,計算式2026!AI$1,FALSE),0)</f>
        <v>0</v>
      </c>
      <c r="AJ2475" s="9">
        <f>IFERROR(VLOOKUP($A2475,pivot!$A:$I,計算式2026!AJ$1,FALSE),0)</f>
        <v>0</v>
      </c>
      <c r="AK2475" s="9">
        <f>IFERROR(VLOOKUP($A2475,pivot!$A:$I,計算式2026!AK$1,FALSE),0)</f>
        <v>0</v>
      </c>
      <c r="AL2475" s="9">
        <f>IFERROR(VLOOKUP($A2475,pivot!$A:$I,計算式2026!AL$1,FALSE),0)</f>
        <v>0</v>
      </c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</row>
    <row r="2476" spans="1:59" s="9" customFormat="1">
      <c r="A2476" s="8" t="s">
        <v>1507</v>
      </c>
      <c r="B2476" s="8" t="s">
        <v>2570</v>
      </c>
      <c r="C2476" s="9">
        <v>16</v>
      </c>
      <c r="D2476" s="9">
        <v>0</v>
      </c>
      <c r="E2476" s="9">
        <v>0</v>
      </c>
      <c r="F2476" s="9">
        <v>0</v>
      </c>
      <c r="G2476" s="9">
        <v>0</v>
      </c>
      <c r="H2476" s="9">
        <v>0</v>
      </c>
      <c r="I2476" s="9">
        <v>0</v>
      </c>
      <c r="J2476" s="9">
        <v>0</v>
      </c>
      <c r="K2476" s="9">
        <v>0</v>
      </c>
      <c r="R2476" s="9">
        <v>0</v>
      </c>
      <c r="S2476" s="9">
        <v>0</v>
      </c>
      <c r="T2476" s="9">
        <v>1</v>
      </c>
      <c r="U2476" s="9">
        <v>0</v>
      </c>
      <c r="V2476" s="9">
        <v>0</v>
      </c>
      <c r="W2476" s="9">
        <v>0</v>
      </c>
      <c r="X2476" s="9">
        <v>1</v>
      </c>
      <c r="AE2476" s="9">
        <f>IFERROR(VLOOKUP($A2476,pivot!$A:$G,計算式2026!AE$1,FALSE),0)</f>
        <v>0</v>
      </c>
      <c r="AF2476" s="9">
        <f>IFERROR(VLOOKUP($A2476,pivot!$A:$I,計算式2026!AF$1,FALSE),0)</f>
        <v>0</v>
      </c>
      <c r="AI2476" s="9">
        <f>IFERROR(VLOOKUP($A2476,pivot!$A:$I,計算式2026!AI$1,FALSE),0)</f>
        <v>0</v>
      </c>
      <c r="AJ2476" s="9">
        <f>IFERROR(VLOOKUP($A2476,pivot!$A:$I,計算式2026!AJ$1,FALSE),0)</f>
        <v>0</v>
      </c>
      <c r="AK2476" s="9">
        <f>IFERROR(VLOOKUP($A2476,pivot!$A:$I,計算式2026!AK$1,FALSE),0)</f>
        <v>0</v>
      </c>
      <c r="AL2476" s="9">
        <f>IFERROR(VLOOKUP($A2476,pivot!$A:$I,計算式2026!AL$1,FALSE),0)</f>
        <v>0</v>
      </c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8"/>
      <c r="BG2476" s="8"/>
    </row>
    <row r="2477" spans="1:59" s="9" customFormat="1">
      <c r="A2477" s="8" t="s">
        <v>1508</v>
      </c>
      <c r="B2477" s="8" t="s">
        <v>2570</v>
      </c>
      <c r="C2477" s="9">
        <v>6</v>
      </c>
      <c r="D2477" s="9">
        <v>0</v>
      </c>
      <c r="E2477" s="9">
        <v>0</v>
      </c>
      <c r="F2477" s="9">
        <v>0</v>
      </c>
      <c r="G2477" s="9">
        <v>0</v>
      </c>
      <c r="H2477" s="9">
        <v>0</v>
      </c>
      <c r="I2477" s="9">
        <v>0</v>
      </c>
      <c r="J2477" s="9">
        <v>0</v>
      </c>
      <c r="K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1</v>
      </c>
      <c r="AE2477" s="9">
        <f>IFERROR(VLOOKUP($A2477,pivot!$A:$G,計算式2026!AE$1,FALSE),0)</f>
        <v>0</v>
      </c>
      <c r="AF2477" s="9">
        <f>IFERROR(VLOOKUP($A2477,pivot!$A:$I,計算式2026!AF$1,FALSE),0)</f>
        <v>0</v>
      </c>
      <c r="AI2477" s="9">
        <f>IFERROR(VLOOKUP($A2477,pivot!$A:$I,計算式2026!AI$1,FALSE),0)</f>
        <v>0</v>
      </c>
      <c r="AJ2477" s="9">
        <f>IFERROR(VLOOKUP($A2477,pivot!$A:$I,計算式2026!AJ$1,FALSE),0)</f>
        <v>0</v>
      </c>
      <c r="AK2477" s="9">
        <f>IFERROR(VLOOKUP($A2477,pivot!$A:$I,計算式2026!AK$1,FALSE),0)</f>
        <v>0</v>
      </c>
      <c r="AL2477" s="9">
        <f>IFERROR(VLOOKUP($A2477,pivot!$A:$I,計算式2026!AL$1,FALSE),0)</f>
        <v>0</v>
      </c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</row>
    <row r="2478" spans="1:59" s="9" customFormat="1">
      <c r="A2478" s="8" t="s">
        <v>1509</v>
      </c>
      <c r="B2478" s="8" t="s">
        <v>2570</v>
      </c>
      <c r="C2478" s="9">
        <v>2</v>
      </c>
      <c r="D2478" s="9">
        <v>0</v>
      </c>
      <c r="E2478" s="9">
        <v>0</v>
      </c>
      <c r="F2478" s="9">
        <v>0</v>
      </c>
      <c r="G2478" s="9">
        <v>0</v>
      </c>
      <c r="H2478" s="9">
        <v>0</v>
      </c>
      <c r="I2478" s="9">
        <v>0</v>
      </c>
      <c r="J2478" s="9">
        <v>0</v>
      </c>
      <c r="K2478" s="9">
        <v>0</v>
      </c>
      <c r="R2478" s="9">
        <v>0</v>
      </c>
      <c r="S2478" s="9">
        <v>0</v>
      </c>
      <c r="T2478" s="9">
        <v>1</v>
      </c>
      <c r="U2478" s="9">
        <v>0</v>
      </c>
      <c r="V2478" s="9">
        <v>0</v>
      </c>
      <c r="W2478" s="9">
        <v>0</v>
      </c>
      <c r="X2478" s="9">
        <v>1</v>
      </c>
      <c r="AE2478" s="9">
        <f>IFERROR(VLOOKUP($A2478,pivot!$A:$G,計算式2026!AE$1,FALSE),0)</f>
        <v>0</v>
      </c>
      <c r="AF2478" s="9">
        <f>IFERROR(VLOOKUP($A2478,pivot!$A:$I,計算式2026!AF$1,FALSE),0)</f>
        <v>0</v>
      </c>
      <c r="AI2478" s="9">
        <f>IFERROR(VLOOKUP($A2478,pivot!$A:$I,計算式2026!AI$1,FALSE),0)</f>
        <v>0</v>
      </c>
      <c r="AJ2478" s="9">
        <f>IFERROR(VLOOKUP($A2478,pivot!$A:$I,計算式2026!AJ$1,FALSE),0)</f>
        <v>0</v>
      </c>
      <c r="AK2478" s="9">
        <f>IFERROR(VLOOKUP($A2478,pivot!$A:$I,計算式2026!AK$1,FALSE),0)</f>
        <v>0</v>
      </c>
      <c r="AL2478" s="9">
        <f>IFERROR(VLOOKUP($A2478,pivot!$A:$I,計算式2026!AL$1,FALSE),0)</f>
        <v>0</v>
      </c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</row>
    <row r="2479" spans="1:59" s="9" customFormat="1">
      <c r="A2479" s="8" t="s">
        <v>1510</v>
      </c>
      <c r="B2479" s="8" t="s">
        <v>2570</v>
      </c>
      <c r="C2479" s="9">
        <v>15</v>
      </c>
      <c r="D2479" s="9">
        <v>0</v>
      </c>
      <c r="E2479" s="9">
        <v>0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R2479" s="9">
        <v>0</v>
      </c>
      <c r="S2479" s="9">
        <v>0</v>
      </c>
      <c r="T2479" s="9">
        <v>1</v>
      </c>
      <c r="U2479" s="9">
        <v>0</v>
      </c>
      <c r="V2479" s="9">
        <v>0</v>
      </c>
      <c r="W2479" s="9">
        <v>0</v>
      </c>
      <c r="X2479" s="9">
        <v>1</v>
      </c>
      <c r="AE2479" s="9">
        <f>IFERROR(VLOOKUP($A2479,pivot!$A:$G,計算式2026!AE$1,FALSE),0)</f>
        <v>0</v>
      </c>
      <c r="AF2479" s="9">
        <f>IFERROR(VLOOKUP($A2479,pivot!$A:$I,計算式2026!AF$1,FALSE),0)</f>
        <v>0</v>
      </c>
      <c r="AI2479" s="9">
        <f>IFERROR(VLOOKUP($A2479,pivot!$A:$I,計算式2026!AI$1,FALSE),0)</f>
        <v>0</v>
      </c>
      <c r="AJ2479" s="9">
        <f>IFERROR(VLOOKUP($A2479,pivot!$A:$I,計算式2026!AJ$1,FALSE),0)</f>
        <v>0</v>
      </c>
      <c r="AK2479" s="9">
        <f>IFERROR(VLOOKUP($A2479,pivot!$A:$I,計算式2026!AK$1,FALSE),0)</f>
        <v>0</v>
      </c>
      <c r="AL2479" s="9">
        <f>IFERROR(VLOOKUP($A2479,pivot!$A:$I,計算式2026!AL$1,FALSE),0)</f>
        <v>0</v>
      </c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8"/>
      <c r="BG2479" s="8"/>
    </row>
    <row r="2480" spans="1:59" s="9" customFormat="1">
      <c r="A2480" s="8" t="s">
        <v>1511</v>
      </c>
      <c r="B2480" s="8" t="s">
        <v>2570</v>
      </c>
      <c r="C2480" s="9">
        <v>7</v>
      </c>
      <c r="D2480" s="9">
        <v>0</v>
      </c>
      <c r="E2480" s="9">
        <v>0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1</v>
      </c>
      <c r="AE2480" s="9">
        <f>IFERROR(VLOOKUP($A2480,pivot!$A:$G,計算式2026!AE$1,FALSE),0)</f>
        <v>0</v>
      </c>
      <c r="AF2480" s="9">
        <f>IFERROR(VLOOKUP($A2480,pivot!$A:$I,計算式2026!AF$1,FALSE),0)</f>
        <v>0</v>
      </c>
      <c r="AI2480" s="9">
        <f>IFERROR(VLOOKUP($A2480,pivot!$A:$I,計算式2026!AI$1,FALSE),0)</f>
        <v>0</v>
      </c>
      <c r="AJ2480" s="9">
        <f>IFERROR(VLOOKUP($A2480,pivot!$A:$I,計算式2026!AJ$1,FALSE),0)</f>
        <v>0</v>
      </c>
      <c r="AK2480" s="9">
        <f>IFERROR(VLOOKUP($A2480,pivot!$A:$I,計算式2026!AK$1,FALSE),0)</f>
        <v>0</v>
      </c>
      <c r="AL2480" s="9">
        <f>IFERROR(VLOOKUP($A2480,pivot!$A:$I,計算式2026!AL$1,FALSE),0)</f>
        <v>0</v>
      </c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</row>
    <row r="2481" spans="1:59" s="9" customFormat="1">
      <c r="A2481" s="8" t="s">
        <v>1816</v>
      </c>
      <c r="B2481" s="8" t="s">
        <v>2571</v>
      </c>
      <c r="C2481" s="9">
        <v>0</v>
      </c>
      <c r="D2481" s="9">
        <v>0</v>
      </c>
      <c r="E2481" s="9">
        <v>0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R2481" s="9">
        <v>0</v>
      </c>
      <c r="S2481" s="9">
        <v>2</v>
      </c>
      <c r="T2481" s="9">
        <v>0</v>
      </c>
      <c r="U2481" s="9">
        <v>0</v>
      </c>
      <c r="V2481" s="9">
        <v>2</v>
      </c>
      <c r="W2481" s="9">
        <v>0</v>
      </c>
      <c r="X2481" s="9">
        <v>1</v>
      </c>
      <c r="AE2481" s="9">
        <f>IFERROR(VLOOKUP($A2481,pivot!$A:$G,計算式2026!AE$1,FALSE),0)</f>
        <v>0</v>
      </c>
      <c r="AF2481" s="9">
        <f>IFERROR(VLOOKUP($A2481,pivot!$A:$I,計算式2026!AF$1,FALSE),0)</f>
        <v>0</v>
      </c>
      <c r="AI2481" s="9">
        <f>IFERROR(VLOOKUP($A2481,pivot!$A:$I,計算式2026!AI$1,FALSE),0)</f>
        <v>0</v>
      </c>
      <c r="AJ2481" s="9">
        <f>IFERROR(VLOOKUP($A2481,pivot!$A:$I,計算式2026!AJ$1,FALSE),0)</f>
        <v>0</v>
      </c>
      <c r="AK2481" s="9">
        <f>IFERROR(VLOOKUP($A2481,pivot!$A:$I,計算式2026!AK$1,FALSE),0)</f>
        <v>0</v>
      </c>
      <c r="AL2481" s="9">
        <f>IFERROR(VLOOKUP($A2481,pivot!$A:$I,計算式2026!AL$1,FALSE),0)</f>
        <v>0</v>
      </c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</row>
    <row r="2482" spans="1:59" s="9" customFormat="1">
      <c r="A2482" s="8" t="s">
        <v>1817</v>
      </c>
      <c r="B2482" s="8" t="s">
        <v>2571</v>
      </c>
      <c r="C2482" s="9">
        <v>0</v>
      </c>
      <c r="D2482" s="9">
        <v>0</v>
      </c>
      <c r="E2482" s="9">
        <v>0</v>
      </c>
      <c r="F2482" s="9">
        <v>0</v>
      </c>
      <c r="G2482" s="9">
        <v>0</v>
      </c>
      <c r="H2482" s="9">
        <v>0</v>
      </c>
      <c r="I2482" s="9">
        <v>0</v>
      </c>
      <c r="J2482" s="9">
        <v>0</v>
      </c>
      <c r="K2482" s="9">
        <v>0</v>
      </c>
      <c r="R2482" s="9">
        <v>0</v>
      </c>
      <c r="S2482" s="9">
        <v>1</v>
      </c>
      <c r="T2482" s="9">
        <v>0</v>
      </c>
      <c r="U2482" s="9">
        <v>0</v>
      </c>
      <c r="V2482" s="9">
        <v>1</v>
      </c>
      <c r="W2482" s="9">
        <v>0</v>
      </c>
      <c r="X2482" s="9">
        <v>1</v>
      </c>
      <c r="AE2482" s="9">
        <f>IFERROR(VLOOKUP($A2482,pivot!$A:$G,計算式2026!AE$1,FALSE),0)</f>
        <v>0</v>
      </c>
      <c r="AF2482" s="9">
        <f>IFERROR(VLOOKUP($A2482,pivot!$A:$I,計算式2026!AF$1,FALSE),0)</f>
        <v>0</v>
      </c>
      <c r="AI2482" s="9">
        <f>IFERROR(VLOOKUP($A2482,pivot!$A:$I,計算式2026!AI$1,FALSE),0)</f>
        <v>0</v>
      </c>
      <c r="AJ2482" s="9">
        <f>IFERROR(VLOOKUP($A2482,pivot!$A:$I,計算式2026!AJ$1,FALSE),0)</f>
        <v>0</v>
      </c>
      <c r="AK2482" s="9">
        <f>IFERROR(VLOOKUP($A2482,pivot!$A:$I,計算式2026!AK$1,FALSE),0)</f>
        <v>0</v>
      </c>
      <c r="AL2482" s="9">
        <f>IFERROR(VLOOKUP($A2482,pivot!$A:$I,計算式2026!AL$1,FALSE),0)</f>
        <v>0</v>
      </c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8"/>
      <c r="BG2482" s="8"/>
    </row>
    <row r="2483" spans="1:59" s="9" customFormat="1">
      <c r="A2483" s="8" t="s">
        <v>1818</v>
      </c>
      <c r="B2483" s="8" t="s">
        <v>2571</v>
      </c>
      <c r="C2483" s="9">
        <v>0</v>
      </c>
      <c r="D2483" s="9">
        <v>0</v>
      </c>
      <c r="E2483" s="9">
        <v>0</v>
      </c>
      <c r="F2483" s="9">
        <v>0</v>
      </c>
      <c r="G2483" s="9">
        <v>0</v>
      </c>
      <c r="H2483" s="9">
        <v>0</v>
      </c>
      <c r="I2483" s="9">
        <v>0</v>
      </c>
      <c r="J2483" s="9">
        <v>0</v>
      </c>
      <c r="K2483" s="9">
        <v>0</v>
      </c>
      <c r="R2483" s="9">
        <v>0</v>
      </c>
      <c r="S2483" s="9">
        <v>1</v>
      </c>
      <c r="T2483" s="9">
        <v>0</v>
      </c>
      <c r="U2483" s="9">
        <v>0</v>
      </c>
      <c r="V2483" s="9">
        <v>2</v>
      </c>
      <c r="W2483" s="9">
        <v>0</v>
      </c>
      <c r="X2483" s="9">
        <v>1</v>
      </c>
      <c r="AE2483" s="9">
        <f>IFERROR(VLOOKUP($A2483,pivot!$A:$G,計算式2026!AE$1,FALSE),0)</f>
        <v>0</v>
      </c>
      <c r="AF2483" s="9">
        <f>IFERROR(VLOOKUP($A2483,pivot!$A:$I,計算式2026!AF$1,FALSE),0)</f>
        <v>0</v>
      </c>
      <c r="AI2483" s="9">
        <f>IFERROR(VLOOKUP($A2483,pivot!$A:$I,計算式2026!AI$1,FALSE),0)</f>
        <v>0</v>
      </c>
      <c r="AJ2483" s="9">
        <f>IFERROR(VLOOKUP($A2483,pivot!$A:$I,計算式2026!AJ$1,FALSE),0)</f>
        <v>0</v>
      </c>
      <c r="AK2483" s="9">
        <f>IFERROR(VLOOKUP($A2483,pivot!$A:$I,計算式2026!AK$1,FALSE),0)</f>
        <v>0</v>
      </c>
      <c r="AL2483" s="9">
        <f>IFERROR(VLOOKUP($A2483,pivot!$A:$I,計算式2026!AL$1,FALSE),0)</f>
        <v>0</v>
      </c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8"/>
      <c r="BG2483" s="8"/>
    </row>
    <row r="2484" spans="1:59" s="9" customFormat="1">
      <c r="A2484" s="8" t="s">
        <v>1819</v>
      </c>
      <c r="B2484" s="8" t="s">
        <v>2571</v>
      </c>
      <c r="C2484" s="9">
        <v>0</v>
      </c>
      <c r="D2484" s="9">
        <v>0</v>
      </c>
      <c r="E2484" s="9">
        <v>0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9">
        <v>0</v>
      </c>
      <c r="R2484" s="9">
        <v>0</v>
      </c>
      <c r="S2484" s="9">
        <v>2</v>
      </c>
      <c r="T2484" s="9">
        <v>0</v>
      </c>
      <c r="U2484" s="9">
        <v>0</v>
      </c>
      <c r="V2484" s="9">
        <v>2</v>
      </c>
      <c r="W2484" s="9">
        <v>0</v>
      </c>
      <c r="X2484" s="9">
        <v>1</v>
      </c>
      <c r="AE2484" s="9">
        <f>IFERROR(VLOOKUP($A2484,pivot!$A:$G,計算式2026!AE$1,FALSE),0)</f>
        <v>0</v>
      </c>
      <c r="AF2484" s="9">
        <f>IFERROR(VLOOKUP($A2484,pivot!$A:$I,計算式2026!AF$1,FALSE),0)</f>
        <v>0</v>
      </c>
      <c r="AI2484" s="9">
        <f>IFERROR(VLOOKUP($A2484,pivot!$A:$I,計算式2026!AI$1,FALSE),0)</f>
        <v>0</v>
      </c>
      <c r="AJ2484" s="9">
        <f>IFERROR(VLOOKUP($A2484,pivot!$A:$I,計算式2026!AJ$1,FALSE),0)</f>
        <v>0</v>
      </c>
      <c r="AK2484" s="9">
        <f>IFERROR(VLOOKUP($A2484,pivot!$A:$I,計算式2026!AK$1,FALSE),0)</f>
        <v>0</v>
      </c>
      <c r="AL2484" s="9">
        <f>IFERROR(VLOOKUP($A2484,pivot!$A:$I,計算式2026!AL$1,FALSE),0)</f>
        <v>0</v>
      </c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8"/>
      <c r="BG2484" s="8"/>
    </row>
    <row r="2485" spans="1:59" s="9" customFormat="1">
      <c r="A2485" s="8" t="s">
        <v>1783</v>
      </c>
      <c r="B2485" s="8" t="s">
        <v>2572</v>
      </c>
      <c r="C2485" s="9">
        <v>0</v>
      </c>
      <c r="D2485" s="9">
        <v>0</v>
      </c>
      <c r="E2485" s="9">
        <v>0</v>
      </c>
      <c r="F2485" s="9">
        <v>0</v>
      </c>
      <c r="G2485" s="9">
        <v>0</v>
      </c>
      <c r="H2485" s="9">
        <v>0</v>
      </c>
      <c r="I2485" s="9">
        <v>0</v>
      </c>
      <c r="J2485" s="9">
        <v>0</v>
      </c>
      <c r="K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1</v>
      </c>
      <c r="AE2485" s="9">
        <f>IFERROR(VLOOKUP($A2485,pivot!$A:$G,計算式2026!AE$1,FALSE),0)</f>
        <v>0</v>
      </c>
      <c r="AF2485" s="9">
        <f>IFERROR(VLOOKUP($A2485,pivot!$A:$I,計算式2026!AF$1,FALSE),0)</f>
        <v>0</v>
      </c>
      <c r="AI2485" s="9">
        <f>IFERROR(VLOOKUP($A2485,pivot!$A:$I,計算式2026!AI$1,FALSE),0)</f>
        <v>0</v>
      </c>
      <c r="AJ2485" s="9">
        <f>IFERROR(VLOOKUP($A2485,pivot!$A:$I,計算式2026!AJ$1,FALSE),0)</f>
        <v>0</v>
      </c>
      <c r="AK2485" s="9">
        <f>IFERROR(VLOOKUP($A2485,pivot!$A:$I,計算式2026!AK$1,FALSE),0)</f>
        <v>0</v>
      </c>
      <c r="AL2485" s="9">
        <f>IFERROR(VLOOKUP($A2485,pivot!$A:$I,計算式2026!AL$1,FALSE),0)</f>
        <v>0</v>
      </c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</row>
    <row r="2486" spans="1:59" s="9" customFormat="1">
      <c r="A2486" s="8" t="s">
        <v>1784</v>
      </c>
      <c r="B2486" s="8" t="s">
        <v>2572</v>
      </c>
      <c r="C2486" s="9">
        <v>1</v>
      </c>
      <c r="D2486" s="9">
        <v>0</v>
      </c>
      <c r="E2486" s="9">
        <v>0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1</v>
      </c>
      <c r="AE2486" s="9">
        <f>IFERROR(VLOOKUP($A2486,pivot!$A:$G,計算式2026!AE$1,FALSE),0)</f>
        <v>0</v>
      </c>
      <c r="AF2486" s="9">
        <f>IFERROR(VLOOKUP($A2486,pivot!$A:$I,計算式2026!AF$1,FALSE),0)</f>
        <v>0</v>
      </c>
      <c r="AI2486" s="9">
        <f>IFERROR(VLOOKUP($A2486,pivot!$A:$I,計算式2026!AI$1,FALSE),0)</f>
        <v>0</v>
      </c>
      <c r="AJ2486" s="9">
        <f>IFERROR(VLOOKUP($A2486,pivot!$A:$I,計算式2026!AJ$1,FALSE),0)</f>
        <v>0</v>
      </c>
      <c r="AK2486" s="9">
        <f>IFERROR(VLOOKUP($A2486,pivot!$A:$I,計算式2026!AK$1,FALSE),0)</f>
        <v>0</v>
      </c>
      <c r="AL2486" s="9">
        <f>IFERROR(VLOOKUP($A2486,pivot!$A:$I,計算式2026!AL$1,FALSE),0)</f>
        <v>0</v>
      </c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8"/>
      <c r="BG2486" s="8"/>
    </row>
    <row r="2487" spans="1:59" s="9" customFormat="1">
      <c r="A2487" s="8" t="s">
        <v>1785</v>
      </c>
      <c r="B2487" s="8" t="s">
        <v>2572</v>
      </c>
      <c r="C2487" s="9">
        <v>2</v>
      </c>
      <c r="D2487" s="9">
        <v>0</v>
      </c>
      <c r="E2487" s="9">
        <v>0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1</v>
      </c>
      <c r="AE2487" s="9">
        <f>IFERROR(VLOOKUP($A2487,pivot!$A:$G,計算式2026!AE$1,FALSE),0)</f>
        <v>0</v>
      </c>
      <c r="AF2487" s="9">
        <f>IFERROR(VLOOKUP($A2487,pivot!$A:$I,計算式2026!AF$1,FALSE),0)</f>
        <v>0</v>
      </c>
      <c r="AI2487" s="9">
        <f>IFERROR(VLOOKUP($A2487,pivot!$A:$I,計算式2026!AI$1,FALSE),0)</f>
        <v>0</v>
      </c>
      <c r="AJ2487" s="9">
        <f>IFERROR(VLOOKUP($A2487,pivot!$A:$I,計算式2026!AJ$1,FALSE),0)</f>
        <v>0</v>
      </c>
      <c r="AK2487" s="9">
        <f>IFERROR(VLOOKUP($A2487,pivot!$A:$I,計算式2026!AK$1,FALSE),0)</f>
        <v>0</v>
      </c>
      <c r="AL2487" s="9">
        <f>IFERROR(VLOOKUP($A2487,pivot!$A:$I,計算式2026!AL$1,FALSE),0)</f>
        <v>0</v>
      </c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/>
      <c r="BC2487" s="8"/>
      <c r="BD2487" s="8"/>
      <c r="BE2487" s="8"/>
      <c r="BF2487" s="8"/>
      <c r="BG2487" s="8"/>
    </row>
    <row r="2488" spans="1:59" s="9" customFormat="1">
      <c r="A2488" s="8" t="s">
        <v>1786</v>
      </c>
      <c r="B2488" s="8" t="s">
        <v>2572</v>
      </c>
      <c r="C2488" s="9">
        <v>0</v>
      </c>
      <c r="D2488" s="9">
        <v>0</v>
      </c>
      <c r="E2488" s="9">
        <v>0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1</v>
      </c>
      <c r="AE2488" s="9">
        <f>IFERROR(VLOOKUP($A2488,pivot!$A:$G,計算式2026!AE$1,FALSE),0)</f>
        <v>0</v>
      </c>
      <c r="AF2488" s="9">
        <f>IFERROR(VLOOKUP($A2488,pivot!$A:$I,計算式2026!AF$1,FALSE),0)</f>
        <v>0</v>
      </c>
      <c r="AI2488" s="9">
        <f>IFERROR(VLOOKUP($A2488,pivot!$A:$I,計算式2026!AI$1,FALSE),0)</f>
        <v>0</v>
      </c>
      <c r="AJ2488" s="9">
        <f>IFERROR(VLOOKUP($A2488,pivot!$A:$I,計算式2026!AJ$1,FALSE),0)</f>
        <v>0</v>
      </c>
      <c r="AK2488" s="9">
        <f>IFERROR(VLOOKUP($A2488,pivot!$A:$I,計算式2026!AK$1,FALSE),0)</f>
        <v>0</v>
      </c>
      <c r="AL2488" s="9">
        <f>IFERROR(VLOOKUP($A2488,pivot!$A:$I,計算式2026!AL$1,FALSE),0)</f>
        <v>0</v>
      </c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8"/>
      <c r="BG2488" s="8"/>
    </row>
    <row r="2489" spans="1:59" s="9" customFormat="1">
      <c r="A2489" s="8" t="s">
        <v>1787</v>
      </c>
      <c r="B2489" s="8" t="s">
        <v>2572</v>
      </c>
      <c r="C2489" s="9">
        <v>1</v>
      </c>
      <c r="D2489" s="9">
        <v>0</v>
      </c>
      <c r="E2489" s="9">
        <v>0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1</v>
      </c>
      <c r="AE2489" s="9">
        <f>IFERROR(VLOOKUP($A2489,pivot!$A:$G,計算式2026!AE$1,FALSE),0)</f>
        <v>0</v>
      </c>
      <c r="AF2489" s="9">
        <f>IFERROR(VLOOKUP($A2489,pivot!$A:$I,計算式2026!AF$1,FALSE),0)</f>
        <v>0</v>
      </c>
      <c r="AI2489" s="9">
        <f>IFERROR(VLOOKUP($A2489,pivot!$A:$I,計算式2026!AI$1,FALSE),0)</f>
        <v>0</v>
      </c>
      <c r="AJ2489" s="9">
        <f>IFERROR(VLOOKUP($A2489,pivot!$A:$I,計算式2026!AJ$1,FALSE),0)</f>
        <v>0</v>
      </c>
      <c r="AK2489" s="9">
        <f>IFERROR(VLOOKUP($A2489,pivot!$A:$I,計算式2026!AK$1,FALSE),0)</f>
        <v>0</v>
      </c>
      <c r="AL2489" s="9">
        <f>IFERROR(VLOOKUP($A2489,pivot!$A:$I,計算式2026!AL$1,FALSE),0)</f>
        <v>0</v>
      </c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</row>
    <row r="2490" spans="1:59" s="9" customFormat="1">
      <c r="A2490" s="8" t="s">
        <v>1788</v>
      </c>
      <c r="B2490" s="8" t="s">
        <v>2573</v>
      </c>
      <c r="C2490" s="9">
        <v>1</v>
      </c>
      <c r="D2490" s="9">
        <v>0</v>
      </c>
      <c r="E2490" s="9">
        <v>0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9">
        <v>0</v>
      </c>
      <c r="R2490" s="9">
        <v>0</v>
      </c>
      <c r="S2490" s="9">
        <v>0</v>
      </c>
      <c r="T2490" s="9">
        <v>1</v>
      </c>
      <c r="U2490" s="9">
        <v>0</v>
      </c>
      <c r="V2490" s="9">
        <v>0</v>
      </c>
      <c r="W2490" s="9">
        <v>0</v>
      </c>
      <c r="X2490" s="9">
        <v>1</v>
      </c>
      <c r="AE2490" s="9">
        <f>IFERROR(VLOOKUP($A2490,pivot!$A:$G,計算式2026!AE$1,FALSE),0)</f>
        <v>0</v>
      </c>
      <c r="AF2490" s="9">
        <f>IFERROR(VLOOKUP($A2490,pivot!$A:$I,計算式2026!AF$1,FALSE),0)</f>
        <v>0</v>
      </c>
      <c r="AI2490" s="9">
        <f>IFERROR(VLOOKUP($A2490,pivot!$A:$I,計算式2026!AI$1,FALSE),0)</f>
        <v>0</v>
      </c>
      <c r="AJ2490" s="9">
        <f>IFERROR(VLOOKUP($A2490,pivot!$A:$I,計算式2026!AJ$1,FALSE),0)</f>
        <v>0</v>
      </c>
      <c r="AK2490" s="9">
        <f>IFERROR(VLOOKUP($A2490,pivot!$A:$I,計算式2026!AK$1,FALSE),0)</f>
        <v>0</v>
      </c>
      <c r="AL2490" s="9">
        <f>IFERROR(VLOOKUP($A2490,pivot!$A:$I,計算式2026!AL$1,FALSE),0)</f>
        <v>0</v>
      </c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8"/>
      <c r="BG2490" s="8"/>
    </row>
    <row r="2491" spans="1:59" s="9" customFormat="1">
      <c r="A2491" s="8" t="s">
        <v>1731</v>
      </c>
      <c r="B2491" s="8" t="s">
        <v>2573</v>
      </c>
      <c r="C2491" s="9">
        <v>5</v>
      </c>
      <c r="D2491" s="9">
        <v>0</v>
      </c>
      <c r="E2491" s="9">
        <v>0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0</v>
      </c>
      <c r="R2491" s="9">
        <v>0</v>
      </c>
      <c r="S2491" s="9">
        <v>3</v>
      </c>
      <c r="T2491" s="9">
        <v>1</v>
      </c>
      <c r="U2491" s="9">
        <v>0</v>
      </c>
      <c r="V2491" s="9">
        <v>2</v>
      </c>
      <c r="W2491" s="9">
        <v>0</v>
      </c>
      <c r="X2491" s="9">
        <v>1</v>
      </c>
      <c r="AE2491" s="9">
        <f>IFERROR(VLOOKUP($A2491,pivot!$A:$G,計算式2026!AE$1,FALSE),0)</f>
        <v>0</v>
      </c>
      <c r="AF2491" s="9">
        <f>IFERROR(VLOOKUP($A2491,pivot!$A:$I,計算式2026!AF$1,FALSE),0)</f>
        <v>0</v>
      </c>
      <c r="AI2491" s="9">
        <f>IFERROR(VLOOKUP($A2491,pivot!$A:$I,計算式2026!AI$1,FALSE),0)</f>
        <v>0</v>
      </c>
      <c r="AJ2491" s="9">
        <f>IFERROR(VLOOKUP($A2491,pivot!$A:$I,計算式2026!AJ$1,FALSE),0)</f>
        <v>0</v>
      </c>
      <c r="AK2491" s="9">
        <f>IFERROR(VLOOKUP($A2491,pivot!$A:$I,計算式2026!AK$1,FALSE),0)</f>
        <v>0</v>
      </c>
      <c r="AL2491" s="9">
        <f>IFERROR(VLOOKUP($A2491,pivot!$A:$I,計算式2026!AL$1,FALSE),0)</f>
        <v>0</v>
      </c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</row>
    <row r="2492" spans="1:59" s="9" customFormat="1">
      <c r="A2492" s="8" t="s">
        <v>1732</v>
      </c>
      <c r="B2492" s="8" t="s">
        <v>2573</v>
      </c>
      <c r="C2492" s="9">
        <v>2</v>
      </c>
      <c r="D2492" s="9">
        <v>0</v>
      </c>
      <c r="E2492" s="9">
        <v>0</v>
      </c>
      <c r="F2492" s="9">
        <v>0</v>
      </c>
      <c r="G2492" s="9">
        <v>0</v>
      </c>
      <c r="H2492" s="9">
        <v>0</v>
      </c>
      <c r="I2492" s="9">
        <v>0</v>
      </c>
      <c r="J2492" s="9">
        <v>0</v>
      </c>
      <c r="K2492" s="9">
        <v>0</v>
      </c>
      <c r="R2492" s="9">
        <v>0</v>
      </c>
      <c r="S2492" s="9">
        <v>3</v>
      </c>
      <c r="T2492" s="9">
        <v>0</v>
      </c>
      <c r="U2492" s="9">
        <v>0</v>
      </c>
      <c r="V2492" s="9">
        <v>3</v>
      </c>
      <c r="W2492" s="9">
        <v>0</v>
      </c>
      <c r="X2492" s="9">
        <v>1</v>
      </c>
      <c r="AE2492" s="9">
        <f>IFERROR(VLOOKUP($A2492,pivot!$A:$G,計算式2026!AE$1,FALSE),0)</f>
        <v>0</v>
      </c>
      <c r="AF2492" s="9">
        <f>IFERROR(VLOOKUP($A2492,pivot!$A:$I,計算式2026!AF$1,FALSE),0)</f>
        <v>0</v>
      </c>
      <c r="AI2492" s="9">
        <f>IFERROR(VLOOKUP($A2492,pivot!$A:$I,計算式2026!AI$1,FALSE),0)</f>
        <v>0</v>
      </c>
      <c r="AJ2492" s="9">
        <f>IFERROR(VLOOKUP($A2492,pivot!$A:$I,計算式2026!AJ$1,FALSE),0)</f>
        <v>0</v>
      </c>
      <c r="AK2492" s="9">
        <f>IFERROR(VLOOKUP($A2492,pivot!$A:$I,計算式2026!AK$1,FALSE),0)</f>
        <v>0</v>
      </c>
      <c r="AL2492" s="9">
        <f>IFERROR(VLOOKUP($A2492,pivot!$A:$I,計算式2026!AL$1,FALSE),0)</f>
        <v>0</v>
      </c>
      <c r="AR2492" s="8"/>
      <c r="AS2492" s="8"/>
      <c r="AT2492" s="8"/>
      <c r="AU2492" s="8"/>
      <c r="AV2492" s="8"/>
      <c r="AW2492" s="8"/>
      <c r="AX2492" s="8"/>
      <c r="AY2492" s="8"/>
      <c r="AZ2492" s="8"/>
      <c r="BA2492" s="8"/>
      <c r="BB2492" s="8"/>
      <c r="BC2492" s="8"/>
      <c r="BD2492" s="8"/>
      <c r="BE2492" s="8"/>
      <c r="BF2492" s="8"/>
      <c r="BG2492" s="8"/>
    </row>
    <row r="2493" spans="1:59" s="9" customFormat="1">
      <c r="A2493" s="8" t="s">
        <v>1789</v>
      </c>
      <c r="B2493" s="8" t="s">
        <v>2573</v>
      </c>
      <c r="C2493" s="9">
        <v>0</v>
      </c>
      <c r="D2493" s="9">
        <v>0</v>
      </c>
      <c r="E2493" s="9">
        <v>0</v>
      </c>
      <c r="F2493" s="9">
        <v>0</v>
      </c>
      <c r="G2493" s="9">
        <v>0</v>
      </c>
      <c r="H2493" s="9">
        <v>0</v>
      </c>
      <c r="I2493" s="9">
        <v>0</v>
      </c>
      <c r="J2493" s="9">
        <v>0</v>
      </c>
      <c r="K2493" s="9">
        <v>0</v>
      </c>
      <c r="R2493" s="9">
        <v>0</v>
      </c>
      <c r="S2493" s="9">
        <v>1</v>
      </c>
      <c r="T2493" s="9">
        <v>1</v>
      </c>
      <c r="U2493" s="9">
        <v>0</v>
      </c>
      <c r="V2493" s="9">
        <v>1</v>
      </c>
      <c r="W2493" s="9">
        <v>0</v>
      </c>
      <c r="X2493" s="9">
        <v>1</v>
      </c>
      <c r="AE2493" s="9">
        <f>IFERROR(VLOOKUP($A2493,pivot!$A:$G,計算式2026!AE$1,FALSE),0)</f>
        <v>0</v>
      </c>
      <c r="AF2493" s="9">
        <f>IFERROR(VLOOKUP($A2493,pivot!$A:$I,計算式2026!AF$1,FALSE),0)</f>
        <v>0</v>
      </c>
      <c r="AI2493" s="9">
        <f>IFERROR(VLOOKUP($A2493,pivot!$A:$I,計算式2026!AI$1,FALSE),0)</f>
        <v>0</v>
      </c>
      <c r="AJ2493" s="9">
        <f>IFERROR(VLOOKUP($A2493,pivot!$A:$I,計算式2026!AJ$1,FALSE),0)</f>
        <v>0</v>
      </c>
      <c r="AK2493" s="9">
        <f>IFERROR(VLOOKUP($A2493,pivot!$A:$I,計算式2026!AK$1,FALSE),0)</f>
        <v>0</v>
      </c>
      <c r="AL2493" s="9">
        <f>IFERROR(VLOOKUP($A2493,pivot!$A:$I,計算式2026!AL$1,FALSE),0)</f>
        <v>0</v>
      </c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8"/>
      <c r="BG2493" s="8"/>
    </row>
    <row r="2494" spans="1:59" s="9" customFormat="1">
      <c r="A2494" s="8" t="s">
        <v>1733</v>
      </c>
      <c r="B2494" s="8" t="s">
        <v>2573</v>
      </c>
      <c r="C2494" s="9">
        <v>8</v>
      </c>
      <c r="D2494" s="9">
        <v>0</v>
      </c>
      <c r="E2494" s="9">
        <v>0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R2494" s="9">
        <v>0</v>
      </c>
      <c r="S2494" s="9">
        <v>2</v>
      </c>
      <c r="T2494" s="9">
        <v>1</v>
      </c>
      <c r="U2494" s="9">
        <v>0</v>
      </c>
      <c r="V2494" s="9">
        <v>2</v>
      </c>
      <c r="W2494" s="9">
        <v>0</v>
      </c>
      <c r="X2494" s="9">
        <v>1</v>
      </c>
      <c r="AE2494" s="9">
        <f>IFERROR(VLOOKUP($A2494,pivot!$A:$G,計算式2026!AE$1,FALSE),0)</f>
        <v>0</v>
      </c>
      <c r="AF2494" s="9">
        <f>IFERROR(VLOOKUP($A2494,pivot!$A:$I,計算式2026!AF$1,FALSE),0)</f>
        <v>0</v>
      </c>
      <c r="AI2494" s="9">
        <f>IFERROR(VLOOKUP($A2494,pivot!$A:$I,計算式2026!AI$1,FALSE),0)</f>
        <v>0</v>
      </c>
      <c r="AJ2494" s="9">
        <f>IFERROR(VLOOKUP($A2494,pivot!$A:$I,計算式2026!AJ$1,FALSE),0)</f>
        <v>0</v>
      </c>
      <c r="AK2494" s="9">
        <f>IFERROR(VLOOKUP($A2494,pivot!$A:$I,計算式2026!AK$1,FALSE),0)</f>
        <v>0</v>
      </c>
      <c r="AL2494" s="9">
        <f>IFERROR(VLOOKUP($A2494,pivot!$A:$I,計算式2026!AL$1,FALSE),0)</f>
        <v>0</v>
      </c>
      <c r="AR2494" s="8"/>
      <c r="AS2494" s="8"/>
      <c r="AT2494" s="8"/>
      <c r="AU2494" s="8"/>
      <c r="AV2494" s="8"/>
      <c r="AW2494" s="8"/>
      <c r="AX2494" s="8"/>
      <c r="AY2494" s="8"/>
      <c r="AZ2494" s="8"/>
      <c r="BA2494" s="8"/>
      <c r="BB2494" s="8"/>
      <c r="BC2494" s="8"/>
      <c r="BD2494" s="8"/>
      <c r="BE2494" s="8"/>
      <c r="BF2494" s="8"/>
      <c r="BG2494" s="8"/>
    </row>
    <row r="2495" spans="1:59" s="9" customFormat="1">
      <c r="A2495" s="8" t="s">
        <v>1734</v>
      </c>
      <c r="B2495" s="8" t="s">
        <v>2573</v>
      </c>
      <c r="C2495" s="9">
        <v>0</v>
      </c>
      <c r="D2495" s="9">
        <v>0</v>
      </c>
      <c r="E2495" s="9">
        <v>0</v>
      </c>
      <c r="F2495" s="9">
        <v>0</v>
      </c>
      <c r="G2495" s="9">
        <v>0</v>
      </c>
      <c r="H2495" s="9">
        <v>0</v>
      </c>
      <c r="I2495" s="9">
        <v>0</v>
      </c>
      <c r="J2495" s="9">
        <v>0</v>
      </c>
      <c r="K2495" s="9">
        <v>0</v>
      </c>
      <c r="R2495" s="9">
        <v>0</v>
      </c>
      <c r="S2495" s="9">
        <v>2</v>
      </c>
      <c r="T2495" s="9">
        <v>0</v>
      </c>
      <c r="U2495" s="9">
        <v>0</v>
      </c>
      <c r="V2495" s="9">
        <v>2</v>
      </c>
      <c r="W2495" s="9">
        <v>0</v>
      </c>
      <c r="X2495" s="9">
        <v>1</v>
      </c>
      <c r="AE2495" s="9">
        <f>IFERROR(VLOOKUP($A2495,pivot!$A:$G,計算式2026!AE$1,FALSE),0)</f>
        <v>0</v>
      </c>
      <c r="AF2495" s="9">
        <f>IFERROR(VLOOKUP($A2495,pivot!$A:$I,計算式2026!AF$1,FALSE),0)</f>
        <v>0</v>
      </c>
      <c r="AI2495" s="9">
        <f>IFERROR(VLOOKUP($A2495,pivot!$A:$I,計算式2026!AI$1,FALSE),0)</f>
        <v>0</v>
      </c>
      <c r="AJ2495" s="9">
        <f>IFERROR(VLOOKUP($A2495,pivot!$A:$I,計算式2026!AJ$1,FALSE),0)</f>
        <v>0</v>
      </c>
      <c r="AK2495" s="9">
        <f>IFERROR(VLOOKUP($A2495,pivot!$A:$I,計算式2026!AK$1,FALSE),0)</f>
        <v>0</v>
      </c>
      <c r="AL2495" s="9">
        <f>IFERROR(VLOOKUP($A2495,pivot!$A:$I,計算式2026!AL$1,FALSE),0)</f>
        <v>0</v>
      </c>
      <c r="AR2495" s="8"/>
      <c r="AS2495" s="8"/>
      <c r="AT2495" s="8"/>
      <c r="AU2495" s="8"/>
      <c r="AV2495" s="8"/>
      <c r="AW2495" s="8"/>
      <c r="AX2495" s="8"/>
      <c r="AY2495" s="8"/>
      <c r="AZ2495" s="8"/>
      <c r="BA2495" s="8"/>
      <c r="BB2495" s="8"/>
      <c r="BC2495" s="8"/>
      <c r="BD2495" s="8"/>
      <c r="BE2495" s="8"/>
      <c r="BF2495" s="8"/>
      <c r="BG2495" s="8"/>
    </row>
    <row r="2496" spans="1:59" s="9" customFormat="1">
      <c r="A2496" s="8" t="s">
        <v>1735</v>
      </c>
      <c r="B2496" s="8" t="s">
        <v>2574</v>
      </c>
      <c r="C2496" s="9">
        <v>0</v>
      </c>
      <c r="D2496" s="9">
        <v>0</v>
      </c>
      <c r="E2496" s="9">
        <v>0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9">
        <v>0</v>
      </c>
      <c r="R2496" s="9">
        <v>0</v>
      </c>
      <c r="S2496" s="9">
        <v>1</v>
      </c>
      <c r="T2496" s="9">
        <v>1</v>
      </c>
      <c r="U2496" s="9">
        <v>0</v>
      </c>
      <c r="V2496" s="9">
        <v>1</v>
      </c>
      <c r="W2496" s="9">
        <v>0</v>
      </c>
      <c r="X2496" s="9">
        <v>1</v>
      </c>
      <c r="AE2496" s="9">
        <f>IFERROR(VLOOKUP($A2496,pivot!$A:$G,計算式2026!AE$1,FALSE),0)</f>
        <v>0</v>
      </c>
      <c r="AF2496" s="9">
        <f>IFERROR(VLOOKUP($A2496,pivot!$A:$I,計算式2026!AF$1,FALSE),0)</f>
        <v>0</v>
      </c>
      <c r="AI2496" s="9">
        <f>IFERROR(VLOOKUP($A2496,pivot!$A:$I,計算式2026!AI$1,FALSE),0)</f>
        <v>0</v>
      </c>
      <c r="AJ2496" s="9">
        <f>IFERROR(VLOOKUP($A2496,pivot!$A:$I,計算式2026!AJ$1,FALSE),0)</f>
        <v>0</v>
      </c>
      <c r="AK2496" s="9">
        <f>IFERROR(VLOOKUP($A2496,pivot!$A:$I,計算式2026!AK$1,FALSE),0)</f>
        <v>0</v>
      </c>
      <c r="AL2496" s="9">
        <f>IFERROR(VLOOKUP($A2496,pivot!$A:$I,計算式2026!AL$1,FALSE),0)</f>
        <v>0</v>
      </c>
      <c r="AR2496" s="8"/>
      <c r="AS2496" s="8"/>
      <c r="AT2496" s="8"/>
      <c r="AU2496" s="8"/>
      <c r="AV2496" s="8"/>
      <c r="AW2496" s="8"/>
      <c r="AX2496" s="8"/>
      <c r="AY2496" s="8"/>
      <c r="AZ2496" s="8"/>
      <c r="BA2496" s="8"/>
      <c r="BB2496" s="8"/>
      <c r="BC2496" s="8"/>
      <c r="BD2496" s="8"/>
      <c r="BE2496" s="8"/>
      <c r="BF2496" s="8"/>
      <c r="BG2496" s="8"/>
    </row>
    <row r="2497" spans="1:59" s="9" customFormat="1">
      <c r="A2497" s="8" t="s">
        <v>1736</v>
      </c>
      <c r="B2497" s="8" t="s">
        <v>2574</v>
      </c>
      <c r="C2497" s="9">
        <v>0</v>
      </c>
      <c r="D2497" s="9">
        <v>0</v>
      </c>
      <c r="E2497" s="9">
        <v>0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R2497" s="9">
        <v>0</v>
      </c>
      <c r="S2497" s="9">
        <v>1</v>
      </c>
      <c r="T2497" s="9">
        <v>0</v>
      </c>
      <c r="U2497" s="9">
        <v>0</v>
      </c>
      <c r="V2497" s="9">
        <v>1</v>
      </c>
      <c r="W2497" s="9">
        <v>0</v>
      </c>
      <c r="X2497" s="9">
        <v>1</v>
      </c>
      <c r="AE2497" s="9">
        <f>IFERROR(VLOOKUP($A2497,pivot!$A:$G,計算式2026!AE$1,FALSE),0)</f>
        <v>0</v>
      </c>
      <c r="AF2497" s="9">
        <f>IFERROR(VLOOKUP($A2497,pivot!$A:$I,計算式2026!AF$1,FALSE),0)</f>
        <v>0</v>
      </c>
      <c r="AI2497" s="9">
        <f>IFERROR(VLOOKUP($A2497,pivot!$A:$I,計算式2026!AI$1,FALSE),0)</f>
        <v>0</v>
      </c>
      <c r="AJ2497" s="9">
        <f>IFERROR(VLOOKUP($A2497,pivot!$A:$I,計算式2026!AJ$1,FALSE),0)</f>
        <v>0</v>
      </c>
      <c r="AK2497" s="9">
        <f>IFERROR(VLOOKUP($A2497,pivot!$A:$I,計算式2026!AK$1,FALSE),0)</f>
        <v>0</v>
      </c>
      <c r="AL2497" s="9">
        <f>IFERROR(VLOOKUP($A2497,pivot!$A:$I,計算式2026!AL$1,FALSE),0)</f>
        <v>0</v>
      </c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8"/>
      <c r="BG2497" s="8"/>
    </row>
    <row r="2498" spans="1:59" s="9" customFormat="1">
      <c r="A2498" s="8" t="s">
        <v>1790</v>
      </c>
      <c r="B2498" s="8" t="s">
        <v>2574</v>
      </c>
      <c r="C2498" s="9">
        <v>0</v>
      </c>
      <c r="D2498" s="9">
        <v>0</v>
      </c>
      <c r="E2498" s="9">
        <v>0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1</v>
      </c>
      <c r="AE2498" s="9">
        <f>IFERROR(VLOOKUP($A2498,pivot!$A:$G,計算式2026!AE$1,FALSE),0)</f>
        <v>0</v>
      </c>
      <c r="AF2498" s="9">
        <f>IFERROR(VLOOKUP($A2498,pivot!$A:$I,計算式2026!AF$1,FALSE),0)</f>
        <v>0</v>
      </c>
      <c r="AI2498" s="9">
        <f>IFERROR(VLOOKUP($A2498,pivot!$A:$I,計算式2026!AI$1,FALSE),0)</f>
        <v>0</v>
      </c>
      <c r="AJ2498" s="9">
        <f>IFERROR(VLOOKUP($A2498,pivot!$A:$I,計算式2026!AJ$1,FALSE),0)</f>
        <v>0</v>
      </c>
      <c r="AK2498" s="9">
        <f>IFERROR(VLOOKUP($A2498,pivot!$A:$I,計算式2026!AK$1,FALSE),0)</f>
        <v>0</v>
      </c>
      <c r="AL2498" s="9">
        <f>IFERROR(VLOOKUP($A2498,pivot!$A:$I,計算式2026!AL$1,FALSE),0)</f>
        <v>0</v>
      </c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8"/>
      <c r="BG2498" s="8"/>
    </row>
    <row r="2499" spans="1:59" s="9" customFormat="1">
      <c r="A2499" s="8" t="s">
        <v>1791</v>
      </c>
      <c r="B2499" s="8" t="s">
        <v>2574</v>
      </c>
      <c r="C2499" s="9">
        <v>0</v>
      </c>
      <c r="D2499" s="9">
        <v>0</v>
      </c>
      <c r="E2499" s="9">
        <v>0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R2499" s="9">
        <v>0</v>
      </c>
      <c r="S2499" s="9">
        <v>2</v>
      </c>
      <c r="T2499" s="9">
        <v>1</v>
      </c>
      <c r="U2499" s="9">
        <v>0</v>
      </c>
      <c r="V2499" s="9">
        <v>0</v>
      </c>
      <c r="W2499" s="9">
        <v>0</v>
      </c>
      <c r="X2499" s="9">
        <v>1</v>
      </c>
      <c r="AE2499" s="9">
        <f>IFERROR(VLOOKUP($A2499,pivot!$A:$G,計算式2026!AE$1,FALSE),0)</f>
        <v>0</v>
      </c>
      <c r="AF2499" s="9">
        <f>IFERROR(VLOOKUP($A2499,pivot!$A:$I,計算式2026!AF$1,FALSE),0)</f>
        <v>0</v>
      </c>
      <c r="AI2499" s="9">
        <f>IFERROR(VLOOKUP($A2499,pivot!$A:$I,計算式2026!AI$1,FALSE),0)</f>
        <v>0</v>
      </c>
      <c r="AJ2499" s="9">
        <f>IFERROR(VLOOKUP($A2499,pivot!$A:$I,計算式2026!AJ$1,FALSE),0)</f>
        <v>0</v>
      </c>
      <c r="AK2499" s="9">
        <f>IFERROR(VLOOKUP($A2499,pivot!$A:$I,計算式2026!AK$1,FALSE),0)</f>
        <v>0</v>
      </c>
      <c r="AL2499" s="9">
        <f>IFERROR(VLOOKUP($A2499,pivot!$A:$I,計算式2026!AL$1,FALSE),0)</f>
        <v>0</v>
      </c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</row>
    <row r="2500" spans="1:59" s="9" customFormat="1">
      <c r="A2500" s="8" t="s">
        <v>1792</v>
      </c>
      <c r="B2500" s="8" t="s">
        <v>2574</v>
      </c>
      <c r="C2500" s="9">
        <v>0</v>
      </c>
      <c r="D2500" s="9">
        <v>0</v>
      </c>
      <c r="E2500" s="9">
        <v>0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1</v>
      </c>
      <c r="AE2500" s="9">
        <f>IFERROR(VLOOKUP($A2500,pivot!$A:$G,計算式2026!AE$1,FALSE),0)</f>
        <v>0</v>
      </c>
      <c r="AF2500" s="9">
        <f>IFERROR(VLOOKUP($A2500,pivot!$A:$I,計算式2026!AF$1,FALSE),0)</f>
        <v>0</v>
      </c>
      <c r="AI2500" s="9">
        <f>IFERROR(VLOOKUP($A2500,pivot!$A:$I,計算式2026!AI$1,FALSE),0)</f>
        <v>0</v>
      </c>
      <c r="AJ2500" s="9">
        <f>IFERROR(VLOOKUP($A2500,pivot!$A:$I,計算式2026!AJ$1,FALSE),0)</f>
        <v>0</v>
      </c>
      <c r="AK2500" s="9">
        <f>IFERROR(VLOOKUP($A2500,pivot!$A:$I,計算式2026!AK$1,FALSE),0)</f>
        <v>0</v>
      </c>
      <c r="AL2500" s="9">
        <f>IFERROR(VLOOKUP($A2500,pivot!$A:$I,計算式2026!AL$1,FALSE),0)</f>
        <v>0</v>
      </c>
      <c r="AR2500" s="8"/>
      <c r="AS2500" s="8"/>
      <c r="AT2500" s="8"/>
      <c r="AU2500" s="8"/>
      <c r="AV2500" s="8"/>
      <c r="AW2500" s="8"/>
      <c r="AX2500" s="8"/>
      <c r="AY2500" s="8"/>
      <c r="AZ2500" s="8"/>
      <c r="BA2500" s="8"/>
      <c r="BB2500" s="8"/>
      <c r="BC2500" s="8"/>
      <c r="BD2500" s="8"/>
      <c r="BE2500" s="8"/>
      <c r="BF2500" s="8"/>
      <c r="BG2500" s="8"/>
    </row>
    <row r="2501" spans="1:59" s="9" customFormat="1">
      <c r="A2501" s="8" t="s">
        <v>2575</v>
      </c>
      <c r="B2501" s="8" t="s">
        <v>2576</v>
      </c>
      <c r="C2501" s="9">
        <v>0</v>
      </c>
      <c r="D2501" s="9">
        <v>0</v>
      </c>
      <c r="E2501" s="9">
        <v>0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R2501" s="9">
        <v>0</v>
      </c>
      <c r="S2501" s="9">
        <v>0</v>
      </c>
      <c r="T2501" s="9">
        <v>1</v>
      </c>
      <c r="U2501" s="9">
        <v>0</v>
      </c>
      <c r="V2501" s="9">
        <v>0</v>
      </c>
      <c r="W2501" s="9">
        <v>0</v>
      </c>
      <c r="X2501" s="9">
        <v>1</v>
      </c>
      <c r="AE2501" s="9">
        <f>IFERROR(VLOOKUP($A2501,pivot!$A:$G,計算式2026!AE$1,FALSE),0)</f>
        <v>0</v>
      </c>
      <c r="AF2501" s="9">
        <f>IFERROR(VLOOKUP($A2501,pivot!$A:$I,計算式2026!AF$1,FALSE),0)</f>
        <v>0</v>
      </c>
      <c r="AI2501" s="9">
        <f>IFERROR(VLOOKUP($A2501,pivot!$A:$I,計算式2026!AI$1,FALSE),0)</f>
        <v>0</v>
      </c>
      <c r="AJ2501" s="9">
        <f>IFERROR(VLOOKUP($A2501,pivot!$A:$I,計算式2026!AJ$1,FALSE),0)</f>
        <v>0</v>
      </c>
      <c r="AK2501" s="9">
        <f>IFERROR(VLOOKUP($A2501,pivot!$A:$I,計算式2026!AK$1,FALSE),0)</f>
        <v>0</v>
      </c>
      <c r="AL2501" s="9">
        <f>IFERROR(VLOOKUP($A2501,pivot!$A:$I,計算式2026!AL$1,FALSE),0)</f>
        <v>0</v>
      </c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</row>
    <row r="2502" spans="1:59" s="9" customFormat="1">
      <c r="A2502" s="8" t="s">
        <v>2577</v>
      </c>
      <c r="B2502" s="8" t="s">
        <v>2576</v>
      </c>
      <c r="C2502" s="9">
        <v>0</v>
      </c>
      <c r="D2502" s="9">
        <v>0</v>
      </c>
      <c r="E2502" s="9">
        <v>0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1</v>
      </c>
      <c r="AE2502" s="9">
        <f>IFERROR(VLOOKUP($A2502,pivot!$A:$G,計算式2026!AE$1,FALSE),0)</f>
        <v>0</v>
      </c>
      <c r="AF2502" s="9">
        <f>IFERROR(VLOOKUP($A2502,pivot!$A:$I,計算式2026!AF$1,FALSE),0)</f>
        <v>0</v>
      </c>
      <c r="AI2502" s="9">
        <f>IFERROR(VLOOKUP($A2502,pivot!$A:$I,計算式2026!AI$1,FALSE),0)</f>
        <v>0</v>
      </c>
      <c r="AJ2502" s="9">
        <f>IFERROR(VLOOKUP($A2502,pivot!$A:$I,計算式2026!AJ$1,FALSE),0)</f>
        <v>0</v>
      </c>
      <c r="AK2502" s="9">
        <f>IFERROR(VLOOKUP($A2502,pivot!$A:$I,計算式2026!AK$1,FALSE),0)</f>
        <v>0</v>
      </c>
      <c r="AL2502" s="9">
        <f>IFERROR(VLOOKUP($A2502,pivot!$A:$I,計算式2026!AL$1,FALSE),0)</f>
        <v>0</v>
      </c>
      <c r="AR2502" s="8"/>
      <c r="AS2502" s="8"/>
      <c r="AT2502" s="8"/>
      <c r="AU2502" s="8"/>
      <c r="AV2502" s="8"/>
      <c r="AW2502" s="8"/>
      <c r="AX2502" s="8"/>
      <c r="AY2502" s="8"/>
      <c r="AZ2502" s="8"/>
      <c r="BA2502" s="8"/>
      <c r="BB2502" s="8"/>
      <c r="BC2502" s="8"/>
      <c r="BD2502" s="8"/>
      <c r="BE2502" s="8"/>
      <c r="BF2502" s="8"/>
      <c r="BG2502" s="8"/>
    </row>
    <row r="2503" spans="1:59" s="9" customFormat="1">
      <c r="A2503" s="8" t="s">
        <v>1793</v>
      </c>
      <c r="B2503" s="8" t="s">
        <v>2576</v>
      </c>
      <c r="C2503" s="9">
        <v>3</v>
      </c>
      <c r="D2503" s="9">
        <v>0</v>
      </c>
      <c r="E2503" s="9">
        <v>0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R2503" s="9">
        <v>0</v>
      </c>
      <c r="S2503" s="9">
        <v>0</v>
      </c>
      <c r="T2503" s="9">
        <v>1</v>
      </c>
      <c r="U2503" s="9">
        <v>0</v>
      </c>
      <c r="V2503" s="9">
        <v>0</v>
      </c>
      <c r="W2503" s="9">
        <v>0</v>
      </c>
      <c r="X2503" s="9">
        <v>1</v>
      </c>
      <c r="AE2503" s="9">
        <f>IFERROR(VLOOKUP($A2503,pivot!$A:$G,計算式2026!AE$1,FALSE),0)</f>
        <v>0</v>
      </c>
      <c r="AF2503" s="9">
        <f>IFERROR(VLOOKUP($A2503,pivot!$A:$I,計算式2026!AF$1,FALSE),0)</f>
        <v>0</v>
      </c>
      <c r="AI2503" s="9">
        <f>IFERROR(VLOOKUP($A2503,pivot!$A:$I,計算式2026!AI$1,FALSE),0)</f>
        <v>0</v>
      </c>
      <c r="AJ2503" s="9">
        <f>IFERROR(VLOOKUP($A2503,pivot!$A:$I,計算式2026!AJ$1,FALSE),0)</f>
        <v>0</v>
      </c>
      <c r="AK2503" s="9">
        <f>IFERROR(VLOOKUP($A2503,pivot!$A:$I,計算式2026!AK$1,FALSE),0)</f>
        <v>0</v>
      </c>
      <c r="AL2503" s="9">
        <f>IFERROR(VLOOKUP($A2503,pivot!$A:$I,計算式2026!AL$1,FALSE),0)</f>
        <v>0</v>
      </c>
      <c r="AR2503" s="8"/>
      <c r="AS2503" s="8"/>
      <c r="AT2503" s="8"/>
      <c r="AU2503" s="8"/>
      <c r="AV2503" s="8"/>
      <c r="AW2503" s="8"/>
      <c r="AX2503" s="8"/>
      <c r="AY2503" s="8"/>
      <c r="AZ2503" s="8"/>
      <c r="BA2503" s="8"/>
      <c r="BB2503" s="8"/>
      <c r="BC2503" s="8"/>
      <c r="BD2503" s="8"/>
      <c r="BE2503" s="8"/>
      <c r="BF2503" s="8"/>
      <c r="BG2503" s="8"/>
    </row>
    <row r="2504" spans="1:59" s="9" customFormat="1">
      <c r="A2504" s="8" t="s">
        <v>1737</v>
      </c>
      <c r="B2504" s="8" t="s">
        <v>2576</v>
      </c>
      <c r="C2504" s="9">
        <v>8</v>
      </c>
      <c r="D2504" s="9">
        <v>0</v>
      </c>
      <c r="E2504" s="9">
        <v>0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R2504" s="9">
        <v>0</v>
      </c>
      <c r="S2504" s="9">
        <v>3</v>
      </c>
      <c r="T2504" s="9">
        <v>1</v>
      </c>
      <c r="U2504" s="9">
        <v>0</v>
      </c>
      <c r="V2504" s="9">
        <v>0</v>
      </c>
      <c r="W2504" s="9">
        <v>0</v>
      </c>
      <c r="X2504" s="9">
        <v>1</v>
      </c>
      <c r="AE2504" s="9">
        <f>IFERROR(VLOOKUP($A2504,pivot!$A:$G,計算式2026!AE$1,FALSE),0)</f>
        <v>0</v>
      </c>
      <c r="AF2504" s="9">
        <f>IFERROR(VLOOKUP($A2504,pivot!$A:$I,計算式2026!AF$1,FALSE),0)</f>
        <v>0</v>
      </c>
      <c r="AI2504" s="9">
        <f>IFERROR(VLOOKUP($A2504,pivot!$A:$I,計算式2026!AI$1,FALSE),0)</f>
        <v>0</v>
      </c>
      <c r="AJ2504" s="9">
        <f>IFERROR(VLOOKUP($A2504,pivot!$A:$I,計算式2026!AJ$1,FALSE),0)</f>
        <v>0</v>
      </c>
      <c r="AK2504" s="9">
        <f>IFERROR(VLOOKUP($A2504,pivot!$A:$I,計算式2026!AK$1,FALSE),0)</f>
        <v>0</v>
      </c>
      <c r="AL2504" s="9">
        <f>IFERROR(VLOOKUP($A2504,pivot!$A:$I,計算式2026!AL$1,FALSE),0)</f>
        <v>0</v>
      </c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  <c r="BB2504" s="8"/>
      <c r="BC2504" s="8"/>
      <c r="BD2504" s="8"/>
      <c r="BE2504" s="8"/>
      <c r="BF2504" s="8"/>
      <c r="BG2504" s="8"/>
    </row>
    <row r="2505" spans="1:59" s="9" customFormat="1">
      <c r="A2505" s="8" t="s">
        <v>1738</v>
      </c>
      <c r="B2505" s="8" t="s">
        <v>2576</v>
      </c>
      <c r="C2505" s="9">
        <v>4</v>
      </c>
      <c r="D2505" s="9">
        <v>0</v>
      </c>
      <c r="E2505" s="9">
        <v>0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R2505" s="9">
        <v>0</v>
      </c>
      <c r="S2505" s="9">
        <v>1</v>
      </c>
      <c r="T2505" s="9">
        <v>0</v>
      </c>
      <c r="U2505" s="9">
        <v>0</v>
      </c>
      <c r="V2505" s="9">
        <v>0</v>
      </c>
      <c r="W2505" s="9">
        <v>0</v>
      </c>
      <c r="X2505" s="9">
        <v>1</v>
      </c>
      <c r="AE2505" s="9">
        <f>IFERROR(VLOOKUP($A2505,pivot!$A:$G,計算式2026!AE$1,FALSE),0)</f>
        <v>0</v>
      </c>
      <c r="AF2505" s="9">
        <f>IFERROR(VLOOKUP($A2505,pivot!$A:$I,計算式2026!AF$1,FALSE),0)</f>
        <v>0</v>
      </c>
      <c r="AI2505" s="9">
        <f>IFERROR(VLOOKUP($A2505,pivot!$A:$I,計算式2026!AI$1,FALSE),0)</f>
        <v>0</v>
      </c>
      <c r="AJ2505" s="9">
        <f>IFERROR(VLOOKUP($A2505,pivot!$A:$I,計算式2026!AJ$1,FALSE),0)</f>
        <v>0</v>
      </c>
      <c r="AK2505" s="9">
        <f>IFERROR(VLOOKUP($A2505,pivot!$A:$I,計算式2026!AK$1,FALSE),0)</f>
        <v>0</v>
      </c>
      <c r="AL2505" s="9">
        <f>IFERROR(VLOOKUP($A2505,pivot!$A:$I,計算式2026!AL$1,FALSE),0)</f>
        <v>0</v>
      </c>
      <c r="AR2505" s="8"/>
      <c r="AS2505" s="8"/>
      <c r="AT2505" s="8"/>
      <c r="AU2505" s="8"/>
      <c r="AV2505" s="8"/>
      <c r="AW2505" s="8"/>
      <c r="AX2505" s="8"/>
      <c r="AY2505" s="8"/>
      <c r="AZ2505" s="8"/>
      <c r="BA2505" s="8"/>
      <c r="BB2505" s="8"/>
      <c r="BC2505" s="8"/>
      <c r="BD2505" s="8"/>
      <c r="BE2505" s="8"/>
      <c r="BF2505" s="8"/>
      <c r="BG2505" s="8"/>
    </row>
    <row r="2506" spans="1:59" s="9" customFormat="1">
      <c r="A2506" s="8" t="s">
        <v>1794</v>
      </c>
      <c r="B2506" s="8" t="s">
        <v>2576</v>
      </c>
      <c r="C2506" s="9">
        <v>3</v>
      </c>
      <c r="D2506" s="9">
        <v>0</v>
      </c>
      <c r="E2506" s="9">
        <v>0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R2506" s="9">
        <v>0</v>
      </c>
      <c r="S2506" s="9">
        <v>0</v>
      </c>
      <c r="T2506" s="9">
        <v>1</v>
      </c>
      <c r="U2506" s="9">
        <v>0</v>
      </c>
      <c r="V2506" s="9">
        <v>0</v>
      </c>
      <c r="W2506" s="9">
        <v>0</v>
      </c>
      <c r="X2506" s="9">
        <v>1</v>
      </c>
      <c r="AE2506" s="9">
        <f>IFERROR(VLOOKUP($A2506,pivot!$A:$G,計算式2026!AE$1,FALSE),0)</f>
        <v>0</v>
      </c>
      <c r="AF2506" s="9">
        <f>IFERROR(VLOOKUP($A2506,pivot!$A:$I,計算式2026!AF$1,FALSE),0)</f>
        <v>0</v>
      </c>
      <c r="AI2506" s="9">
        <f>IFERROR(VLOOKUP($A2506,pivot!$A:$I,計算式2026!AI$1,FALSE),0)</f>
        <v>0</v>
      </c>
      <c r="AJ2506" s="9">
        <f>IFERROR(VLOOKUP($A2506,pivot!$A:$I,計算式2026!AJ$1,FALSE),0)</f>
        <v>0</v>
      </c>
      <c r="AK2506" s="9">
        <f>IFERROR(VLOOKUP($A2506,pivot!$A:$I,計算式2026!AK$1,FALSE),0)</f>
        <v>0</v>
      </c>
      <c r="AL2506" s="9">
        <f>IFERROR(VLOOKUP($A2506,pivot!$A:$I,計算式2026!AL$1,FALSE),0)</f>
        <v>0</v>
      </c>
      <c r="AR2506" s="8"/>
      <c r="AS2506" s="8"/>
      <c r="AT2506" s="8"/>
      <c r="AU2506" s="8"/>
      <c r="AV2506" s="8"/>
      <c r="AW2506" s="8"/>
      <c r="AX2506" s="8"/>
      <c r="AY2506" s="8"/>
      <c r="AZ2506" s="8"/>
      <c r="BA2506" s="8"/>
      <c r="BB2506" s="8"/>
      <c r="BC2506" s="8"/>
      <c r="BD2506" s="8"/>
      <c r="BE2506" s="8"/>
      <c r="BF2506" s="8"/>
      <c r="BG2506" s="8"/>
    </row>
    <row r="2507" spans="1:59" s="9" customFormat="1">
      <c r="A2507" s="8" t="s">
        <v>1739</v>
      </c>
      <c r="B2507" s="8" t="s">
        <v>2576</v>
      </c>
      <c r="C2507" s="9">
        <v>10</v>
      </c>
      <c r="D2507" s="9">
        <v>0</v>
      </c>
      <c r="E2507" s="9">
        <v>0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R2507" s="9">
        <v>0</v>
      </c>
      <c r="S2507" s="9">
        <v>3</v>
      </c>
      <c r="T2507" s="9">
        <v>1</v>
      </c>
      <c r="U2507" s="9">
        <v>0</v>
      </c>
      <c r="V2507" s="9">
        <v>0</v>
      </c>
      <c r="W2507" s="9">
        <v>0</v>
      </c>
      <c r="X2507" s="9">
        <v>1</v>
      </c>
      <c r="AE2507" s="9">
        <f>IFERROR(VLOOKUP($A2507,pivot!$A:$G,計算式2026!AE$1,FALSE),0)</f>
        <v>0</v>
      </c>
      <c r="AF2507" s="9">
        <f>IFERROR(VLOOKUP($A2507,pivot!$A:$I,計算式2026!AF$1,FALSE),0)</f>
        <v>0</v>
      </c>
      <c r="AI2507" s="9">
        <f>IFERROR(VLOOKUP($A2507,pivot!$A:$I,計算式2026!AI$1,FALSE),0)</f>
        <v>0</v>
      </c>
      <c r="AJ2507" s="9">
        <f>IFERROR(VLOOKUP($A2507,pivot!$A:$I,計算式2026!AJ$1,FALSE),0)</f>
        <v>0</v>
      </c>
      <c r="AK2507" s="9">
        <f>IFERROR(VLOOKUP($A2507,pivot!$A:$I,計算式2026!AK$1,FALSE),0)</f>
        <v>0</v>
      </c>
      <c r="AL2507" s="9">
        <f>IFERROR(VLOOKUP($A2507,pivot!$A:$I,計算式2026!AL$1,FALSE),0)</f>
        <v>0</v>
      </c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/>
      <c r="BC2507" s="8"/>
      <c r="BD2507" s="8"/>
      <c r="BE2507" s="8"/>
      <c r="BF2507" s="8"/>
      <c r="BG2507" s="8"/>
    </row>
    <row r="2508" spans="1:59" s="9" customFormat="1">
      <c r="A2508" s="8" t="s">
        <v>1740</v>
      </c>
      <c r="B2508" s="8" t="s">
        <v>2576</v>
      </c>
      <c r="C2508" s="9">
        <v>6</v>
      </c>
      <c r="D2508" s="9">
        <v>0</v>
      </c>
      <c r="E2508" s="9">
        <v>0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R2508" s="9">
        <v>0</v>
      </c>
      <c r="S2508" s="9">
        <v>2</v>
      </c>
      <c r="T2508" s="9">
        <v>0</v>
      </c>
      <c r="U2508" s="9">
        <v>0</v>
      </c>
      <c r="V2508" s="9">
        <v>0</v>
      </c>
      <c r="W2508" s="9">
        <v>0</v>
      </c>
      <c r="X2508" s="9">
        <v>1</v>
      </c>
      <c r="AE2508" s="9">
        <f>IFERROR(VLOOKUP($A2508,pivot!$A:$G,計算式2026!AE$1,FALSE),0)</f>
        <v>0</v>
      </c>
      <c r="AF2508" s="9">
        <f>IFERROR(VLOOKUP($A2508,pivot!$A:$I,計算式2026!AF$1,FALSE),0)</f>
        <v>0</v>
      </c>
      <c r="AI2508" s="9">
        <f>IFERROR(VLOOKUP($A2508,pivot!$A:$I,計算式2026!AI$1,FALSE),0)</f>
        <v>0</v>
      </c>
      <c r="AJ2508" s="9">
        <f>IFERROR(VLOOKUP($A2508,pivot!$A:$I,計算式2026!AJ$1,FALSE),0)</f>
        <v>0</v>
      </c>
      <c r="AK2508" s="9">
        <f>IFERROR(VLOOKUP($A2508,pivot!$A:$I,計算式2026!AK$1,FALSE),0)</f>
        <v>0</v>
      </c>
      <c r="AL2508" s="9">
        <f>IFERROR(VLOOKUP($A2508,pivot!$A:$I,計算式2026!AL$1,FALSE),0)</f>
        <v>0</v>
      </c>
      <c r="AR2508" s="8"/>
      <c r="AS2508" s="8"/>
      <c r="AT2508" s="8"/>
      <c r="AU2508" s="8"/>
      <c r="AV2508" s="8"/>
      <c r="AW2508" s="8"/>
      <c r="AX2508" s="8"/>
      <c r="AY2508" s="8"/>
      <c r="AZ2508" s="8"/>
      <c r="BA2508" s="8"/>
      <c r="BB2508" s="8"/>
      <c r="BC2508" s="8"/>
      <c r="BD2508" s="8"/>
      <c r="BE2508" s="8"/>
      <c r="BF2508" s="8"/>
      <c r="BG2508" s="8"/>
    </row>
    <row r="2509" spans="1:59" s="9" customFormat="1">
      <c r="A2509" s="8" t="s">
        <v>1795</v>
      </c>
      <c r="B2509" s="8" t="s">
        <v>2576</v>
      </c>
      <c r="C2509" s="9">
        <v>0</v>
      </c>
      <c r="D2509" s="9">
        <v>0</v>
      </c>
      <c r="E2509" s="9">
        <v>0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R2509" s="9">
        <v>0</v>
      </c>
      <c r="S2509" s="9">
        <v>1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AE2509" s="9">
        <f>IFERROR(VLOOKUP($A2509,pivot!$A:$G,計算式2026!AE$1,FALSE),0)</f>
        <v>0</v>
      </c>
      <c r="AF2509" s="9">
        <f>IFERROR(VLOOKUP($A2509,pivot!$A:$I,計算式2026!AF$1,FALSE),0)</f>
        <v>0</v>
      </c>
      <c r="AI2509" s="9">
        <f>IFERROR(VLOOKUP($A2509,pivot!$A:$I,計算式2026!AI$1,FALSE),0)</f>
        <v>0</v>
      </c>
      <c r="AJ2509" s="9">
        <f>IFERROR(VLOOKUP($A2509,pivot!$A:$I,計算式2026!AJ$1,FALSE),0)</f>
        <v>0</v>
      </c>
      <c r="AK2509" s="9">
        <f>IFERROR(VLOOKUP($A2509,pivot!$A:$I,計算式2026!AK$1,FALSE),0)</f>
        <v>0</v>
      </c>
      <c r="AL2509" s="9">
        <f>IFERROR(VLOOKUP($A2509,pivot!$A:$I,計算式2026!AL$1,FALSE),0)</f>
        <v>0</v>
      </c>
      <c r="AR2509" s="8"/>
      <c r="AS2509" s="8"/>
      <c r="AT2509" s="8"/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8"/>
      <c r="BG2509" s="8"/>
    </row>
    <row r="2510" spans="1:59" s="9" customFormat="1">
      <c r="A2510" s="8" t="s">
        <v>1796</v>
      </c>
      <c r="B2510" s="8" t="s">
        <v>2578</v>
      </c>
      <c r="C2510" s="9">
        <v>0</v>
      </c>
      <c r="D2510" s="9">
        <v>0</v>
      </c>
      <c r="E2510" s="9">
        <v>0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1</v>
      </c>
      <c r="AE2510" s="9">
        <f>IFERROR(VLOOKUP($A2510,pivot!$A:$G,計算式2026!AE$1,FALSE),0)</f>
        <v>0</v>
      </c>
      <c r="AF2510" s="9">
        <f>IFERROR(VLOOKUP($A2510,pivot!$A:$I,計算式2026!AF$1,FALSE),0)</f>
        <v>0</v>
      </c>
      <c r="AI2510" s="9">
        <f>IFERROR(VLOOKUP($A2510,pivot!$A:$I,計算式2026!AI$1,FALSE),0)</f>
        <v>0</v>
      </c>
      <c r="AJ2510" s="9">
        <f>IFERROR(VLOOKUP($A2510,pivot!$A:$I,計算式2026!AJ$1,FALSE),0)</f>
        <v>0</v>
      </c>
      <c r="AK2510" s="9">
        <f>IFERROR(VLOOKUP($A2510,pivot!$A:$I,計算式2026!AK$1,FALSE),0)</f>
        <v>0</v>
      </c>
      <c r="AL2510" s="9">
        <f>IFERROR(VLOOKUP($A2510,pivot!$A:$I,計算式2026!AL$1,FALSE),0)</f>
        <v>0</v>
      </c>
      <c r="AR2510" s="8"/>
      <c r="AS2510" s="8"/>
      <c r="AT2510" s="8"/>
      <c r="AU2510" s="8"/>
      <c r="AV2510" s="8"/>
      <c r="AW2510" s="8"/>
      <c r="AX2510" s="8"/>
      <c r="AY2510" s="8"/>
      <c r="AZ2510" s="8"/>
      <c r="BA2510" s="8"/>
      <c r="BB2510" s="8"/>
      <c r="BC2510" s="8"/>
      <c r="BD2510" s="8"/>
      <c r="BE2510" s="8"/>
      <c r="BF2510" s="8"/>
      <c r="BG2510" s="8"/>
    </row>
    <row r="2511" spans="1:59" s="9" customFormat="1">
      <c r="A2511" s="8" t="s">
        <v>1797</v>
      </c>
      <c r="B2511" s="8" t="s">
        <v>2578</v>
      </c>
      <c r="C2511" s="9">
        <v>0</v>
      </c>
      <c r="D2511" s="9">
        <v>0</v>
      </c>
      <c r="E2511" s="9">
        <v>0</v>
      </c>
      <c r="F2511" s="9">
        <v>0</v>
      </c>
      <c r="G2511" s="9">
        <v>0</v>
      </c>
      <c r="H2511" s="9">
        <v>0</v>
      </c>
      <c r="I2511" s="9">
        <v>0</v>
      </c>
      <c r="J2511" s="9">
        <v>0</v>
      </c>
      <c r="K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1</v>
      </c>
      <c r="AE2511" s="9">
        <f>IFERROR(VLOOKUP($A2511,pivot!$A:$G,計算式2026!AE$1,FALSE),0)</f>
        <v>0</v>
      </c>
      <c r="AF2511" s="9">
        <f>IFERROR(VLOOKUP($A2511,pivot!$A:$I,計算式2026!AF$1,FALSE),0)</f>
        <v>0</v>
      </c>
      <c r="AI2511" s="9">
        <f>IFERROR(VLOOKUP($A2511,pivot!$A:$I,計算式2026!AI$1,FALSE),0)</f>
        <v>0</v>
      </c>
      <c r="AJ2511" s="9">
        <f>IFERROR(VLOOKUP($A2511,pivot!$A:$I,計算式2026!AJ$1,FALSE),0)</f>
        <v>0</v>
      </c>
      <c r="AK2511" s="9">
        <f>IFERROR(VLOOKUP($A2511,pivot!$A:$I,計算式2026!AK$1,FALSE),0)</f>
        <v>0</v>
      </c>
      <c r="AL2511" s="9">
        <f>IFERROR(VLOOKUP($A2511,pivot!$A:$I,計算式2026!AL$1,FALSE),0)</f>
        <v>0</v>
      </c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8"/>
      <c r="BG2511" s="8"/>
    </row>
    <row r="2512" spans="1:59" s="9" customFormat="1">
      <c r="A2512" s="8" t="s">
        <v>1798</v>
      </c>
      <c r="B2512" s="8" t="s">
        <v>2578</v>
      </c>
      <c r="C2512" s="9">
        <v>0</v>
      </c>
      <c r="D2512" s="9">
        <v>0</v>
      </c>
      <c r="E2512" s="9">
        <v>0</v>
      </c>
      <c r="F2512" s="9">
        <v>0</v>
      </c>
      <c r="G2512" s="9">
        <v>0</v>
      </c>
      <c r="H2512" s="9">
        <v>0</v>
      </c>
      <c r="I2512" s="9">
        <v>0</v>
      </c>
      <c r="J2512" s="9">
        <v>0</v>
      </c>
      <c r="K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1</v>
      </c>
      <c r="AE2512" s="9">
        <f>IFERROR(VLOOKUP($A2512,pivot!$A:$G,計算式2026!AE$1,FALSE),0)</f>
        <v>0</v>
      </c>
      <c r="AF2512" s="9">
        <f>IFERROR(VLOOKUP($A2512,pivot!$A:$I,計算式2026!AF$1,FALSE),0)</f>
        <v>0</v>
      </c>
      <c r="AI2512" s="9">
        <f>IFERROR(VLOOKUP($A2512,pivot!$A:$I,計算式2026!AI$1,FALSE),0)</f>
        <v>0</v>
      </c>
      <c r="AJ2512" s="9">
        <f>IFERROR(VLOOKUP($A2512,pivot!$A:$I,計算式2026!AJ$1,FALSE),0)</f>
        <v>0</v>
      </c>
      <c r="AK2512" s="9">
        <f>IFERROR(VLOOKUP($A2512,pivot!$A:$I,計算式2026!AK$1,FALSE),0)</f>
        <v>0</v>
      </c>
      <c r="AL2512" s="9">
        <f>IFERROR(VLOOKUP($A2512,pivot!$A:$I,計算式2026!AL$1,FALSE),0)</f>
        <v>0</v>
      </c>
      <c r="AR2512" s="8"/>
      <c r="AS2512" s="8"/>
      <c r="AT2512" s="8"/>
      <c r="AU2512" s="8"/>
      <c r="AV2512" s="8"/>
      <c r="AW2512" s="8"/>
      <c r="AX2512" s="8"/>
      <c r="AY2512" s="8"/>
      <c r="AZ2512" s="8"/>
      <c r="BA2512" s="8"/>
      <c r="BB2512" s="8"/>
      <c r="BC2512" s="8"/>
      <c r="BD2512" s="8"/>
      <c r="BE2512" s="8"/>
      <c r="BF2512" s="8"/>
      <c r="BG2512" s="8"/>
    </row>
    <row r="2513" spans="1:59" s="9" customFormat="1">
      <c r="A2513" s="8" t="s">
        <v>2921</v>
      </c>
      <c r="B2513" s="8" t="s">
        <v>2578</v>
      </c>
      <c r="C2513" s="9">
        <v>1</v>
      </c>
      <c r="D2513" s="9">
        <v>0</v>
      </c>
      <c r="E2513" s="9">
        <v>0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AE2513" s="9">
        <f>IFERROR(VLOOKUP($A2513,pivot!$A:$G,計算式2026!AE$1,FALSE),0)</f>
        <v>0</v>
      </c>
      <c r="AF2513" s="9">
        <f>IFERROR(VLOOKUP($A2513,pivot!$A:$I,計算式2026!AF$1,FALSE),0)</f>
        <v>0</v>
      </c>
      <c r="AI2513" s="9">
        <f>IFERROR(VLOOKUP($A2513,pivot!$A:$I,計算式2026!AI$1,FALSE),0)</f>
        <v>0</v>
      </c>
      <c r="AJ2513" s="9">
        <f>IFERROR(VLOOKUP($A2513,pivot!$A:$I,計算式2026!AJ$1,FALSE),0)</f>
        <v>0</v>
      </c>
      <c r="AK2513" s="9">
        <f>IFERROR(VLOOKUP($A2513,pivot!$A:$I,計算式2026!AK$1,FALSE),0)</f>
        <v>0</v>
      </c>
      <c r="AL2513" s="9">
        <f>IFERROR(VLOOKUP($A2513,pivot!$A:$I,計算式2026!AL$1,FALSE),0)</f>
        <v>0</v>
      </c>
      <c r="AR2513" s="8"/>
      <c r="AS2513" s="8"/>
      <c r="AT2513" s="8"/>
      <c r="AU2513" s="8"/>
      <c r="AV2513" s="8"/>
      <c r="AW2513" s="8"/>
      <c r="AX2513" s="8"/>
      <c r="AY2513" s="8"/>
      <c r="AZ2513" s="8"/>
      <c r="BA2513" s="8"/>
      <c r="BB2513" s="8"/>
      <c r="BC2513" s="8"/>
      <c r="BD2513" s="8"/>
      <c r="BE2513" s="8"/>
      <c r="BF2513" s="8"/>
      <c r="BG2513" s="8"/>
    </row>
    <row r="2514" spans="1:59" s="9" customFormat="1">
      <c r="A2514" s="8" t="s">
        <v>1799</v>
      </c>
      <c r="B2514" s="8" t="s">
        <v>2578</v>
      </c>
      <c r="C2514" s="9">
        <v>0</v>
      </c>
      <c r="D2514" s="9">
        <v>0</v>
      </c>
      <c r="E2514" s="9">
        <v>0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1</v>
      </c>
      <c r="AE2514" s="9">
        <f>IFERROR(VLOOKUP($A2514,pivot!$A:$G,計算式2026!AE$1,FALSE),0)</f>
        <v>0</v>
      </c>
      <c r="AF2514" s="9">
        <f>IFERROR(VLOOKUP($A2514,pivot!$A:$I,計算式2026!AF$1,FALSE),0)</f>
        <v>0</v>
      </c>
      <c r="AI2514" s="9">
        <f>IFERROR(VLOOKUP($A2514,pivot!$A:$I,計算式2026!AI$1,FALSE),0)</f>
        <v>0</v>
      </c>
      <c r="AJ2514" s="9">
        <f>IFERROR(VLOOKUP($A2514,pivot!$A:$I,計算式2026!AJ$1,FALSE),0)</f>
        <v>0</v>
      </c>
      <c r="AK2514" s="9">
        <f>IFERROR(VLOOKUP($A2514,pivot!$A:$I,計算式2026!AK$1,FALSE),0)</f>
        <v>0</v>
      </c>
      <c r="AL2514" s="9">
        <f>IFERROR(VLOOKUP($A2514,pivot!$A:$I,計算式2026!AL$1,FALSE),0)</f>
        <v>0</v>
      </c>
      <c r="AR2514" s="8"/>
      <c r="AS2514" s="8"/>
      <c r="AT2514" s="8"/>
      <c r="AU2514" s="8"/>
      <c r="AV2514" s="8"/>
      <c r="AW2514" s="8"/>
      <c r="AX2514" s="8"/>
      <c r="AY2514" s="8"/>
      <c r="AZ2514" s="8"/>
      <c r="BA2514" s="8"/>
      <c r="BB2514" s="8"/>
      <c r="BC2514" s="8"/>
      <c r="BD2514" s="8"/>
      <c r="BE2514" s="8"/>
      <c r="BF2514" s="8"/>
      <c r="BG2514" s="8"/>
    </row>
    <row r="2515" spans="1:59" s="9" customFormat="1">
      <c r="A2515" s="8" t="s">
        <v>2579</v>
      </c>
      <c r="B2515" s="8" t="s">
        <v>2580</v>
      </c>
      <c r="C2515" s="9">
        <v>1</v>
      </c>
      <c r="D2515" s="9">
        <v>0</v>
      </c>
      <c r="E2515" s="9">
        <v>0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9">
        <v>0</v>
      </c>
      <c r="R2515" s="9">
        <v>0</v>
      </c>
      <c r="S2515" s="9">
        <v>1</v>
      </c>
      <c r="T2515" s="9">
        <v>1</v>
      </c>
      <c r="U2515" s="9">
        <v>0</v>
      </c>
      <c r="V2515" s="9">
        <v>2</v>
      </c>
      <c r="W2515" s="9">
        <v>0</v>
      </c>
      <c r="X2515" s="9">
        <v>1</v>
      </c>
      <c r="AE2515" s="9">
        <f>IFERROR(VLOOKUP($A2515,pivot!$A:$G,計算式2026!AE$1,FALSE),0)</f>
        <v>0</v>
      </c>
      <c r="AF2515" s="9">
        <f>IFERROR(VLOOKUP($A2515,pivot!$A:$I,計算式2026!AF$1,FALSE),0)</f>
        <v>0</v>
      </c>
      <c r="AI2515" s="9">
        <f>IFERROR(VLOOKUP($A2515,pivot!$A:$I,計算式2026!AI$1,FALSE),0)</f>
        <v>0</v>
      </c>
      <c r="AJ2515" s="9">
        <f>IFERROR(VLOOKUP($A2515,pivot!$A:$I,計算式2026!AJ$1,FALSE),0)</f>
        <v>0</v>
      </c>
      <c r="AK2515" s="9">
        <f>IFERROR(VLOOKUP($A2515,pivot!$A:$I,計算式2026!AK$1,FALSE),0)</f>
        <v>0</v>
      </c>
      <c r="AL2515" s="9">
        <f>IFERROR(VLOOKUP($A2515,pivot!$A:$I,計算式2026!AL$1,FALSE),0)</f>
        <v>0</v>
      </c>
      <c r="AR2515" s="8"/>
      <c r="AS2515" s="8"/>
      <c r="AT2515" s="8"/>
      <c r="AU2515" s="8"/>
      <c r="AV2515" s="8"/>
      <c r="AW2515" s="8"/>
      <c r="AX2515" s="8"/>
      <c r="AY2515" s="8"/>
      <c r="AZ2515" s="8"/>
      <c r="BA2515" s="8"/>
      <c r="BB2515" s="8"/>
      <c r="BC2515" s="8"/>
      <c r="BD2515" s="8"/>
      <c r="BE2515" s="8"/>
      <c r="BF2515" s="8"/>
      <c r="BG2515" s="8"/>
    </row>
    <row r="2516" spans="1:59" s="9" customFormat="1">
      <c r="A2516" s="8" t="s">
        <v>2581</v>
      </c>
      <c r="B2516" s="8" t="s">
        <v>2580</v>
      </c>
      <c r="C2516" s="9">
        <v>4</v>
      </c>
      <c r="D2516" s="9">
        <v>1</v>
      </c>
      <c r="E2516" s="9">
        <v>0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R2516" s="9">
        <v>0</v>
      </c>
      <c r="S2516" s="9">
        <v>2</v>
      </c>
      <c r="T2516" s="9">
        <v>1</v>
      </c>
      <c r="U2516" s="9">
        <v>0</v>
      </c>
      <c r="V2516" s="9">
        <v>2</v>
      </c>
      <c r="W2516" s="9">
        <v>0</v>
      </c>
      <c r="X2516" s="9">
        <v>1</v>
      </c>
      <c r="AE2516" s="9">
        <f>IFERROR(VLOOKUP($A2516,pivot!$A:$G,計算式2026!AE$1,FALSE),0)</f>
        <v>0</v>
      </c>
      <c r="AF2516" s="9">
        <f>IFERROR(VLOOKUP($A2516,pivot!$A:$I,計算式2026!AF$1,FALSE),0)</f>
        <v>0</v>
      </c>
      <c r="AI2516" s="9">
        <f>IFERROR(VLOOKUP($A2516,pivot!$A:$I,計算式2026!AI$1,FALSE),0)</f>
        <v>0</v>
      </c>
      <c r="AJ2516" s="9">
        <f>IFERROR(VLOOKUP($A2516,pivot!$A:$I,計算式2026!AJ$1,FALSE),0)</f>
        <v>0</v>
      </c>
      <c r="AK2516" s="9">
        <f>IFERROR(VLOOKUP($A2516,pivot!$A:$I,計算式2026!AK$1,FALSE),0)</f>
        <v>0</v>
      </c>
      <c r="AL2516" s="9">
        <f>IFERROR(VLOOKUP($A2516,pivot!$A:$I,計算式2026!AL$1,FALSE),0)</f>
        <v>0</v>
      </c>
      <c r="AR2516" s="8"/>
      <c r="AS2516" s="8"/>
      <c r="AT2516" s="8"/>
      <c r="AU2516" s="8"/>
      <c r="AV2516" s="8"/>
      <c r="AW2516" s="8"/>
      <c r="AX2516" s="8"/>
      <c r="AY2516" s="8"/>
      <c r="AZ2516" s="8"/>
      <c r="BA2516" s="8"/>
      <c r="BB2516" s="8"/>
      <c r="BC2516" s="8"/>
      <c r="BD2516" s="8"/>
      <c r="BE2516" s="8"/>
      <c r="BF2516" s="8"/>
      <c r="BG2516" s="8"/>
    </row>
    <row r="2517" spans="1:59" s="9" customFormat="1">
      <c r="A2517" s="8" t="s">
        <v>2582</v>
      </c>
      <c r="B2517" s="8" t="s">
        <v>2580</v>
      </c>
      <c r="C2517" s="9">
        <v>1</v>
      </c>
      <c r="D2517" s="9">
        <v>0</v>
      </c>
      <c r="E2517" s="9">
        <v>0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  <c r="K2517" s="9">
        <v>0</v>
      </c>
      <c r="R2517" s="9">
        <v>0</v>
      </c>
      <c r="S2517" s="9">
        <v>1</v>
      </c>
      <c r="T2517" s="9">
        <v>0</v>
      </c>
      <c r="U2517" s="9">
        <v>0</v>
      </c>
      <c r="V2517" s="9">
        <v>1</v>
      </c>
      <c r="W2517" s="9">
        <v>0</v>
      </c>
      <c r="X2517" s="9">
        <v>1</v>
      </c>
      <c r="AE2517" s="9">
        <f>IFERROR(VLOOKUP($A2517,pivot!$A:$G,計算式2026!AE$1,FALSE),0)</f>
        <v>0</v>
      </c>
      <c r="AF2517" s="9">
        <f>IFERROR(VLOOKUP($A2517,pivot!$A:$I,計算式2026!AF$1,FALSE),0)</f>
        <v>0</v>
      </c>
      <c r="AI2517" s="9">
        <f>IFERROR(VLOOKUP($A2517,pivot!$A:$I,計算式2026!AI$1,FALSE),0)</f>
        <v>0</v>
      </c>
      <c r="AJ2517" s="9">
        <f>IFERROR(VLOOKUP($A2517,pivot!$A:$I,計算式2026!AJ$1,FALSE),0)</f>
        <v>0</v>
      </c>
      <c r="AK2517" s="9">
        <f>IFERROR(VLOOKUP($A2517,pivot!$A:$I,計算式2026!AK$1,FALSE),0)</f>
        <v>0</v>
      </c>
      <c r="AL2517" s="9">
        <f>IFERROR(VLOOKUP($A2517,pivot!$A:$I,計算式2026!AL$1,FALSE),0)</f>
        <v>0</v>
      </c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8"/>
      <c r="BG2517" s="8"/>
    </row>
    <row r="2518" spans="1:59" s="9" customFormat="1">
      <c r="A2518" s="8" t="s">
        <v>1800</v>
      </c>
      <c r="B2518" s="8" t="s">
        <v>2580</v>
      </c>
      <c r="C2518" s="9">
        <v>1</v>
      </c>
      <c r="D2518" s="9">
        <v>0</v>
      </c>
      <c r="E2518" s="9">
        <v>0</v>
      </c>
      <c r="F2518" s="9">
        <v>0</v>
      </c>
      <c r="G2518" s="9">
        <v>0</v>
      </c>
      <c r="H2518" s="9">
        <v>0</v>
      </c>
      <c r="I2518" s="9">
        <v>0</v>
      </c>
      <c r="J2518" s="9">
        <v>0</v>
      </c>
      <c r="K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1</v>
      </c>
      <c r="AE2518" s="9">
        <f>IFERROR(VLOOKUP($A2518,pivot!$A:$G,計算式2026!AE$1,FALSE),0)</f>
        <v>0</v>
      </c>
      <c r="AF2518" s="9">
        <f>IFERROR(VLOOKUP($A2518,pivot!$A:$I,計算式2026!AF$1,FALSE),0)</f>
        <v>0</v>
      </c>
      <c r="AI2518" s="9">
        <f>IFERROR(VLOOKUP($A2518,pivot!$A:$I,計算式2026!AI$1,FALSE),0)</f>
        <v>0</v>
      </c>
      <c r="AJ2518" s="9">
        <f>IFERROR(VLOOKUP($A2518,pivot!$A:$I,計算式2026!AJ$1,FALSE),0)</f>
        <v>0</v>
      </c>
      <c r="AK2518" s="9">
        <f>IFERROR(VLOOKUP($A2518,pivot!$A:$I,計算式2026!AK$1,FALSE),0)</f>
        <v>0</v>
      </c>
      <c r="AL2518" s="9">
        <f>IFERROR(VLOOKUP($A2518,pivot!$A:$I,計算式2026!AL$1,FALSE),0)</f>
        <v>0</v>
      </c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  <c r="BB2518" s="8"/>
      <c r="BC2518" s="8"/>
      <c r="BD2518" s="8"/>
      <c r="BE2518" s="8"/>
      <c r="BF2518" s="8"/>
      <c r="BG2518" s="8"/>
    </row>
    <row r="2519" spans="1:59" s="9" customFormat="1">
      <c r="A2519" s="8" t="s">
        <v>1741</v>
      </c>
      <c r="B2519" s="8" t="s">
        <v>2580</v>
      </c>
      <c r="C2519" s="9">
        <v>8</v>
      </c>
      <c r="D2519" s="9">
        <v>0</v>
      </c>
      <c r="E2519" s="9">
        <v>0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  <c r="K2519" s="9">
        <v>0</v>
      </c>
      <c r="R2519" s="9">
        <v>0</v>
      </c>
      <c r="S2519" s="9">
        <v>3</v>
      </c>
      <c r="T2519" s="9">
        <v>1</v>
      </c>
      <c r="U2519" s="9">
        <v>0</v>
      </c>
      <c r="V2519" s="9">
        <v>2</v>
      </c>
      <c r="W2519" s="9">
        <v>0</v>
      </c>
      <c r="X2519" s="9">
        <v>1</v>
      </c>
      <c r="AE2519" s="9">
        <f>IFERROR(VLOOKUP($A2519,pivot!$A:$G,計算式2026!AE$1,FALSE),0)</f>
        <v>0</v>
      </c>
      <c r="AF2519" s="9">
        <f>IFERROR(VLOOKUP($A2519,pivot!$A:$I,計算式2026!AF$1,FALSE),0)</f>
        <v>0</v>
      </c>
      <c r="AI2519" s="9">
        <f>IFERROR(VLOOKUP($A2519,pivot!$A:$I,計算式2026!AI$1,FALSE),0)</f>
        <v>0</v>
      </c>
      <c r="AJ2519" s="9">
        <f>IFERROR(VLOOKUP($A2519,pivot!$A:$I,計算式2026!AJ$1,FALSE),0)</f>
        <v>0</v>
      </c>
      <c r="AK2519" s="9">
        <f>IFERROR(VLOOKUP($A2519,pivot!$A:$I,計算式2026!AK$1,FALSE),0)</f>
        <v>0</v>
      </c>
      <c r="AL2519" s="9">
        <f>IFERROR(VLOOKUP($A2519,pivot!$A:$I,計算式2026!AL$1,FALSE),0)</f>
        <v>0</v>
      </c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8"/>
      <c r="BG2519" s="8"/>
    </row>
    <row r="2520" spans="1:59" s="9" customFormat="1">
      <c r="A2520" s="8" t="s">
        <v>1742</v>
      </c>
      <c r="B2520" s="8" t="s">
        <v>2580</v>
      </c>
      <c r="C2520" s="9">
        <v>5</v>
      </c>
      <c r="D2520" s="9">
        <v>0</v>
      </c>
      <c r="E2520" s="9">
        <v>0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R2520" s="9">
        <v>0</v>
      </c>
      <c r="S2520" s="9">
        <v>2</v>
      </c>
      <c r="T2520" s="9">
        <v>0</v>
      </c>
      <c r="U2520" s="9">
        <v>0</v>
      </c>
      <c r="V2520" s="9">
        <v>2</v>
      </c>
      <c r="W2520" s="9">
        <v>0</v>
      </c>
      <c r="X2520" s="9">
        <v>1</v>
      </c>
      <c r="AE2520" s="9">
        <f>IFERROR(VLOOKUP($A2520,pivot!$A:$G,計算式2026!AE$1,FALSE),0)</f>
        <v>0</v>
      </c>
      <c r="AF2520" s="9">
        <f>IFERROR(VLOOKUP($A2520,pivot!$A:$I,計算式2026!AF$1,FALSE),0)</f>
        <v>0</v>
      </c>
      <c r="AI2520" s="9">
        <f>IFERROR(VLOOKUP($A2520,pivot!$A:$I,計算式2026!AI$1,FALSE),0)</f>
        <v>0</v>
      </c>
      <c r="AJ2520" s="9">
        <f>IFERROR(VLOOKUP($A2520,pivot!$A:$I,計算式2026!AJ$1,FALSE),0)</f>
        <v>0</v>
      </c>
      <c r="AK2520" s="9">
        <f>IFERROR(VLOOKUP($A2520,pivot!$A:$I,計算式2026!AK$1,FALSE),0)</f>
        <v>0</v>
      </c>
      <c r="AL2520" s="9">
        <f>IFERROR(VLOOKUP($A2520,pivot!$A:$I,計算式2026!AL$1,FALSE),0)</f>
        <v>0</v>
      </c>
      <c r="AR2520" s="8"/>
      <c r="AS2520" s="8"/>
      <c r="AT2520" s="8"/>
      <c r="AU2520" s="8"/>
      <c r="AV2520" s="8"/>
      <c r="AW2520" s="8"/>
      <c r="AX2520" s="8"/>
      <c r="AY2520" s="8"/>
      <c r="AZ2520" s="8"/>
      <c r="BA2520" s="8"/>
      <c r="BB2520" s="8"/>
      <c r="BC2520" s="8"/>
      <c r="BD2520" s="8"/>
      <c r="BE2520" s="8"/>
      <c r="BF2520" s="8"/>
      <c r="BG2520" s="8"/>
    </row>
    <row r="2521" spans="1:59" s="9" customFormat="1">
      <c r="A2521" s="8" t="s">
        <v>2583</v>
      </c>
      <c r="B2521" s="8" t="s">
        <v>2580</v>
      </c>
      <c r="C2521" s="9">
        <v>2</v>
      </c>
      <c r="D2521" s="9">
        <v>0</v>
      </c>
      <c r="E2521" s="9">
        <v>0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R2521" s="9">
        <v>0</v>
      </c>
      <c r="S2521" s="9">
        <v>1</v>
      </c>
      <c r="T2521" s="9">
        <v>1</v>
      </c>
      <c r="U2521" s="9">
        <v>0</v>
      </c>
      <c r="V2521" s="9">
        <v>1</v>
      </c>
      <c r="W2521" s="9">
        <v>0</v>
      </c>
      <c r="X2521" s="9">
        <v>1</v>
      </c>
      <c r="AE2521" s="9">
        <f>IFERROR(VLOOKUP($A2521,pivot!$A:$G,計算式2026!AE$1,FALSE),0)</f>
        <v>0</v>
      </c>
      <c r="AF2521" s="9">
        <f>IFERROR(VLOOKUP($A2521,pivot!$A:$I,計算式2026!AF$1,FALSE),0)</f>
        <v>0</v>
      </c>
      <c r="AI2521" s="9">
        <f>IFERROR(VLOOKUP($A2521,pivot!$A:$I,計算式2026!AI$1,FALSE),0)</f>
        <v>0</v>
      </c>
      <c r="AJ2521" s="9">
        <f>IFERROR(VLOOKUP($A2521,pivot!$A:$I,計算式2026!AJ$1,FALSE),0)</f>
        <v>0</v>
      </c>
      <c r="AK2521" s="9">
        <f>IFERROR(VLOOKUP($A2521,pivot!$A:$I,計算式2026!AK$1,FALSE),0)</f>
        <v>0</v>
      </c>
      <c r="AL2521" s="9">
        <f>IFERROR(VLOOKUP($A2521,pivot!$A:$I,計算式2026!AL$1,FALSE),0)</f>
        <v>0</v>
      </c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8"/>
      <c r="BG2521" s="8"/>
    </row>
    <row r="2522" spans="1:59" s="9" customFormat="1">
      <c r="A2522" s="8" t="s">
        <v>2584</v>
      </c>
      <c r="B2522" s="8" t="s">
        <v>2580</v>
      </c>
      <c r="C2522" s="9">
        <v>4</v>
      </c>
      <c r="D2522" s="9">
        <v>0</v>
      </c>
      <c r="E2522" s="9">
        <v>0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R2522" s="9">
        <v>0</v>
      </c>
      <c r="S2522" s="9">
        <v>3</v>
      </c>
      <c r="T2522" s="9">
        <v>1</v>
      </c>
      <c r="U2522" s="9">
        <v>0</v>
      </c>
      <c r="V2522" s="9">
        <v>2</v>
      </c>
      <c r="W2522" s="9">
        <v>0</v>
      </c>
      <c r="X2522" s="9">
        <v>1</v>
      </c>
      <c r="AE2522" s="9">
        <f>IFERROR(VLOOKUP($A2522,pivot!$A:$G,計算式2026!AE$1,FALSE),0)</f>
        <v>0</v>
      </c>
      <c r="AF2522" s="9">
        <f>IFERROR(VLOOKUP($A2522,pivot!$A:$I,計算式2026!AF$1,FALSE),0)</f>
        <v>0</v>
      </c>
      <c r="AI2522" s="9">
        <f>IFERROR(VLOOKUP($A2522,pivot!$A:$I,計算式2026!AI$1,FALSE),0)</f>
        <v>0</v>
      </c>
      <c r="AJ2522" s="9">
        <f>IFERROR(VLOOKUP($A2522,pivot!$A:$I,計算式2026!AJ$1,FALSE),0)</f>
        <v>0</v>
      </c>
      <c r="AK2522" s="9">
        <f>IFERROR(VLOOKUP($A2522,pivot!$A:$I,計算式2026!AK$1,FALSE),0)</f>
        <v>0</v>
      </c>
      <c r="AL2522" s="9">
        <f>IFERROR(VLOOKUP($A2522,pivot!$A:$I,計算式2026!AL$1,FALSE),0)</f>
        <v>0</v>
      </c>
      <c r="AR2522" s="8"/>
      <c r="AS2522" s="8"/>
      <c r="AT2522" s="8"/>
      <c r="AU2522" s="8"/>
      <c r="AV2522" s="8"/>
      <c r="AW2522" s="8"/>
      <c r="AX2522" s="8"/>
      <c r="AY2522" s="8"/>
      <c r="AZ2522" s="8"/>
      <c r="BA2522" s="8"/>
      <c r="BB2522" s="8"/>
      <c r="BC2522" s="8"/>
      <c r="BD2522" s="8"/>
      <c r="BE2522" s="8"/>
      <c r="BF2522" s="8"/>
      <c r="BG2522" s="8"/>
    </row>
    <row r="2523" spans="1:59" s="9" customFormat="1">
      <c r="A2523" s="8" t="s">
        <v>2585</v>
      </c>
      <c r="B2523" s="8" t="s">
        <v>2580</v>
      </c>
      <c r="C2523" s="9">
        <v>1</v>
      </c>
      <c r="D2523" s="9">
        <v>0</v>
      </c>
      <c r="E2523" s="9">
        <v>0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R2523" s="9">
        <v>0</v>
      </c>
      <c r="S2523" s="9">
        <v>2</v>
      </c>
      <c r="T2523" s="9">
        <v>0</v>
      </c>
      <c r="U2523" s="9">
        <v>0</v>
      </c>
      <c r="V2523" s="9">
        <v>1</v>
      </c>
      <c r="W2523" s="9">
        <v>0</v>
      </c>
      <c r="X2523" s="9">
        <v>1</v>
      </c>
      <c r="AE2523" s="9">
        <f>IFERROR(VLOOKUP($A2523,pivot!$A:$G,計算式2026!AE$1,FALSE),0)</f>
        <v>0</v>
      </c>
      <c r="AF2523" s="9">
        <f>IFERROR(VLOOKUP($A2523,pivot!$A:$I,計算式2026!AF$1,FALSE),0)</f>
        <v>0</v>
      </c>
      <c r="AI2523" s="9">
        <f>IFERROR(VLOOKUP($A2523,pivot!$A:$I,計算式2026!AI$1,FALSE),0)</f>
        <v>0</v>
      </c>
      <c r="AJ2523" s="9">
        <f>IFERROR(VLOOKUP($A2523,pivot!$A:$I,計算式2026!AJ$1,FALSE),0)</f>
        <v>0</v>
      </c>
      <c r="AK2523" s="9">
        <f>IFERROR(VLOOKUP($A2523,pivot!$A:$I,計算式2026!AK$1,FALSE),0)</f>
        <v>0</v>
      </c>
      <c r="AL2523" s="9">
        <f>IFERROR(VLOOKUP($A2523,pivot!$A:$I,計算式2026!AL$1,FALSE),0)</f>
        <v>0</v>
      </c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8"/>
      <c r="BG2523" s="8"/>
    </row>
    <row r="2524" spans="1:59" s="9" customFormat="1">
      <c r="A2524" s="8" t="s">
        <v>1801</v>
      </c>
      <c r="B2524" s="8" t="s">
        <v>2580</v>
      </c>
      <c r="C2524" s="9">
        <v>0</v>
      </c>
      <c r="D2524" s="9">
        <v>0</v>
      </c>
      <c r="E2524" s="9">
        <v>0</v>
      </c>
      <c r="F2524" s="9">
        <v>0</v>
      </c>
      <c r="G2524" s="9">
        <v>0</v>
      </c>
      <c r="H2524" s="9">
        <v>0</v>
      </c>
      <c r="I2524" s="9">
        <v>0</v>
      </c>
      <c r="J2524" s="9">
        <v>0</v>
      </c>
      <c r="K2524" s="9">
        <v>0</v>
      </c>
      <c r="R2524" s="9">
        <v>0</v>
      </c>
      <c r="S2524" s="9">
        <v>0</v>
      </c>
      <c r="T2524" s="9">
        <v>1</v>
      </c>
      <c r="U2524" s="9">
        <v>0</v>
      </c>
      <c r="V2524" s="9">
        <v>0</v>
      </c>
      <c r="W2524" s="9">
        <v>0</v>
      </c>
      <c r="X2524" s="9">
        <v>1</v>
      </c>
      <c r="AE2524" s="9">
        <f>IFERROR(VLOOKUP($A2524,pivot!$A:$G,計算式2026!AE$1,FALSE),0)</f>
        <v>0</v>
      </c>
      <c r="AF2524" s="9">
        <f>IFERROR(VLOOKUP($A2524,pivot!$A:$I,計算式2026!AF$1,FALSE),0)</f>
        <v>0</v>
      </c>
      <c r="AI2524" s="9">
        <f>IFERROR(VLOOKUP($A2524,pivot!$A:$I,計算式2026!AI$1,FALSE),0)</f>
        <v>0</v>
      </c>
      <c r="AJ2524" s="9">
        <f>IFERROR(VLOOKUP($A2524,pivot!$A:$I,計算式2026!AJ$1,FALSE),0)</f>
        <v>0</v>
      </c>
      <c r="AK2524" s="9">
        <f>IFERROR(VLOOKUP($A2524,pivot!$A:$I,計算式2026!AK$1,FALSE),0)</f>
        <v>0</v>
      </c>
      <c r="AL2524" s="9">
        <f>IFERROR(VLOOKUP($A2524,pivot!$A:$I,計算式2026!AL$1,FALSE),0)</f>
        <v>0</v>
      </c>
      <c r="AR2524" s="8"/>
      <c r="AS2524" s="8"/>
      <c r="AT2524" s="8"/>
      <c r="AU2524" s="8"/>
      <c r="AV2524" s="8"/>
      <c r="AW2524" s="8"/>
      <c r="AX2524" s="8"/>
      <c r="AY2524" s="8"/>
      <c r="AZ2524" s="8"/>
      <c r="BA2524" s="8"/>
      <c r="BB2524" s="8"/>
      <c r="BC2524" s="8"/>
      <c r="BD2524" s="8"/>
      <c r="BE2524" s="8"/>
      <c r="BF2524" s="8"/>
      <c r="BG2524" s="8"/>
    </row>
    <row r="2525" spans="1:59" s="9" customFormat="1">
      <c r="A2525" s="8" t="s">
        <v>1802</v>
      </c>
      <c r="B2525" s="8" t="s">
        <v>2580</v>
      </c>
      <c r="C2525" s="9">
        <v>2</v>
      </c>
      <c r="D2525" s="9">
        <v>0</v>
      </c>
      <c r="E2525" s="9">
        <v>0</v>
      </c>
      <c r="F2525" s="9">
        <v>0</v>
      </c>
      <c r="G2525" s="9">
        <v>0</v>
      </c>
      <c r="H2525" s="9">
        <v>0</v>
      </c>
      <c r="I2525" s="9">
        <v>0</v>
      </c>
      <c r="J2525" s="9">
        <v>0</v>
      </c>
      <c r="K2525" s="9">
        <v>0</v>
      </c>
      <c r="R2525" s="9">
        <v>0</v>
      </c>
      <c r="S2525" s="9">
        <v>0</v>
      </c>
      <c r="T2525" s="9">
        <v>1</v>
      </c>
      <c r="U2525" s="9">
        <v>0</v>
      </c>
      <c r="V2525" s="9">
        <v>1</v>
      </c>
      <c r="W2525" s="9">
        <v>0</v>
      </c>
      <c r="X2525" s="9">
        <v>1</v>
      </c>
      <c r="AE2525" s="9">
        <f>IFERROR(VLOOKUP($A2525,pivot!$A:$G,計算式2026!AE$1,FALSE),0)</f>
        <v>0</v>
      </c>
      <c r="AF2525" s="9">
        <f>IFERROR(VLOOKUP($A2525,pivot!$A:$I,計算式2026!AF$1,FALSE),0)</f>
        <v>0</v>
      </c>
      <c r="AI2525" s="9">
        <f>IFERROR(VLOOKUP($A2525,pivot!$A:$I,計算式2026!AI$1,FALSE),0)</f>
        <v>0</v>
      </c>
      <c r="AJ2525" s="9">
        <f>IFERROR(VLOOKUP($A2525,pivot!$A:$I,計算式2026!AJ$1,FALSE),0)</f>
        <v>0</v>
      </c>
      <c r="AK2525" s="9">
        <f>IFERROR(VLOOKUP($A2525,pivot!$A:$I,計算式2026!AK$1,FALSE),0)</f>
        <v>0</v>
      </c>
      <c r="AL2525" s="9">
        <f>IFERROR(VLOOKUP($A2525,pivot!$A:$I,計算式2026!AL$1,FALSE),0)</f>
        <v>0</v>
      </c>
      <c r="AR2525" s="8"/>
      <c r="AS2525" s="8"/>
      <c r="AT2525" s="8"/>
      <c r="AU2525" s="8"/>
      <c r="AV2525" s="8"/>
      <c r="AW2525" s="8"/>
      <c r="AX2525" s="8"/>
      <c r="AY2525" s="8"/>
      <c r="AZ2525" s="8"/>
      <c r="BA2525" s="8"/>
      <c r="BB2525" s="8"/>
      <c r="BC2525" s="8"/>
      <c r="BD2525" s="8"/>
      <c r="BE2525" s="8"/>
      <c r="BF2525" s="8"/>
      <c r="BG2525" s="8"/>
    </row>
    <row r="2526" spans="1:59" s="9" customFormat="1">
      <c r="A2526" s="8" t="s">
        <v>1743</v>
      </c>
      <c r="B2526" s="8" t="s">
        <v>2580</v>
      </c>
      <c r="C2526" s="9">
        <v>2</v>
      </c>
      <c r="D2526" s="9">
        <v>0</v>
      </c>
      <c r="E2526" s="9">
        <v>0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2</v>
      </c>
      <c r="W2526" s="9">
        <v>0</v>
      </c>
      <c r="X2526" s="9">
        <v>1</v>
      </c>
      <c r="AE2526" s="9">
        <f>IFERROR(VLOOKUP($A2526,pivot!$A:$G,計算式2026!AE$1,FALSE),0)</f>
        <v>0</v>
      </c>
      <c r="AF2526" s="9">
        <f>IFERROR(VLOOKUP($A2526,pivot!$A:$I,計算式2026!AF$1,FALSE),0)</f>
        <v>0</v>
      </c>
      <c r="AI2526" s="9">
        <f>IFERROR(VLOOKUP($A2526,pivot!$A:$I,計算式2026!AI$1,FALSE),0)</f>
        <v>0</v>
      </c>
      <c r="AJ2526" s="9">
        <f>IFERROR(VLOOKUP($A2526,pivot!$A:$I,計算式2026!AJ$1,FALSE),0)</f>
        <v>0</v>
      </c>
      <c r="AK2526" s="9">
        <f>IFERROR(VLOOKUP($A2526,pivot!$A:$I,計算式2026!AK$1,FALSE),0)</f>
        <v>0</v>
      </c>
      <c r="AL2526" s="9">
        <f>IFERROR(VLOOKUP($A2526,pivot!$A:$I,計算式2026!AL$1,FALSE),0)</f>
        <v>0</v>
      </c>
      <c r="AR2526" s="8"/>
      <c r="AS2526" s="8"/>
      <c r="AT2526" s="8"/>
      <c r="AU2526" s="8"/>
      <c r="AV2526" s="8"/>
      <c r="AW2526" s="8"/>
      <c r="AX2526" s="8"/>
      <c r="AY2526" s="8"/>
      <c r="AZ2526" s="8"/>
      <c r="BA2526" s="8"/>
      <c r="BB2526" s="8"/>
      <c r="BC2526" s="8"/>
      <c r="BD2526" s="8"/>
      <c r="BE2526" s="8"/>
      <c r="BF2526" s="8"/>
      <c r="BG2526" s="8"/>
    </row>
    <row r="2527" spans="1:59" s="9" customFormat="1">
      <c r="A2527" s="8" t="s">
        <v>1744</v>
      </c>
      <c r="B2527" s="8" t="s">
        <v>2586</v>
      </c>
      <c r="C2527" s="9">
        <v>0</v>
      </c>
      <c r="D2527" s="9">
        <v>0</v>
      </c>
      <c r="E2527" s="9">
        <v>0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  <c r="K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1</v>
      </c>
      <c r="AE2527" s="9">
        <f>IFERROR(VLOOKUP($A2527,pivot!$A:$G,計算式2026!AE$1,FALSE),0)</f>
        <v>0</v>
      </c>
      <c r="AF2527" s="9">
        <f>IFERROR(VLOOKUP($A2527,pivot!$A:$I,計算式2026!AF$1,FALSE),0)</f>
        <v>0</v>
      </c>
      <c r="AI2527" s="9">
        <f>IFERROR(VLOOKUP($A2527,pivot!$A:$I,計算式2026!AI$1,FALSE),0)</f>
        <v>0</v>
      </c>
      <c r="AJ2527" s="9">
        <f>IFERROR(VLOOKUP($A2527,pivot!$A:$I,計算式2026!AJ$1,FALSE),0)</f>
        <v>0</v>
      </c>
      <c r="AK2527" s="9">
        <f>IFERROR(VLOOKUP($A2527,pivot!$A:$I,計算式2026!AK$1,FALSE),0)</f>
        <v>0</v>
      </c>
      <c r="AL2527" s="9">
        <f>IFERROR(VLOOKUP($A2527,pivot!$A:$I,計算式2026!AL$1,FALSE),0)</f>
        <v>0</v>
      </c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8"/>
      <c r="BG2527" s="8"/>
    </row>
    <row r="2528" spans="1:59" s="9" customFormat="1">
      <c r="A2528" s="8" t="s">
        <v>1745</v>
      </c>
      <c r="B2528" s="8" t="s">
        <v>2586</v>
      </c>
      <c r="C2528" s="9">
        <v>0</v>
      </c>
      <c r="D2528" s="9">
        <v>0</v>
      </c>
      <c r="E2528" s="9">
        <v>0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R2528" s="9">
        <v>0</v>
      </c>
      <c r="S2528" s="9">
        <v>1</v>
      </c>
      <c r="T2528" s="9">
        <v>0</v>
      </c>
      <c r="U2528" s="9">
        <v>0</v>
      </c>
      <c r="V2528" s="9">
        <v>1</v>
      </c>
      <c r="W2528" s="9">
        <v>0</v>
      </c>
      <c r="X2528" s="9">
        <v>1</v>
      </c>
      <c r="AE2528" s="9">
        <f>IFERROR(VLOOKUP($A2528,pivot!$A:$G,計算式2026!AE$1,FALSE),0)</f>
        <v>0</v>
      </c>
      <c r="AF2528" s="9">
        <f>IFERROR(VLOOKUP($A2528,pivot!$A:$I,計算式2026!AF$1,FALSE),0)</f>
        <v>0</v>
      </c>
      <c r="AI2528" s="9">
        <f>IFERROR(VLOOKUP($A2528,pivot!$A:$I,計算式2026!AI$1,FALSE),0)</f>
        <v>0</v>
      </c>
      <c r="AJ2528" s="9">
        <f>IFERROR(VLOOKUP($A2528,pivot!$A:$I,計算式2026!AJ$1,FALSE),0)</f>
        <v>0</v>
      </c>
      <c r="AK2528" s="9">
        <f>IFERROR(VLOOKUP($A2528,pivot!$A:$I,計算式2026!AK$1,FALSE),0)</f>
        <v>0</v>
      </c>
      <c r="AL2528" s="9">
        <f>IFERROR(VLOOKUP($A2528,pivot!$A:$I,計算式2026!AL$1,FALSE),0)</f>
        <v>0</v>
      </c>
      <c r="AR2528" s="8"/>
      <c r="AS2528" s="8"/>
      <c r="AT2528" s="8"/>
      <c r="AU2528" s="8"/>
      <c r="AV2528" s="8"/>
      <c r="AW2528" s="8"/>
      <c r="AX2528" s="8"/>
      <c r="AY2528" s="8"/>
      <c r="AZ2528" s="8"/>
      <c r="BA2528" s="8"/>
      <c r="BB2528" s="8"/>
      <c r="BC2528" s="8"/>
      <c r="BD2528" s="8"/>
      <c r="BE2528" s="8"/>
      <c r="BF2528" s="8"/>
      <c r="BG2528" s="8"/>
    </row>
    <row r="2529" spans="1:59" s="9" customFormat="1">
      <c r="A2529" s="8" t="s">
        <v>1746</v>
      </c>
      <c r="B2529" s="8" t="s">
        <v>2586</v>
      </c>
      <c r="C2529" s="9">
        <v>0</v>
      </c>
      <c r="D2529" s="9">
        <v>0</v>
      </c>
      <c r="E2529" s="9">
        <v>0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R2529" s="9">
        <v>0</v>
      </c>
      <c r="S2529" s="9">
        <v>1</v>
      </c>
      <c r="T2529" s="9">
        <v>0</v>
      </c>
      <c r="U2529" s="9">
        <v>0</v>
      </c>
      <c r="V2529" s="9">
        <v>0</v>
      </c>
      <c r="W2529" s="9">
        <v>0</v>
      </c>
      <c r="X2529" s="9">
        <v>1</v>
      </c>
      <c r="AE2529" s="9">
        <f>IFERROR(VLOOKUP($A2529,pivot!$A:$G,計算式2026!AE$1,FALSE),0)</f>
        <v>0</v>
      </c>
      <c r="AF2529" s="9">
        <f>IFERROR(VLOOKUP($A2529,pivot!$A:$I,計算式2026!AF$1,FALSE),0)</f>
        <v>0</v>
      </c>
      <c r="AI2529" s="9">
        <f>IFERROR(VLOOKUP($A2529,pivot!$A:$I,計算式2026!AI$1,FALSE),0)</f>
        <v>0</v>
      </c>
      <c r="AJ2529" s="9">
        <f>IFERROR(VLOOKUP($A2529,pivot!$A:$I,計算式2026!AJ$1,FALSE),0)</f>
        <v>0</v>
      </c>
      <c r="AK2529" s="9">
        <f>IFERROR(VLOOKUP($A2529,pivot!$A:$I,計算式2026!AK$1,FALSE),0)</f>
        <v>0</v>
      </c>
      <c r="AL2529" s="9">
        <f>IFERROR(VLOOKUP($A2529,pivot!$A:$I,計算式2026!AL$1,FALSE),0)</f>
        <v>0</v>
      </c>
      <c r="AR2529" s="8"/>
      <c r="AS2529" s="8"/>
      <c r="AT2529" s="8"/>
      <c r="AU2529" s="8"/>
      <c r="AV2529" s="8"/>
      <c r="AW2529" s="8"/>
      <c r="AX2529" s="8"/>
      <c r="AY2529" s="8"/>
      <c r="AZ2529" s="8"/>
      <c r="BA2529" s="8"/>
      <c r="BB2529" s="8"/>
      <c r="BC2529" s="8"/>
      <c r="BD2529" s="8"/>
      <c r="BE2529" s="8"/>
      <c r="BF2529" s="8"/>
      <c r="BG2529" s="8"/>
    </row>
    <row r="2530" spans="1:59" s="9" customFormat="1">
      <c r="A2530" s="8" t="s">
        <v>1747</v>
      </c>
      <c r="B2530" s="8" t="s">
        <v>2586</v>
      </c>
      <c r="C2530" s="9">
        <v>0</v>
      </c>
      <c r="D2530" s="9">
        <v>0</v>
      </c>
      <c r="E2530" s="9">
        <v>0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1</v>
      </c>
      <c r="W2530" s="9">
        <v>0</v>
      </c>
      <c r="X2530" s="9">
        <v>1</v>
      </c>
      <c r="AE2530" s="9">
        <f>IFERROR(VLOOKUP($A2530,pivot!$A:$G,計算式2026!AE$1,FALSE),0)</f>
        <v>0</v>
      </c>
      <c r="AF2530" s="9">
        <f>IFERROR(VLOOKUP($A2530,pivot!$A:$I,計算式2026!AF$1,FALSE),0)</f>
        <v>0</v>
      </c>
      <c r="AI2530" s="9">
        <f>IFERROR(VLOOKUP($A2530,pivot!$A:$I,計算式2026!AI$1,FALSE),0)</f>
        <v>0</v>
      </c>
      <c r="AJ2530" s="9">
        <f>IFERROR(VLOOKUP($A2530,pivot!$A:$I,計算式2026!AJ$1,FALSE),0)</f>
        <v>0</v>
      </c>
      <c r="AK2530" s="9">
        <f>IFERROR(VLOOKUP($A2530,pivot!$A:$I,計算式2026!AK$1,FALSE),0)</f>
        <v>0</v>
      </c>
      <c r="AL2530" s="9">
        <f>IFERROR(VLOOKUP($A2530,pivot!$A:$I,計算式2026!AL$1,FALSE),0)</f>
        <v>0</v>
      </c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  <c r="BB2530" s="8"/>
      <c r="BC2530" s="8"/>
      <c r="BD2530" s="8"/>
      <c r="BE2530" s="8"/>
      <c r="BF2530" s="8"/>
      <c r="BG2530" s="8"/>
    </row>
    <row r="2531" spans="1:59" s="9" customFormat="1">
      <c r="A2531" s="8" t="s">
        <v>1748</v>
      </c>
      <c r="B2531" s="8" t="s">
        <v>2586</v>
      </c>
      <c r="C2531" s="9">
        <v>0</v>
      </c>
      <c r="D2531" s="9">
        <v>0</v>
      </c>
      <c r="E2531" s="9">
        <v>0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R2531" s="9">
        <v>2</v>
      </c>
      <c r="S2531" s="9">
        <v>1</v>
      </c>
      <c r="T2531" s="9">
        <v>0</v>
      </c>
      <c r="U2531" s="9">
        <v>0</v>
      </c>
      <c r="V2531" s="9">
        <v>2</v>
      </c>
      <c r="W2531" s="9">
        <v>0</v>
      </c>
      <c r="X2531" s="9">
        <v>1</v>
      </c>
      <c r="AE2531" s="9">
        <f>IFERROR(VLOOKUP($A2531,pivot!$A:$G,計算式2026!AE$1,FALSE),0)</f>
        <v>0</v>
      </c>
      <c r="AF2531" s="9">
        <f>IFERROR(VLOOKUP($A2531,pivot!$A:$I,計算式2026!AF$1,FALSE),0)</f>
        <v>0</v>
      </c>
      <c r="AI2531" s="9">
        <f>IFERROR(VLOOKUP($A2531,pivot!$A:$I,計算式2026!AI$1,FALSE),0)</f>
        <v>0</v>
      </c>
      <c r="AJ2531" s="9">
        <f>IFERROR(VLOOKUP($A2531,pivot!$A:$I,計算式2026!AJ$1,FALSE),0)</f>
        <v>0</v>
      </c>
      <c r="AK2531" s="9">
        <f>IFERROR(VLOOKUP($A2531,pivot!$A:$I,計算式2026!AK$1,FALSE),0)</f>
        <v>0</v>
      </c>
      <c r="AL2531" s="9">
        <f>IFERROR(VLOOKUP($A2531,pivot!$A:$I,計算式2026!AL$1,FALSE),0)</f>
        <v>0</v>
      </c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8"/>
      <c r="BG2531" s="8"/>
    </row>
    <row r="2532" spans="1:59" s="9" customFormat="1">
      <c r="A2532" s="8" t="s">
        <v>1749</v>
      </c>
      <c r="B2532" s="8" t="s">
        <v>2586</v>
      </c>
      <c r="C2532" s="9">
        <v>0</v>
      </c>
      <c r="D2532" s="9">
        <v>0</v>
      </c>
      <c r="E2532" s="9">
        <v>0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1</v>
      </c>
      <c r="AE2532" s="9">
        <f>IFERROR(VLOOKUP($A2532,pivot!$A:$G,計算式2026!AE$1,FALSE),0)</f>
        <v>0</v>
      </c>
      <c r="AF2532" s="9">
        <f>IFERROR(VLOOKUP($A2532,pivot!$A:$I,計算式2026!AF$1,FALSE),0)</f>
        <v>0</v>
      </c>
      <c r="AI2532" s="9">
        <f>IFERROR(VLOOKUP($A2532,pivot!$A:$I,計算式2026!AI$1,FALSE),0)</f>
        <v>0</v>
      </c>
      <c r="AJ2532" s="9">
        <f>IFERROR(VLOOKUP($A2532,pivot!$A:$I,計算式2026!AJ$1,FALSE),0)</f>
        <v>0</v>
      </c>
      <c r="AK2532" s="9">
        <f>IFERROR(VLOOKUP($A2532,pivot!$A:$I,計算式2026!AK$1,FALSE),0)</f>
        <v>0</v>
      </c>
      <c r="AL2532" s="9">
        <f>IFERROR(VLOOKUP($A2532,pivot!$A:$I,計算式2026!AL$1,FALSE),0)</f>
        <v>0</v>
      </c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</row>
    <row r="2533" spans="1:59" s="9" customFormat="1">
      <c r="A2533" s="8" t="s">
        <v>1530</v>
      </c>
      <c r="B2533" s="8" t="s">
        <v>1405</v>
      </c>
      <c r="C2533" s="9">
        <v>0</v>
      </c>
      <c r="D2533" s="9">
        <v>0</v>
      </c>
      <c r="E2533" s="9">
        <v>0</v>
      </c>
      <c r="F2533" s="9">
        <v>0</v>
      </c>
      <c r="G2533" s="9">
        <v>0</v>
      </c>
      <c r="H2533" s="9">
        <v>0</v>
      </c>
      <c r="I2533" s="9">
        <v>0</v>
      </c>
      <c r="J2533" s="9">
        <v>0</v>
      </c>
      <c r="K2533" s="9">
        <v>0</v>
      </c>
      <c r="R2533" s="9">
        <v>0</v>
      </c>
      <c r="S2533" s="9">
        <v>0</v>
      </c>
      <c r="T2533" s="9">
        <v>1</v>
      </c>
      <c r="U2533" s="9">
        <v>0</v>
      </c>
      <c r="V2533" s="9">
        <v>1</v>
      </c>
      <c r="W2533" s="9">
        <v>0</v>
      </c>
      <c r="X2533" s="9">
        <v>1</v>
      </c>
      <c r="AE2533" s="9">
        <f>IFERROR(VLOOKUP($A2533,pivot!$A:$G,計算式2026!AE$1,FALSE),0)</f>
        <v>0</v>
      </c>
      <c r="AF2533" s="9">
        <f>IFERROR(VLOOKUP($A2533,pivot!$A:$I,計算式2026!AF$1,FALSE),0)</f>
        <v>0</v>
      </c>
      <c r="AI2533" s="9">
        <f>IFERROR(VLOOKUP($A2533,pivot!$A:$I,計算式2026!AI$1,FALSE),0)</f>
        <v>0</v>
      </c>
      <c r="AJ2533" s="9">
        <f>IFERROR(VLOOKUP($A2533,pivot!$A:$I,計算式2026!AJ$1,FALSE),0)</f>
        <v>0</v>
      </c>
      <c r="AK2533" s="9">
        <f>IFERROR(VLOOKUP($A2533,pivot!$A:$I,計算式2026!AK$1,FALSE),0)</f>
        <v>0</v>
      </c>
      <c r="AL2533" s="9">
        <f>IFERROR(VLOOKUP($A2533,pivot!$A:$I,計算式2026!AL$1,FALSE),0)</f>
        <v>0</v>
      </c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/>
      <c r="BC2533" s="8"/>
      <c r="BD2533" s="8"/>
      <c r="BE2533" s="8"/>
      <c r="BF2533" s="8"/>
      <c r="BG2533" s="8"/>
    </row>
    <row r="2534" spans="1:59" s="9" customFormat="1">
      <c r="A2534" s="8" t="s">
        <v>1531</v>
      </c>
      <c r="B2534" s="8" t="s">
        <v>1405</v>
      </c>
      <c r="C2534" s="9">
        <v>0</v>
      </c>
      <c r="D2534" s="9">
        <v>0</v>
      </c>
      <c r="E2534" s="9">
        <v>0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0</v>
      </c>
      <c r="R2534" s="9">
        <v>0</v>
      </c>
      <c r="S2534" s="9">
        <v>1</v>
      </c>
      <c r="T2534" s="9">
        <v>1</v>
      </c>
      <c r="U2534" s="9">
        <v>0</v>
      </c>
      <c r="V2534" s="9">
        <v>1</v>
      </c>
      <c r="W2534" s="9">
        <v>0</v>
      </c>
      <c r="X2534" s="9">
        <v>1</v>
      </c>
      <c r="AE2534" s="9">
        <f>IFERROR(VLOOKUP($A2534,pivot!$A:$G,計算式2026!AE$1,FALSE),0)</f>
        <v>0</v>
      </c>
      <c r="AF2534" s="9">
        <f>IFERROR(VLOOKUP($A2534,pivot!$A:$I,計算式2026!AF$1,FALSE),0)</f>
        <v>0</v>
      </c>
      <c r="AI2534" s="9">
        <f>IFERROR(VLOOKUP($A2534,pivot!$A:$I,計算式2026!AI$1,FALSE),0)</f>
        <v>0</v>
      </c>
      <c r="AJ2534" s="9">
        <f>IFERROR(VLOOKUP($A2534,pivot!$A:$I,計算式2026!AJ$1,FALSE),0)</f>
        <v>0</v>
      </c>
      <c r="AK2534" s="9">
        <f>IFERROR(VLOOKUP($A2534,pivot!$A:$I,計算式2026!AK$1,FALSE),0)</f>
        <v>0</v>
      </c>
      <c r="AL2534" s="9">
        <f>IFERROR(VLOOKUP($A2534,pivot!$A:$I,計算式2026!AL$1,FALSE),0)</f>
        <v>0</v>
      </c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</row>
    <row r="2535" spans="1:59" s="9" customFormat="1">
      <c r="A2535" s="8" t="s">
        <v>1532</v>
      </c>
      <c r="B2535" s="8" t="s">
        <v>1405</v>
      </c>
      <c r="C2535" s="9">
        <v>0</v>
      </c>
      <c r="D2535" s="9">
        <v>0</v>
      </c>
      <c r="E2535" s="9">
        <v>0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R2535" s="9">
        <v>0</v>
      </c>
      <c r="S2535" s="9">
        <v>1</v>
      </c>
      <c r="T2535" s="9">
        <v>0</v>
      </c>
      <c r="U2535" s="9">
        <v>0</v>
      </c>
      <c r="V2535" s="9">
        <v>1</v>
      </c>
      <c r="W2535" s="9">
        <v>0</v>
      </c>
      <c r="X2535" s="9">
        <v>1</v>
      </c>
      <c r="AE2535" s="9">
        <f>IFERROR(VLOOKUP($A2535,pivot!$A:$G,計算式2026!AE$1,FALSE),0)</f>
        <v>0</v>
      </c>
      <c r="AF2535" s="9">
        <f>IFERROR(VLOOKUP($A2535,pivot!$A:$I,計算式2026!AF$1,FALSE),0)</f>
        <v>0</v>
      </c>
      <c r="AI2535" s="9">
        <f>IFERROR(VLOOKUP($A2535,pivot!$A:$I,計算式2026!AI$1,FALSE),0)</f>
        <v>0</v>
      </c>
      <c r="AJ2535" s="9">
        <f>IFERROR(VLOOKUP($A2535,pivot!$A:$I,計算式2026!AJ$1,FALSE),0)</f>
        <v>0</v>
      </c>
      <c r="AK2535" s="9">
        <f>IFERROR(VLOOKUP($A2535,pivot!$A:$I,計算式2026!AK$1,FALSE),0)</f>
        <v>0</v>
      </c>
      <c r="AL2535" s="9">
        <f>IFERROR(VLOOKUP($A2535,pivot!$A:$I,計算式2026!AL$1,FALSE),0)</f>
        <v>0</v>
      </c>
      <c r="AR2535" s="8"/>
      <c r="AS2535" s="8"/>
      <c r="AT2535" s="8"/>
      <c r="AU2535" s="8"/>
      <c r="AV2535" s="8"/>
      <c r="AW2535" s="8"/>
      <c r="AX2535" s="8"/>
      <c r="AY2535" s="8"/>
      <c r="AZ2535" s="8"/>
      <c r="BA2535" s="8"/>
      <c r="BB2535" s="8"/>
      <c r="BC2535" s="8"/>
      <c r="BD2535" s="8"/>
      <c r="BE2535" s="8"/>
      <c r="BF2535" s="8"/>
      <c r="BG2535" s="8"/>
    </row>
    <row r="2536" spans="1:59" s="9" customFormat="1">
      <c r="A2536" s="8" t="s">
        <v>1533</v>
      </c>
      <c r="B2536" s="8" t="s">
        <v>1405</v>
      </c>
      <c r="C2536" s="9">
        <v>0</v>
      </c>
      <c r="D2536" s="9">
        <v>0</v>
      </c>
      <c r="E2536" s="9">
        <v>0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R2536" s="9">
        <v>0</v>
      </c>
      <c r="S2536" s="9">
        <v>0</v>
      </c>
      <c r="T2536" s="9">
        <v>1</v>
      </c>
      <c r="U2536" s="9">
        <v>0</v>
      </c>
      <c r="V2536" s="9">
        <v>0</v>
      </c>
      <c r="W2536" s="9">
        <v>0</v>
      </c>
      <c r="X2536" s="9">
        <v>1</v>
      </c>
      <c r="AE2536" s="9">
        <f>IFERROR(VLOOKUP($A2536,pivot!$A:$G,計算式2026!AE$1,FALSE),0)</f>
        <v>0</v>
      </c>
      <c r="AF2536" s="9">
        <f>IFERROR(VLOOKUP($A2536,pivot!$A:$I,計算式2026!AF$1,FALSE),0)</f>
        <v>0</v>
      </c>
      <c r="AI2536" s="9">
        <f>IFERROR(VLOOKUP($A2536,pivot!$A:$I,計算式2026!AI$1,FALSE),0)</f>
        <v>0</v>
      </c>
      <c r="AJ2536" s="9">
        <f>IFERROR(VLOOKUP($A2536,pivot!$A:$I,計算式2026!AJ$1,FALSE),0)</f>
        <v>0</v>
      </c>
      <c r="AK2536" s="9">
        <f>IFERROR(VLOOKUP($A2536,pivot!$A:$I,計算式2026!AK$1,FALSE),0)</f>
        <v>0</v>
      </c>
      <c r="AL2536" s="9">
        <f>IFERROR(VLOOKUP($A2536,pivot!$A:$I,計算式2026!AL$1,FALSE),0)</f>
        <v>0</v>
      </c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</row>
    <row r="2537" spans="1:59" s="9" customFormat="1">
      <c r="A2537" s="8" t="s">
        <v>1534</v>
      </c>
      <c r="B2537" s="8" t="s">
        <v>1405</v>
      </c>
      <c r="C2537" s="9">
        <v>0</v>
      </c>
      <c r="D2537" s="9">
        <v>0</v>
      </c>
      <c r="E2537" s="9">
        <v>0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R2537" s="9">
        <v>0</v>
      </c>
      <c r="S2537" s="9">
        <v>2</v>
      </c>
      <c r="T2537" s="9">
        <v>1</v>
      </c>
      <c r="U2537" s="9">
        <v>0</v>
      </c>
      <c r="V2537" s="9">
        <v>3</v>
      </c>
      <c r="W2537" s="9">
        <v>0</v>
      </c>
      <c r="X2537" s="9">
        <v>1</v>
      </c>
      <c r="AE2537" s="9">
        <f>IFERROR(VLOOKUP($A2537,pivot!$A:$G,計算式2026!AE$1,FALSE),0)</f>
        <v>0</v>
      </c>
      <c r="AF2537" s="9">
        <f>IFERROR(VLOOKUP($A2537,pivot!$A:$I,計算式2026!AF$1,FALSE),0)</f>
        <v>0</v>
      </c>
      <c r="AI2537" s="9">
        <f>IFERROR(VLOOKUP($A2537,pivot!$A:$I,計算式2026!AI$1,FALSE),0)</f>
        <v>0</v>
      </c>
      <c r="AJ2537" s="9">
        <f>IFERROR(VLOOKUP($A2537,pivot!$A:$I,計算式2026!AJ$1,FALSE),0)</f>
        <v>0</v>
      </c>
      <c r="AK2537" s="9">
        <f>IFERROR(VLOOKUP($A2537,pivot!$A:$I,計算式2026!AK$1,FALSE),0)</f>
        <v>0</v>
      </c>
      <c r="AL2537" s="9">
        <f>IFERROR(VLOOKUP($A2537,pivot!$A:$I,計算式2026!AL$1,FALSE),0)</f>
        <v>0</v>
      </c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8"/>
      <c r="BG2537" s="8"/>
    </row>
    <row r="2538" spans="1:59" s="9" customFormat="1">
      <c r="A2538" s="8" t="s">
        <v>1535</v>
      </c>
      <c r="B2538" s="8" t="s">
        <v>1405</v>
      </c>
      <c r="C2538" s="9">
        <v>0</v>
      </c>
      <c r="D2538" s="9">
        <v>0</v>
      </c>
      <c r="E2538" s="9">
        <v>0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R2538" s="9">
        <v>0</v>
      </c>
      <c r="S2538" s="9">
        <v>1</v>
      </c>
      <c r="T2538" s="9">
        <v>0</v>
      </c>
      <c r="U2538" s="9">
        <v>0</v>
      </c>
      <c r="V2538" s="9">
        <v>1</v>
      </c>
      <c r="W2538" s="9">
        <v>0</v>
      </c>
      <c r="X2538" s="9">
        <v>1</v>
      </c>
      <c r="AE2538" s="9">
        <f>IFERROR(VLOOKUP($A2538,pivot!$A:$G,計算式2026!AE$1,FALSE),0)</f>
        <v>0</v>
      </c>
      <c r="AF2538" s="9">
        <f>IFERROR(VLOOKUP($A2538,pivot!$A:$I,計算式2026!AF$1,FALSE),0)</f>
        <v>0</v>
      </c>
      <c r="AI2538" s="9">
        <f>IFERROR(VLOOKUP($A2538,pivot!$A:$I,計算式2026!AI$1,FALSE),0)</f>
        <v>0</v>
      </c>
      <c r="AJ2538" s="9">
        <f>IFERROR(VLOOKUP($A2538,pivot!$A:$I,計算式2026!AJ$1,FALSE),0)</f>
        <v>0</v>
      </c>
      <c r="AK2538" s="9">
        <f>IFERROR(VLOOKUP($A2538,pivot!$A:$I,計算式2026!AK$1,FALSE),0)</f>
        <v>0</v>
      </c>
      <c r="AL2538" s="9">
        <f>IFERROR(VLOOKUP($A2538,pivot!$A:$I,計算式2026!AL$1,FALSE),0)</f>
        <v>0</v>
      </c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</row>
    <row r="2539" spans="1:59" s="9" customFormat="1">
      <c r="A2539" s="8" t="s">
        <v>2587</v>
      </c>
      <c r="B2539" s="8" t="s">
        <v>2588</v>
      </c>
      <c r="C2539" s="9">
        <v>0</v>
      </c>
      <c r="D2539" s="9">
        <v>0</v>
      </c>
      <c r="E2539" s="9">
        <v>0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R2539" s="9">
        <v>0</v>
      </c>
      <c r="S2539" s="9">
        <v>2</v>
      </c>
      <c r="T2539" s="9">
        <v>1</v>
      </c>
      <c r="U2539" s="9">
        <v>0</v>
      </c>
      <c r="V2539" s="9">
        <v>2</v>
      </c>
      <c r="W2539" s="9">
        <v>0</v>
      </c>
      <c r="X2539" s="9">
        <v>1</v>
      </c>
      <c r="AE2539" s="9">
        <f>IFERROR(VLOOKUP($A2539,pivot!$A:$G,計算式2026!AE$1,FALSE),0)</f>
        <v>0</v>
      </c>
      <c r="AF2539" s="9">
        <f>IFERROR(VLOOKUP($A2539,pivot!$A:$I,計算式2026!AF$1,FALSE),0)</f>
        <v>0</v>
      </c>
      <c r="AI2539" s="9">
        <f>IFERROR(VLOOKUP($A2539,pivot!$A:$I,計算式2026!AI$1,FALSE),0)</f>
        <v>0</v>
      </c>
      <c r="AJ2539" s="9">
        <f>IFERROR(VLOOKUP($A2539,pivot!$A:$I,計算式2026!AJ$1,FALSE),0)</f>
        <v>0</v>
      </c>
      <c r="AK2539" s="9">
        <f>IFERROR(VLOOKUP($A2539,pivot!$A:$I,計算式2026!AK$1,FALSE),0)</f>
        <v>0</v>
      </c>
      <c r="AL2539" s="9">
        <f>IFERROR(VLOOKUP($A2539,pivot!$A:$I,計算式2026!AL$1,FALSE),0)</f>
        <v>0</v>
      </c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8"/>
      <c r="BG2539" s="8"/>
    </row>
    <row r="2540" spans="1:59" s="9" customFormat="1">
      <c r="A2540" s="8" t="s">
        <v>2589</v>
      </c>
      <c r="B2540" s="8" t="s">
        <v>2588</v>
      </c>
      <c r="C2540" s="9">
        <v>0</v>
      </c>
      <c r="D2540" s="9">
        <v>3</v>
      </c>
      <c r="E2540" s="9">
        <v>0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R2540" s="9">
        <v>0</v>
      </c>
      <c r="S2540" s="9">
        <v>3</v>
      </c>
      <c r="T2540" s="9">
        <v>1</v>
      </c>
      <c r="U2540" s="9">
        <v>0</v>
      </c>
      <c r="V2540" s="9">
        <v>2</v>
      </c>
      <c r="W2540" s="9">
        <v>0</v>
      </c>
      <c r="X2540" s="9">
        <v>1</v>
      </c>
      <c r="AE2540" s="9">
        <f>IFERROR(VLOOKUP($A2540,pivot!$A:$G,計算式2026!AE$1,FALSE),0)</f>
        <v>0</v>
      </c>
      <c r="AF2540" s="9">
        <f>IFERROR(VLOOKUP($A2540,pivot!$A:$I,計算式2026!AF$1,FALSE),0)</f>
        <v>0</v>
      </c>
      <c r="AI2540" s="9">
        <f>IFERROR(VLOOKUP($A2540,pivot!$A:$I,計算式2026!AI$1,FALSE),0)</f>
        <v>0</v>
      </c>
      <c r="AJ2540" s="9">
        <f>IFERROR(VLOOKUP($A2540,pivot!$A:$I,計算式2026!AJ$1,FALSE),0)</f>
        <v>0</v>
      </c>
      <c r="AK2540" s="9">
        <f>IFERROR(VLOOKUP($A2540,pivot!$A:$I,計算式2026!AK$1,FALSE),0)</f>
        <v>0</v>
      </c>
      <c r="AL2540" s="9">
        <f>IFERROR(VLOOKUP($A2540,pivot!$A:$I,計算式2026!AL$1,FALSE),0)</f>
        <v>0</v>
      </c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</row>
    <row r="2541" spans="1:59" s="9" customFormat="1">
      <c r="A2541" s="8" t="s">
        <v>1453</v>
      </c>
      <c r="B2541" s="8" t="s">
        <v>1454</v>
      </c>
      <c r="C2541" s="9">
        <v>1</v>
      </c>
      <c r="D2541" s="9">
        <v>0</v>
      </c>
      <c r="E2541" s="9">
        <v>0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R2541" s="9">
        <v>0</v>
      </c>
      <c r="S2541" s="9">
        <v>0</v>
      </c>
      <c r="T2541" s="9">
        <v>1</v>
      </c>
      <c r="U2541" s="9">
        <v>0</v>
      </c>
      <c r="V2541" s="9">
        <v>0</v>
      </c>
      <c r="W2541" s="9">
        <v>0</v>
      </c>
      <c r="X2541" s="9">
        <v>1</v>
      </c>
      <c r="AE2541" s="9">
        <f>IFERROR(VLOOKUP($A2541,pivot!$A:$G,計算式2026!AE$1,FALSE),0)</f>
        <v>0</v>
      </c>
      <c r="AF2541" s="9">
        <f>IFERROR(VLOOKUP($A2541,pivot!$A:$I,計算式2026!AF$1,FALSE),0)</f>
        <v>0</v>
      </c>
      <c r="AI2541" s="9">
        <f>IFERROR(VLOOKUP($A2541,pivot!$A:$I,計算式2026!AI$1,FALSE),0)</f>
        <v>0</v>
      </c>
      <c r="AJ2541" s="9">
        <f>IFERROR(VLOOKUP($A2541,pivot!$A:$I,計算式2026!AJ$1,FALSE),0)</f>
        <v>0</v>
      </c>
      <c r="AK2541" s="9">
        <f>IFERROR(VLOOKUP($A2541,pivot!$A:$I,計算式2026!AK$1,FALSE),0)</f>
        <v>0</v>
      </c>
      <c r="AL2541" s="9">
        <f>IFERROR(VLOOKUP($A2541,pivot!$A:$I,計算式2026!AL$1,FALSE),0)</f>
        <v>0</v>
      </c>
      <c r="AR2541" s="8"/>
      <c r="AS2541" s="8"/>
      <c r="AT2541" s="8"/>
      <c r="AU2541" s="8"/>
      <c r="AV2541" s="8"/>
      <c r="AW2541" s="8"/>
      <c r="AX2541" s="8"/>
      <c r="AY2541" s="8"/>
      <c r="AZ2541" s="8"/>
      <c r="BA2541" s="8"/>
      <c r="BB2541" s="8"/>
      <c r="BC2541" s="8"/>
      <c r="BD2541" s="8"/>
      <c r="BE2541" s="8"/>
      <c r="BF2541" s="8"/>
      <c r="BG2541" s="8"/>
    </row>
    <row r="2542" spans="1:59" s="9" customFormat="1">
      <c r="A2542" s="8" t="s">
        <v>1803</v>
      </c>
      <c r="B2542" s="8" t="s">
        <v>1454</v>
      </c>
      <c r="C2542" s="9">
        <v>0</v>
      </c>
      <c r="D2542" s="9">
        <v>0</v>
      </c>
      <c r="E2542" s="9">
        <v>0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R2542" s="9">
        <v>1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1</v>
      </c>
      <c r="AE2542" s="9">
        <f>IFERROR(VLOOKUP($A2542,pivot!$A:$G,計算式2026!AE$1,FALSE),0)</f>
        <v>0</v>
      </c>
      <c r="AF2542" s="9">
        <f>IFERROR(VLOOKUP($A2542,pivot!$A:$I,計算式2026!AF$1,FALSE),0)</f>
        <v>0</v>
      </c>
      <c r="AI2542" s="9">
        <f>IFERROR(VLOOKUP($A2542,pivot!$A:$I,計算式2026!AI$1,FALSE),0)</f>
        <v>0</v>
      </c>
      <c r="AJ2542" s="9">
        <f>IFERROR(VLOOKUP($A2542,pivot!$A:$I,計算式2026!AJ$1,FALSE),0)</f>
        <v>0</v>
      </c>
      <c r="AK2542" s="9">
        <f>IFERROR(VLOOKUP($A2542,pivot!$A:$I,計算式2026!AK$1,FALSE),0)</f>
        <v>0</v>
      </c>
      <c r="AL2542" s="9">
        <f>IFERROR(VLOOKUP($A2542,pivot!$A:$I,計算式2026!AL$1,FALSE),0)</f>
        <v>0</v>
      </c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</row>
    <row r="2543" spans="1:59" s="9" customFormat="1">
      <c r="A2543" s="8" t="s">
        <v>1455</v>
      </c>
      <c r="B2543" s="8" t="s">
        <v>1454</v>
      </c>
      <c r="C2543" s="9">
        <v>1</v>
      </c>
      <c r="D2543" s="9">
        <v>0</v>
      </c>
      <c r="E2543" s="9">
        <v>0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R2543" s="9">
        <v>0</v>
      </c>
      <c r="S2543" s="9">
        <v>0</v>
      </c>
      <c r="T2543" s="9">
        <v>2</v>
      </c>
      <c r="U2543" s="9">
        <v>0</v>
      </c>
      <c r="V2543" s="9">
        <v>0</v>
      </c>
      <c r="W2543" s="9">
        <v>0</v>
      </c>
      <c r="X2543" s="9">
        <v>1</v>
      </c>
      <c r="AE2543" s="9">
        <f>IFERROR(VLOOKUP($A2543,pivot!$A:$G,計算式2026!AE$1,FALSE),0)</f>
        <v>0</v>
      </c>
      <c r="AF2543" s="9">
        <f>IFERROR(VLOOKUP($A2543,pivot!$A:$I,計算式2026!AF$1,FALSE),0)</f>
        <v>0</v>
      </c>
      <c r="AI2543" s="9">
        <f>IFERROR(VLOOKUP($A2543,pivot!$A:$I,計算式2026!AI$1,FALSE),0)</f>
        <v>0</v>
      </c>
      <c r="AJ2543" s="9">
        <f>IFERROR(VLOOKUP($A2543,pivot!$A:$I,計算式2026!AJ$1,FALSE),0)</f>
        <v>0</v>
      </c>
      <c r="AK2543" s="9">
        <f>IFERROR(VLOOKUP($A2543,pivot!$A:$I,計算式2026!AK$1,FALSE),0)</f>
        <v>0</v>
      </c>
      <c r="AL2543" s="9">
        <f>IFERROR(VLOOKUP($A2543,pivot!$A:$I,計算式2026!AL$1,FALSE),0)</f>
        <v>0</v>
      </c>
      <c r="AR2543" s="8"/>
      <c r="AS2543" s="8"/>
      <c r="AT2543" s="8"/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8"/>
      <c r="BG2543" s="8"/>
    </row>
    <row r="2544" spans="1:59" s="9" customFormat="1">
      <c r="A2544" s="8" t="s">
        <v>1804</v>
      </c>
      <c r="B2544" s="8" t="s">
        <v>1454</v>
      </c>
      <c r="C2544" s="9">
        <v>0</v>
      </c>
      <c r="D2544" s="9">
        <v>0</v>
      </c>
      <c r="E2544" s="9">
        <v>0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1</v>
      </c>
      <c r="AE2544" s="9">
        <f>IFERROR(VLOOKUP($A2544,pivot!$A:$G,計算式2026!AE$1,FALSE),0)</f>
        <v>0</v>
      </c>
      <c r="AF2544" s="9">
        <f>IFERROR(VLOOKUP($A2544,pivot!$A:$I,計算式2026!AF$1,FALSE),0)</f>
        <v>0</v>
      </c>
      <c r="AI2544" s="9">
        <f>IFERROR(VLOOKUP($A2544,pivot!$A:$I,計算式2026!AI$1,FALSE),0)</f>
        <v>0</v>
      </c>
      <c r="AJ2544" s="9">
        <f>IFERROR(VLOOKUP($A2544,pivot!$A:$I,計算式2026!AJ$1,FALSE),0)</f>
        <v>0</v>
      </c>
      <c r="AK2544" s="9">
        <f>IFERROR(VLOOKUP($A2544,pivot!$A:$I,計算式2026!AK$1,FALSE),0)</f>
        <v>0</v>
      </c>
      <c r="AL2544" s="9">
        <f>IFERROR(VLOOKUP($A2544,pivot!$A:$I,計算式2026!AL$1,FALSE),0)</f>
        <v>0</v>
      </c>
      <c r="AR2544" s="8"/>
      <c r="AS2544" s="8"/>
      <c r="AT2544" s="8"/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</row>
    <row r="2545" spans="1:59" s="9" customFormat="1">
      <c r="A2545" s="8" t="s">
        <v>2590</v>
      </c>
      <c r="B2545" s="8" t="s">
        <v>1454</v>
      </c>
      <c r="C2545" s="9">
        <v>0</v>
      </c>
      <c r="D2545" s="9">
        <v>0</v>
      </c>
      <c r="E2545" s="9">
        <v>0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1</v>
      </c>
      <c r="AE2545" s="9">
        <f>IFERROR(VLOOKUP($A2545,pivot!$A:$G,計算式2026!AE$1,FALSE),0)</f>
        <v>0</v>
      </c>
      <c r="AF2545" s="9">
        <f>IFERROR(VLOOKUP($A2545,pivot!$A:$I,計算式2026!AF$1,FALSE),0)</f>
        <v>0</v>
      </c>
      <c r="AI2545" s="9">
        <f>IFERROR(VLOOKUP($A2545,pivot!$A:$I,計算式2026!AI$1,FALSE),0)</f>
        <v>0</v>
      </c>
      <c r="AJ2545" s="9">
        <f>IFERROR(VLOOKUP($A2545,pivot!$A:$I,計算式2026!AJ$1,FALSE),0)</f>
        <v>0</v>
      </c>
      <c r="AK2545" s="9">
        <f>IFERROR(VLOOKUP($A2545,pivot!$A:$I,計算式2026!AK$1,FALSE),0)</f>
        <v>0</v>
      </c>
      <c r="AL2545" s="9">
        <f>IFERROR(VLOOKUP($A2545,pivot!$A:$I,計算式2026!AL$1,FALSE),0)</f>
        <v>0</v>
      </c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G2545" s="8"/>
    </row>
    <row r="2546" spans="1:59" s="9" customFormat="1">
      <c r="A2546" s="8" t="s">
        <v>2591</v>
      </c>
      <c r="B2546" s="8" t="s">
        <v>1454</v>
      </c>
      <c r="C2546" s="9">
        <v>3</v>
      </c>
      <c r="D2546" s="9">
        <v>0</v>
      </c>
      <c r="E2546" s="9">
        <v>0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1</v>
      </c>
      <c r="AE2546" s="9">
        <f>IFERROR(VLOOKUP($A2546,pivot!$A:$G,計算式2026!AE$1,FALSE),0)</f>
        <v>0</v>
      </c>
      <c r="AF2546" s="9">
        <f>IFERROR(VLOOKUP($A2546,pivot!$A:$I,計算式2026!AF$1,FALSE),0)</f>
        <v>0</v>
      </c>
      <c r="AI2546" s="9">
        <f>IFERROR(VLOOKUP($A2546,pivot!$A:$I,計算式2026!AI$1,FALSE),0)</f>
        <v>0</v>
      </c>
      <c r="AJ2546" s="9">
        <f>IFERROR(VLOOKUP($A2546,pivot!$A:$I,計算式2026!AJ$1,FALSE),0)</f>
        <v>0</v>
      </c>
      <c r="AK2546" s="9">
        <f>IFERROR(VLOOKUP($A2546,pivot!$A:$I,計算式2026!AK$1,FALSE),0)</f>
        <v>0</v>
      </c>
      <c r="AL2546" s="9">
        <f>IFERROR(VLOOKUP($A2546,pivot!$A:$I,計算式2026!AL$1,FALSE),0)</f>
        <v>0</v>
      </c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</row>
    <row r="2547" spans="1:59" s="9" customFormat="1">
      <c r="A2547" s="8" t="s">
        <v>2592</v>
      </c>
      <c r="B2547" s="8" t="s">
        <v>1454</v>
      </c>
      <c r="C2547" s="9">
        <v>1</v>
      </c>
      <c r="D2547" s="9">
        <v>0</v>
      </c>
      <c r="E2547" s="9">
        <v>0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1</v>
      </c>
      <c r="AE2547" s="9">
        <f>IFERROR(VLOOKUP($A2547,pivot!$A:$G,計算式2026!AE$1,FALSE),0)</f>
        <v>0</v>
      </c>
      <c r="AF2547" s="9">
        <f>IFERROR(VLOOKUP($A2547,pivot!$A:$I,計算式2026!AF$1,FALSE),0)</f>
        <v>0</v>
      </c>
      <c r="AI2547" s="9">
        <f>IFERROR(VLOOKUP($A2547,pivot!$A:$I,計算式2026!AI$1,FALSE),0)</f>
        <v>0</v>
      </c>
      <c r="AJ2547" s="9">
        <f>IFERROR(VLOOKUP($A2547,pivot!$A:$I,計算式2026!AJ$1,FALSE),0)</f>
        <v>0</v>
      </c>
      <c r="AK2547" s="9">
        <f>IFERROR(VLOOKUP($A2547,pivot!$A:$I,計算式2026!AK$1,FALSE),0)</f>
        <v>0</v>
      </c>
      <c r="AL2547" s="9">
        <f>IFERROR(VLOOKUP($A2547,pivot!$A:$I,計算式2026!AL$1,FALSE),0)</f>
        <v>0</v>
      </c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8"/>
      <c r="BG2547" s="8"/>
    </row>
    <row r="2548" spans="1:59" s="9" customFormat="1">
      <c r="A2548" s="8" t="s">
        <v>1644</v>
      </c>
      <c r="B2548" s="8" t="s">
        <v>2593</v>
      </c>
      <c r="C2548" s="9">
        <v>0</v>
      </c>
      <c r="D2548" s="9">
        <v>0</v>
      </c>
      <c r="E2548" s="9">
        <v>0</v>
      </c>
      <c r="F2548" s="9">
        <v>0</v>
      </c>
      <c r="G2548" s="9">
        <v>0</v>
      </c>
      <c r="H2548" s="9">
        <v>0</v>
      </c>
      <c r="I2548" s="9">
        <v>0</v>
      </c>
      <c r="J2548" s="9">
        <v>0</v>
      </c>
      <c r="K2548" s="9">
        <v>0</v>
      </c>
      <c r="R2548" s="9">
        <v>0</v>
      </c>
      <c r="S2548" s="9">
        <v>0</v>
      </c>
      <c r="T2548" s="9">
        <v>1</v>
      </c>
      <c r="U2548" s="9">
        <v>0</v>
      </c>
      <c r="V2548" s="9">
        <v>0</v>
      </c>
      <c r="W2548" s="9">
        <v>0</v>
      </c>
      <c r="X2548" s="9">
        <v>1</v>
      </c>
      <c r="AE2548" s="9">
        <f>IFERROR(VLOOKUP($A2548,pivot!$A:$G,計算式2026!AE$1,FALSE),0)</f>
        <v>0</v>
      </c>
      <c r="AF2548" s="9">
        <f>IFERROR(VLOOKUP($A2548,pivot!$A:$I,計算式2026!AF$1,FALSE),0)</f>
        <v>0</v>
      </c>
      <c r="AI2548" s="9">
        <f>IFERROR(VLOOKUP($A2548,pivot!$A:$I,計算式2026!AI$1,FALSE),0)</f>
        <v>0</v>
      </c>
      <c r="AJ2548" s="9">
        <f>IFERROR(VLOOKUP($A2548,pivot!$A:$I,計算式2026!AJ$1,FALSE),0)</f>
        <v>0</v>
      </c>
      <c r="AK2548" s="9">
        <f>IFERROR(VLOOKUP($A2548,pivot!$A:$I,計算式2026!AK$1,FALSE),0)</f>
        <v>0</v>
      </c>
      <c r="AL2548" s="9">
        <f>IFERROR(VLOOKUP($A2548,pivot!$A:$I,計算式2026!AL$1,FALSE),0)</f>
        <v>0</v>
      </c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</row>
    <row r="2549" spans="1:59" s="9" customFormat="1">
      <c r="A2549" s="8" t="s">
        <v>1645</v>
      </c>
      <c r="B2549" s="8" t="s">
        <v>2593</v>
      </c>
      <c r="C2549" s="9">
        <v>0</v>
      </c>
      <c r="D2549" s="9">
        <v>0</v>
      </c>
      <c r="E2549" s="9">
        <v>0</v>
      </c>
      <c r="F2549" s="9">
        <v>0</v>
      </c>
      <c r="G2549" s="9">
        <v>0</v>
      </c>
      <c r="H2549" s="9">
        <v>0</v>
      </c>
      <c r="I2549" s="9">
        <v>0</v>
      </c>
      <c r="J2549" s="9">
        <v>0</v>
      </c>
      <c r="K2549" s="9">
        <v>0</v>
      </c>
      <c r="R2549" s="9">
        <v>0</v>
      </c>
      <c r="S2549" s="9">
        <v>0</v>
      </c>
      <c r="T2549" s="9">
        <v>1</v>
      </c>
      <c r="U2549" s="9">
        <v>0</v>
      </c>
      <c r="V2549" s="9">
        <v>1</v>
      </c>
      <c r="W2549" s="9">
        <v>0</v>
      </c>
      <c r="X2549" s="9">
        <v>1</v>
      </c>
      <c r="AE2549" s="9">
        <f>IFERROR(VLOOKUP($A2549,pivot!$A:$G,計算式2026!AE$1,FALSE),0)</f>
        <v>0</v>
      </c>
      <c r="AF2549" s="9">
        <f>IFERROR(VLOOKUP($A2549,pivot!$A:$I,計算式2026!AF$1,FALSE),0)</f>
        <v>0</v>
      </c>
      <c r="AI2549" s="9">
        <f>IFERROR(VLOOKUP($A2549,pivot!$A:$I,計算式2026!AI$1,FALSE),0)</f>
        <v>0</v>
      </c>
      <c r="AJ2549" s="9">
        <f>IFERROR(VLOOKUP($A2549,pivot!$A:$I,計算式2026!AJ$1,FALSE),0)</f>
        <v>0</v>
      </c>
      <c r="AK2549" s="9">
        <f>IFERROR(VLOOKUP($A2549,pivot!$A:$I,計算式2026!AK$1,FALSE),0)</f>
        <v>0</v>
      </c>
      <c r="AL2549" s="9">
        <f>IFERROR(VLOOKUP($A2549,pivot!$A:$I,計算式2026!AL$1,FALSE),0)</f>
        <v>0</v>
      </c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G2549" s="8"/>
    </row>
    <row r="2550" spans="1:59" s="9" customFormat="1">
      <c r="A2550" s="8" t="s">
        <v>1646</v>
      </c>
      <c r="B2550" s="8" t="s">
        <v>2593</v>
      </c>
      <c r="C2550" s="9">
        <v>0</v>
      </c>
      <c r="D2550" s="9">
        <v>0</v>
      </c>
      <c r="E2550" s="9">
        <v>0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1</v>
      </c>
      <c r="AE2550" s="9">
        <f>IFERROR(VLOOKUP($A2550,pivot!$A:$G,計算式2026!AE$1,FALSE),0)</f>
        <v>0</v>
      </c>
      <c r="AF2550" s="9">
        <f>IFERROR(VLOOKUP($A2550,pivot!$A:$I,計算式2026!AF$1,FALSE),0)</f>
        <v>0</v>
      </c>
      <c r="AI2550" s="9">
        <f>IFERROR(VLOOKUP($A2550,pivot!$A:$I,計算式2026!AI$1,FALSE),0)</f>
        <v>0</v>
      </c>
      <c r="AJ2550" s="9">
        <f>IFERROR(VLOOKUP($A2550,pivot!$A:$I,計算式2026!AJ$1,FALSE),0)</f>
        <v>0</v>
      </c>
      <c r="AK2550" s="9">
        <f>IFERROR(VLOOKUP($A2550,pivot!$A:$I,計算式2026!AK$1,FALSE),0)</f>
        <v>0</v>
      </c>
      <c r="AL2550" s="9">
        <f>IFERROR(VLOOKUP($A2550,pivot!$A:$I,計算式2026!AL$1,FALSE),0)</f>
        <v>0</v>
      </c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</row>
    <row r="2551" spans="1:59" s="9" customFormat="1">
      <c r="A2551" s="8" t="s">
        <v>1831</v>
      </c>
      <c r="B2551" s="8" t="s">
        <v>2593</v>
      </c>
      <c r="C2551" s="9">
        <v>0</v>
      </c>
      <c r="D2551" s="9">
        <v>0</v>
      </c>
      <c r="E2551" s="9">
        <v>0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1</v>
      </c>
      <c r="AE2551" s="9">
        <f>IFERROR(VLOOKUP($A2551,pivot!$A:$G,計算式2026!AE$1,FALSE),0)</f>
        <v>0</v>
      </c>
      <c r="AF2551" s="9">
        <f>IFERROR(VLOOKUP($A2551,pivot!$A:$I,計算式2026!AF$1,FALSE),0)</f>
        <v>0</v>
      </c>
      <c r="AI2551" s="9">
        <f>IFERROR(VLOOKUP($A2551,pivot!$A:$I,計算式2026!AI$1,FALSE),0)</f>
        <v>0</v>
      </c>
      <c r="AJ2551" s="9">
        <f>IFERROR(VLOOKUP($A2551,pivot!$A:$I,計算式2026!AJ$1,FALSE),0)</f>
        <v>0</v>
      </c>
      <c r="AK2551" s="9">
        <f>IFERROR(VLOOKUP($A2551,pivot!$A:$I,計算式2026!AK$1,FALSE),0)</f>
        <v>0</v>
      </c>
      <c r="AL2551" s="9">
        <f>IFERROR(VLOOKUP($A2551,pivot!$A:$I,計算式2026!AL$1,FALSE),0)</f>
        <v>0</v>
      </c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G2551" s="8"/>
    </row>
    <row r="2552" spans="1:59" s="9" customFormat="1">
      <c r="A2552" s="8" t="s">
        <v>1832</v>
      </c>
      <c r="B2552" s="8" t="s">
        <v>2593</v>
      </c>
      <c r="C2552" s="9">
        <v>0</v>
      </c>
      <c r="D2552" s="9">
        <v>0</v>
      </c>
      <c r="E2552" s="9">
        <v>0</v>
      </c>
      <c r="F2552" s="9">
        <v>0</v>
      </c>
      <c r="G2552" s="9">
        <v>0</v>
      </c>
      <c r="H2552" s="9">
        <v>0</v>
      </c>
      <c r="I2552" s="9">
        <v>0</v>
      </c>
      <c r="J2552" s="9">
        <v>0</v>
      </c>
      <c r="K2552" s="9">
        <v>0</v>
      </c>
      <c r="R2552" s="9">
        <v>0</v>
      </c>
      <c r="S2552" s="9">
        <v>2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AE2552" s="9">
        <f>IFERROR(VLOOKUP($A2552,pivot!$A:$G,計算式2026!AE$1,FALSE),0)</f>
        <v>0</v>
      </c>
      <c r="AF2552" s="9">
        <f>IFERROR(VLOOKUP($A2552,pivot!$A:$I,計算式2026!AF$1,FALSE),0)</f>
        <v>0</v>
      </c>
      <c r="AI2552" s="9">
        <f>IFERROR(VLOOKUP($A2552,pivot!$A:$I,計算式2026!AI$1,FALSE),0)</f>
        <v>0</v>
      </c>
      <c r="AJ2552" s="9">
        <f>IFERROR(VLOOKUP($A2552,pivot!$A:$I,計算式2026!AJ$1,FALSE),0)</f>
        <v>0</v>
      </c>
      <c r="AK2552" s="9">
        <f>IFERROR(VLOOKUP($A2552,pivot!$A:$I,計算式2026!AK$1,FALSE),0)</f>
        <v>0</v>
      </c>
      <c r="AL2552" s="9">
        <f>IFERROR(VLOOKUP($A2552,pivot!$A:$I,計算式2026!AL$1,FALSE),0)</f>
        <v>0</v>
      </c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</row>
    <row r="2553" spans="1:59" s="9" customFormat="1">
      <c r="A2553" s="8" t="s">
        <v>1647</v>
      </c>
      <c r="B2553" s="8" t="s">
        <v>2593</v>
      </c>
      <c r="C2553" s="9">
        <v>0</v>
      </c>
      <c r="D2553" s="9">
        <v>0</v>
      </c>
      <c r="E2553" s="9">
        <v>0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9">
        <v>0</v>
      </c>
      <c r="R2553" s="9">
        <v>0</v>
      </c>
      <c r="S2553" s="9">
        <v>0</v>
      </c>
      <c r="T2553" s="9">
        <v>1</v>
      </c>
      <c r="U2553" s="9">
        <v>0</v>
      </c>
      <c r="V2553" s="9">
        <v>0</v>
      </c>
      <c r="W2553" s="9">
        <v>0</v>
      </c>
      <c r="X2553" s="9">
        <v>1</v>
      </c>
      <c r="AE2553" s="9">
        <f>IFERROR(VLOOKUP($A2553,pivot!$A:$G,計算式2026!AE$1,FALSE),0)</f>
        <v>0</v>
      </c>
      <c r="AF2553" s="9">
        <f>IFERROR(VLOOKUP($A2553,pivot!$A:$I,計算式2026!AF$1,FALSE),0)</f>
        <v>0</v>
      </c>
      <c r="AI2553" s="9">
        <f>IFERROR(VLOOKUP($A2553,pivot!$A:$I,計算式2026!AI$1,FALSE),0)</f>
        <v>0</v>
      </c>
      <c r="AJ2553" s="9">
        <f>IFERROR(VLOOKUP($A2553,pivot!$A:$I,計算式2026!AJ$1,FALSE),0)</f>
        <v>0</v>
      </c>
      <c r="AK2553" s="9">
        <f>IFERROR(VLOOKUP($A2553,pivot!$A:$I,計算式2026!AK$1,FALSE),0)</f>
        <v>0</v>
      </c>
      <c r="AL2553" s="9">
        <f>IFERROR(VLOOKUP($A2553,pivot!$A:$I,計算式2026!AL$1,FALSE),0)</f>
        <v>0</v>
      </c>
      <c r="AR2553" s="8"/>
      <c r="AS2553" s="8"/>
      <c r="AT2553" s="8"/>
      <c r="AU2553" s="8"/>
      <c r="AV2553" s="8"/>
      <c r="AW2553" s="8"/>
      <c r="AX2553" s="8"/>
      <c r="AY2553" s="8"/>
      <c r="AZ2553" s="8"/>
      <c r="BA2553" s="8"/>
      <c r="BB2553" s="8"/>
      <c r="BC2553" s="8"/>
      <c r="BD2553" s="8"/>
      <c r="BE2553" s="8"/>
      <c r="BF2553" s="8"/>
      <c r="BG2553" s="8"/>
    </row>
    <row r="2554" spans="1:59" s="9" customFormat="1">
      <c r="A2554" s="8" t="s">
        <v>1648</v>
      </c>
      <c r="B2554" s="8" t="s">
        <v>2593</v>
      </c>
      <c r="C2554" s="9">
        <v>0</v>
      </c>
      <c r="D2554" s="9">
        <v>0</v>
      </c>
      <c r="E2554" s="9">
        <v>0</v>
      </c>
      <c r="F2554" s="9">
        <v>0</v>
      </c>
      <c r="G2554" s="9">
        <v>0</v>
      </c>
      <c r="H2554" s="9">
        <v>0</v>
      </c>
      <c r="I2554" s="9">
        <v>0</v>
      </c>
      <c r="J2554" s="9">
        <v>0</v>
      </c>
      <c r="K2554" s="9">
        <v>0</v>
      </c>
      <c r="R2554" s="9">
        <v>0</v>
      </c>
      <c r="S2554" s="9">
        <v>0</v>
      </c>
      <c r="T2554" s="9">
        <v>1</v>
      </c>
      <c r="U2554" s="9">
        <v>0</v>
      </c>
      <c r="V2554" s="9">
        <v>0</v>
      </c>
      <c r="W2554" s="9">
        <v>0</v>
      </c>
      <c r="X2554" s="9">
        <v>1</v>
      </c>
      <c r="AE2554" s="9">
        <f>IFERROR(VLOOKUP($A2554,pivot!$A:$G,計算式2026!AE$1,FALSE),0)</f>
        <v>0</v>
      </c>
      <c r="AF2554" s="9">
        <f>IFERROR(VLOOKUP($A2554,pivot!$A:$I,計算式2026!AF$1,FALSE),0)</f>
        <v>0</v>
      </c>
      <c r="AI2554" s="9">
        <f>IFERROR(VLOOKUP($A2554,pivot!$A:$I,計算式2026!AI$1,FALSE),0)</f>
        <v>0</v>
      </c>
      <c r="AJ2554" s="9">
        <f>IFERROR(VLOOKUP($A2554,pivot!$A:$I,計算式2026!AJ$1,FALSE),0)</f>
        <v>0</v>
      </c>
      <c r="AK2554" s="9">
        <f>IFERROR(VLOOKUP($A2554,pivot!$A:$I,計算式2026!AK$1,FALSE),0)</f>
        <v>0</v>
      </c>
      <c r="AL2554" s="9">
        <f>IFERROR(VLOOKUP($A2554,pivot!$A:$I,計算式2026!AL$1,FALSE),0)</f>
        <v>0</v>
      </c>
      <c r="AR2554" s="8"/>
      <c r="AS2554" s="8"/>
      <c r="AT2554" s="8"/>
      <c r="AU2554" s="8"/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</row>
    <row r="2555" spans="1:59" s="9" customFormat="1">
      <c r="A2555" s="8" t="s">
        <v>1649</v>
      </c>
      <c r="B2555" s="8" t="s">
        <v>2593</v>
      </c>
      <c r="C2555" s="9">
        <v>0</v>
      </c>
      <c r="D2555" s="9">
        <v>0</v>
      </c>
      <c r="E2555" s="9">
        <v>0</v>
      </c>
      <c r="F2555" s="9">
        <v>0</v>
      </c>
      <c r="G2555" s="9">
        <v>0</v>
      </c>
      <c r="H2555" s="9">
        <v>0</v>
      </c>
      <c r="I2555" s="9">
        <v>0</v>
      </c>
      <c r="J2555" s="9">
        <v>0</v>
      </c>
      <c r="K2555" s="9">
        <v>0</v>
      </c>
      <c r="R2555" s="9">
        <v>0</v>
      </c>
      <c r="S2555" s="9">
        <v>1</v>
      </c>
      <c r="T2555" s="9">
        <v>0</v>
      </c>
      <c r="U2555" s="9">
        <v>0</v>
      </c>
      <c r="V2555" s="9">
        <v>0</v>
      </c>
      <c r="W2555" s="9">
        <v>0</v>
      </c>
      <c r="X2555" s="9">
        <v>1</v>
      </c>
      <c r="AE2555" s="9">
        <f>IFERROR(VLOOKUP($A2555,pivot!$A:$G,計算式2026!AE$1,FALSE),0)</f>
        <v>0</v>
      </c>
      <c r="AF2555" s="9">
        <f>IFERROR(VLOOKUP($A2555,pivot!$A:$I,計算式2026!AF$1,FALSE),0)</f>
        <v>0</v>
      </c>
      <c r="AI2555" s="9">
        <f>IFERROR(VLOOKUP($A2555,pivot!$A:$I,計算式2026!AI$1,FALSE),0)</f>
        <v>0</v>
      </c>
      <c r="AJ2555" s="9">
        <f>IFERROR(VLOOKUP($A2555,pivot!$A:$I,計算式2026!AJ$1,FALSE),0)</f>
        <v>0</v>
      </c>
      <c r="AK2555" s="9">
        <f>IFERROR(VLOOKUP($A2555,pivot!$A:$I,計算式2026!AK$1,FALSE),0)</f>
        <v>0</v>
      </c>
      <c r="AL2555" s="9">
        <f>IFERROR(VLOOKUP($A2555,pivot!$A:$I,計算式2026!AL$1,FALSE),0)</f>
        <v>0</v>
      </c>
      <c r="AR2555" s="8"/>
      <c r="AS2555" s="8"/>
      <c r="AT2555" s="8"/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8"/>
      <c r="BG2555" s="8"/>
    </row>
    <row r="2556" spans="1:59" s="9" customFormat="1">
      <c r="A2556" s="8" t="s">
        <v>1833</v>
      </c>
      <c r="B2556" s="8" t="s">
        <v>2593</v>
      </c>
      <c r="C2556" s="9">
        <v>0</v>
      </c>
      <c r="D2556" s="9">
        <v>0</v>
      </c>
      <c r="E2556" s="9">
        <v>0</v>
      </c>
      <c r="F2556" s="9">
        <v>0</v>
      </c>
      <c r="G2556" s="9">
        <v>0</v>
      </c>
      <c r="H2556" s="9">
        <v>0</v>
      </c>
      <c r="I2556" s="9">
        <v>0</v>
      </c>
      <c r="J2556" s="9">
        <v>0</v>
      </c>
      <c r="K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1</v>
      </c>
      <c r="AE2556" s="9">
        <f>IFERROR(VLOOKUP($A2556,pivot!$A:$G,計算式2026!AE$1,FALSE),0)</f>
        <v>0</v>
      </c>
      <c r="AF2556" s="9">
        <f>IFERROR(VLOOKUP($A2556,pivot!$A:$I,計算式2026!AF$1,FALSE),0)</f>
        <v>0</v>
      </c>
      <c r="AI2556" s="9">
        <f>IFERROR(VLOOKUP($A2556,pivot!$A:$I,計算式2026!AI$1,FALSE),0)</f>
        <v>0</v>
      </c>
      <c r="AJ2556" s="9">
        <f>IFERROR(VLOOKUP($A2556,pivot!$A:$I,計算式2026!AJ$1,FALSE),0)</f>
        <v>0</v>
      </c>
      <c r="AK2556" s="9">
        <f>IFERROR(VLOOKUP($A2556,pivot!$A:$I,計算式2026!AK$1,FALSE),0)</f>
        <v>0</v>
      </c>
      <c r="AL2556" s="9">
        <f>IFERROR(VLOOKUP($A2556,pivot!$A:$I,計算式2026!AL$1,FALSE),0)</f>
        <v>0</v>
      </c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</row>
    <row r="2557" spans="1:59" s="9" customFormat="1">
      <c r="A2557" s="8" t="s">
        <v>1834</v>
      </c>
      <c r="B2557" s="8" t="s">
        <v>2593</v>
      </c>
      <c r="C2557" s="9">
        <v>0</v>
      </c>
      <c r="D2557" s="9">
        <v>0</v>
      </c>
      <c r="E2557" s="9">
        <v>0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9">
        <v>0</v>
      </c>
      <c r="R2557" s="9">
        <v>0</v>
      </c>
      <c r="S2557" s="9">
        <v>1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AE2557" s="9">
        <f>IFERROR(VLOOKUP($A2557,pivot!$A:$G,計算式2026!AE$1,FALSE),0)</f>
        <v>0</v>
      </c>
      <c r="AF2557" s="9">
        <f>IFERROR(VLOOKUP($A2557,pivot!$A:$I,計算式2026!AF$1,FALSE),0)</f>
        <v>0</v>
      </c>
      <c r="AI2557" s="9">
        <f>IFERROR(VLOOKUP($A2557,pivot!$A:$I,計算式2026!AI$1,FALSE),0)</f>
        <v>0</v>
      </c>
      <c r="AJ2557" s="9">
        <f>IFERROR(VLOOKUP($A2557,pivot!$A:$I,計算式2026!AJ$1,FALSE),0)</f>
        <v>0</v>
      </c>
      <c r="AK2557" s="9">
        <f>IFERROR(VLOOKUP($A2557,pivot!$A:$I,計算式2026!AK$1,FALSE),0)</f>
        <v>0</v>
      </c>
      <c r="AL2557" s="9">
        <f>IFERROR(VLOOKUP($A2557,pivot!$A:$I,計算式2026!AL$1,FALSE),0)</f>
        <v>0</v>
      </c>
      <c r="AR2557" s="8"/>
      <c r="AS2557" s="8"/>
      <c r="AT2557" s="8"/>
      <c r="AU2557" s="8"/>
      <c r="AV2557" s="8"/>
      <c r="AW2557" s="8"/>
      <c r="AX2557" s="8"/>
      <c r="AY2557" s="8"/>
      <c r="AZ2557" s="8"/>
      <c r="BA2557" s="8"/>
      <c r="BB2557" s="8"/>
      <c r="BC2557" s="8"/>
      <c r="BD2557" s="8"/>
      <c r="BE2557" s="8"/>
      <c r="BF2557" s="8"/>
      <c r="BG2557" s="8"/>
    </row>
    <row r="2558" spans="1:59" s="9" customFormat="1">
      <c r="A2558" s="8" t="s">
        <v>1835</v>
      </c>
      <c r="B2558" s="8" t="s">
        <v>2593</v>
      </c>
      <c r="C2558" s="9">
        <v>0</v>
      </c>
      <c r="D2558" s="9">
        <v>0</v>
      </c>
      <c r="E2558" s="9">
        <v>0</v>
      </c>
      <c r="F2558" s="9">
        <v>0</v>
      </c>
      <c r="G2558" s="9">
        <v>0</v>
      </c>
      <c r="H2558" s="9">
        <v>0</v>
      </c>
      <c r="I2558" s="9">
        <v>0</v>
      </c>
      <c r="J2558" s="9">
        <v>0</v>
      </c>
      <c r="K2558" s="9">
        <v>0</v>
      </c>
      <c r="R2558" s="9">
        <v>0</v>
      </c>
      <c r="S2558" s="9">
        <v>1</v>
      </c>
      <c r="T2558" s="9">
        <v>0</v>
      </c>
      <c r="U2558" s="9">
        <v>0</v>
      </c>
      <c r="V2558" s="9">
        <v>0</v>
      </c>
      <c r="W2558" s="9">
        <v>0</v>
      </c>
      <c r="X2558" s="9">
        <v>1</v>
      </c>
      <c r="AE2558" s="9">
        <f>IFERROR(VLOOKUP($A2558,pivot!$A:$G,計算式2026!AE$1,FALSE),0)</f>
        <v>0</v>
      </c>
      <c r="AF2558" s="9">
        <f>IFERROR(VLOOKUP($A2558,pivot!$A:$I,計算式2026!AF$1,FALSE),0)</f>
        <v>0</v>
      </c>
      <c r="AI2558" s="9">
        <f>IFERROR(VLOOKUP($A2558,pivot!$A:$I,計算式2026!AI$1,FALSE),0)</f>
        <v>0</v>
      </c>
      <c r="AJ2558" s="9">
        <f>IFERROR(VLOOKUP($A2558,pivot!$A:$I,計算式2026!AJ$1,FALSE),0)</f>
        <v>0</v>
      </c>
      <c r="AK2558" s="9">
        <f>IFERROR(VLOOKUP($A2558,pivot!$A:$I,計算式2026!AK$1,FALSE),0)</f>
        <v>0</v>
      </c>
      <c r="AL2558" s="9">
        <f>IFERROR(VLOOKUP($A2558,pivot!$A:$I,計算式2026!AL$1,FALSE),0)</f>
        <v>0</v>
      </c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</row>
    <row r="2559" spans="1:59" s="9" customFormat="1">
      <c r="A2559" s="8" t="s">
        <v>1650</v>
      </c>
      <c r="B2559" s="8" t="s">
        <v>2593</v>
      </c>
      <c r="C2559" s="9">
        <v>0</v>
      </c>
      <c r="D2559" s="9">
        <v>0</v>
      </c>
      <c r="E2559" s="9">
        <v>0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9">
        <v>0</v>
      </c>
      <c r="R2559" s="9">
        <v>0</v>
      </c>
      <c r="S2559" s="9">
        <v>1</v>
      </c>
      <c r="T2559" s="9">
        <v>0</v>
      </c>
      <c r="U2559" s="9">
        <v>0</v>
      </c>
      <c r="V2559" s="9">
        <v>1</v>
      </c>
      <c r="W2559" s="9">
        <v>0</v>
      </c>
      <c r="X2559" s="9">
        <v>0</v>
      </c>
      <c r="AE2559" s="9">
        <f>IFERROR(VLOOKUP($A2559,pivot!$A:$G,計算式2026!AE$1,FALSE),0)</f>
        <v>0</v>
      </c>
      <c r="AF2559" s="9">
        <f>IFERROR(VLOOKUP($A2559,pivot!$A:$I,計算式2026!AF$1,FALSE),0)</f>
        <v>0</v>
      </c>
      <c r="AI2559" s="9">
        <f>IFERROR(VLOOKUP($A2559,pivot!$A:$I,計算式2026!AI$1,FALSE),0)</f>
        <v>0</v>
      </c>
      <c r="AJ2559" s="9">
        <f>IFERROR(VLOOKUP($A2559,pivot!$A:$I,計算式2026!AJ$1,FALSE),0)</f>
        <v>0</v>
      </c>
      <c r="AK2559" s="9">
        <f>IFERROR(VLOOKUP($A2559,pivot!$A:$I,計算式2026!AK$1,FALSE),0)</f>
        <v>0</v>
      </c>
      <c r="AL2559" s="9">
        <f>IFERROR(VLOOKUP($A2559,pivot!$A:$I,計算式2026!AL$1,FALSE),0)</f>
        <v>0</v>
      </c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G2559" s="8"/>
    </row>
    <row r="2560" spans="1:59" s="9" customFormat="1">
      <c r="A2560" s="8" t="s">
        <v>2594</v>
      </c>
      <c r="B2560" s="8" t="s">
        <v>2593</v>
      </c>
      <c r="C2560" s="9">
        <v>0</v>
      </c>
      <c r="D2560" s="9">
        <v>0</v>
      </c>
      <c r="E2560" s="9">
        <v>0</v>
      </c>
      <c r="F2560" s="9">
        <v>0</v>
      </c>
      <c r="G2560" s="9">
        <v>0</v>
      </c>
      <c r="H2560" s="9">
        <v>0</v>
      </c>
      <c r="I2560" s="9">
        <v>0</v>
      </c>
      <c r="J2560" s="9">
        <v>0</v>
      </c>
      <c r="K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1</v>
      </c>
      <c r="W2560" s="9">
        <v>0</v>
      </c>
      <c r="X2560" s="9">
        <v>0</v>
      </c>
      <c r="AE2560" s="9">
        <f>IFERROR(VLOOKUP($A2560,pivot!$A:$G,計算式2026!AE$1,FALSE),0)</f>
        <v>0</v>
      </c>
      <c r="AF2560" s="9">
        <f>IFERROR(VLOOKUP($A2560,pivot!$A:$I,計算式2026!AF$1,FALSE),0)</f>
        <v>0</v>
      </c>
      <c r="AI2560" s="9">
        <f>IFERROR(VLOOKUP($A2560,pivot!$A:$I,計算式2026!AI$1,FALSE),0)</f>
        <v>0</v>
      </c>
      <c r="AJ2560" s="9">
        <f>IFERROR(VLOOKUP($A2560,pivot!$A:$I,計算式2026!AJ$1,FALSE),0)</f>
        <v>0</v>
      </c>
      <c r="AK2560" s="9">
        <f>IFERROR(VLOOKUP($A2560,pivot!$A:$I,計算式2026!AK$1,FALSE),0)</f>
        <v>0</v>
      </c>
      <c r="AL2560" s="9">
        <f>IFERROR(VLOOKUP($A2560,pivot!$A:$I,計算式2026!AL$1,FALSE),0)</f>
        <v>0</v>
      </c>
      <c r="AR2560" s="8"/>
      <c r="AS2560" s="8"/>
      <c r="AT2560" s="8"/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8"/>
      <c r="BG2560" s="8"/>
    </row>
    <row r="2561" spans="1:59" s="9" customFormat="1">
      <c r="A2561" s="8" t="s">
        <v>2595</v>
      </c>
      <c r="B2561" s="8" t="s">
        <v>2593</v>
      </c>
      <c r="C2561" s="9">
        <v>0</v>
      </c>
      <c r="D2561" s="9">
        <v>0</v>
      </c>
      <c r="E2561" s="9">
        <v>0</v>
      </c>
      <c r="F2561" s="9">
        <v>0</v>
      </c>
      <c r="G2561" s="9">
        <v>0</v>
      </c>
      <c r="H2561" s="9">
        <v>0</v>
      </c>
      <c r="I2561" s="9">
        <v>0</v>
      </c>
      <c r="J2561" s="9">
        <v>0</v>
      </c>
      <c r="K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1</v>
      </c>
      <c r="AE2561" s="9">
        <f>IFERROR(VLOOKUP($A2561,pivot!$A:$G,計算式2026!AE$1,FALSE),0)</f>
        <v>0</v>
      </c>
      <c r="AF2561" s="9">
        <f>IFERROR(VLOOKUP($A2561,pivot!$A:$I,計算式2026!AF$1,FALSE),0)</f>
        <v>0</v>
      </c>
      <c r="AI2561" s="9">
        <f>IFERROR(VLOOKUP($A2561,pivot!$A:$I,計算式2026!AI$1,FALSE),0)</f>
        <v>0</v>
      </c>
      <c r="AJ2561" s="9">
        <f>IFERROR(VLOOKUP($A2561,pivot!$A:$I,計算式2026!AJ$1,FALSE),0)</f>
        <v>0</v>
      </c>
      <c r="AK2561" s="9">
        <f>IFERROR(VLOOKUP($A2561,pivot!$A:$I,計算式2026!AK$1,FALSE),0)</f>
        <v>0</v>
      </c>
      <c r="AL2561" s="9">
        <f>IFERROR(VLOOKUP($A2561,pivot!$A:$I,計算式2026!AL$1,FALSE),0)</f>
        <v>0</v>
      </c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G2561" s="8"/>
    </row>
    <row r="2562" spans="1:59" s="9" customFormat="1">
      <c r="A2562" s="8" t="s">
        <v>1836</v>
      </c>
      <c r="B2562" s="8" t="s">
        <v>2593</v>
      </c>
      <c r="C2562" s="9">
        <v>0</v>
      </c>
      <c r="D2562" s="9">
        <v>0</v>
      </c>
      <c r="E2562" s="9">
        <v>0</v>
      </c>
      <c r="F2562" s="9">
        <v>0</v>
      </c>
      <c r="G2562" s="9">
        <v>0</v>
      </c>
      <c r="H2562" s="9">
        <v>0</v>
      </c>
      <c r="I2562" s="9">
        <v>0</v>
      </c>
      <c r="J2562" s="9">
        <v>0</v>
      </c>
      <c r="K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1</v>
      </c>
      <c r="W2562" s="9">
        <v>0</v>
      </c>
      <c r="X2562" s="9">
        <v>0</v>
      </c>
      <c r="AE2562" s="9">
        <f>IFERROR(VLOOKUP($A2562,pivot!$A:$G,計算式2026!AE$1,FALSE),0)</f>
        <v>0</v>
      </c>
      <c r="AF2562" s="9">
        <f>IFERROR(VLOOKUP($A2562,pivot!$A:$I,計算式2026!AF$1,FALSE),0)</f>
        <v>0</v>
      </c>
      <c r="AI2562" s="9">
        <f>IFERROR(VLOOKUP($A2562,pivot!$A:$I,計算式2026!AI$1,FALSE),0)</f>
        <v>0</v>
      </c>
      <c r="AJ2562" s="9">
        <f>IFERROR(VLOOKUP($A2562,pivot!$A:$I,計算式2026!AJ$1,FALSE),0)</f>
        <v>0</v>
      </c>
      <c r="AK2562" s="9">
        <f>IFERROR(VLOOKUP($A2562,pivot!$A:$I,計算式2026!AK$1,FALSE),0)</f>
        <v>0</v>
      </c>
      <c r="AL2562" s="9">
        <f>IFERROR(VLOOKUP($A2562,pivot!$A:$I,計算式2026!AL$1,FALSE),0)</f>
        <v>0</v>
      </c>
      <c r="AR2562" s="8"/>
      <c r="AS2562" s="8"/>
      <c r="AT2562" s="8"/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8"/>
      <c r="BG2562" s="8"/>
    </row>
    <row r="2563" spans="1:59" s="9" customFormat="1">
      <c r="A2563" s="8" t="s">
        <v>1837</v>
      </c>
      <c r="B2563" s="8" t="s">
        <v>2593</v>
      </c>
      <c r="C2563" s="9">
        <v>0</v>
      </c>
      <c r="D2563" s="9">
        <v>0</v>
      </c>
      <c r="E2563" s="9">
        <v>0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R2563" s="9">
        <v>0</v>
      </c>
      <c r="S2563" s="9">
        <v>2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AE2563" s="9">
        <f>IFERROR(VLOOKUP($A2563,pivot!$A:$G,計算式2026!AE$1,FALSE),0)</f>
        <v>0</v>
      </c>
      <c r="AF2563" s="9">
        <f>IFERROR(VLOOKUP($A2563,pivot!$A:$I,計算式2026!AF$1,FALSE),0)</f>
        <v>0</v>
      </c>
      <c r="AI2563" s="9">
        <f>IFERROR(VLOOKUP($A2563,pivot!$A:$I,計算式2026!AI$1,FALSE),0)</f>
        <v>0</v>
      </c>
      <c r="AJ2563" s="9">
        <f>IFERROR(VLOOKUP($A2563,pivot!$A:$I,計算式2026!AJ$1,FALSE),0)</f>
        <v>0</v>
      </c>
      <c r="AK2563" s="9">
        <f>IFERROR(VLOOKUP($A2563,pivot!$A:$I,計算式2026!AK$1,FALSE),0)</f>
        <v>0</v>
      </c>
      <c r="AL2563" s="9">
        <f>IFERROR(VLOOKUP($A2563,pivot!$A:$I,計算式2026!AL$1,FALSE),0)</f>
        <v>0</v>
      </c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</row>
    <row r="2564" spans="1:59" s="9" customFormat="1">
      <c r="A2564" s="8" t="s">
        <v>2922</v>
      </c>
      <c r="B2564" s="8" t="s">
        <v>2923</v>
      </c>
      <c r="C2564" s="9">
        <v>0</v>
      </c>
      <c r="D2564" s="9">
        <v>2</v>
      </c>
      <c r="E2564" s="9">
        <v>0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0</v>
      </c>
      <c r="R2564" s="9">
        <v>1</v>
      </c>
      <c r="S2564" s="9">
        <v>1</v>
      </c>
      <c r="T2564" s="9">
        <v>0</v>
      </c>
      <c r="U2564" s="9">
        <v>0</v>
      </c>
      <c r="V2564" s="9">
        <v>1</v>
      </c>
      <c r="W2564" s="9">
        <v>0</v>
      </c>
      <c r="X2564" s="9">
        <v>1</v>
      </c>
      <c r="AE2564" s="9">
        <f>IFERROR(VLOOKUP($A2564,pivot!$A:$G,計算式2026!AE$1,FALSE),0)</f>
        <v>0</v>
      </c>
      <c r="AF2564" s="9">
        <f>IFERROR(VLOOKUP($A2564,pivot!$A:$I,計算式2026!AF$1,FALSE),0)</f>
        <v>0</v>
      </c>
      <c r="AI2564" s="9">
        <f>IFERROR(VLOOKUP($A2564,pivot!$A:$I,計算式2026!AI$1,FALSE),0)</f>
        <v>0</v>
      </c>
      <c r="AJ2564" s="9">
        <f>IFERROR(VLOOKUP($A2564,pivot!$A:$I,計算式2026!AJ$1,FALSE),0)</f>
        <v>0</v>
      </c>
      <c r="AK2564" s="9">
        <f>IFERROR(VLOOKUP($A2564,pivot!$A:$I,計算式2026!AK$1,FALSE),0)</f>
        <v>0</v>
      </c>
      <c r="AL2564" s="9">
        <f>IFERROR(VLOOKUP($A2564,pivot!$A:$I,計算式2026!AL$1,FALSE),0)</f>
        <v>0</v>
      </c>
      <c r="AR2564" s="8"/>
      <c r="AS2564" s="8"/>
      <c r="AT2564" s="8"/>
      <c r="AU2564" s="8"/>
      <c r="AV2564" s="8"/>
      <c r="AW2564" s="8"/>
      <c r="AX2564" s="8"/>
      <c r="AY2564" s="8"/>
      <c r="AZ2564" s="8"/>
      <c r="BA2564" s="8"/>
      <c r="BB2564" s="8"/>
      <c r="BC2564" s="8"/>
      <c r="BD2564" s="8"/>
      <c r="BE2564" s="8"/>
      <c r="BF2564" s="8"/>
      <c r="BG2564" s="8"/>
    </row>
    <row r="2565" spans="1:59" s="9" customFormat="1">
      <c r="A2565" s="8" t="s">
        <v>2675</v>
      </c>
      <c r="B2565" s="8" t="s">
        <v>2923</v>
      </c>
      <c r="C2565" s="9">
        <v>0</v>
      </c>
      <c r="D2565" s="9">
        <v>4</v>
      </c>
      <c r="E2565" s="9">
        <v>0</v>
      </c>
      <c r="F2565" s="9">
        <v>0</v>
      </c>
      <c r="G2565" s="9">
        <v>0</v>
      </c>
      <c r="H2565" s="9">
        <v>0</v>
      </c>
      <c r="I2565" s="9">
        <v>0</v>
      </c>
      <c r="J2565" s="9">
        <v>0</v>
      </c>
      <c r="K2565" s="9">
        <v>0</v>
      </c>
      <c r="R2565" s="9">
        <v>2</v>
      </c>
      <c r="S2565" s="9">
        <v>1</v>
      </c>
      <c r="T2565" s="9">
        <v>1</v>
      </c>
      <c r="U2565" s="9">
        <v>0</v>
      </c>
      <c r="V2565" s="9">
        <v>2</v>
      </c>
      <c r="W2565" s="9">
        <v>0</v>
      </c>
      <c r="X2565" s="9">
        <v>1</v>
      </c>
      <c r="AE2565" s="9">
        <f>IFERROR(VLOOKUP($A2565,pivot!$A:$G,計算式2026!AE$1,FALSE),0)</f>
        <v>0</v>
      </c>
      <c r="AF2565" s="9">
        <f>IFERROR(VLOOKUP($A2565,pivot!$A:$I,計算式2026!AF$1,FALSE),0)</f>
        <v>0</v>
      </c>
      <c r="AI2565" s="9">
        <f>IFERROR(VLOOKUP($A2565,pivot!$A:$I,計算式2026!AI$1,FALSE),0)</f>
        <v>0</v>
      </c>
      <c r="AJ2565" s="9">
        <f>IFERROR(VLOOKUP($A2565,pivot!$A:$I,計算式2026!AJ$1,FALSE),0)</f>
        <v>0</v>
      </c>
      <c r="AK2565" s="9">
        <f>IFERROR(VLOOKUP($A2565,pivot!$A:$I,計算式2026!AK$1,FALSE),0)</f>
        <v>0</v>
      </c>
      <c r="AL2565" s="9">
        <f>IFERROR(VLOOKUP($A2565,pivot!$A:$I,計算式2026!AL$1,FALSE),0)</f>
        <v>0</v>
      </c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</row>
    <row r="2566" spans="1:59" s="9" customFormat="1">
      <c r="A2566" s="8" t="s">
        <v>2924</v>
      </c>
      <c r="B2566" s="8" t="s">
        <v>2923</v>
      </c>
      <c r="C2566" s="9">
        <v>0</v>
      </c>
      <c r="D2566" s="9">
        <v>9</v>
      </c>
      <c r="E2566" s="9">
        <v>0</v>
      </c>
      <c r="F2566" s="9">
        <v>0</v>
      </c>
      <c r="G2566" s="9">
        <v>0</v>
      </c>
      <c r="H2566" s="9">
        <v>0</v>
      </c>
      <c r="I2566" s="9">
        <v>0</v>
      </c>
      <c r="J2566" s="9">
        <v>0</v>
      </c>
      <c r="K2566" s="9">
        <v>0</v>
      </c>
      <c r="R2566" s="9">
        <v>1</v>
      </c>
      <c r="S2566" s="9">
        <v>2</v>
      </c>
      <c r="T2566" s="9">
        <v>1</v>
      </c>
      <c r="U2566" s="9">
        <v>0</v>
      </c>
      <c r="V2566" s="9">
        <v>2</v>
      </c>
      <c r="W2566" s="9">
        <v>0</v>
      </c>
      <c r="X2566" s="9">
        <v>0</v>
      </c>
      <c r="AE2566" s="9">
        <f>IFERROR(VLOOKUP($A2566,pivot!$A:$G,計算式2026!AE$1,FALSE),0)</f>
        <v>0</v>
      </c>
      <c r="AF2566" s="9">
        <f>IFERROR(VLOOKUP($A2566,pivot!$A:$I,計算式2026!AF$1,FALSE),0)</f>
        <v>0</v>
      </c>
      <c r="AI2566" s="9">
        <f>IFERROR(VLOOKUP($A2566,pivot!$A:$I,計算式2026!AI$1,FALSE),0)</f>
        <v>0</v>
      </c>
      <c r="AJ2566" s="9">
        <f>IFERROR(VLOOKUP($A2566,pivot!$A:$I,計算式2026!AJ$1,FALSE),0)</f>
        <v>0</v>
      </c>
      <c r="AK2566" s="9">
        <f>IFERROR(VLOOKUP($A2566,pivot!$A:$I,計算式2026!AK$1,FALSE),0)</f>
        <v>0</v>
      </c>
      <c r="AL2566" s="9">
        <f>IFERROR(VLOOKUP($A2566,pivot!$A:$I,計算式2026!AL$1,FALSE),0)</f>
        <v>0</v>
      </c>
      <c r="AR2566" s="8"/>
      <c r="AS2566" s="8"/>
      <c r="AT2566" s="8"/>
      <c r="AU2566" s="8"/>
      <c r="AV2566" s="8"/>
      <c r="AW2566" s="8"/>
      <c r="AX2566" s="8"/>
      <c r="AY2566" s="8"/>
      <c r="AZ2566" s="8"/>
      <c r="BA2566" s="8"/>
      <c r="BB2566" s="8"/>
      <c r="BC2566" s="8"/>
      <c r="BD2566" s="8"/>
      <c r="BE2566" s="8"/>
      <c r="BF2566" s="8"/>
      <c r="BG2566" s="8"/>
    </row>
    <row r="2567" spans="1:59" s="9" customFormat="1">
      <c r="A2567" s="8" t="s">
        <v>2925</v>
      </c>
      <c r="B2567" s="8" t="s">
        <v>2923</v>
      </c>
      <c r="C2567" s="9">
        <v>1</v>
      </c>
      <c r="D2567" s="9">
        <v>0</v>
      </c>
      <c r="E2567" s="9">
        <v>0</v>
      </c>
      <c r="F2567" s="9">
        <v>0</v>
      </c>
      <c r="G2567" s="9">
        <v>0</v>
      </c>
      <c r="H2567" s="9">
        <v>0</v>
      </c>
      <c r="I2567" s="9">
        <v>0</v>
      </c>
      <c r="J2567" s="9">
        <v>0</v>
      </c>
      <c r="K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AE2567" s="9">
        <f>IFERROR(VLOOKUP($A2567,pivot!$A:$G,計算式2026!AE$1,FALSE),0)</f>
        <v>0</v>
      </c>
      <c r="AF2567" s="9">
        <f>IFERROR(VLOOKUP($A2567,pivot!$A:$I,計算式2026!AF$1,FALSE),0)</f>
        <v>0</v>
      </c>
      <c r="AI2567" s="9">
        <f>IFERROR(VLOOKUP($A2567,pivot!$A:$I,計算式2026!AI$1,FALSE),0)</f>
        <v>0</v>
      </c>
      <c r="AJ2567" s="9">
        <f>IFERROR(VLOOKUP($A2567,pivot!$A:$I,計算式2026!AJ$1,FALSE),0)</f>
        <v>0</v>
      </c>
      <c r="AK2567" s="9">
        <f>IFERROR(VLOOKUP($A2567,pivot!$A:$I,計算式2026!AK$1,FALSE),0)</f>
        <v>0</v>
      </c>
      <c r="AL2567" s="9">
        <f>IFERROR(VLOOKUP($A2567,pivot!$A:$I,計算式2026!AL$1,FALSE),0)</f>
        <v>0</v>
      </c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8"/>
      <c r="BG2567" s="8"/>
    </row>
    <row r="2568" spans="1:59" s="9" customFormat="1">
      <c r="A2568" s="8" t="s">
        <v>1457</v>
      </c>
      <c r="B2568" s="8" t="s">
        <v>1456</v>
      </c>
      <c r="C2568" s="9">
        <v>1</v>
      </c>
      <c r="D2568" s="9">
        <v>0</v>
      </c>
      <c r="E2568" s="9">
        <v>0</v>
      </c>
      <c r="F2568" s="9">
        <v>0</v>
      </c>
      <c r="G2568" s="9">
        <v>0</v>
      </c>
      <c r="H2568" s="9">
        <v>0</v>
      </c>
      <c r="I2568" s="9">
        <v>0</v>
      </c>
      <c r="J2568" s="9">
        <v>0</v>
      </c>
      <c r="K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AE2568" s="9">
        <f>IFERROR(VLOOKUP($A2568,pivot!$A:$G,計算式2026!AE$1,FALSE),0)</f>
        <v>0</v>
      </c>
      <c r="AF2568" s="9">
        <f>IFERROR(VLOOKUP($A2568,pivot!$A:$I,計算式2026!AF$1,FALSE),0)</f>
        <v>0</v>
      </c>
      <c r="AI2568" s="9">
        <f>IFERROR(VLOOKUP($A2568,pivot!$A:$I,計算式2026!AI$1,FALSE),0)</f>
        <v>0</v>
      </c>
      <c r="AJ2568" s="9">
        <f>IFERROR(VLOOKUP($A2568,pivot!$A:$I,計算式2026!AJ$1,FALSE),0)</f>
        <v>0</v>
      </c>
      <c r="AK2568" s="9">
        <f>IFERROR(VLOOKUP($A2568,pivot!$A:$I,計算式2026!AK$1,FALSE),0)</f>
        <v>0</v>
      </c>
      <c r="AL2568" s="9">
        <f>IFERROR(VLOOKUP($A2568,pivot!$A:$I,計算式2026!AL$1,FALSE),0)</f>
        <v>0</v>
      </c>
      <c r="AR2568" s="8"/>
      <c r="AS2568" s="8"/>
      <c r="AT2568" s="8"/>
      <c r="AU2568" s="8"/>
      <c r="AV2568" s="8"/>
      <c r="AW2568" s="8"/>
      <c r="AX2568" s="8"/>
      <c r="AY2568" s="8"/>
      <c r="AZ2568" s="8"/>
      <c r="BA2568" s="8"/>
      <c r="BB2568" s="8"/>
      <c r="BC2568" s="8"/>
      <c r="BD2568" s="8"/>
      <c r="BE2568" s="8"/>
      <c r="BF2568" s="8"/>
      <c r="BG2568" s="8"/>
    </row>
    <row r="2569" spans="1:59" s="9" customFormat="1">
      <c r="A2569" s="8" t="s">
        <v>1458</v>
      </c>
      <c r="B2569" s="8" t="s">
        <v>1456</v>
      </c>
      <c r="C2569" s="9">
        <v>0</v>
      </c>
      <c r="D2569" s="9">
        <v>0</v>
      </c>
      <c r="E2569" s="9">
        <v>0</v>
      </c>
      <c r="F2569" s="9">
        <v>0</v>
      </c>
      <c r="G2569" s="9">
        <v>0</v>
      </c>
      <c r="H2569" s="9">
        <v>0</v>
      </c>
      <c r="I2569" s="9">
        <v>0</v>
      </c>
      <c r="J2569" s="9">
        <v>0</v>
      </c>
      <c r="K2569" s="9">
        <v>0</v>
      </c>
      <c r="R2569" s="9">
        <v>0</v>
      </c>
      <c r="S2569" s="9">
        <v>0</v>
      </c>
      <c r="T2569" s="9">
        <v>1</v>
      </c>
      <c r="U2569" s="9">
        <v>0</v>
      </c>
      <c r="V2569" s="9">
        <v>0</v>
      </c>
      <c r="W2569" s="9">
        <v>0</v>
      </c>
      <c r="X2569" s="9">
        <v>0</v>
      </c>
      <c r="AE2569" s="9">
        <f>IFERROR(VLOOKUP($A2569,pivot!$A:$G,計算式2026!AE$1,FALSE),0)</f>
        <v>0</v>
      </c>
      <c r="AF2569" s="9">
        <f>IFERROR(VLOOKUP($A2569,pivot!$A:$I,計算式2026!AF$1,FALSE),0)</f>
        <v>0</v>
      </c>
      <c r="AI2569" s="9">
        <f>IFERROR(VLOOKUP($A2569,pivot!$A:$I,計算式2026!AI$1,FALSE),0)</f>
        <v>0</v>
      </c>
      <c r="AJ2569" s="9">
        <f>IFERROR(VLOOKUP($A2569,pivot!$A:$I,計算式2026!AJ$1,FALSE),0)</f>
        <v>0</v>
      </c>
      <c r="AK2569" s="9">
        <f>IFERROR(VLOOKUP($A2569,pivot!$A:$I,計算式2026!AK$1,FALSE),0)</f>
        <v>0</v>
      </c>
      <c r="AL2569" s="9">
        <f>IFERROR(VLOOKUP($A2569,pivot!$A:$I,計算式2026!AL$1,FALSE),0)</f>
        <v>0</v>
      </c>
      <c r="AR2569" s="8"/>
      <c r="AS2569" s="8"/>
      <c r="AT2569" s="8"/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8"/>
      <c r="BG2569" s="8"/>
    </row>
    <row r="2570" spans="1:59" s="9" customFormat="1">
      <c r="A2570" s="8" t="s">
        <v>2926</v>
      </c>
      <c r="B2570" s="8" t="s">
        <v>1456</v>
      </c>
      <c r="C2570" s="9">
        <v>1</v>
      </c>
      <c r="D2570" s="9">
        <v>0</v>
      </c>
      <c r="E2570" s="9">
        <v>0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AE2570" s="9">
        <f>IFERROR(VLOOKUP($A2570,pivot!$A:$G,計算式2026!AE$1,FALSE),0)</f>
        <v>0</v>
      </c>
      <c r="AF2570" s="9">
        <f>IFERROR(VLOOKUP($A2570,pivot!$A:$I,計算式2026!AF$1,FALSE),0)</f>
        <v>0</v>
      </c>
      <c r="AI2570" s="9">
        <f>IFERROR(VLOOKUP($A2570,pivot!$A:$I,計算式2026!AI$1,FALSE),0)</f>
        <v>0</v>
      </c>
      <c r="AJ2570" s="9">
        <f>IFERROR(VLOOKUP($A2570,pivot!$A:$I,計算式2026!AJ$1,FALSE),0)</f>
        <v>0</v>
      </c>
      <c r="AK2570" s="9">
        <f>IFERROR(VLOOKUP($A2570,pivot!$A:$I,計算式2026!AK$1,FALSE),0)</f>
        <v>0</v>
      </c>
      <c r="AL2570" s="9">
        <f>IFERROR(VLOOKUP($A2570,pivot!$A:$I,計算式2026!AL$1,FALSE),0)</f>
        <v>0</v>
      </c>
      <c r="AR2570" s="8"/>
      <c r="AS2570" s="8"/>
      <c r="AT2570" s="8"/>
      <c r="AU2570" s="8"/>
      <c r="AV2570" s="8"/>
      <c r="AW2570" s="8"/>
      <c r="AX2570" s="8"/>
      <c r="AY2570" s="8"/>
      <c r="AZ2570" s="8"/>
      <c r="BA2570" s="8"/>
      <c r="BB2570" s="8"/>
      <c r="BC2570" s="8"/>
      <c r="BD2570" s="8"/>
      <c r="BE2570" s="8"/>
      <c r="BF2570" s="8"/>
      <c r="BG2570" s="8"/>
    </row>
    <row r="2571" spans="1:59" s="9" customFormat="1">
      <c r="A2571" s="8" t="s">
        <v>2927</v>
      </c>
      <c r="B2571" s="8" t="s">
        <v>2928</v>
      </c>
      <c r="C2571" s="9">
        <v>2</v>
      </c>
      <c r="D2571" s="9">
        <v>0</v>
      </c>
      <c r="E2571" s="9">
        <v>0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AE2571" s="9">
        <f>IFERROR(VLOOKUP($A2571,pivot!$A:$G,計算式2026!AE$1,FALSE),0)</f>
        <v>0</v>
      </c>
      <c r="AF2571" s="9">
        <f>IFERROR(VLOOKUP($A2571,pivot!$A:$I,計算式2026!AF$1,FALSE),0)</f>
        <v>0</v>
      </c>
      <c r="AI2571" s="9">
        <f>IFERROR(VLOOKUP($A2571,pivot!$A:$I,計算式2026!AI$1,FALSE),0)</f>
        <v>0</v>
      </c>
      <c r="AJ2571" s="9">
        <f>IFERROR(VLOOKUP($A2571,pivot!$A:$I,計算式2026!AJ$1,FALSE),0)</f>
        <v>0</v>
      </c>
      <c r="AK2571" s="9">
        <f>IFERROR(VLOOKUP($A2571,pivot!$A:$I,計算式2026!AK$1,FALSE),0)</f>
        <v>0</v>
      </c>
      <c r="AL2571" s="9">
        <f>IFERROR(VLOOKUP($A2571,pivot!$A:$I,計算式2026!AL$1,FALSE),0)</f>
        <v>0</v>
      </c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8"/>
      <c r="BG2571" s="8"/>
    </row>
    <row r="2572" spans="1:59" s="9" customFormat="1">
      <c r="A2572" s="8" t="s">
        <v>2929</v>
      </c>
      <c r="B2572" s="8" t="s">
        <v>2928</v>
      </c>
      <c r="C2572" s="9">
        <v>2</v>
      </c>
      <c r="D2572" s="9">
        <v>0</v>
      </c>
      <c r="E2572" s="9">
        <v>0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AE2572" s="9">
        <f>IFERROR(VLOOKUP($A2572,pivot!$A:$G,計算式2026!AE$1,FALSE),0)</f>
        <v>0</v>
      </c>
      <c r="AF2572" s="9">
        <f>IFERROR(VLOOKUP($A2572,pivot!$A:$I,計算式2026!AF$1,FALSE),0)</f>
        <v>0</v>
      </c>
      <c r="AI2572" s="9">
        <f>IFERROR(VLOOKUP($A2572,pivot!$A:$I,計算式2026!AI$1,FALSE),0)</f>
        <v>0</v>
      </c>
      <c r="AJ2572" s="9">
        <f>IFERROR(VLOOKUP($A2572,pivot!$A:$I,計算式2026!AJ$1,FALSE),0)</f>
        <v>0</v>
      </c>
      <c r="AK2572" s="9">
        <f>IFERROR(VLOOKUP($A2572,pivot!$A:$I,計算式2026!AK$1,FALSE),0)</f>
        <v>0</v>
      </c>
      <c r="AL2572" s="9">
        <f>IFERROR(VLOOKUP($A2572,pivot!$A:$I,計算式2026!AL$1,FALSE),0)</f>
        <v>0</v>
      </c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  <c r="BB2572" s="8"/>
      <c r="BC2572" s="8"/>
      <c r="BD2572" s="8"/>
      <c r="BE2572" s="8"/>
      <c r="BF2572" s="8"/>
      <c r="BG2572" s="8"/>
    </row>
    <row r="2573" spans="1:59" s="9" customFormat="1">
      <c r="A2573" s="8" t="s">
        <v>2930</v>
      </c>
      <c r="B2573" s="8" t="s">
        <v>2931</v>
      </c>
      <c r="C2573" s="9">
        <v>0</v>
      </c>
      <c r="D2573" s="9">
        <v>0</v>
      </c>
      <c r="E2573" s="9">
        <v>0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R2573" s="9">
        <v>0</v>
      </c>
      <c r="S2573" s="9">
        <v>1</v>
      </c>
      <c r="T2573" s="9">
        <v>0</v>
      </c>
      <c r="U2573" s="9">
        <v>0</v>
      </c>
      <c r="V2573" s="9">
        <v>1</v>
      </c>
      <c r="W2573" s="9">
        <v>0</v>
      </c>
      <c r="X2573" s="9">
        <v>1</v>
      </c>
      <c r="AE2573" s="9">
        <f>IFERROR(VLOOKUP($A2573,pivot!$A:$G,計算式2026!AE$1,FALSE),0)</f>
        <v>0</v>
      </c>
      <c r="AF2573" s="9">
        <f>IFERROR(VLOOKUP($A2573,pivot!$A:$I,計算式2026!AF$1,FALSE),0)</f>
        <v>0</v>
      </c>
      <c r="AI2573" s="9">
        <f>IFERROR(VLOOKUP($A2573,pivot!$A:$I,計算式2026!AI$1,FALSE),0)</f>
        <v>0</v>
      </c>
      <c r="AJ2573" s="9">
        <f>IFERROR(VLOOKUP($A2573,pivot!$A:$I,計算式2026!AJ$1,FALSE),0)</f>
        <v>0</v>
      </c>
      <c r="AK2573" s="9">
        <f>IFERROR(VLOOKUP($A2573,pivot!$A:$I,計算式2026!AK$1,FALSE),0)</f>
        <v>0</v>
      </c>
      <c r="AL2573" s="9">
        <f>IFERROR(VLOOKUP($A2573,pivot!$A:$I,計算式2026!AL$1,FALSE),0)</f>
        <v>0</v>
      </c>
      <c r="AR2573" s="8"/>
      <c r="AS2573" s="8"/>
      <c r="AT2573" s="8"/>
      <c r="AU2573" s="8"/>
      <c r="AV2573" s="8"/>
      <c r="AW2573" s="8"/>
      <c r="AX2573" s="8"/>
      <c r="AY2573" s="8"/>
      <c r="AZ2573" s="8"/>
      <c r="BA2573" s="8"/>
      <c r="BB2573" s="8"/>
      <c r="BC2573" s="8"/>
      <c r="BD2573" s="8"/>
      <c r="BE2573" s="8"/>
      <c r="BF2573" s="8"/>
      <c r="BG2573" s="8"/>
    </row>
    <row r="2574" spans="1:59" s="9" customFormat="1">
      <c r="A2574" s="8" t="s">
        <v>2684</v>
      </c>
      <c r="B2574" s="8" t="s">
        <v>2931</v>
      </c>
      <c r="C2574" s="9">
        <v>0</v>
      </c>
      <c r="D2574" s="9">
        <v>0</v>
      </c>
      <c r="E2574" s="9">
        <v>0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R2574" s="9">
        <v>0</v>
      </c>
      <c r="S2574" s="9">
        <v>1</v>
      </c>
      <c r="T2574" s="9">
        <v>1</v>
      </c>
      <c r="U2574" s="9">
        <v>0</v>
      </c>
      <c r="V2574" s="9">
        <v>0</v>
      </c>
      <c r="W2574" s="9">
        <v>0</v>
      </c>
      <c r="X2574" s="9">
        <v>1</v>
      </c>
      <c r="AE2574" s="9">
        <f>IFERROR(VLOOKUP($A2574,pivot!$A:$G,計算式2026!AE$1,FALSE),0)</f>
        <v>0</v>
      </c>
      <c r="AF2574" s="9">
        <f>IFERROR(VLOOKUP($A2574,pivot!$A:$I,計算式2026!AF$1,FALSE),0)</f>
        <v>0</v>
      </c>
      <c r="AI2574" s="9">
        <f>IFERROR(VLOOKUP($A2574,pivot!$A:$I,計算式2026!AI$1,FALSE),0)</f>
        <v>0</v>
      </c>
      <c r="AJ2574" s="9">
        <f>IFERROR(VLOOKUP($A2574,pivot!$A:$I,計算式2026!AJ$1,FALSE),0)</f>
        <v>0</v>
      </c>
      <c r="AK2574" s="9">
        <f>IFERROR(VLOOKUP($A2574,pivot!$A:$I,計算式2026!AK$1,FALSE),0)</f>
        <v>0</v>
      </c>
      <c r="AL2574" s="9">
        <f>IFERROR(VLOOKUP($A2574,pivot!$A:$I,計算式2026!AL$1,FALSE),0)</f>
        <v>0</v>
      </c>
      <c r="AR2574" s="8"/>
      <c r="AS2574" s="8"/>
      <c r="AT2574" s="8"/>
      <c r="AU2574" s="8"/>
      <c r="AV2574" s="8"/>
      <c r="AW2574" s="8"/>
      <c r="AX2574" s="8"/>
      <c r="AY2574" s="8"/>
      <c r="AZ2574" s="8"/>
      <c r="BA2574" s="8"/>
      <c r="BB2574" s="8"/>
      <c r="BC2574" s="8"/>
      <c r="BD2574" s="8"/>
      <c r="BE2574" s="8"/>
      <c r="BF2574" s="8"/>
      <c r="BG2574" s="8"/>
    </row>
    <row r="2575" spans="1:59" s="9" customFormat="1">
      <c r="A2575" s="8" t="s">
        <v>2932</v>
      </c>
      <c r="B2575" s="8" t="s">
        <v>2931</v>
      </c>
      <c r="C2575" s="9">
        <v>0</v>
      </c>
      <c r="D2575" s="9">
        <v>2</v>
      </c>
      <c r="E2575" s="9">
        <v>0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R2575" s="9">
        <v>0</v>
      </c>
      <c r="S2575" s="9">
        <v>2</v>
      </c>
      <c r="T2575" s="9">
        <v>1</v>
      </c>
      <c r="U2575" s="9">
        <v>0</v>
      </c>
      <c r="V2575" s="9">
        <v>2</v>
      </c>
      <c r="W2575" s="9">
        <v>0</v>
      </c>
      <c r="X2575" s="9">
        <v>1</v>
      </c>
      <c r="AE2575" s="9">
        <f>IFERROR(VLOOKUP($A2575,pivot!$A:$G,計算式2026!AE$1,FALSE),0)</f>
        <v>0</v>
      </c>
      <c r="AF2575" s="9">
        <f>IFERROR(VLOOKUP($A2575,pivot!$A:$I,計算式2026!AF$1,FALSE),0)</f>
        <v>0</v>
      </c>
      <c r="AI2575" s="9">
        <f>IFERROR(VLOOKUP($A2575,pivot!$A:$I,計算式2026!AI$1,FALSE),0)</f>
        <v>0</v>
      </c>
      <c r="AJ2575" s="9">
        <f>IFERROR(VLOOKUP($A2575,pivot!$A:$I,計算式2026!AJ$1,FALSE),0)</f>
        <v>0</v>
      </c>
      <c r="AK2575" s="9">
        <f>IFERROR(VLOOKUP($A2575,pivot!$A:$I,計算式2026!AK$1,FALSE),0)</f>
        <v>0</v>
      </c>
      <c r="AL2575" s="9">
        <f>IFERROR(VLOOKUP($A2575,pivot!$A:$I,計算式2026!AL$1,FALSE),0)</f>
        <v>0</v>
      </c>
      <c r="AR2575" s="8"/>
      <c r="AS2575" s="8"/>
      <c r="AT2575" s="8"/>
      <c r="AU2575" s="8"/>
      <c r="AV2575" s="8"/>
      <c r="AW2575" s="8"/>
      <c r="AX2575" s="8"/>
      <c r="AY2575" s="8"/>
      <c r="AZ2575" s="8"/>
      <c r="BA2575" s="8"/>
      <c r="BB2575" s="8"/>
      <c r="BC2575" s="8"/>
      <c r="BD2575" s="8"/>
      <c r="BE2575" s="8"/>
      <c r="BF2575" s="8"/>
      <c r="BG2575" s="8"/>
    </row>
    <row r="2576" spans="1:59" s="9" customFormat="1">
      <c r="A2576" s="8" t="s">
        <v>2933</v>
      </c>
      <c r="B2576" s="8" t="s">
        <v>2931</v>
      </c>
      <c r="C2576" s="9">
        <v>0</v>
      </c>
      <c r="D2576" s="9">
        <v>0</v>
      </c>
      <c r="E2576" s="9">
        <v>0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R2576" s="9">
        <v>0</v>
      </c>
      <c r="S2576" s="9">
        <v>1</v>
      </c>
      <c r="T2576" s="9">
        <v>0</v>
      </c>
      <c r="U2576" s="9">
        <v>0</v>
      </c>
      <c r="V2576" s="9">
        <v>1</v>
      </c>
      <c r="W2576" s="9">
        <v>0</v>
      </c>
      <c r="X2576" s="9">
        <v>1</v>
      </c>
      <c r="AE2576" s="9">
        <f>IFERROR(VLOOKUP($A2576,pivot!$A:$G,計算式2026!AE$1,FALSE),0)</f>
        <v>0</v>
      </c>
      <c r="AF2576" s="9">
        <f>IFERROR(VLOOKUP($A2576,pivot!$A:$I,計算式2026!AF$1,FALSE),0)</f>
        <v>0</v>
      </c>
      <c r="AI2576" s="9">
        <f>IFERROR(VLOOKUP($A2576,pivot!$A:$I,計算式2026!AI$1,FALSE),0)</f>
        <v>0</v>
      </c>
      <c r="AJ2576" s="9">
        <f>IFERROR(VLOOKUP($A2576,pivot!$A:$I,計算式2026!AJ$1,FALSE),0)</f>
        <v>0</v>
      </c>
      <c r="AK2576" s="9">
        <f>IFERROR(VLOOKUP($A2576,pivot!$A:$I,計算式2026!AK$1,FALSE),0)</f>
        <v>0</v>
      </c>
      <c r="AL2576" s="9">
        <f>IFERROR(VLOOKUP($A2576,pivot!$A:$I,計算式2026!AL$1,FALSE),0)</f>
        <v>0</v>
      </c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</row>
    <row r="2577" spans="1:59" s="9" customFormat="1">
      <c r="A2577" s="8" t="s">
        <v>2934</v>
      </c>
      <c r="B2577" s="8" t="s">
        <v>2931</v>
      </c>
      <c r="C2577" s="9">
        <v>0</v>
      </c>
      <c r="D2577" s="9">
        <v>0</v>
      </c>
      <c r="E2577" s="9">
        <v>0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1</v>
      </c>
      <c r="W2577" s="9">
        <v>0</v>
      </c>
      <c r="X2577" s="9">
        <v>1</v>
      </c>
      <c r="AE2577" s="9">
        <f>IFERROR(VLOOKUP($A2577,pivot!$A:$G,計算式2026!AE$1,FALSE),0)</f>
        <v>0</v>
      </c>
      <c r="AF2577" s="9">
        <f>IFERROR(VLOOKUP($A2577,pivot!$A:$I,計算式2026!AF$1,FALSE),0)</f>
        <v>0</v>
      </c>
      <c r="AI2577" s="9">
        <f>IFERROR(VLOOKUP($A2577,pivot!$A:$I,計算式2026!AI$1,FALSE),0)</f>
        <v>0</v>
      </c>
      <c r="AJ2577" s="9">
        <f>IFERROR(VLOOKUP($A2577,pivot!$A:$I,計算式2026!AJ$1,FALSE),0)</f>
        <v>0</v>
      </c>
      <c r="AK2577" s="9">
        <f>IFERROR(VLOOKUP($A2577,pivot!$A:$I,計算式2026!AK$1,FALSE),0)</f>
        <v>0</v>
      </c>
      <c r="AL2577" s="9">
        <f>IFERROR(VLOOKUP($A2577,pivot!$A:$I,計算式2026!AL$1,FALSE),0)</f>
        <v>0</v>
      </c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8"/>
      <c r="BG2577" s="8"/>
    </row>
    <row r="2578" spans="1:59" s="9" customFormat="1">
      <c r="A2578" s="8">
        <v>9033763344</v>
      </c>
      <c r="B2578" s="8" t="s">
        <v>2935</v>
      </c>
      <c r="C2578" s="9">
        <v>1</v>
      </c>
      <c r="D2578" s="9">
        <v>0</v>
      </c>
      <c r="E2578" s="9">
        <v>0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AE2578" s="9">
        <f>IFERROR(VLOOKUP($A2578,pivot!$A:$G,計算式2026!AE$1,FALSE),0)</f>
        <v>0</v>
      </c>
      <c r="AF2578" s="9">
        <f>IFERROR(VLOOKUP($A2578,pivot!$A:$I,計算式2026!AF$1,FALSE),0)</f>
        <v>0</v>
      </c>
      <c r="AI2578" s="9">
        <f>IFERROR(VLOOKUP($A2578,pivot!$A:$I,計算式2026!AI$1,FALSE),0)</f>
        <v>0</v>
      </c>
      <c r="AJ2578" s="9">
        <f>IFERROR(VLOOKUP($A2578,pivot!$A:$I,計算式2026!AJ$1,FALSE),0)</f>
        <v>0</v>
      </c>
      <c r="AK2578" s="9">
        <f>IFERROR(VLOOKUP($A2578,pivot!$A:$I,計算式2026!AK$1,FALSE),0)</f>
        <v>0</v>
      </c>
      <c r="AL2578" s="9">
        <f>IFERROR(VLOOKUP($A2578,pivot!$A:$I,計算式2026!AL$1,FALSE),0)</f>
        <v>0</v>
      </c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</row>
    <row r="2579" spans="1:59" s="9" customFormat="1">
      <c r="A2579" s="8">
        <v>9033763346</v>
      </c>
      <c r="B2579" s="8" t="s">
        <v>2935</v>
      </c>
      <c r="C2579" s="9">
        <v>1</v>
      </c>
      <c r="D2579" s="9">
        <v>0</v>
      </c>
      <c r="E2579" s="9">
        <v>0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  <c r="K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AE2579" s="9">
        <f>IFERROR(VLOOKUP($A2579,pivot!$A:$G,計算式2026!AE$1,FALSE),0)</f>
        <v>0</v>
      </c>
      <c r="AF2579" s="9">
        <f>IFERROR(VLOOKUP($A2579,pivot!$A:$I,計算式2026!AF$1,FALSE),0)</f>
        <v>0</v>
      </c>
      <c r="AI2579" s="9">
        <f>IFERROR(VLOOKUP($A2579,pivot!$A:$I,計算式2026!AI$1,FALSE),0)</f>
        <v>0</v>
      </c>
      <c r="AJ2579" s="9">
        <f>IFERROR(VLOOKUP($A2579,pivot!$A:$I,計算式2026!AJ$1,FALSE),0)</f>
        <v>0</v>
      </c>
      <c r="AK2579" s="9">
        <f>IFERROR(VLOOKUP($A2579,pivot!$A:$I,計算式2026!AK$1,FALSE),0)</f>
        <v>0</v>
      </c>
      <c r="AL2579" s="9">
        <f>IFERROR(VLOOKUP($A2579,pivot!$A:$I,計算式2026!AL$1,FALSE),0)</f>
        <v>0</v>
      </c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8"/>
      <c r="BG2579" s="8"/>
    </row>
    <row r="2580" spans="1:59" s="9" customFormat="1">
      <c r="A2580" s="8">
        <v>9033763348</v>
      </c>
      <c r="B2580" s="8" t="s">
        <v>2935</v>
      </c>
      <c r="C2580" s="9">
        <v>1</v>
      </c>
      <c r="D2580" s="9">
        <v>0</v>
      </c>
      <c r="E2580" s="9">
        <v>0</v>
      </c>
      <c r="F2580" s="9">
        <v>0</v>
      </c>
      <c r="G2580" s="9">
        <v>0</v>
      </c>
      <c r="H2580" s="9">
        <v>0</v>
      </c>
      <c r="I2580" s="9">
        <v>0</v>
      </c>
      <c r="J2580" s="9">
        <v>0</v>
      </c>
      <c r="K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AE2580" s="9">
        <f>IFERROR(VLOOKUP($A2580,pivot!$A:$G,計算式2026!AE$1,FALSE),0)</f>
        <v>0</v>
      </c>
      <c r="AF2580" s="9">
        <f>IFERROR(VLOOKUP($A2580,pivot!$A:$I,計算式2026!AF$1,FALSE),0)</f>
        <v>0</v>
      </c>
      <c r="AI2580" s="9">
        <f>IFERROR(VLOOKUP($A2580,pivot!$A:$I,計算式2026!AI$1,FALSE),0)</f>
        <v>0</v>
      </c>
      <c r="AJ2580" s="9">
        <f>IFERROR(VLOOKUP($A2580,pivot!$A:$I,計算式2026!AJ$1,FALSE),0)</f>
        <v>0</v>
      </c>
      <c r="AK2580" s="9">
        <f>IFERROR(VLOOKUP($A2580,pivot!$A:$I,計算式2026!AK$1,FALSE),0)</f>
        <v>0</v>
      </c>
      <c r="AL2580" s="9">
        <f>IFERROR(VLOOKUP($A2580,pivot!$A:$I,計算式2026!AL$1,FALSE),0)</f>
        <v>0</v>
      </c>
      <c r="AR2580" s="8"/>
      <c r="AS2580" s="8"/>
      <c r="AT2580" s="8"/>
      <c r="AU2580" s="8"/>
      <c r="AV2580" s="8"/>
      <c r="AW2580" s="8"/>
      <c r="AX2580" s="8"/>
      <c r="AY2580" s="8"/>
      <c r="AZ2580" s="8"/>
      <c r="BA2580" s="8"/>
      <c r="BB2580" s="8"/>
      <c r="BC2580" s="8"/>
      <c r="BD2580" s="8"/>
      <c r="BE2580" s="8"/>
      <c r="BF2580" s="8"/>
      <c r="BG2580" s="8"/>
    </row>
    <row r="2581" spans="1:59" s="9" customFormat="1">
      <c r="A2581" s="8" t="s">
        <v>1459</v>
      </c>
      <c r="B2581" s="8" t="s">
        <v>1460</v>
      </c>
      <c r="C2581" s="9">
        <v>0</v>
      </c>
      <c r="D2581" s="9">
        <v>0</v>
      </c>
      <c r="E2581" s="9">
        <v>0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R2581" s="9">
        <v>0</v>
      </c>
      <c r="S2581" s="9">
        <v>1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AE2581" s="9">
        <f>IFERROR(VLOOKUP($A2581,pivot!$A:$G,計算式2026!AE$1,FALSE),0)</f>
        <v>0</v>
      </c>
      <c r="AF2581" s="9">
        <f>IFERROR(VLOOKUP($A2581,pivot!$A:$I,計算式2026!AF$1,FALSE),0)</f>
        <v>0</v>
      </c>
      <c r="AI2581" s="9">
        <f>IFERROR(VLOOKUP($A2581,pivot!$A:$I,計算式2026!AI$1,FALSE),0)</f>
        <v>0</v>
      </c>
      <c r="AJ2581" s="9">
        <f>IFERROR(VLOOKUP($A2581,pivot!$A:$I,計算式2026!AJ$1,FALSE),0)</f>
        <v>0</v>
      </c>
      <c r="AK2581" s="9">
        <f>IFERROR(VLOOKUP($A2581,pivot!$A:$I,計算式2026!AK$1,FALSE),0)</f>
        <v>0</v>
      </c>
      <c r="AL2581" s="9">
        <f>IFERROR(VLOOKUP($A2581,pivot!$A:$I,計算式2026!AL$1,FALSE),0)</f>
        <v>0</v>
      </c>
      <c r="AR2581" s="8"/>
      <c r="AS2581" s="8"/>
      <c r="AT2581" s="8"/>
      <c r="AU2581" s="8"/>
      <c r="AV2581" s="8"/>
      <c r="AW2581" s="8"/>
      <c r="AX2581" s="8"/>
      <c r="AY2581" s="8"/>
      <c r="AZ2581" s="8"/>
      <c r="BA2581" s="8"/>
      <c r="BB2581" s="8"/>
      <c r="BC2581" s="8"/>
      <c r="BD2581" s="8"/>
      <c r="BE2581" s="8"/>
      <c r="BF2581" s="8"/>
      <c r="BG2581" s="8"/>
    </row>
    <row r="2582" spans="1:59" s="9" customFormat="1">
      <c r="A2582" s="8" t="s">
        <v>1461</v>
      </c>
      <c r="B2582" s="8" t="s">
        <v>1462</v>
      </c>
      <c r="C2582" s="9">
        <v>0</v>
      </c>
      <c r="D2582" s="9">
        <v>0</v>
      </c>
      <c r="E2582" s="9">
        <v>0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R2582" s="9">
        <v>1</v>
      </c>
      <c r="S2582" s="9">
        <v>0</v>
      </c>
      <c r="T2582" s="9">
        <v>2</v>
      </c>
      <c r="U2582" s="9">
        <v>0</v>
      </c>
      <c r="V2582" s="9">
        <v>0</v>
      </c>
      <c r="W2582" s="9">
        <v>0</v>
      </c>
      <c r="X2582" s="9">
        <v>1</v>
      </c>
      <c r="AE2582" s="9">
        <f>IFERROR(VLOOKUP($A2582,pivot!$A:$G,計算式2026!AE$1,FALSE),0)</f>
        <v>0</v>
      </c>
      <c r="AF2582" s="9">
        <f>IFERROR(VLOOKUP($A2582,pivot!$A:$I,計算式2026!AF$1,FALSE),0)</f>
        <v>0</v>
      </c>
      <c r="AI2582" s="9">
        <f>IFERROR(VLOOKUP($A2582,pivot!$A:$I,計算式2026!AI$1,FALSE),0)</f>
        <v>0</v>
      </c>
      <c r="AJ2582" s="9">
        <f>IFERROR(VLOOKUP($A2582,pivot!$A:$I,計算式2026!AJ$1,FALSE),0)</f>
        <v>0</v>
      </c>
      <c r="AK2582" s="9">
        <f>IFERROR(VLOOKUP($A2582,pivot!$A:$I,計算式2026!AK$1,FALSE),0)</f>
        <v>0</v>
      </c>
      <c r="AL2582" s="9">
        <f>IFERROR(VLOOKUP($A2582,pivot!$A:$I,計算式2026!AL$1,FALSE),0)</f>
        <v>0</v>
      </c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  <c r="BB2582" s="8"/>
      <c r="BC2582" s="8"/>
      <c r="BD2582" s="8"/>
      <c r="BE2582" s="8"/>
      <c r="BF2582" s="8"/>
      <c r="BG2582" s="8"/>
    </row>
    <row r="2583" spans="1:59" s="9" customFormat="1">
      <c r="A2583" s="8" t="s">
        <v>1463</v>
      </c>
      <c r="B2583" s="8" t="s">
        <v>1462</v>
      </c>
      <c r="C2583" s="9">
        <v>1</v>
      </c>
      <c r="D2583" s="9">
        <v>0</v>
      </c>
      <c r="E2583" s="9">
        <v>0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9">
        <v>0</v>
      </c>
      <c r="R2583" s="9">
        <v>1</v>
      </c>
      <c r="S2583" s="9">
        <v>1</v>
      </c>
      <c r="T2583" s="9">
        <v>1</v>
      </c>
      <c r="U2583" s="9">
        <v>0</v>
      </c>
      <c r="V2583" s="9">
        <v>1</v>
      </c>
      <c r="W2583" s="9">
        <v>0</v>
      </c>
      <c r="X2583" s="9">
        <v>1</v>
      </c>
      <c r="AE2583" s="9">
        <f>IFERROR(VLOOKUP($A2583,pivot!$A:$G,計算式2026!AE$1,FALSE),0)</f>
        <v>0</v>
      </c>
      <c r="AF2583" s="9">
        <f>IFERROR(VLOOKUP($A2583,pivot!$A:$I,計算式2026!AF$1,FALSE),0)</f>
        <v>0</v>
      </c>
      <c r="AI2583" s="9">
        <f>IFERROR(VLOOKUP($A2583,pivot!$A:$I,計算式2026!AI$1,FALSE),0)</f>
        <v>0</v>
      </c>
      <c r="AJ2583" s="9">
        <f>IFERROR(VLOOKUP($A2583,pivot!$A:$I,計算式2026!AJ$1,FALSE),0)</f>
        <v>0</v>
      </c>
      <c r="AK2583" s="9">
        <f>IFERROR(VLOOKUP($A2583,pivot!$A:$I,計算式2026!AK$1,FALSE),0)</f>
        <v>0</v>
      </c>
      <c r="AL2583" s="9">
        <f>IFERROR(VLOOKUP($A2583,pivot!$A:$I,計算式2026!AL$1,FALSE),0)</f>
        <v>0</v>
      </c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8"/>
      <c r="BG2583" s="8"/>
    </row>
    <row r="2584" spans="1:59" s="9" customFormat="1">
      <c r="A2584" s="8" t="s">
        <v>1464</v>
      </c>
      <c r="B2584" s="8" t="s">
        <v>1462</v>
      </c>
      <c r="C2584" s="9">
        <v>1</v>
      </c>
      <c r="D2584" s="9">
        <v>0</v>
      </c>
      <c r="E2584" s="9">
        <v>0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R2584" s="9">
        <v>1</v>
      </c>
      <c r="S2584" s="9">
        <v>1</v>
      </c>
      <c r="T2584" s="9">
        <v>1</v>
      </c>
      <c r="U2584" s="9">
        <v>0</v>
      </c>
      <c r="V2584" s="9">
        <v>1</v>
      </c>
      <c r="W2584" s="9">
        <v>0</v>
      </c>
      <c r="X2584" s="9">
        <v>1</v>
      </c>
      <c r="AE2584" s="9">
        <f>IFERROR(VLOOKUP($A2584,pivot!$A:$G,計算式2026!AE$1,FALSE),0)</f>
        <v>0</v>
      </c>
      <c r="AF2584" s="9">
        <f>IFERROR(VLOOKUP($A2584,pivot!$A:$I,計算式2026!AF$1,FALSE),0)</f>
        <v>0</v>
      </c>
      <c r="AI2584" s="9">
        <f>IFERROR(VLOOKUP($A2584,pivot!$A:$I,計算式2026!AI$1,FALSE),0)</f>
        <v>0</v>
      </c>
      <c r="AJ2584" s="9">
        <f>IFERROR(VLOOKUP($A2584,pivot!$A:$I,計算式2026!AJ$1,FALSE),0)</f>
        <v>0</v>
      </c>
      <c r="AK2584" s="9">
        <f>IFERROR(VLOOKUP($A2584,pivot!$A:$I,計算式2026!AK$1,FALSE),0)</f>
        <v>0</v>
      </c>
      <c r="AL2584" s="9">
        <f>IFERROR(VLOOKUP($A2584,pivot!$A:$I,計算式2026!AL$1,FALSE),0)</f>
        <v>0</v>
      </c>
      <c r="AR2584" s="8"/>
      <c r="AS2584" s="8"/>
      <c r="AT2584" s="8"/>
      <c r="AU2584" s="8"/>
      <c r="AV2584" s="8"/>
      <c r="AW2584" s="8"/>
      <c r="AX2584" s="8"/>
      <c r="AY2584" s="8"/>
      <c r="AZ2584" s="8"/>
      <c r="BA2584" s="8"/>
      <c r="BB2584" s="8"/>
      <c r="BC2584" s="8"/>
      <c r="BD2584" s="8"/>
      <c r="BE2584" s="8"/>
      <c r="BF2584" s="8"/>
      <c r="BG2584" s="8"/>
    </row>
    <row r="2585" spans="1:59" s="9" customFormat="1">
      <c r="A2585" s="8" t="s">
        <v>1465</v>
      </c>
      <c r="B2585" s="8" t="s">
        <v>1462</v>
      </c>
      <c r="C2585" s="9">
        <v>0</v>
      </c>
      <c r="D2585" s="9">
        <v>0</v>
      </c>
      <c r="E2585" s="9">
        <v>0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R2585" s="9">
        <v>0</v>
      </c>
      <c r="S2585" s="9">
        <v>0</v>
      </c>
      <c r="T2585" s="9">
        <v>1</v>
      </c>
      <c r="U2585" s="9">
        <v>0</v>
      </c>
      <c r="V2585" s="9">
        <v>0</v>
      </c>
      <c r="W2585" s="9">
        <v>0</v>
      </c>
      <c r="X2585" s="9">
        <v>1</v>
      </c>
      <c r="AE2585" s="9">
        <f>IFERROR(VLOOKUP($A2585,pivot!$A:$G,計算式2026!AE$1,FALSE),0)</f>
        <v>0</v>
      </c>
      <c r="AF2585" s="9">
        <f>IFERROR(VLOOKUP($A2585,pivot!$A:$I,計算式2026!AF$1,FALSE),0)</f>
        <v>0</v>
      </c>
      <c r="AI2585" s="9">
        <f>IFERROR(VLOOKUP($A2585,pivot!$A:$I,計算式2026!AI$1,FALSE),0)</f>
        <v>0</v>
      </c>
      <c r="AJ2585" s="9">
        <f>IFERROR(VLOOKUP($A2585,pivot!$A:$I,計算式2026!AJ$1,FALSE),0)</f>
        <v>0</v>
      </c>
      <c r="AK2585" s="9">
        <f>IFERROR(VLOOKUP($A2585,pivot!$A:$I,計算式2026!AK$1,FALSE),0)</f>
        <v>0</v>
      </c>
      <c r="AL2585" s="9">
        <f>IFERROR(VLOOKUP($A2585,pivot!$A:$I,計算式2026!AL$1,FALSE),0)</f>
        <v>0</v>
      </c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8"/>
      <c r="BG2585" s="8"/>
    </row>
    <row r="2586" spans="1:59" s="9" customFormat="1">
      <c r="A2586" s="8" t="s">
        <v>1466</v>
      </c>
      <c r="B2586" s="8" t="s">
        <v>1462</v>
      </c>
      <c r="C2586" s="9">
        <v>0</v>
      </c>
      <c r="D2586" s="9">
        <v>0</v>
      </c>
      <c r="E2586" s="9">
        <v>0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R2586" s="9">
        <v>0</v>
      </c>
      <c r="S2586" s="9">
        <v>0</v>
      </c>
      <c r="T2586" s="9">
        <v>1</v>
      </c>
      <c r="U2586" s="9">
        <v>0</v>
      </c>
      <c r="V2586" s="9">
        <v>0</v>
      </c>
      <c r="W2586" s="9">
        <v>0</v>
      </c>
      <c r="X2586" s="9">
        <v>1</v>
      </c>
      <c r="AE2586" s="9">
        <f>IFERROR(VLOOKUP($A2586,pivot!$A:$G,計算式2026!AE$1,FALSE),0)</f>
        <v>0</v>
      </c>
      <c r="AF2586" s="9">
        <f>IFERROR(VLOOKUP($A2586,pivot!$A:$I,計算式2026!AF$1,FALSE),0)</f>
        <v>0</v>
      </c>
      <c r="AI2586" s="9">
        <f>IFERROR(VLOOKUP($A2586,pivot!$A:$I,計算式2026!AI$1,FALSE),0)</f>
        <v>0</v>
      </c>
      <c r="AJ2586" s="9">
        <f>IFERROR(VLOOKUP($A2586,pivot!$A:$I,計算式2026!AJ$1,FALSE),0)</f>
        <v>0</v>
      </c>
      <c r="AK2586" s="9">
        <f>IFERROR(VLOOKUP($A2586,pivot!$A:$I,計算式2026!AK$1,FALSE),0)</f>
        <v>0</v>
      </c>
      <c r="AL2586" s="9">
        <f>IFERROR(VLOOKUP($A2586,pivot!$A:$I,計算式2026!AL$1,FALSE),0)</f>
        <v>0</v>
      </c>
      <c r="AR2586" s="8"/>
      <c r="AS2586" s="8"/>
      <c r="AT2586" s="8"/>
      <c r="AU2586" s="8"/>
      <c r="AV2586" s="8"/>
      <c r="AW2586" s="8"/>
      <c r="AX2586" s="8"/>
      <c r="AY2586" s="8"/>
      <c r="AZ2586" s="8"/>
      <c r="BA2586" s="8"/>
      <c r="BB2586" s="8"/>
      <c r="BC2586" s="8"/>
      <c r="BD2586" s="8"/>
      <c r="BE2586" s="8"/>
      <c r="BF2586" s="8"/>
      <c r="BG2586" s="8"/>
    </row>
    <row r="2587" spans="1:59" s="9" customFormat="1">
      <c r="A2587" s="8" t="s">
        <v>1467</v>
      </c>
      <c r="B2587" s="8" t="s">
        <v>1462</v>
      </c>
      <c r="C2587" s="9">
        <v>2</v>
      </c>
      <c r="D2587" s="9">
        <v>0</v>
      </c>
      <c r="E2587" s="9">
        <v>0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R2587" s="9">
        <v>0</v>
      </c>
      <c r="S2587" s="9">
        <v>0</v>
      </c>
      <c r="T2587" s="9">
        <v>1</v>
      </c>
      <c r="U2587" s="9">
        <v>0</v>
      </c>
      <c r="V2587" s="9">
        <v>0</v>
      </c>
      <c r="W2587" s="9">
        <v>0</v>
      </c>
      <c r="X2587" s="9">
        <v>1</v>
      </c>
      <c r="AE2587" s="9">
        <f>IFERROR(VLOOKUP($A2587,pivot!$A:$G,計算式2026!AE$1,FALSE),0)</f>
        <v>0</v>
      </c>
      <c r="AF2587" s="9">
        <f>IFERROR(VLOOKUP($A2587,pivot!$A:$I,計算式2026!AF$1,FALSE),0)</f>
        <v>0</v>
      </c>
      <c r="AI2587" s="9">
        <f>IFERROR(VLOOKUP($A2587,pivot!$A:$I,計算式2026!AI$1,FALSE),0)</f>
        <v>0</v>
      </c>
      <c r="AJ2587" s="9">
        <f>IFERROR(VLOOKUP($A2587,pivot!$A:$I,計算式2026!AJ$1,FALSE),0)</f>
        <v>0</v>
      </c>
      <c r="AK2587" s="9">
        <f>IFERROR(VLOOKUP($A2587,pivot!$A:$I,計算式2026!AK$1,FALSE),0)</f>
        <v>0</v>
      </c>
      <c r="AL2587" s="9">
        <f>IFERROR(VLOOKUP($A2587,pivot!$A:$I,計算式2026!AL$1,FALSE),0)</f>
        <v>0</v>
      </c>
      <c r="AR2587" s="8"/>
      <c r="AS2587" s="8"/>
      <c r="AT2587" s="8"/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8"/>
      <c r="BG2587" s="8"/>
    </row>
    <row r="2588" spans="1:59" s="9" customFormat="1">
      <c r="A2588" s="8" t="s">
        <v>1468</v>
      </c>
      <c r="B2588" s="8" t="s">
        <v>1469</v>
      </c>
      <c r="C2588" s="9">
        <v>0</v>
      </c>
      <c r="D2588" s="9">
        <v>0</v>
      </c>
      <c r="E2588" s="9">
        <v>0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  <c r="K2588" s="9">
        <v>0</v>
      </c>
      <c r="R2588" s="9">
        <v>0</v>
      </c>
      <c r="S2588" s="9">
        <v>1</v>
      </c>
      <c r="T2588" s="9">
        <v>1</v>
      </c>
      <c r="U2588" s="9">
        <v>0</v>
      </c>
      <c r="V2588" s="9">
        <v>0</v>
      </c>
      <c r="W2588" s="9">
        <v>0</v>
      </c>
      <c r="X2588" s="9">
        <v>1</v>
      </c>
      <c r="AE2588" s="9">
        <f>IFERROR(VLOOKUP($A2588,pivot!$A:$G,計算式2026!AE$1,FALSE),0)</f>
        <v>0</v>
      </c>
      <c r="AF2588" s="9">
        <f>IFERROR(VLOOKUP($A2588,pivot!$A:$I,計算式2026!AF$1,FALSE),0)</f>
        <v>0</v>
      </c>
      <c r="AI2588" s="9">
        <f>IFERROR(VLOOKUP($A2588,pivot!$A:$I,計算式2026!AI$1,FALSE),0)</f>
        <v>0</v>
      </c>
      <c r="AJ2588" s="9">
        <f>IFERROR(VLOOKUP($A2588,pivot!$A:$I,計算式2026!AJ$1,FALSE),0)</f>
        <v>0</v>
      </c>
      <c r="AK2588" s="9">
        <f>IFERROR(VLOOKUP($A2588,pivot!$A:$I,計算式2026!AK$1,FALSE),0)</f>
        <v>0</v>
      </c>
      <c r="AL2588" s="9">
        <f>IFERROR(VLOOKUP($A2588,pivot!$A:$I,計算式2026!AL$1,FALSE),0)</f>
        <v>0</v>
      </c>
      <c r="AR2588" s="8"/>
      <c r="AS2588" s="8"/>
      <c r="AT2588" s="8"/>
      <c r="AU2588" s="8"/>
      <c r="AV2588" s="8"/>
      <c r="AW2588" s="8"/>
      <c r="AX2588" s="8"/>
      <c r="AY2588" s="8"/>
      <c r="AZ2588" s="8"/>
      <c r="BA2588" s="8"/>
      <c r="BB2588" s="8"/>
      <c r="BC2588" s="8"/>
      <c r="BD2588" s="8"/>
      <c r="BE2588" s="8"/>
      <c r="BF2588" s="8"/>
      <c r="BG2588" s="8"/>
    </row>
    <row r="2589" spans="1:59" s="9" customFormat="1">
      <c r="A2589" s="8" t="s">
        <v>1470</v>
      </c>
      <c r="B2589" s="8" t="s">
        <v>1469</v>
      </c>
      <c r="C2589" s="9">
        <v>0</v>
      </c>
      <c r="D2589" s="9">
        <v>0</v>
      </c>
      <c r="E2589" s="9">
        <v>0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  <c r="K2589" s="9">
        <v>0</v>
      </c>
      <c r="R2589" s="9">
        <v>0</v>
      </c>
      <c r="S2589" s="9">
        <v>1</v>
      </c>
      <c r="T2589" s="9">
        <v>1</v>
      </c>
      <c r="U2589" s="9">
        <v>0</v>
      </c>
      <c r="V2589" s="9">
        <v>1</v>
      </c>
      <c r="W2589" s="9">
        <v>0</v>
      </c>
      <c r="X2589" s="9">
        <v>1</v>
      </c>
      <c r="AE2589" s="9">
        <f>IFERROR(VLOOKUP($A2589,pivot!$A:$G,計算式2026!AE$1,FALSE),0)</f>
        <v>0</v>
      </c>
      <c r="AF2589" s="9">
        <f>IFERROR(VLOOKUP($A2589,pivot!$A:$I,計算式2026!AF$1,FALSE),0)</f>
        <v>0</v>
      </c>
      <c r="AI2589" s="9">
        <f>IFERROR(VLOOKUP($A2589,pivot!$A:$I,計算式2026!AI$1,FALSE),0)</f>
        <v>0</v>
      </c>
      <c r="AJ2589" s="9">
        <f>IFERROR(VLOOKUP($A2589,pivot!$A:$I,計算式2026!AJ$1,FALSE),0)</f>
        <v>0</v>
      </c>
      <c r="AK2589" s="9">
        <f>IFERROR(VLOOKUP($A2589,pivot!$A:$I,計算式2026!AK$1,FALSE),0)</f>
        <v>0</v>
      </c>
      <c r="AL2589" s="9">
        <f>IFERROR(VLOOKUP($A2589,pivot!$A:$I,計算式2026!AL$1,FALSE),0)</f>
        <v>0</v>
      </c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/>
      <c r="BC2589" s="8"/>
      <c r="BD2589" s="8"/>
      <c r="BE2589" s="8"/>
      <c r="BF2589" s="8"/>
      <c r="BG2589" s="8"/>
    </row>
    <row r="2590" spans="1:59" s="9" customFormat="1">
      <c r="A2590" s="8" t="s">
        <v>1471</v>
      </c>
      <c r="B2590" s="8" t="s">
        <v>1469</v>
      </c>
      <c r="C2590" s="9">
        <v>0</v>
      </c>
      <c r="D2590" s="9">
        <v>0</v>
      </c>
      <c r="E2590" s="9">
        <v>0</v>
      </c>
      <c r="F2590" s="9">
        <v>0</v>
      </c>
      <c r="G2590" s="9">
        <v>0</v>
      </c>
      <c r="H2590" s="9">
        <v>0</v>
      </c>
      <c r="I2590" s="9">
        <v>0</v>
      </c>
      <c r="J2590" s="9">
        <v>0</v>
      </c>
      <c r="K2590" s="9">
        <v>0</v>
      </c>
      <c r="R2590" s="9">
        <v>0</v>
      </c>
      <c r="S2590" s="9">
        <v>0</v>
      </c>
      <c r="T2590" s="9">
        <v>1</v>
      </c>
      <c r="U2590" s="9">
        <v>0</v>
      </c>
      <c r="V2590" s="9">
        <v>0</v>
      </c>
      <c r="W2590" s="9">
        <v>0</v>
      </c>
      <c r="X2590" s="9">
        <v>1</v>
      </c>
      <c r="AE2590" s="9">
        <f>IFERROR(VLOOKUP($A2590,pivot!$A:$G,計算式2026!AE$1,FALSE),0)</f>
        <v>0</v>
      </c>
      <c r="AF2590" s="9">
        <f>IFERROR(VLOOKUP($A2590,pivot!$A:$I,計算式2026!AF$1,FALSE),0)</f>
        <v>0</v>
      </c>
      <c r="AI2590" s="9">
        <f>IFERROR(VLOOKUP($A2590,pivot!$A:$I,計算式2026!AI$1,FALSE),0)</f>
        <v>0</v>
      </c>
      <c r="AJ2590" s="9">
        <f>IFERROR(VLOOKUP($A2590,pivot!$A:$I,計算式2026!AJ$1,FALSE),0)</f>
        <v>0</v>
      </c>
      <c r="AK2590" s="9">
        <f>IFERROR(VLOOKUP($A2590,pivot!$A:$I,計算式2026!AK$1,FALSE),0)</f>
        <v>0</v>
      </c>
      <c r="AL2590" s="9">
        <f>IFERROR(VLOOKUP($A2590,pivot!$A:$I,計算式2026!AL$1,FALSE),0)</f>
        <v>0</v>
      </c>
      <c r="AR2590" s="8"/>
      <c r="AS2590" s="8"/>
      <c r="AT2590" s="8"/>
      <c r="AU2590" s="8"/>
      <c r="AV2590" s="8"/>
      <c r="AW2590" s="8"/>
      <c r="AX2590" s="8"/>
      <c r="AY2590" s="8"/>
      <c r="AZ2590" s="8"/>
      <c r="BA2590" s="8"/>
      <c r="BB2590" s="8"/>
      <c r="BC2590" s="8"/>
      <c r="BD2590" s="8"/>
      <c r="BE2590" s="8"/>
      <c r="BF2590" s="8"/>
      <c r="BG2590" s="8"/>
    </row>
    <row r="2591" spans="1:59" s="9" customFormat="1">
      <c r="A2591" s="8" t="s">
        <v>1472</v>
      </c>
      <c r="B2591" s="8" t="s">
        <v>1469</v>
      </c>
      <c r="C2591" s="9">
        <v>0</v>
      </c>
      <c r="D2591" s="9">
        <v>0</v>
      </c>
      <c r="E2591" s="9">
        <v>0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R2591" s="9">
        <v>0</v>
      </c>
      <c r="S2591" s="9">
        <v>1</v>
      </c>
      <c r="T2591" s="9">
        <v>1</v>
      </c>
      <c r="U2591" s="9">
        <v>0</v>
      </c>
      <c r="V2591" s="9">
        <v>0</v>
      </c>
      <c r="W2591" s="9">
        <v>0</v>
      </c>
      <c r="X2591" s="9">
        <v>1</v>
      </c>
      <c r="AE2591" s="9">
        <f>IFERROR(VLOOKUP($A2591,pivot!$A:$G,計算式2026!AE$1,FALSE),0)</f>
        <v>0</v>
      </c>
      <c r="AF2591" s="9">
        <f>IFERROR(VLOOKUP($A2591,pivot!$A:$I,計算式2026!AF$1,FALSE),0)</f>
        <v>0</v>
      </c>
      <c r="AI2591" s="9">
        <f>IFERROR(VLOOKUP($A2591,pivot!$A:$I,計算式2026!AI$1,FALSE),0)</f>
        <v>0</v>
      </c>
      <c r="AJ2591" s="9">
        <f>IFERROR(VLOOKUP($A2591,pivot!$A:$I,計算式2026!AJ$1,FALSE),0)</f>
        <v>0</v>
      </c>
      <c r="AK2591" s="9">
        <f>IFERROR(VLOOKUP($A2591,pivot!$A:$I,計算式2026!AK$1,FALSE),0)</f>
        <v>0</v>
      </c>
      <c r="AL2591" s="9">
        <f>IFERROR(VLOOKUP($A2591,pivot!$A:$I,計算式2026!AL$1,FALSE),0)</f>
        <v>0</v>
      </c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/>
      <c r="BC2591" s="8"/>
      <c r="BD2591" s="8"/>
      <c r="BE2591" s="8"/>
      <c r="BF2591" s="8"/>
      <c r="BG2591" s="8"/>
    </row>
    <row r="2592" spans="1:59" s="9" customFormat="1">
      <c r="A2592" s="8" t="s">
        <v>1474</v>
      </c>
      <c r="B2592" s="8" t="s">
        <v>1473</v>
      </c>
      <c r="C2592" s="9">
        <v>0</v>
      </c>
      <c r="D2592" s="9">
        <v>0</v>
      </c>
      <c r="E2592" s="9">
        <v>0</v>
      </c>
      <c r="F2592" s="9">
        <v>0</v>
      </c>
      <c r="G2592" s="9">
        <v>0</v>
      </c>
      <c r="H2592" s="9">
        <v>0</v>
      </c>
      <c r="I2592" s="9">
        <v>0</v>
      </c>
      <c r="J2592" s="9">
        <v>0</v>
      </c>
      <c r="K2592" s="9">
        <v>0</v>
      </c>
      <c r="R2592" s="9">
        <v>0</v>
      </c>
      <c r="S2592" s="9">
        <v>0</v>
      </c>
      <c r="T2592" s="9">
        <v>1</v>
      </c>
      <c r="U2592" s="9">
        <v>0</v>
      </c>
      <c r="V2592" s="9">
        <v>0</v>
      </c>
      <c r="W2592" s="9">
        <v>0</v>
      </c>
      <c r="X2592" s="9">
        <v>0</v>
      </c>
      <c r="AE2592" s="9">
        <f>IFERROR(VLOOKUP($A2592,pivot!$A:$G,計算式2026!AE$1,FALSE),0)</f>
        <v>0</v>
      </c>
      <c r="AF2592" s="9">
        <f>IFERROR(VLOOKUP($A2592,pivot!$A:$I,計算式2026!AF$1,FALSE),0)</f>
        <v>0</v>
      </c>
      <c r="AI2592" s="9">
        <f>IFERROR(VLOOKUP($A2592,pivot!$A:$I,計算式2026!AI$1,FALSE),0)</f>
        <v>0</v>
      </c>
      <c r="AJ2592" s="9">
        <f>IFERROR(VLOOKUP($A2592,pivot!$A:$I,計算式2026!AJ$1,FALSE),0)</f>
        <v>0</v>
      </c>
      <c r="AK2592" s="9">
        <f>IFERROR(VLOOKUP($A2592,pivot!$A:$I,計算式2026!AK$1,FALSE),0)</f>
        <v>0</v>
      </c>
      <c r="AL2592" s="9">
        <f>IFERROR(VLOOKUP($A2592,pivot!$A:$I,計算式2026!AL$1,FALSE),0)</f>
        <v>0</v>
      </c>
      <c r="AR2592" s="8"/>
      <c r="AS2592" s="8"/>
      <c r="AT2592" s="8"/>
      <c r="AU2592" s="8"/>
      <c r="AV2592" s="8"/>
      <c r="AW2592" s="8"/>
      <c r="AX2592" s="8"/>
      <c r="AY2592" s="8"/>
      <c r="AZ2592" s="8"/>
      <c r="BA2592" s="8"/>
      <c r="BB2592" s="8"/>
      <c r="BC2592" s="8"/>
      <c r="BD2592" s="8"/>
      <c r="BE2592" s="8"/>
      <c r="BF2592" s="8"/>
      <c r="BG2592" s="8"/>
    </row>
    <row r="2593" spans="1:59">
      <c r="A2593" s="8" t="s">
        <v>1475</v>
      </c>
      <c r="B2593" s="8" t="s">
        <v>1473</v>
      </c>
      <c r="C2593" s="9">
        <v>0</v>
      </c>
      <c r="D2593" s="9">
        <v>0</v>
      </c>
      <c r="E2593" s="9">
        <v>0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R2593" s="9">
        <v>0</v>
      </c>
      <c r="S2593" s="9">
        <v>0</v>
      </c>
      <c r="T2593" s="9">
        <v>1</v>
      </c>
      <c r="U2593" s="9">
        <v>0</v>
      </c>
      <c r="V2593" s="9">
        <v>0</v>
      </c>
      <c r="W2593" s="9">
        <v>0</v>
      </c>
      <c r="X2593" s="9">
        <v>1</v>
      </c>
      <c r="AE2593" s="9">
        <f>IFERROR(VLOOKUP($A2593,pivot!$A:$G,計算式2026!AE$1,FALSE),0)</f>
        <v>0</v>
      </c>
      <c r="AF2593" s="9">
        <f>IFERROR(VLOOKUP($A2593,pivot!$A:$I,計算式2026!AF$1,FALSE),0)</f>
        <v>0</v>
      </c>
      <c r="AI2593" s="9">
        <f>IFERROR(VLOOKUP($A2593,pivot!$A:$I,計算式2026!AI$1,FALSE),0)</f>
        <v>0</v>
      </c>
      <c r="AJ2593" s="9">
        <f>IFERROR(VLOOKUP($A2593,pivot!$A:$I,計算式2026!AJ$1,FALSE),0)</f>
        <v>0</v>
      </c>
      <c r="AK2593" s="9">
        <f>IFERROR(VLOOKUP($A2593,pivot!$A:$I,計算式2026!AK$1,FALSE),0)</f>
        <v>0</v>
      </c>
      <c r="AL2593" s="9">
        <f>IFERROR(VLOOKUP($A2593,pivot!$A:$I,計算式2026!AL$1,FALSE),0)</f>
        <v>0</v>
      </c>
    </row>
    <row r="2594" spans="1:59">
      <c r="AE2594" s="15" t="s">
        <v>2952</v>
      </c>
      <c r="AF2594" s="15" t="s">
        <v>2952</v>
      </c>
      <c r="AG2594" s="15" t="s">
        <v>2952</v>
      </c>
      <c r="AH2594" s="15" t="s">
        <v>2952</v>
      </c>
      <c r="AI2594" s="15" t="s">
        <v>2952</v>
      </c>
      <c r="AJ2594" s="15" t="s">
        <v>2952</v>
      </c>
      <c r="AK2594" s="15" t="s">
        <v>2952</v>
      </c>
      <c r="AR2594" s="14" t="s">
        <v>2952</v>
      </c>
      <c r="AS2594" s="14" t="s">
        <v>2952</v>
      </c>
      <c r="AT2594" s="14" t="s">
        <v>2952</v>
      </c>
      <c r="AU2594" s="14" t="s">
        <v>2952</v>
      </c>
      <c r="AV2594" s="14" t="s">
        <v>2952</v>
      </c>
      <c r="AW2594" s="14" t="s">
        <v>2952</v>
      </c>
      <c r="AX2594" s="14" t="s">
        <v>2952</v>
      </c>
      <c r="AY2594" s="14"/>
      <c r="AZ2594" s="14"/>
      <c r="BA2594" s="14"/>
      <c r="BB2594" s="14"/>
      <c r="BC2594" s="14"/>
      <c r="BD2594" s="14"/>
      <c r="BE2594" s="14" t="s">
        <v>2952</v>
      </c>
      <c r="BF2594" s="14" t="s">
        <v>2952</v>
      </c>
      <c r="BG2594" s="14" t="s">
        <v>2952</v>
      </c>
    </row>
  </sheetData>
  <phoneticPr fontId="2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E332C-213C-40B7-8B66-82EDFC7DCFBD}">
  <sheetPr codeName="Sheet7"/>
  <dimension ref="A1:D15"/>
  <sheetViews>
    <sheetView workbookViewId="0">
      <selection activeCell="F23" sqref="F23"/>
    </sheetView>
  </sheetViews>
  <sheetFormatPr defaultRowHeight="12"/>
  <sheetData>
    <row r="1" spans="1:4">
      <c r="A1" t="s">
        <v>3125</v>
      </c>
    </row>
    <row r="2" spans="1:4">
      <c r="A2" s="21" t="s">
        <v>3129</v>
      </c>
    </row>
    <row r="3" spans="1:4">
      <c r="B3" t="s">
        <v>3126</v>
      </c>
    </row>
    <row r="4" spans="1:4">
      <c r="B4" t="s">
        <v>3127</v>
      </c>
    </row>
    <row r="5" spans="1:4">
      <c r="B5" t="s">
        <v>3128</v>
      </c>
    </row>
    <row r="6" spans="1:4">
      <c r="A6" s="21" t="s">
        <v>3130</v>
      </c>
    </row>
    <row r="7" spans="1:4">
      <c r="B7" t="s">
        <v>3131</v>
      </c>
    </row>
    <row r="8" spans="1:4">
      <c r="B8" t="s">
        <v>3132</v>
      </c>
    </row>
    <row r="9" spans="1:4">
      <c r="A9" s="21" t="s">
        <v>3133</v>
      </c>
    </row>
    <row r="10" spans="1:4">
      <c r="B10" t="s">
        <v>3134</v>
      </c>
    </row>
    <row r="11" spans="1:4">
      <c r="B11" t="s">
        <v>3135</v>
      </c>
    </row>
    <row r="12" spans="1:4">
      <c r="B12" t="s">
        <v>3136</v>
      </c>
    </row>
    <row r="13" spans="1:4">
      <c r="B13" t="s">
        <v>3137</v>
      </c>
    </row>
    <row r="15" spans="1:4">
      <c r="A15" s="21" t="s">
        <v>3138</v>
      </c>
      <c r="D15" t="s">
        <v>3139</v>
      </c>
    </row>
  </sheetData>
  <phoneticPr fontId="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店舗コード</vt:lpstr>
      <vt:lpstr>営業日付別売上分析 貼り付け</vt:lpstr>
      <vt:lpstr>pivot</vt:lpstr>
      <vt:lpstr>ZOZOOIOI</vt:lpstr>
      <vt:lpstr>EC_ORDER</vt:lpstr>
      <vt:lpstr>EC_PIVOT</vt:lpstr>
      <vt:lpstr>計算式2026</vt:lpstr>
      <vt:lpstr>手順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ys26</dc:creator>
  <cp:lastModifiedBy>健吾 鈴木</cp:lastModifiedBy>
  <dcterms:created xsi:type="dcterms:W3CDTF">2017-12-22T08:39:00Z</dcterms:created>
  <dcterms:modified xsi:type="dcterms:W3CDTF">2026-07-01T05:36:02Z</dcterms:modified>
</cp:coreProperties>
</file>